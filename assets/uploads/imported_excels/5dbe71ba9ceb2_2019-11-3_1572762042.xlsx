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19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2" i="3" l="1"/>
  <c r="F32" i="3" l="1"/>
  <c r="E31" i="3"/>
  <c r="F31" i="3" l="1"/>
  <c r="E30" i="3"/>
  <c r="F30" i="3" l="1"/>
  <c r="E29" i="3"/>
  <c r="F29" i="3" l="1"/>
  <c r="E28" i="3"/>
  <c r="G29" i="3" l="1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F20" i="3" l="1"/>
  <c r="E21" i="3" l="1"/>
  <c r="E19" i="3" l="1"/>
  <c r="F21" i="3" l="1"/>
  <c r="E20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 l="1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H21" i="3" s="1"/>
  <c r="E29" i="4"/>
  <c r="D29" i="4"/>
  <c r="C29" i="4"/>
  <c r="B29" i="4"/>
  <c r="FC28" i="4"/>
  <c r="FB28" i="4"/>
  <c r="FA28" i="4"/>
  <c r="EZ28" i="4"/>
  <c r="BI20" i="3" s="1"/>
  <c r="EY28" i="4"/>
  <c r="EX28" i="4"/>
  <c r="EW28" i="4"/>
  <c r="EV28" i="4"/>
  <c r="BH20" i="3" s="1"/>
  <c r="EU28" i="4"/>
  <c r="ET28" i="4"/>
  <c r="ER28" i="4"/>
  <c r="EQ28" i="4"/>
  <c r="BC20" i="3" s="1"/>
  <c r="EP28" i="4"/>
  <c r="EO28" i="4"/>
  <c r="EN28" i="4"/>
  <c r="EM28" i="4"/>
  <c r="BE20" i="3" s="1"/>
  <c r="EL28" i="4"/>
  <c r="EK28" i="4"/>
  <c r="EJ28" i="4"/>
  <c r="EI28" i="4"/>
  <c r="BB20" i="3" s="1"/>
  <c r="EH28" i="4"/>
  <c r="EG28" i="4"/>
  <c r="EE28" i="4"/>
  <c r="ED28" i="4"/>
  <c r="AZ20" i="3" s="1"/>
  <c r="EC28" i="4"/>
  <c r="EB28" i="4"/>
  <c r="EA28" i="4"/>
  <c r="DZ28" i="4"/>
  <c r="AX20" i="3" s="1"/>
  <c r="DY28" i="4"/>
  <c r="DX28" i="4"/>
  <c r="DW28" i="4"/>
  <c r="DV28" i="4"/>
  <c r="DU28" i="4"/>
  <c r="DT28" i="4"/>
  <c r="DR28" i="4"/>
  <c r="DQ28" i="4"/>
  <c r="AT20" i="3" s="1"/>
  <c r="DP28" i="4"/>
  <c r="DO28" i="4"/>
  <c r="DN28" i="4"/>
  <c r="DM28" i="4"/>
  <c r="AS20" i="3" s="1"/>
  <c r="DL28" i="4"/>
  <c r="DK28" i="4"/>
  <c r="DJ28" i="4"/>
  <c r="DI28" i="4"/>
  <c r="AQ20" i="3" s="1"/>
  <c r="DH28" i="4"/>
  <c r="DG28" i="4"/>
  <c r="DF28" i="4"/>
  <c r="DE28" i="4"/>
  <c r="AO20" i="3" s="1"/>
  <c r="DD28" i="4"/>
  <c r="DC28" i="4"/>
  <c r="DB28" i="4"/>
  <c r="DA28" i="4"/>
  <c r="AM20" i="3" s="1"/>
  <c r="CZ28" i="4"/>
  <c r="CY28" i="4"/>
  <c r="CX28" i="4"/>
  <c r="CW28" i="4"/>
  <c r="AK20" i="3" s="1"/>
  <c r="CU28" i="4"/>
  <c r="CT28" i="4"/>
  <c r="CS28" i="4"/>
  <c r="CR28" i="4"/>
  <c r="CQ28" i="4"/>
  <c r="CP28" i="4"/>
  <c r="CO28" i="4"/>
  <c r="CN28" i="4"/>
  <c r="AA20" i="3" s="1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K20" i="3" s="1"/>
  <c r="N28" i="4"/>
  <c r="M28" i="4"/>
  <c r="L28" i="4"/>
  <c r="K28" i="4"/>
  <c r="J28" i="4"/>
  <c r="I28" i="4"/>
  <c r="H28" i="4"/>
  <c r="G28" i="4"/>
  <c r="F28" i="4"/>
  <c r="E28" i="4"/>
  <c r="D28" i="4"/>
  <c r="C28" i="4"/>
  <c r="G20" i="3" s="1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Z19" i="3" s="1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AG17" i="3" s="1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AK12" i="3" s="1"/>
  <c r="CU20" i="4"/>
  <c r="CT20" i="4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Z11" i="3" s="1"/>
  <c r="CJ19" i="4"/>
  <c r="CI19" i="4"/>
  <c r="CH19" i="4"/>
  <c r="CG19" i="4"/>
  <c r="AH11" i="3" s="1"/>
  <c r="CF19" i="4"/>
  <c r="CE19" i="4"/>
  <c r="CD19" i="4"/>
  <c r="CC19" i="4"/>
  <c r="AF11" i="3" s="1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Z19" i="4"/>
  <c r="Y19" i="4"/>
  <c r="X19" i="4"/>
  <c r="W19" i="4"/>
  <c r="V19" i="4"/>
  <c r="U19" i="4"/>
  <c r="M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BK10" i="3" s="1"/>
  <c r="FA18" i="4"/>
  <c r="EZ18" i="4"/>
  <c r="EY18" i="4"/>
  <c r="EX18" i="4"/>
  <c r="BJ10" i="3" s="1"/>
  <c r="EW18" i="4"/>
  <c r="EV18" i="4"/>
  <c r="EU18" i="4"/>
  <c r="ET18" i="4"/>
  <c r="BG10" i="3" s="1"/>
  <c r="ER18" i="4"/>
  <c r="EQ18" i="4"/>
  <c r="EP18" i="4"/>
  <c r="EO18" i="4"/>
  <c r="BF10" i="3" s="1"/>
  <c r="EN18" i="4"/>
  <c r="EM18" i="4"/>
  <c r="EL18" i="4"/>
  <c r="EK18" i="4"/>
  <c r="BD10" i="3" s="1"/>
  <c r="EJ18" i="4"/>
  <c r="EI18" i="4"/>
  <c r="EH18" i="4"/>
  <c r="EG18" i="4"/>
  <c r="BA10" i="3" s="1"/>
  <c r="EE18" i="4"/>
  <c r="ED18" i="4"/>
  <c r="EC18" i="4"/>
  <c r="EB18" i="4"/>
  <c r="AY10" i="3" s="1"/>
  <c r="EA18" i="4"/>
  <c r="DZ18" i="4"/>
  <c r="DY18" i="4"/>
  <c r="DX18" i="4"/>
  <c r="AW10" i="3" s="1"/>
  <c r="DW18" i="4"/>
  <c r="DV18" i="4"/>
  <c r="DU18" i="4"/>
  <c r="DT18" i="4"/>
  <c r="AU10" i="3" s="1"/>
  <c r="DR18" i="4"/>
  <c r="DQ18" i="4"/>
  <c r="DP18" i="4"/>
  <c r="DO18" i="4"/>
  <c r="AR10" i="3" s="1"/>
  <c r="DN18" i="4"/>
  <c r="DM18" i="4"/>
  <c r="DL18" i="4"/>
  <c r="DK18" i="4"/>
  <c r="AP10" i="3" s="1"/>
  <c r="DJ18" i="4"/>
  <c r="DI18" i="4"/>
  <c r="DH18" i="4"/>
  <c r="DG18" i="4"/>
  <c r="AN10" i="3" s="1"/>
  <c r="DF18" i="4"/>
  <c r="DE18" i="4"/>
  <c r="DD18" i="4"/>
  <c r="DC18" i="4"/>
  <c r="AL10" i="3" s="1"/>
  <c r="DB18" i="4"/>
  <c r="DA18" i="4"/>
  <c r="CZ18" i="4"/>
  <c r="CY18" i="4"/>
  <c r="AJ10" i="3" s="1"/>
  <c r="CX18" i="4"/>
  <c r="CW18" i="4"/>
  <c r="CU18" i="4"/>
  <c r="CT18" i="4"/>
  <c r="AC10" i="3" s="1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X10" i="3" s="1"/>
  <c r="BB18" i="4"/>
  <c r="BA18" i="4"/>
  <c r="AZ18" i="4"/>
  <c r="AX18" i="4"/>
  <c r="AW18" i="4"/>
  <c r="AV18" i="4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AB9" i="3" s="1"/>
  <c r="CP17" i="4"/>
  <c r="CO17" i="4"/>
  <c r="CN17" i="4"/>
  <c r="CM17" i="4"/>
  <c r="CL17" i="4"/>
  <c r="CK17" i="4"/>
  <c r="CJ17" i="4"/>
  <c r="CI17" i="4"/>
  <c r="AI9" i="3" s="1"/>
  <c r="CH17" i="4"/>
  <c r="CG17" i="4"/>
  <c r="CF17" i="4"/>
  <c r="CE17" i="4"/>
  <c r="AG9" i="3" s="1"/>
  <c r="CD17" i="4"/>
  <c r="CC17" i="4"/>
  <c r="CB17" i="4"/>
  <c r="CA17" i="4"/>
  <c r="AE9" i="3" s="1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W9" i="3" s="1"/>
  <c r="AX17" i="4"/>
  <c r="AW17" i="4"/>
  <c r="AV17" i="4"/>
  <c r="AU17" i="4"/>
  <c r="AT17" i="4"/>
  <c r="AS17" i="4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AF17" i="4"/>
  <c r="AE17" i="4"/>
  <c r="AD17" i="4"/>
  <c r="AC17" i="4"/>
  <c r="AB17" i="4"/>
  <c r="AA17" i="4"/>
  <c r="O9" i="3" s="1"/>
  <c r="Z17" i="4"/>
  <c r="Y17" i="4"/>
  <c r="X17" i="4"/>
  <c r="W17" i="4"/>
  <c r="V17" i="4"/>
  <c r="U17" i="4"/>
  <c r="S17" i="4"/>
  <c r="R17" i="4"/>
  <c r="L9" i="3" s="1"/>
  <c r="Q17" i="4"/>
  <c r="P17" i="4"/>
  <c r="O17" i="4"/>
  <c r="N17" i="4"/>
  <c r="M17" i="4"/>
  <c r="L17" i="4"/>
  <c r="K17" i="4"/>
  <c r="J17" i="4"/>
  <c r="I17" i="4"/>
  <c r="H17" i="4"/>
  <c r="G17" i="4"/>
  <c r="F17" i="4"/>
  <c r="H9" i="3" s="1"/>
  <c r="E17" i="4"/>
  <c r="D17" i="4"/>
  <c r="C17" i="4"/>
  <c r="B17" i="4"/>
  <c r="FC16" i="4"/>
  <c r="FB16" i="4"/>
  <c r="FA16" i="4"/>
  <c r="EZ16" i="4"/>
  <c r="BI8" i="3" s="1"/>
  <c r="EY16" i="4"/>
  <c r="EX16" i="4"/>
  <c r="EW16" i="4"/>
  <c r="EV16" i="4"/>
  <c r="BH8" i="3" s="1"/>
  <c r="EU16" i="4"/>
  <c r="ET16" i="4"/>
  <c r="ER16" i="4"/>
  <c r="EQ16" i="4"/>
  <c r="BC8" i="3" s="1"/>
  <c r="EP16" i="4"/>
  <c r="EO16" i="4"/>
  <c r="EN16" i="4"/>
  <c r="EM16" i="4"/>
  <c r="BE8" i="3" s="1"/>
  <c r="EL16" i="4"/>
  <c r="EK16" i="4"/>
  <c r="EJ16" i="4"/>
  <c r="EI16" i="4"/>
  <c r="BB8" i="3" s="1"/>
  <c r="EH16" i="4"/>
  <c r="EG16" i="4"/>
  <c r="EE16" i="4"/>
  <c r="ED16" i="4"/>
  <c r="AZ8" i="3" s="1"/>
  <c r="EC16" i="4"/>
  <c r="EB16" i="4"/>
  <c r="EA16" i="4"/>
  <c r="DZ16" i="4"/>
  <c r="AX8" i="3" s="1"/>
  <c r="DY16" i="4"/>
  <c r="DX16" i="4"/>
  <c r="DW16" i="4"/>
  <c r="DV16" i="4"/>
  <c r="DU16" i="4"/>
  <c r="DT16" i="4"/>
  <c r="DR16" i="4"/>
  <c r="DQ16" i="4"/>
  <c r="AT8" i="3" s="1"/>
  <c r="DP16" i="4"/>
  <c r="DO16" i="4"/>
  <c r="DN16" i="4"/>
  <c r="DM16" i="4"/>
  <c r="AS8" i="3" s="1"/>
  <c r="DL16" i="4"/>
  <c r="DK16" i="4"/>
  <c r="DJ16" i="4"/>
  <c r="DI16" i="4"/>
  <c r="AQ8" i="3" s="1"/>
  <c r="DH16" i="4"/>
  <c r="DG16" i="4"/>
  <c r="DF16" i="4"/>
  <c r="DE16" i="4"/>
  <c r="AO8" i="3" s="1"/>
  <c r="DD16" i="4"/>
  <c r="DC16" i="4"/>
  <c r="DB16" i="4"/>
  <c r="DA16" i="4"/>
  <c r="AM8" i="3" s="1"/>
  <c r="CZ16" i="4"/>
  <c r="CY16" i="4"/>
  <c r="CX16" i="4"/>
  <c r="CW16" i="4"/>
  <c r="AK8" i="3" s="1"/>
  <c r="CU16" i="4"/>
  <c r="CT16" i="4"/>
  <c r="CS16" i="4"/>
  <c r="CR16" i="4"/>
  <c r="CQ16" i="4"/>
  <c r="CP16" i="4"/>
  <c r="CO16" i="4"/>
  <c r="CN16" i="4"/>
  <c r="AA8" i="3" s="1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AC16" i="4"/>
  <c r="AB16" i="4"/>
  <c r="AA16" i="4"/>
  <c r="Z16" i="4"/>
  <c r="Y16" i="4"/>
  <c r="X16" i="4"/>
  <c r="N8" i="3" s="1"/>
  <c r="W16" i="4"/>
  <c r="V16" i="4"/>
  <c r="U16" i="4"/>
  <c r="S16" i="4"/>
  <c r="R16" i="4"/>
  <c r="Q16" i="4"/>
  <c r="P16" i="4"/>
  <c r="O16" i="4"/>
  <c r="K8" i="3" s="1"/>
  <c r="N16" i="4"/>
  <c r="M16" i="4"/>
  <c r="L16" i="4"/>
  <c r="K16" i="4"/>
  <c r="J16" i="4"/>
  <c r="I16" i="4"/>
  <c r="H16" i="4"/>
  <c r="G16" i="4"/>
  <c r="F16" i="4"/>
  <c r="E16" i="4"/>
  <c r="D16" i="4"/>
  <c r="C16" i="4"/>
  <c r="G8" i="3" s="1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Z7" i="3" s="1"/>
  <c r="CJ15" i="4"/>
  <c r="CI15" i="4"/>
  <c r="CH15" i="4"/>
  <c r="CG15" i="4"/>
  <c r="AH7" i="3" s="1"/>
  <c r="CF15" i="4"/>
  <c r="CE15" i="4"/>
  <c r="CD15" i="4"/>
  <c r="CC15" i="4"/>
  <c r="AF7" i="3" s="1"/>
  <c r="CB15" i="4"/>
  <c r="CA15" i="4"/>
  <c r="BZ15" i="4"/>
  <c r="BY15" i="4"/>
  <c r="AD7" i="3" s="1"/>
  <c r="BX15" i="4"/>
  <c r="BW15" i="4"/>
  <c r="BV15" i="4"/>
  <c r="BT15" i="4"/>
  <c r="BS15" i="4"/>
  <c r="BH15" i="4"/>
  <c r="BG15" i="4"/>
  <c r="BF15" i="4"/>
  <c r="Y7" i="3" s="1"/>
  <c r="BE15" i="4"/>
  <c r="BD15" i="4"/>
  <c r="BC15" i="4"/>
  <c r="BB15" i="4"/>
  <c r="BA15" i="4"/>
  <c r="AZ15" i="4"/>
  <c r="AX15" i="4"/>
  <c r="AW15" i="4"/>
  <c r="AV15" i="4"/>
  <c r="AU15" i="4"/>
  <c r="AT15" i="4"/>
  <c r="AS15" i="4"/>
  <c r="U7" i="3" s="1"/>
  <c r="AR15" i="4"/>
  <c r="AQ15" i="4"/>
  <c r="AP15" i="4"/>
  <c r="AO15" i="4"/>
  <c r="AN15" i="4"/>
  <c r="AM15" i="4"/>
  <c r="AL15" i="4"/>
  <c r="AK15" i="4"/>
  <c r="AJ15" i="4"/>
  <c r="AI15" i="4"/>
  <c r="AH15" i="4"/>
  <c r="AG15" i="4"/>
  <c r="Q7" i="3" s="1"/>
  <c r="AF15" i="4"/>
  <c r="AE15" i="4"/>
  <c r="AD15" i="4"/>
  <c r="AC15" i="4"/>
  <c r="AB15" i="4"/>
  <c r="AA15" i="4"/>
  <c r="Z15" i="4"/>
  <c r="Y15" i="4"/>
  <c r="X15" i="4"/>
  <c r="W15" i="4"/>
  <c r="V15" i="4"/>
  <c r="U15" i="4"/>
  <c r="M7" i="3" s="1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BK6" i="3" s="1"/>
  <c r="FA14" i="4"/>
  <c r="EZ14" i="4"/>
  <c r="EY14" i="4"/>
  <c r="EX14" i="4"/>
  <c r="BJ6" i="3" s="1"/>
  <c r="EW14" i="4"/>
  <c r="EV14" i="4"/>
  <c r="EU14" i="4"/>
  <c r="ET14" i="4"/>
  <c r="BG6" i="3" s="1"/>
  <c r="ER14" i="4"/>
  <c r="EQ14" i="4"/>
  <c r="EP14" i="4"/>
  <c r="EO14" i="4"/>
  <c r="BF6" i="3" s="1"/>
  <c r="EN14" i="4"/>
  <c r="EM14" i="4"/>
  <c r="EL14" i="4"/>
  <c r="EK14" i="4"/>
  <c r="BD6" i="3" s="1"/>
  <c r="EJ14" i="4"/>
  <c r="EI14" i="4"/>
  <c r="EH14" i="4"/>
  <c r="EG14" i="4"/>
  <c r="BA6" i="3" s="1"/>
  <c r="EE14" i="4"/>
  <c r="ED14" i="4"/>
  <c r="EC14" i="4"/>
  <c r="EB14" i="4"/>
  <c r="AY6" i="3" s="1"/>
  <c r="EA14" i="4"/>
  <c r="DZ14" i="4"/>
  <c r="DY14" i="4"/>
  <c r="DX14" i="4"/>
  <c r="AW6" i="3" s="1"/>
  <c r="DW14" i="4"/>
  <c r="DV14" i="4"/>
  <c r="DU14" i="4"/>
  <c r="DT14" i="4"/>
  <c r="AU6" i="3" s="1"/>
  <c r="DR14" i="4"/>
  <c r="DQ14" i="4"/>
  <c r="DP14" i="4"/>
  <c r="DO14" i="4"/>
  <c r="AR6" i="3" s="1"/>
  <c r="DN14" i="4"/>
  <c r="DM14" i="4"/>
  <c r="DL14" i="4"/>
  <c r="DK14" i="4"/>
  <c r="AP6" i="3" s="1"/>
  <c r="DJ14" i="4"/>
  <c r="DI14" i="4"/>
  <c r="DH14" i="4"/>
  <c r="DG14" i="4"/>
  <c r="AN6" i="3" s="1"/>
  <c r="DF14" i="4"/>
  <c r="DE14" i="4"/>
  <c r="DD14" i="4"/>
  <c r="DC14" i="4"/>
  <c r="AL6" i="3" s="1"/>
  <c r="DB14" i="4"/>
  <c r="DA14" i="4"/>
  <c r="CZ14" i="4"/>
  <c r="CY14" i="4"/>
  <c r="AJ6" i="3" s="1"/>
  <c r="CX14" i="4"/>
  <c r="CW14" i="4"/>
  <c r="CU14" i="4"/>
  <c r="CT14" i="4"/>
  <c r="AC6" i="3" s="1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X6" i="3" s="1"/>
  <c r="BB14" i="4"/>
  <c r="BA14" i="4"/>
  <c r="AZ14" i="4"/>
  <c r="AX14" i="4"/>
  <c r="AW14" i="4"/>
  <c r="AV14" i="4"/>
  <c r="AU14" i="4"/>
  <c r="AT14" i="4"/>
  <c r="AS14" i="4"/>
  <c r="AR14" i="4"/>
  <c r="AQ14" i="4"/>
  <c r="AP14" i="4"/>
  <c r="T6" i="3" s="1"/>
  <c r="AO14" i="4"/>
  <c r="AN14" i="4"/>
  <c r="AM14" i="4"/>
  <c r="AL14" i="4"/>
  <c r="AK14" i="4"/>
  <c r="AJ14" i="4"/>
  <c r="AI14" i="4"/>
  <c r="AH14" i="4"/>
  <c r="AG14" i="4"/>
  <c r="AF14" i="4"/>
  <c r="AE14" i="4"/>
  <c r="AD14" i="4"/>
  <c r="P6" i="3" s="1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CJ13" i="4"/>
  <c r="CI13" i="4"/>
  <c r="AI5" i="3" s="1"/>
  <c r="CH13" i="4"/>
  <c r="CG13" i="4"/>
  <c r="CF13" i="4"/>
  <c r="CE13" i="4"/>
  <c r="AG5" i="3" s="1"/>
  <c r="CD13" i="4"/>
  <c r="CC13" i="4"/>
  <c r="CB13" i="4"/>
  <c r="CA13" i="4"/>
  <c r="AE5" i="3" s="1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W5" i="3" s="1"/>
  <c r="AX13" i="4"/>
  <c r="AW13" i="4"/>
  <c r="AV13" i="4"/>
  <c r="AU13" i="4"/>
  <c r="AT13" i="4"/>
  <c r="AS13" i="4"/>
  <c r="AR13" i="4"/>
  <c r="AQ13" i="4"/>
  <c r="AP13" i="4"/>
  <c r="AO13" i="4"/>
  <c r="AN13" i="4"/>
  <c r="AM13" i="4"/>
  <c r="S5" i="3" s="1"/>
  <c r="AL13" i="4"/>
  <c r="AK13" i="4"/>
  <c r="AJ13" i="4"/>
  <c r="AI13" i="4"/>
  <c r="AH13" i="4"/>
  <c r="AG13" i="4"/>
  <c r="AF13" i="4"/>
  <c r="AE13" i="4"/>
  <c r="AD13" i="4"/>
  <c r="AC13" i="4"/>
  <c r="AB13" i="4"/>
  <c r="AA13" i="4"/>
  <c r="O5" i="3" s="1"/>
  <c r="Z13" i="4"/>
  <c r="Y13" i="4"/>
  <c r="X13" i="4"/>
  <c r="W13" i="4"/>
  <c r="V13" i="4"/>
  <c r="U13" i="4"/>
  <c r="S13" i="4"/>
  <c r="R13" i="4"/>
  <c r="L5" i="3" s="1"/>
  <c r="Q13" i="4"/>
  <c r="P13" i="4"/>
  <c r="O13" i="4"/>
  <c r="N13" i="4"/>
  <c r="M13" i="4"/>
  <c r="L13" i="4"/>
  <c r="K13" i="4"/>
  <c r="J13" i="4"/>
  <c r="I13" i="4"/>
  <c r="H13" i="4"/>
  <c r="G13" i="4"/>
  <c r="F13" i="4"/>
  <c r="H5" i="3" s="1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22" i="3" l="1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I24" i="3"/>
  <c r="J24" i="3"/>
  <c r="P13" i="3"/>
  <c r="T13" i="3"/>
  <c r="M22" i="3"/>
  <c r="Q22" i="3"/>
  <c r="U22" i="3"/>
  <c r="Y22" i="3"/>
  <c r="AD22" i="3"/>
  <c r="AF22" i="3"/>
  <c r="AH22" i="3"/>
  <c r="Z22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J27" i="3"/>
  <c r="I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L21" i="3"/>
  <c r="O21" i="3"/>
  <c r="S21" i="3"/>
  <c r="W21" i="3"/>
  <c r="AE21" i="3"/>
  <c r="AG21" i="3"/>
  <c r="AI21" i="3"/>
  <c r="AB21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I20" i="3"/>
  <c r="J20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AJ15" i="3"/>
  <c r="AL15" i="3"/>
  <c r="AP15" i="3"/>
  <c r="AU15" i="3"/>
  <c r="AY15" i="3"/>
  <c r="BD15" i="3"/>
  <c r="BG15" i="3"/>
  <c r="BK15" i="3"/>
  <c r="M16" i="3"/>
  <c r="Y16" i="3"/>
  <c r="AD16" i="3"/>
  <c r="AH16" i="3"/>
  <c r="G17" i="3"/>
  <c r="I17" i="3"/>
  <c r="J17" i="3"/>
  <c r="N17" i="3"/>
  <c r="R17" i="3"/>
  <c r="V17" i="3"/>
  <c r="AM17" i="3"/>
  <c r="AQ17" i="3"/>
  <c r="AT17" i="3"/>
  <c r="AX17" i="3"/>
  <c r="BB17" i="3"/>
  <c r="BC17" i="3"/>
  <c r="BI17" i="3"/>
  <c r="O18" i="3"/>
  <c r="S18" i="3"/>
  <c r="W18" i="3"/>
  <c r="AI18" i="3"/>
  <c r="AB18" i="3"/>
  <c r="P19" i="3"/>
  <c r="T19" i="3"/>
  <c r="X19" i="3"/>
  <c r="AJ19" i="3"/>
  <c r="AN19" i="3"/>
  <c r="AR19" i="3"/>
  <c r="AW19" i="3"/>
  <c r="BA19" i="3"/>
  <c r="BF19" i="3"/>
  <c r="BJ19" i="3"/>
  <c r="Q20" i="3"/>
  <c r="U20" i="3"/>
  <c r="Y20" i="3"/>
  <c r="AF20" i="3"/>
  <c r="Z20" i="3"/>
  <c r="G21" i="3"/>
  <c r="I21" i="3"/>
  <c r="J21" i="3"/>
  <c r="R21" i="3"/>
  <c r="V21" i="3"/>
  <c r="AA21" i="3"/>
  <c r="AO21" i="3"/>
  <c r="AQ21" i="3"/>
  <c r="AT21" i="3"/>
  <c r="AZ21" i="3"/>
  <c r="BE21" i="3"/>
  <c r="BH21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I16" i="3"/>
  <c r="J16" i="3"/>
  <c r="X15" i="3"/>
  <c r="AC15" i="3"/>
  <c r="AN15" i="3"/>
  <c r="AR15" i="3"/>
  <c r="AW15" i="3"/>
  <c r="BA15" i="3"/>
  <c r="BF15" i="3"/>
  <c r="BJ15" i="3"/>
  <c r="Q16" i="3"/>
  <c r="U16" i="3"/>
  <c r="AF16" i="3"/>
  <c r="Z16" i="3"/>
  <c r="K17" i="3"/>
  <c r="AA17" i="3"/>
  <c r="AK17" i="3"/>
  <c r="AO17" i="3"/>
  <c r="AS17" i="3"/>
  <c r="AZ17" i="3"/>
  <c r="BE17" i="3"/>
  <c r="BH17" i="3"/>
  <c r="H18" i="3"/>
  <c r="L18" i="3"/>
  <c r="AE18" i="3"/>
  <c r="AG18" i="3"/>
  <c r="AC19" i="3"/>
  <c r="AL19" i="3"/>
  <c r="AP19" i="3"/>
  <c r="AU19" i="3"/>
  <c r="AY19" i="3"/>
  <c r="BD19" i="3"/>
  <c r="BG19" i="3"/>
  <c r="BK19" i="3"/>
  <c r="M20" i="3"/>
  <c r="AD20" i="3"/>
  <c r="AH20" i="3"/>
  <c r="K21" i="3"/>
  <c r="N21" i="3"/>
  <c r="AK21" i="3"/>
  <c r="AM21" i="3"/>
  <c r="AS21" i="3"/>
  <c r="AX21" i="3"/>
  <c r="BB21" i="3"/>
  <c r="BC21" i="3"/>
  <c r="BI21" i="3"/>
  <c r="I15" i="3"/>
  <c r="J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G5" i="3"/>
  <c r="K5" i="3"/>
  <c r="AM5" i="3"/>
  <c r="AQ5" i="3"/>
  <c r="AT5" i="3"/>
  <c r="AZ5" i="3"/>
  <c r="BE5" i="3"/>
  <c r="BH5" i="3"/>
  <c r="O6" i="3"/>
  <c r="S6" i="3"/>
  <c r="AE6" i="3"/>
  <c r="AI6" i="3"/>
  <c r="P7" i="3"/>
  <c r="T7" i="3"/>
  <c r="AJ7" i="3"/>
  <c r="AN7" i="3"/>
  <c r="AR7" i="3"/>
  <c r="AW7" i="3"/>
  <c r="BA7" i="3"/>
  <c r="BF7" i="3"/>
  <c r="BK7" i="3"/>
  <c r="U8" i="3"/>
  <c r="AF8" i="3"/>
  <c r="Z8" i="3"/>
  <c r="G9" i="3"/>
  <c r="K9" i="3"/>
  <c r="N9" i="3"/>
  <c r="AM9" i="3"/>
  <c r="AQ9" i="3"/>
  <c r="AT9" i="3"/>
  <c r="AZ9" i="3"/>
  <c r="BE9" i="3"/>
  <c r="BH9" i="3"/>
  <c r="H10" i="3"/>
  <c r="O10" i="3"/>
  <c r="S10" i="3"/>
  <c r="W10" i="3"/>
  <c r="AE10" i="3"/>
  <c r="AI10" i="3"/>
  <c r="AB10" i="3"/>
  <c r="P11" i="3"/>
  <c r="AJ11" i="3"/>
  <c r="AN11" i="3"/>
  <c r="AR11" i="3"/>
  <c r="AW11" i="3"/>
  <c r="BA11" i="3"/>
  <c r="BG11" i="3"/>
  <c r="BJ11" i="3"/>
  <c r="Q12" i="3"/>
  <c r="AF12" i="3"/>
  <c r="Z12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I8" i="3"/>
  <c r="J8" i="3"/>
  <c r="I12" i="3"/>
  <c r="J12" i="3"/>
  <c r="I5" i="3"/>
  <c r="J5" i="3"/>
  <c r="N5" i="3"/>
  <c r="R5" i="3"/>
  <c r="V5" i="3"/>
  <c r="AA5" i="3"/>
  <c r="AK5" i="3"/>
  <c r="AO5" i="3"/>
  <c r="AS5" i="3"/>
  <c r="AX5" i="3"/>
  <c r="BB5" i="3"/>
  <c r="BC5" i="3"/>
  <c r="BI5" i="3"/>
  <c r="H6" i="3"/>
  <c r="L6" i="3"/>
  <c r="W6" i="3"/>
  <c r="AG6" i="3"/>
  <c r="AB6" i="3"/>
  <c r="X7" i="3"/>
  <c r="AC7" i="3"/>
  <c r="AL7" i="3"/>
  <c r="AP7" i="3"/>
  <c r="AU7" i="3"/>
  <c r="AY7" i="3"/>
  <c r="BD7" i="3"/>
  <c r="BG7" i="3"/>
  <c r="BJ7" i="3"/>
  <c r="M8" i="3"/>
  <c r="Q8" i="3"/>
  <c r="Y8" i="3"/>
  <c r="AD8" i="3"/>
  <c r="AH8" i="3"/>
  <c r="I9" i="3"/>
  <c r="J9" i="3"/>
  <c r="R9" i="3"/>
  <c r="V9" i="3"/>
  <c r="AA9" i="3"/>
  <c r="AK9" i="3"/>
  <c r="AO9" i="3"/>
  <c r="AS9" i="3"/>
  <c r="AX9" i="3"/>
  <c r="BB9" i="3"/>
  <c r="BC9" i="3"/>
  <c r="BI9" i="3"/>
  <c r="L10" i="3"/>
  <c r="AG10" i="3"/>
  <c r="T11" i="3"/>
  <c r="X11" i="3"/>
  <c r="AC11" i="3"/>
  <c r="AL11" i="3"/>
  <c r="AP11" i="3"/>
  <c r="AU11" i="3"/>
  <c r="AY11" i="3"/>
  <c r="BD11" i="3"/>
  <c r="BF11" i="3"/>
  <c r="BK11" i="3"/>
  <c r="M12" i="3"/>
  <c r="U12" i="3"/>
  <c r="Y12" i="3"/>
  <c r="AD12" i="3"/>
  <c r="AH12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B32" i="3"/>
  <c r="B32" i="1"/>
  <c r="M32" i="1"/>
  <c r="N32" i="1"/>
  <c r="I29" i="1" l="1"/>
  <c r="I20" i="1"/>
  <c r="K16" i="1"/>
  <c r="I11" i="1"/>
  <c r="U44" i="4"/>
  <c r="K8" i="1"/>
  <c r="I8" i="1"/>
  <c r="AX4" i="3"/>
  <c r="AS4" i="3"/>
  <c r="AM4" i="3"/>
  <c r="Z4" i="3"/>
  <c r="U4" i="3"/>
  <c r="BJ3" i="3"/>
  <c r="AY4" i="3"/>
  <c r="AW4" i="3"/>
  <c r="AU4" i="3"/>
  <c r="AR4" i="3"/>
  <c r="X3" i="3"/>
  <c r="W3" i="3"/>
  <c r="T3" i="3"/>
  <c r="P4" i="3"/>
  <c r="BD3" i="3"/>
  <c r="AT3" i="3"/>
  <c r="AS3" i="3"/>
  <c r="AP2" i="3"/>
  <c r="AO3" i="3"/>
  <c r="Z3" i="3"/>
  <c r="AE3" i="3"/>
  <c r="AD3" i="3"/>
  <c r="Q2" i="3"/>
  <c r="N3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H3" i="3"/>
  <c r="H2" i="3"/>
  <c r="I12" i="1"/>
  <c r="K19" i="1"/>
  <c r="K17" i="1"/>
  <c r="K18" i="1"/>
  <c r="BE4" i="3"/>
  <c r="AO4" i="3"/>
  <c r="DB9" i="4"/>
  <c r="G9" i="4"/>
  <c r="I13" i="1"/>
  <c r="K13" i="1"/>
  <c r="I21" i="1"/>
  <c r="K21" i="1"/>
  <c r="AA2" i="3"/>
  <c r="BD2" i="3"/>
  <c r="BC2" i="3"/>
  <c r="AQ3" i="3"/>
  <c r="AQ4" i="3"/>
  <c r="BK3" i="3"/>
  <c r="K22" i="1"/>
  <c r="BZ9" i="4"/>
  <c r="CH9" i="4"/>
  <c r="AC3" i="3" l="1"/>
  <c r="K11" i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I4" i="3"/>
  <c r="K4" i="1" s="1"/>
  <c r="K3" i="3"/>
  <c r="R3" i="3"/>
  <c r="G24" i="1"/>
  <c r="AQ2" i="3"/>
  <c r="EA9" i="4"/>
  <c r="H4" i="3"/>
  <c r="W4" i="3"/>
  <c r="AE4" i="3"/>
  <c r="AG4" i="3"/>
  <c r="K12" i="1"/>
  <c r="K15" i="1"/>
  <c r="K24" i="1"/>
  <c r="I30" i="1"/>
  <c r="I32" i="1"/>
  <c r="K32" i="1"/>
  <c r="G32" i="1"/>
  <c r="DH9" i="4"/>
  <c r="AN2" i="3"/>
  <c r="Z2" i="3"/>
  <c r="G2" i="1" s="1"/>
  <c r="G3" i="3"/>
  <c r="I3" i="1" s="1"/>
  <c r="G5" i="1"/>
  <c r="EE9" i="4"/>
  <c r="DP9" i="4"/>
  <c r="AU3" i="3"/>
  <c r="AW9" i="4"/>
  <c r="AV48" i="4" s="1"/>
  <c r="G19" i="1"/>
  <c r="AF2" i="3"/>
  <c r="BY48" i="4"/>
  <c r="K6" i="1"/>
  <c r="AS2" i="3"/>
  <c r="BJ2" i="3"/>
  <c r="AJ48" i="4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Y3" i="3"/>
  <c r="F47" i="4"/>
  <c r="AA44" i="4"/>
  <c r="AC2" i="3"/>
  <c r="AU2" i="3"/>
  <c r="EC9" i="4"/>
  <c r="EL9" i="4"/>
  <c r="BG2" i="3"/>
  <c r="FC9" i="4"/>
  <c r="AZ3" i="3"/>
  <c r="BB3" i="3"/>
  <c r="BC3" i="3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BF3" i="3"/>
  <c r="I48" i="4"/>
  <c r="I49" i="4" s="1"/>
  <c r="O3" i="3"/>
  <c r="AL3" i="3"/>
  <c r="AN3" i="3"/>
  <c r="G4" i="3"/>
  <c r="I4" i="1" s="1"/>
  <c r="R4" i="3"/>
  <c r="AP47" i="4"/>
  <c r="V4" i="3"/>
  <c r="BB4" i="3"/>
  <c r="BC4" i="3"/>
  <c r="BH4" i="3"/>
  <c r="K26" i="1"/>
  <c r="I25" i="1"/>
  <c r="F44" i="4"/>
  <c r="M3" i="3"/>
  <c r="Q4" i="3"/>
  <c r="Y4" i="3"/>
  <c r="AJ4" i="3"/>
  <c r="AL4" i="3"/>
  <c r="BJ4" i="3"/>
  <c r="K7" i="1"/>
  <c r="I10" i="1"/>
  <c r="K9" i="1"/>
  <c r="I17" i="1"/>
  <c r="I19" i="1"/>
  <c r="M4" i="3"/>
  <c r="U47" i="4"/>
  <c r="AD2" i="3"/>
  <c r="AT2" i="3"/>
  <c r="S2" i="3"/>
  <c r="AB9" i="4"/>
  <c r="AA48" i="4" s="1"/>
  <c r="CL9" i="4"/>
  <c r="CK45" i="4" s="1"/>
  <c r="CB9" i="4"/>
  <c r="CA48" i="4" s="1"/>
  <c r="AH2" i="3"/>
  <c r="AB3" i="3"/>
  <c r="BB2" i="3"/>
  <c r="BK2" i="3"/>
  <c r="C47" i="4"/>
  <c r="AA47" i="4"/>
  <c r="AA49" i="4" s="1"/>
  <c r="AD44" i="4"/>
  <c r="AG44" i="4"/>
  <c r="S3" i="3"/>
  <c r="BC48" i="4"/>
  <c r="BC49" i="4" s="1"/>
  <c r="AF3" i="3"/>
  <c r="AH3" i="3"/>
  <c r="AA3" i="3"/>
  <c r="AW3" i="3"/>
  <c r="BI4" i="3"/>
  <c r="AJ44" i="4"/>
  <c r="AS47" i="4"/>
  <c r="AP3" i="3"/>
  <c r="E19" i="1"/>
  <c r="CG48" i="4"/>
  <c r="DU9" i="4"/>
  <c r="AD45" i="4"/>
  <c r="K2" i="3"/>
  <c r="AP4" i="3"/>
  <c r="AB4" i="3"/>
  <c r="Q3" i="3"/>
  <c r="DJ9" i="4"/>
  <c r="DL9" i="4"/>
  <c r="AZ44" i="4"/>
  <c r="CF9" i="4"/>
  <c r="CE48" i="4" s="1"/>
  <c r="CK47" i="4"/>
  <c r="CQ47" i="4"/>
  <c r="AW2" i="3"/>
  <c r="AI2" i="3"/>
  <c r="AY2" i="3"/>
  <c r="L3" i="3"/>
  <c r="V3" i="3"/>
  <c r="AM3" i="3"/>
  <c r="BK4" i="3"/>
  <c r="AD4" i="3"/>
  <c r="AT4" i="3"/>
  <c r="BD4" i="3"/>
  <c r="BF4" i="3"/>
  <c r="I5" i="1"/>
  <c r="AM44" i="4"/>
  <c r="AM45" i="4"/>
  <c r="AN4" i="3"/>
  <c r="AO2" i="3"/>
  <c r="R2" i="3"/>
  <c r="AX2" i="3"/>
  <c r="N9" i="4"/>
  <c r="X2" i="3"/>
  <c r="EU9" i="4"/>
  <c r="AG3" i="3"/>
  <c r="AX3" i="3"/>
  <c r="K4" i="3"/>
  <c r="O4" i="3"/>
  <c r="X4" i="3"/>
  <c r="AZ4" i="3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P3" i="3"/>
  <c r="BG4" i="3"/>
  <c r="AD48" i="4"/>
  <c r="BC45" i="4"/>
  <c r="AG2" i="3"/>
  <c r="AR3" i="3"/>
  <c r="CQ44" i="4"/>
  <c r="AH4" i="3"/>
  <c r="AM48" i="4"/>
  <c r="AM49" i="4" s="1"/>
  <c r="G12" i="1"/>
  <c r="G14" i="1"/>
  <c r="K48" i="4"/>
  <c r="K49" i="4" s="1"/>
  <c r="AP44" i="4"/>
  <c r="AT9" i="4"/>
  <c r="U2" i="3"/>
  <c r="DF9" i="4"/>
  <c r="BF44" i="4"/>
  <c r="BA3" i="3"/>
  <c r="BA4" i="3"/>
  <c r="AA4" i="3"/>
  <c r="X47" i="4"/>
  <c r="N2" i="3"/>
  <c r="Y9" i="4"/>
  <c r="AK3" i="3"/>
  <c r="G17" i="1"/>
  <c r="G18" i="1"/>
  <c r="CK44" i="4"/>
  <c r="N4" i="3"/>
  <c r="AG47" i="4"/>
  <c r="AL2" i="3"/>
  <c r="DD9" i="4"/>
  <c r="CD9" i="4"/>
  <c r="CC48" i="4" s="1"/>
  <c r="BE2" i="3"/>
  <c r="BE3" i="3"/>
  <c r="FA9" i="4"/>
  <c r="BI3" i="3"/>
  <c r="BI2" i="3"/>
  <c r="J4" i="3"/>
  <c r="J3" i="3"/>
  <c r="I3" i="3"/>
  <c r="K3" i="1" s="1"/>
  <c r="U3" i="3"/>
  <c r="AI3" i="3"/>
  <c r="BG3" i="3"/>
  <c r="AF4" i="3"/>
  <c r="I9" i="1"/>
  <c r="I16" i="1"/>
  <c r="I23" i="1"/>
  <c r="I24" i="1"/>
  <c r="T2" i="3"/>
  <c r="AQ9" i="4"/>
  <c r="AK2" i="3"/>
  <c r="CX9" i="4"/>
  <c r="AC4" i="3"/>
  <c r="CN48" i="4"/>
  <c r="K14" i="1"/>
  <c r="O47" i="4"/>
  <c r="AD47" i="4"/>
  <c r="W2" i="3"/>
  <c r="BA9" i="4"/>
  <c r="EP9" i="4"/>
  <c r="BF2" i="3"/>
  <c r="BH3" i="3"/>
  <c r="EW9" i="4"/>
  <c r="C48" i="4"/>
  <c r="AJ47" i="4"/>
  <c r="S4" i="3"/>
  <c r="AS44" i="4"/>
  <c r="CN44" i="4"/>
  <c r="I15" i="1"/>
  <c r="AV44" i="4"/>
  <c r="S9" i="4"/>
  <c r="R48" i="4" s="1"/>
  <c r="R49" i="4" s="1"/>
  <c r="CU9" i="4"/>
  <c r="CT48" i="4" s="1"/>
  <c r="CT49" i="4" s="1"/>
  <c r="AJ3" i="3"/>
  <c r="AY3" i="3"/>
  <c r="AI4" i="3"/>
  <c r="AK4" i="3"/>
  <c r="E15" i="1"/>
  <c r="I18" i="1"/>
  <c r="G21" i="1"/>
  <c r="F48" i="4"/>
  <c r="DR9" i="4"/>
  <c r="DY9" i="4"/>
  <c r="L4" i="3"/>
  <c r="T4" i="3"/>
  <c r="I7" i="1"/>
  <c r="G25" i="1"/>
  <c r="G26" i="1"/>
  <c r="I26" i="1"/>
  <c r="K25" i="1"/>
  <c r="BC46" i="4" l="1"/>
  <c r="E14" i="1"/>
  <c r="G9" i="1"/>
  <c r="E21" i="1"/>
  <c r="AJ49" i="4"/>
  <c r="G8" i="1"/>
  <c r="C49" i="4"/>
  <c r="G4" i="1"/>
  <c r="G13" i="1"/>
  <c r="AV49" i="4"/>
  <c r="BS48" i="4"/>
  <c r="E18" i="1"/>
  <c r="E32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<sst xmlns="http://schemas.openxmlformats.org/spreadsheetml/2006/main" count="412" uniqueCount="203">
  <si>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</si>
  <si>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</si>
  <si>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</si>
  <si>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</si>
  <si>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</si>
  <si>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</si>
  <si>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</si>
  <si>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</si>
  <si>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</si>
  <si>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</si>
  <si>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</si>
  <si>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</si>
  <si>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</si>
  <si>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</si>
  <si>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</si>
  <si>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</si>
  <si>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</si>
  <si>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</si>
  <si>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</si>
  <si>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</si>
  <si>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</si>
  <si>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</si>
  <si>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</si>
  <si>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</si>
  <si>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</si>
  <si>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</si>
  <si>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</si>
  <si>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</si>
  <si>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</si>
  <si>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</si>
  <si>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</si>
  <si>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</si>
  <si>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</si>
  <si>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</si>
  <si>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</si>
  <si>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</si>
  <si>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</si>
  <si>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</si>
  <si>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</si>
  <si>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</si>
  <si>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</si>
  <si>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</si>
  <si>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</si>
  <si>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</si>
  <si>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</si>
  <si>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</si>
  <si>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</si>
  <si>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</si>
  <si>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</si>
  <si>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</si>
  <si>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</si>
  <si>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</si>
  <si>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</si>
  <si>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</si>
  <si>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</si>
  <si>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</si>
  <si>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</si>
  <si>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</si>
  <si>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</si>
  <si>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</si>
  <si>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</si>
  <si>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</si>
  <si>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</si>
  <si>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</si>
  <si>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</si>
  <si>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</si>
  <si>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</si>
  <si>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</si>
  <si>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</si>
  <si>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</si>
  <si>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</si>
  <si>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</si>
  <si>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</si>
  <si>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</si>
  <si>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</si>
  <si>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</si>
  <si>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</si>
  <si>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</si>
  <si>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</si>
  <si>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</si>
  <si>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</si>
  <si>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</si>
  <si>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</si>
  <si>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</si>
  <si>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</si>
  <si>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</si>
  <si>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</si>
  <si>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</si>
  <si>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</si>
  <si>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</si>
  <si>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</si>
  <si>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</si>
  <si>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</si>
  <si>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</si>
  <si>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</si>
  <si>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</si>
  <si>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</si>
  <si>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</si>
  <si>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</si>
  <si>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</si>
  <si>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</si>
  <si>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</si>
  <si>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</si>
  <si>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</si>
  <si>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</si>
  <si>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</si>
  <si>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</si>
  <si>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</si>
  <si>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</si>
  <si>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</si>
  <si>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</si>
  <si>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</si>
  <si>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</si>
  <si>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</si>
  <si>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</si>
  <si>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</si>
  <si>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</si>
  <si>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</si>
  <si>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</si>
  <si>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</si>
  <si>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</si>
  <si>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</si>
  <si>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</si>
  <si>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</si>
  <si>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</si>
  <si>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</si>
  <si>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</si>
  <si>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</si>
  <si>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</si>
  <si>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</si>
  <si>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</si>
  <si>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</si>
  <si>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</si>
  <si>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</si>
  <si>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</si>
  <si>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</si>
  <si>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</si>
  <si>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</si>
  <si>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</si>
  <si>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</si>
  <si>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</si>
  <si>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</si>
  <si>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</si>
  <si>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</si>
  <si>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</si>
  <si>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</si>
  <si>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</si>
  <si>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</si>
  <si>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</si>
  <si>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</si>
  <si>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</si>
  <si>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</si>
  <si>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</si>
  <si>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</si>
  <si>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</si>
  <si>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</si>
  <si>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</si>
  <si>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</si>
  <si>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</si>
  <si>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</si>
  <si>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</si>
  <si>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</si>
  <si>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</si>
  <si>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</si>
  <si>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</si>
  <si>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</si>
  <si>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</si>
  <si>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</si>
  <si>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</si>
  <si>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</si>
  <si>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</si>
  <si>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</si>
  <si>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</si>
  <si>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</si>
  <si>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</si>
  <si>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</si>
  <si>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</si>
  <si>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</si>
  <si>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</si>
  <si>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</si>
  <si>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</si>
  <si>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</si>
  <si>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</si>
  <si>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</si>
  <si>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</si>
  <si>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</si>
  <si>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</si>
  <si>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</si>
  <si>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</si>
  <si>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</si>
  <si>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</si>
  <si>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</si>
  <si>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</si>
  <si>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</si>
  <si>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</si>
  <si>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</si>
  <si>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Electricity Daily Consumption October 2019</t>
  </si>
  <si>
    <t>Chiller BTU Meter Reading October 2019</t>
  </si>
  <si>
    <t>Lpg Daily Consumption October 2019</t>
  </si>
  <si>
    <t>F&amp; B Village Daily Water Meter Reading  2019</t>
  </si>
  <si>
    <t>F &amp; B Electrical Daily Reading October 2019</t>
  </si>
  <si>
    <t>F &amp; B Village Chilled Water Reading October 2019</t>
  </si>
  <si>
    <t>F &amp; B Village Daily Lpg Reading October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</si>
</sst>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4" xfId="0" applyNumberFormat="1" applyFont="1" applyFill="1" applyBorder="1" applyAlignment="1">
      <alignment horizontal="center" vertic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9">
          <cell r="B9">
            <v>0.76</v>
          </cell>
          <cell r="E9">
            <v>463946</v>
          </cell>
          <cell r="G9">
            <v>528</v>
          </cell>
          <cell r="H9">
            <v>650574</v>
          </cell>
          <cell r="J9">
            <v>341</v>
          </cell>
          <cell r="K9">
            <v>58544</v>
          </cell>
          <cell r="N9">
            <v>586420</v>
          </cell>
          <cell r="Q9">
            <v>156650</v>
          </cell>
          <cell r="S9">
            <v>80546</v>
          </cell>
          <cell r="U9">
            <v>230</v>
          </cell>
          <cell r="V9">
            <v>3902</v>
          </cell>
          <cell r="AB9">
            <v>5209970.6400000006</v>
          </cell>
          <cell r="AD9">
            <v>2971.9</v>
          </cell>
          <cell r="AE9">
            <v>10182090.24</v>
          </cell>
          <cell r="AG9">
            <v>5213</v>
          </cell>
          <cell r="AH9">
            <v>9324715.6799999997</v>
          </cell>
          <cell r="AJ9">
            <v>12813.4</v>
          </cell>
          <cell r="AK9">
            <v>12714312.24</v>
          </cell>
          <cell r="AM9">
            <v>438.4</v>
          </cell>
          <cell r="AN9">
            <v>12669587.280000001</v>
          </cell>
          <cell r="AP9">
            <v>8720.8799999999992</v>
          </cell>
          <cell r="AQ9">
            <v>11327351.280000001</v>
          </cell>
          <cell r="AS9">
            <v>5943.94</v>
          </cell>
          <cell r="AT9">
            <v>9970060.7999999989</v>
          </cell>
          <cell r="AV9">
            <v>4774.5600000000004</v>
          </cell>
          <cell r="AW9">
            <v>9585562.5599999987</v>
          </cell>
          <cell r="AY9">
            <v>4969.4399999999996</v>
          </cell>
          <cell r="AZ9">
            <v>7715932.5599999996</v>
          </cell>
          <cell r="BB9">
            <v>3556.46</v>
          </cell>
          <cell r="BC9">
            <v>11374609.68</v>
          </cell>
          <cell r="BE9">
            <v>5652</v>
          </cell>
          <cell r="BJ9">
            <v>47230400</v>
          </cell>
          <cell r="BL9">
            <v>60900</v>
          </cell>
          <cell r="BM9">
            <v>51869300</v>
          </cell>
          <cell r="BO9">
            <v>5100</v>
          </cell>
          <cell r="BP9">
            <v>45427500</v>
          </cell>
          <cell r="BR9">
            <v>51000</v>
          </cell>
          <cell r="BS9">
            <v>3500040</v>
          </cell>
          <cell r="BV9">
            <v>0.76</v>
          </cell>
          <cell r="BX9">
            <v>-0.03</v>
          </cell>
          <cell r="BY9">
            <v>42573</v>
          </cell>
          <cell r="CA9">
            <v>37823</v>
          </cell>
          <cell r="CC9">
            <v>12470</v>
          </cell>
          <cell r="CE9">
            <v>15535</v>
          </cell>
          <cell r="CG9">
            <v>17862</v>
          </cell>
          <cell r="CI9">
            <v>37803</v>
          </cell>
          <cell r="CK9">
            <v>166001</v>
          </cell>
          <cell r="CM9">
            <v>58</v>
          </cell>
          <cell r="CN9">
            <v>117639</v>
          </cell>
          <cell r="CP9">
            <v>55</v>
          </cell>
          <cell r="CQ9">
            <v>215357</v>
          </cell>
          <cell r="CS9">
            <v>123</v>
          </cell>
          <cell r="CT9">
            <v>460015</v>
          </cell>
          <cell r="CW9">
            <v>3047</v>
          </cell>
          <cell r="CY9">
            <v>938</v>
          </cell>
          <cell r="DA9">
            <v>17046</v>
          </cell>
          <cell r="DC9">
            <v>17824</v>
          </cell>
          <cell r="DE9">
            <v>12429</v>
          </cell>
          <cell r="DG9">
            <v>16516</v>
          </cell>
          <cell r="DI9">
            <v>825</v>
          </cell>
          <cell r="DK9">
            <v>3570</v>
          </cell>
          <cell r="DM9">
            <v>428</v>
          </cell>
          <cell r="DO9">
            <v>703</v>
          </cell>
          <cell r="DQ9">
            <v>15432</v>
          </cell>
          <cell r="DT9">
            <v>2587814</v>
          </cell>
          <cell r="DV9">
            <v>4057</v>
          </cell>
          <cell r="DX9">
            <v>1691133</v>
          </cell>
          <cell r="DZ9">
            <v>243780</v>
          </cell>
          <cell r="ED9">
            <v>344227</v>
          </cell>
          <cell r="EF9">
            <v>71622</v>
          </cell>
          <cell r="EI9">
            <v>6326900</v>
          </cell>
          <cell r="EK9">
            <v>562310</v>
          </cell>
          <cell r="EM9">
            <v>4385200</v>
          </cell>
          <cell r="EO9">
            <v>1950400</v>
          </cell>
          <cell r="EQ9">
            <v>661000</v>
          </cell>
          <cell r="ES9">
            <v>10385100</v>
          </cell>
          <cell r="EV9">
            <v>25862</v>
          </cell>
          <cell r="EX9">
            <v>22651</v>
          </cell>
          <cell r="EZ9">
            <v>0</v>
          </cell>
          <cell r="FB9">
            <v>42703</v>
          </cell>
          <cell r="FD9">
            <v>17670</v>
          </cell>
        </row>
        <row r="10">
          <cell r="B10">
            <v>0.76</v>
          </cell>
          <cell r="E10">
            <v>464504</v>
          </cell>
          <cell r="H10">
            <v>650869</v>
          </cell>
          <cell r="K10">
            <v>58544</v>
          </cell>
          <cell r="N10">
            <v>586817</v>
          </cell>
          <cell r="Q10">
            <v>156679</v>
          </cell>
          <cell r="S10">
            <v>80806</v>
          </cell>
          <cell r="V10">
            <v>3968</v>
          </cell>
          <cell r="AB10">
            <v>5213040</v>
          </cell>
          <cell r="AE10">
            <v>10187059.68</v>
          </cell>
          <cell r="AH10">
            <v>9334752</v>
          </cell>
          <cell r="AK10">
            <v>12726882</v>
          </cell>
          <cell r="AN10">
            <v>12670366.799999999</v>
          </cell>
          <cell r="AQ10">
            <v>11334269.52</v>
          </cell>
          <cell r="AT10">
            <v>9974640.4800000004</v>
          </cell>
          <cell r="AW10">
            <v>9590239.6799999997</v>
          </cell>
          <cell r="AZ10">
            <v>7719001.9199999999</v>
          </cell>
          <cell r="BC10">
            <v>11379579.119999999</v>
          </cell>
          <cell r="BJ10">
            <v>47279500</v>
          </cell>
          <cell r="BM10">
            <v>51935800</v>
          </cell>
          <cell r="BP10">
            <v>45427500</v>
          </cell>
          <cell r="BS10">
            <v>3505160</v>
          </cell>
          <cell r="BV10">
            <v>0.74</v>
          </cell>
          <cell r="BX10"/>
          <cell r="BY10">
            <v>42589</v>
          </cell>
          <cell r="CA10">
            <v>37834</v>
          </cell>
          <cell r="CC10">
            <v>12476</v>
          </cell>
          <cell r="CE10">
            <v>15543</v>
          </cell>
          <cell r="CG10">
            <v>17868</v>
          </cell>
          <cell r="CI10">
            <v>37821</v>
          </cell>
          <cell r="CK10">
            <v>166083</v>
          </cell>
          <cell r="CN10">
            <v>117707</v>
          </cell>
          <cell r="CQ10">
            <v>215357</v>
          </cell>
          <cell r="CT10">
            <v>460137</v>
          </cell>
          <cell r="CW10">
            <v>3047</v>
          </cell>
          <cell r="CY10">
            <v>938</v>
          </cell>
          <cell r="DA10">
            <v>17056</v>
          </cell>
          <cell r="DC10">
            <v>17834</v>
          </cell>
          <cell r="DE10">
            <v>12438</v>
          </cell>
          <cell r="DG10">
            <v>16522</v>
          </cell>
          <cell r="DI10">
            <v>825</v>
          </cell>
          <cell r="DK10">
            <v>3570</v>
          </cell>
          <cell r="DM10">
            <v>432</v>
          </cell>
          <cell r="DO10">
            <v>707</v>
          </cell>
          <cell r="DQ10">
            <v>15459</v>
          </cell>
          <cell r="DT10">
            <v>2589244</v>
          </cell>
          <cell r="DV10">
            <v>4061</v>
          </cell>
          <cell r="DX10">
            <v>1692224</v>
          </cell>
          <cell r="DZ10">
            <v>243910</v>
          </cell>
          <cell r="ED10">
            <v>344738</v>
          </cell>
          <cell r="EF10">
            <v>71749</v>
          </cell>
          <cell r="EI10">
            <v>6335900</v>
          </cell>
          <cell r="EK10">
            <v>562790</v>
          </cell>
          <cell r="EM10">
            <v>4388700</v>
          </cell>
          <cell r="EO10">
            <v>1951200</v>
          </cell>
          <cell r="EQ10">
            <v>661190</v>
          </cell>
          <cell r="ES10">
            <v>10393300</v>
          </cell>
          <cell r="EV10">
            <v>25877</v>
          </cell>
          <cell r="EX10">
            <v>22662</v>
          </cell>
          <cell r="EZ10">
            <v>0</v>
          </cell>
          <cell r="FB10">
            <v>42703</v>
          </cell>
          <cell r="FD10">
            <v>17698</v>
          </cell>
        </row>
        <row r="11">
          <cell r="B11">
            <v>0.51</v>
          </cell>
          <cell r="E11">
            <v>465032</v>
          </cell>
          <cell r="F11">
            <v>528</v>
          </cell>
          <cell r="G11">
            <v>560</v>
          </cell>
          <cell r="H11">
            <v>651133</v>
          </cell>
          <cell r="I11">
            <v>264</v>
          </cell>
          <cell r="J11">
            <v>309</v>
          </cell>
          <cell r="K11">
            <v>58544</v>
          </cell>
          <cell r="L11">
            <v>0</v>
          </cell>
          <cell r="N11">
            <v>587197</v>
          </cell>
          <cell r="O11">
            <v>380</v>
          </cell>
          <cell r="Q11">
            <v>156679</v>
          </cell>
          <cell r="R11">
            <v>0</v>
          </cell>
          <cell r="S11">
            <v>81023</v>
          </cell>
          <cell r="T11">
            <v>217</v>
          </cell>
          <cell r="U11">
            <v>225</v>
          </cell>
          <cell r="V11">
            <v>4008</v>
          </cell>
          <cell r="W11">
            <v>40</v>
          </cell>
          <cell r="AB11">
            <v>5216255.5200000005</v>
          </cell>
          <cell r="AC11">
            <v>3215.5200000004843</v>
          </cell>
          <cell r="AD11">
            <v>2289.8400000007823</v>
          </cell>
          <cell r="AE11">
            <v>10191931.68</v>
          </cell>
          <cell r="AF11">
            <v>4872</v>
          </cell>
          <cell r="AG11">
            <v>5213.0400000000373</v>
          </cell>
          <cell r="AH11">
            <v>9343570.3199999984</v>
          </cell>
          <cell r="AI11">
            <v>8818.3199999984354</v>
          </cell>
          <cell r="AJ11">
            <v>13592.879999999888</v>
          </cell>
          <cell r="AK11">
            <v>12737697.84</v>
          </cell>
          <cell r="AL11">
            <v>10815.839999999851</v>
          </cell>
          <cell r="AM11">
            <v>1461.6000000014901</v>
          </cell>
          <cell r="AN11">
            <v>12670415.52</v>
          </cell>
          <cell r="AO11">
            <v>48.720000000670552</v>
          </cell>
          <cell r="AP11">
            <v>9695.2799999993294</v>
          </cell>
          <cell r="AQ11">
            <v>11341236.48</v>
          </cell>
          <cell r="AR11">
            <v>6966.9600000008941</v>
          </cell>
          <cell r="AS11">
            <v>5846.4000000003725</v>
          </cell>
          <cell r="AT11">
            <v>9979025.2800000012</v>
          </cell>
          <cell r="AU11">
            <v>4384.8000000007451</v>
          </cell>
          <cell r="AV11">
            <v>5115.5999999996275</v>
          </cell>
          <cell r="AW11">
            <v>9595111.6799999997</v>
          </cell>
          <cell r="AX11">
            <v>4872</v>
          </cell>
          <cell r="AY11">
            <v>5359.2000000001863</v>
          </cell>
          <cell r="AZ11">
            <v>7722022.5599999996</v>
          </cell>
          <cell r="BA11">
            <v>3020.6399999996647</v>
          </cell>
          <cell r="BB11">
            <v>3800.1599999992177</v>
          </cell>
          <cell r="BC11">
            <v>11384499.84</v>
          </cell>
          <cell r="BD11">
            <v>4920.7200000006706</v>
          </cell>
          <cell r="BE11">
            <v>5602.7999999988824</v>
          </cell>
          <cell r="BJ11">
            <v>47318600</v>
          </cell>
          <cell r="BK11">
            <v>39100</v>
          </cell>
          <cell r="BL11">
            <v>64200</v>
          </cell>
          <cell r="BM11">
            <v>51993100</v>
          </cell>
          <cell r="BN11">
            <v>57300</v>
          </cell>
          <cell r="BO11">
            <v>0</v>
          </cell>
          <cell r="BP11">
            <v>45427500</v>
          </cell>
          <cell r="BQ11">
            <v>0</v>
          </cell>
          <cell r="BR11">
            <v>47500</v>
          </cell>
          <cell r="BS11">
            <v>3510130</v>
          </cell>
          <cell r="BT11">
            <v>4970</v>
          </cell>
          <cell r="BV11">
            <v>0.7</v>
          </cell>
          <cell r="BW11">
            <v>-4.0000000000000036E-2</v>
          </cell>
          <cell r="BX11">
            <v>-3.0000000000000027E-2</v>
          </cell>
          <cell r="BY11">
            <v>42607</v>
          </cell>
          <cell r="BZ11">
            <v>18</v>
          </cell>
          <cell r="CA11">
            <v>37848</v>
          </cell>
          <cell r="CB11">
            <v>14</v>
          </cell>
          <cell r="CC11">
            <v>12481</v>
          </cell>
          <cell r="CD11">
            <v>5</v>
          </cell>
          <cell r="CE11">
            <v>15554</v>
          </cell>
          <cell r="CF11">
            <v>11</v>
          </cell>
          <cell r="CG11">
            <v>17877</v>
          </cell>
          <cell r="CH11">
            <v>9</v>
          </cell>
          <cell r="CI11">
            <v>37847</v>
          </cell>
          <cell r="CJ11">
            <v>26</v>
          </cell>
          <cell r="CK11">
            <v>166173</v>
          </cell>
          <cell r="CL11">
            <v>90</v>
          </cell>
          <cell r="CM11">
            <v>78</v>
          </cell>
          <cell r="CN11">
            <v>117772</v>
          </cell>
          <cell r="CO11">
            <v>65</v>
          </cell>
          <cell r="CP11">
            <v>52</v>
          </cell>
          <cell r="CQ11">
            <v>215357</v>
          </cell>
          <cell r="CR11">
            <v>0</v>
          </cell>
          <cell r="CS11">
            <v>12</v>
          </cell>
          <cell r="CT11">
            <v>460274</v>
          </cell>
          <cell r="CU11">
            <v>137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17068</v>
          </cell>
          <cell r="DB11">
            <v>12</v>
          </cell>
          <cell r="DC11">
            <v>17846</v>
          </cell>
          <cell r="DD11">
            <v>12</v>
          </cell>
          <cell r="DE11">
            <v>12446</v>
          </cell>
          <cell r="DF11">
            <v>8</v>
          </cell>
          <cell r="DG11">
            <v>16529</v>
          </cell>
          <cell r="DH11">
            <v>7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438</v>
          </cell>
          <cell r="DN11">
            <v>6</v>
          </cell>
          <cell r="DO11">
            <v>708</v>
          </cell>
          <cell r="DP11">
            <v>1</v>
          </cell>
          <cell r="DQ11">
            <v>15486</v>
          </cell>
          <cell r="DR11">
            <v>27</v>
          </cell>
          <cell r="DT11">
            <v>2590749</v>
          </cell>
          <cell r="DU11">
            <v>1505</v>
          </cell>
          <cell r="DV11">
            <v>4065</v>
          </cell>
          <cell r="DW11">
            <v>4</v>
          </cell>
          <cell r="DX11">
            <v>1693428</v>
          </cell>
          <cell r="DY11">
            <v>1204</v>
          </cell>
          <cell r="DZ11">
            <v>244044</v>
          </cell>
          <cell r="EA11">
            <v>134</v>
          </cell>
          <cell r="ED11">
            <v>345298</v>
          </cell>
          <cell r="EE11">
            <v>560</v>
          </cell>
          <cell r="EF11">
            <v>71885</v>
          </cell>
          <cell r="EG11">
            <v>136</v>
          </cell>
          <cell r="EI11">
            <v>6343755</v>
          </cell>
          <cell r="EJ11">
            <v>7855</v>
          </cell>
          <cell r="EK11">
            <v>563240</v>
          </cell>
          <cell r="EL11">
            <v>450</v>
          </cell>
          <cell r="EM11">
            <v>4392000</v>
          </cell>
          <cell r="EN11">
            <v>3300</v>
          </cell>
          <cell r="EO11">
            <v>1952000</v>
          </cell>
          <cell r="EP11">
            <v>800</v>
          </cell>
          <cell r="EQ11">
            <v>661390</v>
          </cell>
          <cell r="ER11">
            <v>200</v>
          </cell>
          <cell r="ES11">
            <v>10400300</v>
          </cell>
          <cell r="ET11">
            <v>7000</v>
          </cell>
          <cell r="EV11">
            <v>25895</v>
          </cell>
          <cell r="EW11">
            <v>18</v>
          </cell>
          <cell r="EX11">
            <v>22679</v>
          </cell>
          <cell r="EY11">
            <v>17</v>
          </cell>
          <cell r="EZ11">
            <v>0</v>
          </cell>
          <cell r="FA11">
            <v>0</v>
          </cell>
          <cell r="FB11">
            <v>42703</v>
          </cell>
          <cell r="FD11">
            <v>17723</v>
          </cell>
          <cell r="FE11">
            <v>25</v>
          </cell>
        </row>
        <row r="12">
          <cell r="B12">
            <v>0.7</v>
          </cell>
          <cell r="E12">
            <v>465596</v>
          </cell>
          <cell r="F12">
            <v>564</v>
          </cell>
          <cell r="G12">
            <v>631</v>
          </cell>
          <cell r="H12">
            <v>651426</v>
          </cell>
          <cell r="I12">
            <v>293</v>
          </cell>
          <cell r="J12">
            <v>318</v>
          </cell>
          <cell r="K12">
            <v>58544</v>
          </cell>
          <cell r="L12">
            <v>0</v>
          </cell>
          <cell r="N12">
            <v>587622</v>
          </cell>
          <cell r="O12">
            <v>425</v>
          </cell>
          <cell r="Q12">
            <v>156722</v>
          </cell>
          <cell r="R12">
            <v>43</v>
          </cell>
          <cell r="S12">
            <v>81265</v>
          </cell>
          <cell r="T12">
            <v>242</v>
          </cell>
          <cell r="U12">
            <v>230</v>
          </cell>
          <cell r="V12">
            <v>4067</v>
          </cell>
          <cell r="W12">
            <v>59</v>
          </cell>
          <cell r="AB12">
            <v>5219519.76</v>
          </cell>
          <cell r="AC12">
            <v>3264.2399999992922</v>
          </cell>
          <cell r="AD12">
            <v>2289.839999999851</v>
          </cell>
          <cell r="AE12">
            <v>10196998.559999999</v>
          </cell>
          <cell r="AF12">
            <v>5066.8799999989569</v>
          </cell>
          <cell r="AG12">
            <v>5456.640000000596</v>
          </cell>
          <cell r="AH12">
            <v>9351706.5599999987</v>
          </cell>
          <cell r="AI12">
            <v>8136.2400000002235</v>
          </cell>
          <cell r="AJ12">
            <v>13690.320000000298</v>
          </cell>
          <cell r="AK12">
            <v>12750024</v>
          </cell>
          <cell r="AL12">
            <v>12326.160000000149</v>
          </cell>
          <cell r="AM12">
            <v>1218</v>
          </cell>
          <cell r="AN12">
            <v>12670854</v>
          </cell>
          <cell r="AO12">
            <v>438.48000000044703</v>
          </cell>
          <cell r="AP12">
            <v>10523.519999999553</v>
          </cell>
          <cell r="AQ12">
            <v>11348495.76</v>
          </cell>
          <cell r="AR12">
            <v>7259.2799999993294</v>
          </cell>
          <cell r="AS12">
            <v>5895.1200000010431</v>
          </cell>
          <cell r="AT12">
            <v>9983946</v>
          </cell>
          <cell r="AU12">
            <v>4920.7199999988079</v>
          </cell>
          <cell r="AV12">
            <v>5505.359999999404</v>
          </cell>
          <cell r="AW12">
            <v>9599983.6799999997</v>
          </cell>
          <cell r="AX12">
            <v>4872</v>
          </cell>
          <cell r="AY12">
            <v>4725.8400000007823</v>
          </cell>
          <cell r="AZ12">
            <v>7725286.7999999998</v>
          </cell>
          <cell r="BA12">
            <v>3264.2400000002235</v>
          </cell>
          <cell r="BB12">
            <v>3800.160000000149</v>
          </cell>
          <cell r="BC12">
            <v>11390248.799999999</v>
          </cell>
          <cell r="BD12">
            <v>5748.9599999990314</v>
          </cell>
          <cell r="BE12">
            <v>5700.2400000002235</v>
          </cell>
          <cell r="BJ12">
            <v>47356700</v>
          </cell>
          <cell r="BK12">
            <v>38100</v>
          </cell>
          <cell r="BL12">
            <v>65000</v>
          </cell>
          <cell r="BM12">
            <v>52056600</v>
          </cell>
          <cell r="BN12">
            <v>63500</v>
          </cell>
          <cell r="BO12">
            <v>0</v>
          </cell>
          <cell r="BP12">
            <v>45427500</v>
          </cell>
          <cell r="BQ12">
            <v>0</v>
          </cell>
          <cell r="BR12">
            <v>50000</v>
          </cell>
          <cell r="BS12">
            <v>3515520</v>
          </cell>
          <cell r="BT12">
            <v>5390</v>
          </cell>
          <cell r="BV12">
            <v>0.66</v>
          </cell>
          <cell r="BW12">
            <v>-3.9999999999999925E-2</v>
          </cell>
          <cell r="BX12">
            <v>-2.0000000000000018E-2</v>
          </cell>
          <cell r="BY12">
            <v>42627</v>
          </cell>
          <cell r="BZ12">
            <v>20</v>
          </cell>
          <cell r="CA12">
            <v>37865</v>
          </cell>
          <cell r="CB12">
            <v>17</v>
          </cell>
          <cell r="CC12">
            <v>12489</v>
          </cell>
          <cell r="CD12">
            <v>8</v>
          </cell>
          <cell r="CE12">
            <v>15566</v>
          </cell>
          <cell r="CF12">
            <v>12</v>
          </cell>
          <cell r="CG12">
            <v>17883</v>
          </cell>
          <cell r="CH12">
            <v>6</v>
          </cell>
          <cell r="CI12">
            <v>37867</v>
          </cell>
          <cell r="CJ12">
            <v>20</v>
          </cell>
          <cell r="CK12">
            <v>166259</v>
          </cell>
          <cell r="CL12">
            <v>86</v>
          </cell>
          <cell r="CM12">
            <v>83</v>
          </cell>
          <cell r="CN12">
            <v>117846</v>
          </cell>
          <cell r="CO12">
            <v>74</v>
          </cell>
          <cell r="CP12">
            <v>54</v>
          </cell>
          <cell r="CQ12">
            <v>215357</v>
          </cell>
          <cell r="CR12">
            <v>0</v>
          </cell>
          <cell r="CS12">
            <v>15</v>
          </cell>
          <cell r="CT12">
            <v>460394</v>
          </cell>
          <cell r="CU12">
            <v>120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17082</v>
          </cell>
          <cell r="DB12">
            <v>14</v>
          </cell>
          <cell r="DC12">
            <v>17864</v>
          </cell>
          <cell r="DD12">
            <v>18</v>
          </cell>
          <cell r="DE12">
            <v>12455</v>
          </cell>
          <cell r="DF12">
            <v>9</v>
          </cell>
          <cell r="DG12">
            <v>16536</v>
          </cell>
          <cell r="DH12">
            <v>7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445</v>
          </cell>
          <cell r="DN12">
            <v>7</v>
          </cell>
          <cell r="DO12">
            <v>709</v>
          </cell>
          <cell r="DP12">
            <v>1</v>
          </cell>
          <cell r="DQ12">
            <v>15513</v>
          </cell>
          <cell r="DR12">
            <v>27</v>
          </cell>
          <cell r="DT12">
            <v>2592344</v>
          </cell>
          <cell r="DU12">
            <v>1595</v>
          </cell>
          <cell r="DV12">
            <v>4069</v>
          </cell>
          <cell r="DW12">
            <v>4</v>
          </cell>
          <cell r="DX12">
            <v>1694727</v>
          </cell>
          <cell r="DY12">
            <v>1299</v>
          </cell>
          <cell r="DZ12">
            <v>244179</v>
          </cell>
          <cell r="EA12">
            <v>135</v>
          </cell>
          <cell r="ED12">
            <v>345879</v>
          </cell>
          <cell r="EE12">
            <v>581</v>
          </cell>
          <cell r="EF12">
            <v>72029</v>
          </cell>
          <cell r="EG12">
            <v>144</v>
          </cell>
          <cell r="EI12">
            <v>6351615</v>
          </cell>
          <cell r="EJ12">
            <v>7860</v>
          </cell>
          <cell r="EK12">
            <v>563690</v>
          </cell>
          <cell r="EL12">
            <v>450</v>
          </cell>
          <cell r="EM12">
            <v>4395200</v>
          </cell>
          <cell r="EN12">
            <v>3200</v>
          </cell>
          <cell r="EO12">
            <v>1952750</v>
          </cell>
          <cell r="EP12">
            <v>750</v>
          </cell>
          <cell r="EQ12">
            <v>661590</v>
          </cell>
          <cell r="ER12">
            <v>200</v>
          </cell>
          <cell r="ES12">
            <v>10408300</v>
          </cell>
          <cell r="ET12">
            <v>8000</v>
          </cell>
          <cell r="EV12">
            <v>25916</v>
          </cell>
          <cell r="EX12">
            <v>22695</v>
          </cell>
          <cell r="EY12">
            <v>16</v>
          </cell>
          <cell r="EZ12">
            <v>0</v>
          </cell>
          <cell r="FA12">
            <v>0</v>
          </cell>
          <cell r="FB12">
            <v>42703</v>
          </cell>
          <cell r="FD12">
            <v>17751</v>
          </cell>
          <cell r="FE12">
            <v>28</v>
          </cell>
        </row>
        <row r="13">
          <cell r="B13">
            <v>0.8</v>
          </cell>
          <cell r="E13">
            <v>466187</v>
          </cell>
          <cell r="F13">
            <v>591</v>
          </cell>
          <cell r="G13">
            <v>581</v>
          </cell>
          <cell r="H13">
            <v>651775</v>
          </cell>
          <cell r="I13">
            <v>349</v>
          </cell>
          <cell r="J13">
            <v>337</v>
          </cell>
          <cell r="K13">
            <v>58544</v>
          </cell>
          <cell r="L13">
            <v>0</v>
          </cell>
          <cell r="N13">
            <v>588008</v>
          </cell>
          <cell r="O13">
            <v>386</v>
          </cell>
          <cell r="Q13">
            <v>156722</v>
          </cell>
          <cell r="R13">
            <v>0</v>
          </cell>
          <cell r="S13">
            <v>81512</v>
          </cell>
          <cell r="T13">
            <v>247</v>
          </cell>
          <cell r="U13">
            <v>234</v>
          </cell>
          <cell r="V13">
            <v>4122</v>
          </cell>
          <cell r="W13">
            <v>55</v>
          </cell>
          <cell r="AB13">
            <v>5222637.84</v>
          </cell>
          <cell r="AC13">
            <v>3118.0800000000745</v>
          </cell>
          <cell r="AD13">
            <v>2192.4000000003725</v>
          </cell>
          <cell r="AE13">
            <v>10201821.84</v>
          </cell>
          <cell r="AF13">
            <v>4823.2800000011921</v>
          </cell>
          <cell r="AG13">
            <v>4969.4400000004098</v>
          </cell>
          <cell r="AH13">
            <v>9361158.2400000002</v>
          </cell>
          <cell r="AI13">
            <v>9451.6800000015646</v>
          </cell>
          <cell r="AJ13">
            <v>13690.320000000298</v>
          </cell>
          <cell r="AK13">
            <v>12761083.439999999</v>
          </cell>
          <cell r="AL13">
            <v>11059.439999999478</v>
          </cell>
          <cell r="AM13">
            <v>2192.3999999985099</v>
          </cell>
          <cell r="AN13">
            <v>12671438.640000001</v>
          </cell>
          <cell r="AO13">
            <v>584.64000000059605</v>
          </cell>
          <cell r="AP13">
            <v>10231.200000001118</v>
          </cell>
          <cell r="AQ13">
            <v>11355365.280000001</v>
          </cell>
          <cell r="AR13">
            <v>6869.5200000014156</v>
          </cell>
          <cell r="AS13">
            <v>5846.4000000003725</v>
          </cell>
          <cell r="AT13">
            <v>9988525.6799999997</v>
          </cell>
          <cell r="AU13">
            <v>4579.679999999702</v>
          </cell>
          <cell r="AV13">
            <v>4823.2800000011921</v>
          </cell>
          <cell r="AW13">
            <v>9604855.6799999997</v>
          </cell>
          <cell r="AX13">
            <v>4872</v>
          </cell>
          <cell r="AY13">
            <v>4823.2799999993294</v>
          </cell>
          <cell r="AZ13">
            <v>7728356.1599999992</v>
          </cell>
          <cell r="BA13">
            <v>3069.359999999404</v>
          </cell>
          <cell r="BB13">
            <v>3556.5600000005215</v>
          </cell>
          <cell r="BC13">
            <v>11394828.48</v>
          </cell>
          <cell r="BD13">
            <v>4579.6800000015646</v>
          </cell>
          <cell r="BE13">
            <v>5895.1200000010431</v>
          </cell>
          <cell r="BJ13">
            <v>47402000</v>
          </cell>
          <cell r="BK13">
            <v>45300</v>
          </cell>
          <cell r="BL13">
            <v>69300</v>
          </cell>
          <cell r="BM13">
            <v>52117700</v>
          </cell>
          <cell r="BN13">
            <v>61100</v>
          </cell>
          <cell r="BO13">
            <v>0</v>
          </cell>
          <cell r="BP13">
            <v>45427500</v>
          </cell>
          <cell r="BQ13">
            <v>0</v>
          </cell>
          <cell r="BR13">
            <v>47600</v>
          </cell>
          <cell r="BS13">
            <v>3521240</v>
          </cell>
          <cell r="BT13">
            <v>5720</v>
          </cell>
          <cell r="BV13">
            <v>0.63</v>
          </cell>
          <cell r="BW13">
            <v>-3.0000000000000027E-2</v>
          </cell>
          <cell r="BX13">
            <v>-2.9999999999999916E-2</v>
          </cell>
          <cell r="BY13">
            <v>42648</v>
          </cell>
          <cell r="BZ13">
            <v>21</v>
          </cell>
          <cell r="CA13">
            <v>37883</v>
          </cell>
          <cell r="CB13">
            <v>18</v>
          </cell>
          <cell r="CC13">
            <v>12498</v>
          </cell>
          <cell r="CD13">
            <v>9</v>
          </cell>
          <cell r="CE13">
            <v>15579</v>
          </cell>
          <cell r="CF13">
            <v>13</v>
          </cell>
          <cell r="CG13">
            <v>17893</v>
          </cell>
          <cell r="CH13">
            <v>10</v>
          </cell>
          <cell r="CI13">
            <v>37892</v>
          </cell>
          <cell r="CJ13">
            <v>25</v>
          </cell>
          <cell r="CK13">
            <v>166352</v>
          </cell>
          <cell r="CL13">
            <v>93</v>
          </cell>
          <cell r="CM13">
            <v>78</v>
          </cell>
          <cell r="CN13">
            <v>117915</v>
          </cell>
          <cell r="CO13">
            <v>69</v>
          </cell>
          <cell r="CP13">
            <v>58</v>
          </cell>
          <cell r="CQ13">
            <v>215357</v>
          </cell>
          <cell r="CR13">
            <v>0</v>
          </cell>
          <cell r="CS13">
            <v>10</v>
          </cell>
          <cell r="CT13">
            <v>460559</v>
          </cell>
          <cell r="CU13">
            <v>165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17100</v>
          </cell>
          <cell r="DB13">
            <v>18</v>
          </cell>
          <cell r="DC13">
            <v>17885</v>
          </cell>
          <cell r="DD13">
            <v>21</v>
          </cell>
          <cell r="DE13">
            <v>12464</v>
          </cell>
          <cell r="DF13">
            <v>9</v>
          </cell>
          <cell r="DG13">
            <v>16545</v>
          </cell>
          <cell r="DH13">
            <v>9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453</v>
          </cell>
          <cell r="DN13">
            <v>8</v>
          </cell>
          <cell r="DO13">
            <v>711</v>
          </cell>
          <cell r="DP13">
            <v>2</v>
          </cell>
          <cell r="DQ13">
            <v>15540</v>
          </cell>
          <cell r="DR13">
            <v>27</v>
          </cell>
          <cell r="DT13">
            <v>2593933</v>
          </cell>
          <cell r="DU13">
            <v>1589</v>
          </cell>
          <cell r="DV13">
            <v>4073</v>
          </cell>
          <cell r="DW13">
            <v>4</v>
          </cell>
          <cell r="DX13">
            <v>1695992</v>
          </cell>
          <cell r="DY13">
            <v>1265</v>
          </cell>
          <cell r="DZ13">
            <v>244312</v>
          </cell>
          <cell r="EA13">
            <v>133</v>
          </cell>
          <cell r="ED13">
            <v>346431</v>
          </cell>
          <cell r="EE13">
            <v>552</v>
          </cell>
          <cell r="EF13">
            <v>72166</v>
          </cell>
          <cell r="EG13">
            <v>137</v>
          </cell>
          <cell r="EI13">
            <v>6359457</v>
          </cell>
          <cell r="EJ13">
            <v>7842</v>
          </cell>
          <cell r="EK13">
            <v>564140</v>
          </cell>
          <cell r="EL13">
            <v>450</v>
          </cell>
          <cell r="EM13">
            <v>4398700</v>
          </cell>
          <cell r="EN13">
            <v>3500</v>
          </cell>
          <cell r="EO13">
            <v>1953570</v>
          </cell>
          <cell r="EP13">
            <v>820</v>
          </cell>
          <cell r="EQ13">
            <v>661800</v>
          </cell>
          <cell r="ER13">
            <v>210</v>
          </cell>
          <cell r="ES13">
            <v>10415800</v>
          </cell>
          <cell r="ET13">
            <v>7500</v>
          </cell>
          <cell r="EV13">
            <v>25935</v>
          </cell>
          <cell r="EX13">
            <v>22712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17778</v>
          </cell>
          <cell r="FE13">
            <v>27</v>
          </cell>
        </row>
        <row r="14">
          <cell r="B14">
            <v>0.82</v>
          </cell>
          <cell r="E14">
            <v>466720</v>
          </cell>
          <cell r="F14">
            <v>533</v>
          </cell>
          <cell r="G14">
            <v>617</v>
          </cell>
          <cell r="H14">
            <v>652075</v>
          </cell>
          <cell r="I14">
            <v>300</v>
          </cell>
          <cell r="J14">
            <v>393</v>
          </cell>
          <cell r="K14">
            <v>58544</v>
          </cell>
          <cell r="L14">
            <v>0</v>
          </cell>
          <cell r="N14">
            <v>588241</v>
          </cell>
          <cell r="O14">
            <v>233</v>
          </cell>
          <cell r="Q14">
            <v>156722</v>
          </cell>
          <cell r="R14">
            <v>0</v>
          </cell>
          <cell r="S14">
            <v>81732</v>
          </cell>
          <cell r="T14">
            <v>220</v>
          </cell>
          <cell r="U14">
            <v>227</v>
          </cell>
          <cell r="V14">
            <v>4168</v>
          </cell>
          <cell r="W14">
            <v>46</v>
          </cell>
          <cell r="AB14">
            <v>5224830.24</v>
          </cell>
          <cell r="AC14">
            <v>2192.4000000003725</v>
          </cell>
          <cell r="AD14">
            <v>2143.679999999702</v>
          </cell>
          <cell r="AE14">
            <v>10206791.280000001</v>
          </cell>
          <cell r="AF14">
            <v>4969.4400000013411</v>
          </cell>
          <cell r="AG14">
            <v>5554.0799999982119</v>
          </cell>
          <cell r="AH14">
            <v>9361889.040000001</v>
          </cell>
          <cell r="AI14">
            <v>730.80000000074506</v>
          </cell>
          <cell r="AJ14">
            <v>13544.159999999218</v>
          </cell>
          <cell r="AK14">
            <v>12770535.119999999</v>
          </cell>
          <cell r="AL14">
            <v>9451.679999999702</v>
          </cell>
          <cell r="AM14">
            <v>1753.9199999999255</v>
          </cell>
          <cell r="AN14">
            <v>12683423.76</v>
          </cell>
          <cell r="AO14">
            <v>11985.11999999918</v>
          </cell>
          <cell r="AP14">
            <v>10523.519999999553</v>
          </cell>
          <cell r="AQ14">
            <v>11362819.439999999</v>
          </cell>
          <cell r="AR14">
            <v>7454.1599999982864</v>
          </cell>
          <cell r="AS14">
            <v>5846.3999999985099</v>
          </cell>
          <cell r="AT14">
            <v>9993154.0800000001</v>
          </cell>
          <cell r="AU14">
            <v>4628.4000000003725</v>
          </cell>
          <cell r="AV14">
            <v>4920.7199999988079</v>
          </cell>
          <cell r="AW14">
            <v>9609630.2400000002</v>
          </cell>
          <cell r="AX14">
            <v>4774.5600000005215</v>
          </cell>
          <cell r="AY14">
            <v>5115.6000000005588</v>
          </cell>
          <cell r="AZ14">
            <v>7731717.8399999999</v>
          </cell>
          <cell r="BA14">
            <v>3361.6800000006333</v>
          </cell>
          <cell r="BB14">
            <v>3069.359999999404</v>
          </cell>
          <cell r="BC14">
            <v>11399797.92</v>
          </cell>
          <cell r="BD14">
            <v>4969.4399999994785</v>
          </cell>
          <cell r="BE14">
            <v>5846.4000000003725</v>
          </cell>
          <cell r="BJ14">
            <v>47402000</v>
          </cell>
          <cell r="BK14">
            <v>0</v>
          </cell>
          <cell r="BL14">
            <v>66400</v>
          </cell>
          <cell r="BM14">
            <v>52161200</v>
          </cell>
          <cell r="BN14">
            <v>43500</v>
          </cell>
          <cell r="BO14">
            <v>500</v>
          </cell>
          <cell r="BP14">
            <v>45481200</v>
          </cell>
          <cell r="BQ14">
            <v>53700</v>
          </cell>
          <cell r="BR14">
            <v>48100</v>
          </cell>
          <cell r="BS14">
            <v>3526680</v>
          </cell>
          <cell r="BT14">
            <v>5440</v>
          </cell>
          <cell r="BV14">
            <v>0.6</v>
          </cell>
          <cell r="BW14">
            <v>-3.0000000000000027E-2</v>
          </cell>
          <cell r="BX14">
            <v>-3.0000000000000027E-2</v>
          </cell>
          <cell r="BY14">
            <v>42669</v>
          </cell>
          <cell r="BZ14">
            <v>21</v>
          </cell>
          <cell r="CA14">
            <v>37900</v>
          </cell>
          <cell r="CB14">
            <v>17</v>
          </cell>
          <cell r="CC14">
            <v>12504</v>
          </cell>
          <cell r="CD14">
            <v>6</v>
          </cell>
          <cell r="CE14">
            <v>15588</v>
          </cell>
          <cell r="CF14">
            <v>9</v>
          </cell>
          <cell r="CG14">
            <v>17901</v>
          </cell>
          <cell r="CH14">
            <v>8</v>
          </cell>
          <cell r="CI14">
            <v>37915</v>
          </cell>
          <cell r="CJ14">
            <v>23</v>
          </cell>
          <cell r="CK14">
            <v>166434</v>
          </cell>
          <cell r="CL14">
            <v>82</v>
          </cell>
          <cell r="CM14">
            <v>82</v>
          </cell>
          <cell r="CN14">
            <v>117984</v>
          </cell>
          <cell r="CO14">
            <v>69</v>
          </cell>
          <cell r="CP14">
            <v>59</v>
          </cell>
          <cell r="CQ14">
            <v>215357</v>
          </cell>
          <cell r="CR14">
            <v>0</v>
          </cell>
          <cell r="CS14">
            <v>12</v>
          </cell>
          <cell r="CT14">
            <v>460700</v>
          </cell>
          <cell r="CU14">
            <v>141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17115</v>
          </cell>
          <cell r="DB14">
            <v>15</v>
          </cell>
          <cell r="DC14">
            <v>17905</v>
          </cell>
          <cell r="DD14">
            <v>20</v>
          </cell>
          <cell r="DE14">
            <v>12472</v>
          </cell>
          <cell r="DF14">
            <v>8</v>
          </cell>
          <cell r="DG14">
            <v>16552</v>
          </cell>
          <cell r="DH14">
            <v>7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459</v>
          </cell>
          <cell r="DN14">
            <v>6</v>
          </cell>
          <cell r="DO14">
            <v>712</v>
          </cell>
          <cell r="DP14">
            <v>1</v>
          </cell>
          <cell r="DQ14">
            <v>15565</v>
          </cell>
          <cell r="DR14">
            <v>25</v>
          </cell>
          <cell r="DT14">
            <v>2595533</v>
          </cell>
          <cell r="DU14">
            <v>1600</v>
          </cell>
          <cell r="DV14">
            <v>4077</v>
          </cell>
          <cell r="DW14">
            <v>4</v>
          </cell>
          <cell r="DX14">
            <v>1697292</v>
          </cell>
          <cell r="DY14">
            <v>1300</v>
          </cell>
          <cell r="DZ14">
            <v>244462</v>
          </cell>
          <cell r="EA14">
            <v>150</v>
          </cell>
          <cell r="ED14">
            <v>346971</v>
          </cell>
          <cell r="EE14">
            <v>540</v>
          </cell>
          <cell r="EF14">
            <v>72306</v>
          </cell>
          <cell r="EG14">
            <v>140</v>
          </cell>
          <cell r="EI14">
            <v>6367297</v>
          </cell>
          <cell r="EJ14">
            <v>7840</v>
          </cell>
          <cell r="EK14">
            <v>564590</v>
          </cell>
          <cell r="EL14">
            <v>450</v>
          </cell>
          <cell r="EM14">
            <v>4402100</v>
          </cell>
          <cell r="EN14">
            <v>3400</v>
          </cell>
          <cell r="EO14">
            <v>1954400</v>
          </cell>
          <cell r="EP14">
            <v>830</v>
          </cell>
          <cell r="EQ14">
            <v>661980</v>
          </cell>
          <cell r="ER14">
            <v>180</v>
          </cell>
          <cell r="ES14">
            <v>10423800</v>
          </cell>
          <cell r="ET14">
            <v>8000</v>
          </cell>
          <cell r="EV14">
            <v>25956</v>
          </cell>
          <cell r="EX14">
            <v>22730</v>
          </cell>
          <cell r="EY14">
            <v>18</v>
          </cell>
          <cell r="EZ14">
            <v>0</v>
          </cell>
          <cell r="FA14">
            <v>0</v>
          </cell>
          <cell r="FB14">
            <v>42703</v>
          </cell>
          <cell r="FD14">
            <v>17806</v>
          </cell>
          <cell r="FE14">
            <v>28</v>
          </cell>
        </row>
        <row r="15">
          <cell r="B15">
            <v>0.71</v>
          </cell>
          <cell r="E15">
            <v>467247</v>
          </cell>
          <cell r="F15">
            <v>527</v>
          </cell>
          <cell r="G15">
            <v>557</v>
          </cell>
          <cell r="H15">
            <v>652364</v>
          </cell>
          <cell r="I15">
            <v>289</v>
          </cell>
          <cell r="J15">
            <v>382</v>
          </cell>
          <cell r="K15">
            <v>58544</v>
          </cell>
          <cell r="L15">
            <v>0</v>
          </cell>
          <cell r="N15">
            <v>588669</v>
          </cell>
          <cell r="O15">
            <v>428</v>
          </cell>
          <cell r="Q15">
            <v>156722</v>
          </cell>
          <cell r="R15">
            <v>0</v>
          </cell>
          <cell r="S15">
            <v>81958</v>
          </cell>
          <cell r="T15">
            <v>226</v>
          </cell>
          <cell r="U15">
            <v>210</v>
          </cell>
          <cell r="V15">
            <v>4222</v>
          </cell>
          <cell r="W15">
            <v>54</v>
          </cell>
          <cell r="AB15">
            <v>5227461.12</v>
          </cell>
          <cell r="AC15">
            <v>2630.8799999998882</v>
          </cell>
          <cell r="AD15">
            <v>2241.1200000001118</v>
          </cell>
          <cell r="AE15">
            <v>10211955.6</v>
          </cell>
          <cell r="AF15">
            <v>5164.3199999984354</v>
          </cell>
          <cell r="AG15">
            <v>6625.9200000017881</v>
          </cell>
          <cell r="AH15">
            <v>9362083.9199999999</v>
          </cell>
          <cell r="AI15">
            <v>194.87999999895692</v>
          </cell>
          <cell r="AJ15">
            <v>8867.0400000009686</v>
          </cell>
          <cell r="AK15">
            <v>12779256</v>
          </cell>
          <cell r="AL15">
            <v>8720.8800000008196</v>
          </cell>
          <cell r="AM15">
            <v>11059.440000001341</v>
          </cell>
          <cell r="AN15">
            <v>12695896.08</v>
          </cell>
          <cell r="AO15">
            <v>12472.320000000298</v>
          </cell>
          <cell r="AP15">
            <v>2533.4399999994785</v>
          </cell>
          <cell r="AQ15">
            <v>11369932.559999999</v>
          </cell>
          <cell r="AR15">
            <v>7113.1199999991804</v>
          </cell>
          <cell r="AS15">
            <v>5895.1199999991804</v>
          </cell>
          <cell r="AT15">
            <v>9998074.7999999989</v>
          </cell>
          <cell r="AU15">
            <v>4920.7199999988079</v>
          </cell>
          <cell r="AV15">
            <v>5066.8800000008196</v>
          </cell>
          <cell r="AW15">
            <v>9614843.2800000012</v>
          </cell>
          <cell r="AX15">
            <v>5213.0400000009686</v>
          </cell>
          <cell r="AY15">
            <v>5066.8799999989569</v>
          </cell>
          <cell r="AZ15">
            <v>7735225.6799999997</v>
          </cell>
          <cell r="BA15">
            <v>3507.839999999851</v>
          </cell>
          <cell r="BB15">
            <v>3605.2799999993294</v>
          </cell>
          <cell r="BC15">
            <v>11404962.24</v>
          </cell>
          <cell r="BD15">
            <v>5164.320000000298</v>
          </cell>
          <cell r="BE15">
            <v>5748.9600000008941</v>
          </cell>
          <cell r="BJ15">
            <v>47402000</v>
          </cell>
          <cell r="BK15">
            <v>0</v>
          </cell>
          <cell r="BL15">
            <v>48700</v>
          </cell>
          <cell r="BM15">
            <v>52199800</v>
          </cell>
          <cell r="BN15">
            <v>38600</v>
          </cell>
          <cell r="BO15">
            <v>51400</v>
          </cell>
          <cell r="BP15">
            <v>45535800</v>
          </cell>
          <cell r="BQ15">
            <v>54600</v>
          </cell>
          <cell r="BR15">
            <v>6000</v>
          </cell>
          <cell r="BS15">
            <v>3532230</v>
          </cell>
          <cell r="BT15">
            <v>5550</v>
          </cell>
          <cell r="BV15">
            <v>0.56000000000000005</v>
          </cell>
          <cell r="BW15">
            <v>-3.9999999999999925E-2</v>
          </cell>
          <cell r="BX15">
            <v>-3.0000000000000027E-2</v>
          </cell>
          <cell r="BY15">
            <v>42689</v>
          </cell>
          <cell r="BZ15">
            <v>20</v>
          </cell>
          <cell r="CA15">
            <v>37915</v>
          </cell>
          <cell r="CB15">
            <v>15</v>
          </cell>
          <cell r="CC15">
            <v>12512</v>
          </cell>
          <cell r="CD15">
            <v>8</v>
          </cell>
          <cell r="CE15">
            <v>15599</v>
          </cell>
          <cell r="CF15">
            <v>11</v>
          </cell>
          <cell r="CG15">
            <v>17915</v>
          </cell>
          <cell r="CH15">
            <v>14</v>
          </cell>
          <cell r="CI15">
            <v>37937</v>
          </cell>
          <cell r="CJ15">
            <v>22</v>
          </cell>
          <cell r="CK15">
            <v>166528</v>
          </cell>
          <cell r="CL15">
            <v>94</v>
          </cell>
          <cell r="CM15">
            <v>87</v>
          </cell>
          <cell r="CN15">
            <v>118047</v>
          </cell>
          <cell r="CO15">
            <v>63</v>
          </cell>
          <cell r="CP15">
            <v>70</v>
          </cell>
          <cell r="CQ15">
            <v>215357</v>
          </cell>
          <cell r="CR15">
            <v>0</v>
          </cell>
          <cell r="CS15">
            <v>14</v>
          </cell>
          <cell r="CT15">
            <v>460887</v>
          </cell>
          <cell r="CU15">
            <v>187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17123</v>
          </cell>
          <cell r="DB15">
            <v>8</v>
          </cell>
          <cell r="DC15">
            <v>17908</v>
          </cell>
          <cell r="DD15">
            <v>3</v>
          </cell>
          <cell r="DE15">
            <v>12481</v>
          </cell>
          <cell r="DF15">
            <v>9</v>
          </cell>
          <cell r="DG15">
            <v>16558</v>
          </cell>
          <cell r="DH15">
            <v>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467</v>
          </cell>
          <cell r="DN15">
            <v>8</v>
          </cell>
          <cell r="DO15">
            <v>714</v>
          </cell>
          <cell r="DP15">
            <v>2</v>
          </cell>
          <cell r="DQ15">
            <v>15581</v>
          </cell>
          <cell r="DR15">
            <v>16</v>
          </cell>
          <cell r="DT15">
            <v>2596889</v>
          </cell>
          <cell r="DU15">
            <v>1356</v>
          </cell>
          <cell r="DV15">
            <v>4082</v>
          </cell>
          <cell r="DW15">
            <v>5</v>
          </cell>
          <cell r="DX15">
            <v>1698448</v>
          </cell>
          <cell r="DY15">
            <v>1156</v>
          </cell>
          <cell r="DZ15">
            <v>244577</v>
          </cell>
          <cell r="EA15">
            <v>115</v>
          </cell>
          <cell r="ED15">
            <v>347554</v>
          </cell>
          <cell r="EE15">
            <v>583</v>
          </cell>
          <cell r="EF15">
            <v>72442</v>
          </cell>
          <cell r="EG15">
            <v>136</v>
          </cell>
          <cell r="EI15">
            <v>6374547</v>
          </cell>
          <cell r="EJ15">
            <v>7250</v>
          </cell>
          <cell r="EK15">
            <v>565040</v>
          </cell>
          <cell r="EL15">
            <v>450</v>
          </cell>
          <cell r="EM15">
            <v>4405600</v>
          </cell>
          <cell r="EN15">
            <v>3500</v>
          </cell>
          <cell r="EO15">
            <v>1955190</v>
          </cell>
          <cell r="EP15">
            <v>790</v>
          </cell>
          <cell r="EQ15">
            <v>662200</v>
          </cell>
          <cell r="ER15">
            <v>220</v>
          </cell>
          <cell r="ES15">
            <v>10432000</v>
          </cell>
          <cell r="ET15">
            <v>8200</v>
          </cell>
          <cell r="EV15">
            <v>25974</v>
          </cell>
          <cell r="EX15">
            <v>22745</v>
          </cell>
          <cell r="EY15">
            <v>15</v>
          </cell>
          <cell r="EZ15">
            <v>0</v>
          </cell>
          <cell r="FA15">
            <v>0</v>
          </cell>
          <cell r="FB15">
            <v>42703</v>
          </cell>
          <cell r="FD15">
            <v>17833</v>
          </cell>
          <cell r="FE15">
            <v>27</v>
          </cell>
        </row>
        <row r="16">
          <cell r="B16">
            <v>0.81</v>
          </cell>
          <cell r="E16">
            <v>467748</v>
          </cell>
          <cell r="F16">
            <v>501</v>
          </cell>
          <cell r="G16">
            <v>560</v>
          </cell>
          <cell r="H16">
            <v>652659</v>
          </cell>
          <cell r="I16">
            <v>295</v>
          </cell>
          <cell r="J16">
            <v>306</v>
          </cell>
          <cell r="K16">
            <v>58544</v>
          </cell>
          <cell r="L16">
            <v>0</v>
          </cell>
          <cell r="N16">
            <v>589097</v>
          </cell>
          <cell r="O16">
            <v>428</v>
          </cell>
          <cell r="Q16">
            <v>156722</v>
          </cell>
          <cell r="R16">
            <v>0</v>
          </cell>
          <cell r="S16">
            <v>82175</v>
          </cell>
          <cell r="T16">
            <v>217</v>
          </cell>
          <cell r="U16">
            <v>217</v>
          </cell>
          <cell r="V16">
            <v>4271</v>
          </cell>
          <cell r="W16">
            <v>49</v>
          </cell>
          <cell r="AB16">
            <v>5229702.24</v>
          </cell>
          <cell r="AC16">
            <v>2241.1200000001118</v>
          </cell>
          <cell r="AD16">
            <v>2533.4399999994785</v>
          </cell>
          <cell r="AE16">
            <v>10216778.880000001</v>
          </cell>
          <cell r="AF16">
            <v>4823.2800000011921</v>
          </cell>
          <cell r="AG16">
            <v>5092.4799999995157</v>
          </cell>
          <cell r="AH16">
            <v>9362473.6799999997</v>
          </cell>
          <cell r="AI16">
            <v>389.75999999977648</v>
          </cell>
          <cell r="AJ16">
            <v>7113.1199999991804</v>
          </cell>
          <cell r="AK16">
            <v>12786807.6</v>
          </cell>
          <cell r="AL16">
            <v>7551.5999999996275</v>
          </cell>
          <cell r="AM16">
            <v>13300.559999998659</v>
          </cell>
          <cell r="AN16">
            <v>12707637.6</v>
          </cell>
          <cell r="AO16">
            <v>11741.519999999553</v>
          </cell>
          <cell r="AP16">
            <v>974.40000000037253</v>
          </cell>
          <cell r="AQ16">
            <v>11376996.959999999</v>
          </cell>
          <cell r="AR16">
            <v>7064.4000000003725</v>
          </cell>
          <cell r="AS16">
            <v>5846.4000000003725</v>
          </cell>
          <cell r="AT16">
            <v>10002751.92</v>
          </cell>
          <cell r="AU16">
            <v>4677.1200000010431</v>
          </cell>
          <cell r="AV16">
            <v>5261.7599999997765</v>
          </cell>
          <cell r="AW16">
            <v>9619520.4000000004</v>
          </cell>
          <cell r="AX16">
            <v>4677.1199999991804</v>
          </cell>
          <cell r="AY16">
            <v>5115.6000000005588</v>
          </cell>
          <cell r="AZ16">
            <v>7738587.3599999994</v>
          </cell>
          <cell r="BA16">
            <v>3361.679999999702</v>
          </cell>
          <cell r="BB16">
            <v>3800.1600000010803</v>
          </cell>
          <cell r="BC16">
            <v>11409834.24</v>
          </cell>
          <cell r="BD16">
            <v>4872</v>
          </cell>
          <cell r="BE16">
            <v>5700.2400000002235</v>
          </cell>
          <cell r="BJ16">
            <v>47402000</v>
          </cell>
          <cell r="BK16">
            <v>0</v>
          </cell>
          <cell r="BL16">
            <v>37900</v>
          </cell>
          <cell r="BM16">
            <v>52238200</v>
          </cell>
          <cell r="BN16">
            <v>38400</v>
          </cell>
          <cell r="BO16">
            <v>62000</v>
          </cell>
          <cell r="BP16">
            <v>45590600</v>
          </cell>
          <cell r="BQ16">
            <v>54800</v>
          </cell>
          <cell r="BR16">
            <v>0</v>
          </cell>
          <cell r="BS16">
            <v>3537250</v>
          </cell>
          <cell r="BT16">
            <v>5020</v>
          </cell>
          <cell r="BV16">
            <v>0.52</v>
          </cell>
          <cell r="BW16">
            <v>-4.0000000000000036E-2</v>
          </cell>
          <cell r="BX16">
            <v>-2.9999999999999971E-2</v>
          </cell>
          <cell r="BY16">
            <v>42709</v>
          </cell>
          <cell r="BZ16">
            <v>20</v>
          </cell>
          <cell r="CA16">
            <v>37931</v>
          </cell>
          <cell r="CB16">
            <v>16</v>
          </cell>
          <cell r="CC16">
            <v>12519</v>
          </cell>
          <cell r="CD16">
            <v>7</v>
          </cell>
          <cell r="CE16">
            <v>15609</v>
          </cell>
          <cell r="CF16">
            <v>10</v>
          </cell>
          <cell r="CG16">
            <v>17925</v>
          </cell>
          <cell r="CH16">
            <v>10</v>
          </cell>
          <cell r="CI16">
            <v>37957</v>
          </cell>
          <cell r="CJ16">
            <v>20</v>
          </cell>
          <cell r="CK16">
            <v>166610</v>
          </cell>
          <cell r="CL16">
            <v>82</v>
          </cell>
          <cell r="CM16">
            <v>73</v>
          </cell>
          <cell r="CN16">
            <v>118119</v>
          </cell>
          <cell r="CO16">
            <v>72</v>
          </cell>
          <cell r="CP16">
            <v>49</v>
          </cell>
          <cell r="CQ16">
            <v>215357</v>
          </cell>
          <cell r="CR16">
            <v>0</v>
          </cell>
          <cell r="CS16">
            <v>12</v>
          </cell>
          <cell r="CT16">
            <v>461069</v>
          </cell>
          <cell r="CU16">
            <v>182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17136</v>
          </cell>
          <cell r="DB16">
            <v>13</v>
          </cell>
          <cell r="DC16">
            <v>17920</v>
          </cell>
          <cell r="DD16">
            <v>12</v>
          </cell>
          <cell r="DE16">
            <v>12488</v>
          </cell>
          <cell r="DF16">
            <v>7</v>
          </cell>
          <cell r="DG16">
            <v>16565</v>
          </cell>
          <cell r="DH16">
            <v>7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473</v>
          </cell>
          <cell r="DN16">
            <v>6</v>
          </cell>
          <cell r="DO16">
            <v>715</v>
          </cell>
          <cell r="DP16">
            <v>1</v>
          </cell>
          <cell r="DQ16">
            <v>15608</v>
          </cell>
          <cell r="DR16">
            <v>27</v>
          </cell>
          <cell r="DT16">
            <v>2598451</v>
          </cell>
          <cell r="DU16">
            <v>1562</v>
          </cell>
          <cell r="DV16">
            <v>4086</v>
          </cell>
          <cell r="DW16">
            <v>4</v>
          </cell>
          <cell r="DX16">
            <v>1699693</v>
          </cell>
          <cell r="DY16">
            <v>1245</v>
          </cell>
          <cell r="DZ16">
            <v>244711</v>
          </cell>
          <cell r="EA16">
            <v>134</v>
          </cell>
          <cell r="ED16">
            <v>348130</v>
          </cell>
          <cell r="EE16">
            <v>576</v>
          </cell>
          <cell r="EF16">
            <v>72584</v>
          </cell>
          <cell r="EG16">
            <v>142</v>
          </cell>
          <cell r="EI16">
            <v>6382387</v>
          </cell>
          <cell r="EJ16">
            <v>7840</v>
          </cell>
          <cell r="EK16">
            <v>565490</v>
          </cell>
          <cell r="EL16">
            <v>450</v>
          </cell>
          <cell r="EM16">
            <v>4408700</v>
          </cell>
          <cell r="EN16">
            <v>3100</v>
          </cell>
          <cell r="EO16">
            <v>1955990</v>
          </cell>
          <cell r="EP16">
            <v>800</v>
          </cell>
          <cell r="EQ16">
            <v>662400</v>
          </cell>
          <cell r="ER16">
            <v>200</v>
          </cell>
          <cell r="ES16">
            <v>10439600</v>
          </cell>
          <cell r="ET16">
            <v>7600</v>
          </cell>
          <cell r="EV16">
            <v>25991</v>
          </cell>
          <cell r="EX16">
            <v>22761</v>
          </cell>
          <cell r="EY16">
            <v>16</v>
          </cell>
          <cell r="EZ16">
            <v>0</v>
          </cell>
          <cell r="FA16">
            <v>0</v>
          </cell>
          <cell r="FB16">
            <v>42703</v>
          </cell>
          <cell r="FD16">
            <v>17865</v>
          </cell>
          <cell r="FE16">
            <v>32</v>
          </cell>
        </row>
        <row r="17">
          <cell r="B17">
            <v>0.76</v>
          </cell>
          <cell r="E17">
            <v>468260</v>
          </cell>
          <cell r="F17">
            <v>512</v>
          </cell>
          <cell r="G17">
            <v>556</v>
          </cell>
          <cell r="H17">
            <v>652959</v>
          </cell>
          <cell r="I17">
            <v>300</v>
          </cell>
          <cell r="J17">
            <v>338</v>
          </cell>
          <cell r="K17">
            <v>58549</v>
          </cell>
          <cell r="L17">
            <v>5</v>
          </cell>
          <cell r="N17">
            <v>589502</v>
          </cell>
          <cell r="O17">
            <v>405</v>
          </cell>
          <cell r="Q17">
            <v>156722</v>
          </cell>
          <cell r="R17">
            <v>0</v>
          </cell>
          <cell r="S17">
            <v>82395</v>
          </cell>
          <cell r="T17">
            <v>220</v>
          </cell>
          <cell r="U17">
            <v>204</v>
          </cell>
          <cell r="V17">
            <v>4317</v>
          </cell>
          <cell r="W17">
            <v>46</v>
          </cell>
          <cell r="AB17">
            <v>5232089.5200000005</v>
          </cell>
          <cell r="AC17">
            <v>2387.2800000002608</v>
          </cell>
          <cell r="AD17">
            <v>1900.0800000000745</v>
          </cell>
          <cell r="AE17">
            <v>10221797.040000001</v>
          </cell>
          <cell r="AF17">
            <v>5018.160000000149</v>
          </cell>
          <cell r="AG17">
            <v>4359.1999999983236</v>
          </cell>
          <cell r="AH17">
            <v>9363253.1999999993</v>
          </cell>
          <cell r="AI17">
            <v>779.51999999955297</v>
          </cell>
          <cell r="AJ17">
            <v>8720.8800000008196</v>
          </cell>
          <cell r="AK17">
            <v>12795284.880000001</v>
          </cell>
          <cell r="AL17">
            <v>8477.2800000011921</v>
          </cell>
          <cell r="AM17">
            <v>12423.599999999627</v>
          </cell>
          <cell r="AN17">
            <v>12719671.439999999</v>
          </cell>
          <cell r="AO17">
            <v>12033.839999999851</v>
          </cell>
          <cell r="AP17">
            <v>1510.3199999984354</v>
          </cell>
          <cell r="AQ17">
            <v>11384548.559999999</v>
          </cell>
          <cell r="AR17">
            <v>7551.5999999996275</v>
          </cell>
          <cell r="AS17">
            <v>5943.839999999851</v>
          </cell>
          <cell r="AT17">
            <v>10007672.640000001</v>
          </cell>
          <cell r="AU17">
            <v>4920.7200000006706</v>
          </cell>
          <cell r="AV17">
            <v>5407.9199999999255</v>
          </cell>
          <cell r="AW17">
            <v>9624441.1199999992</v>
          </cell>
          <cell r="AX17">
            <v>4920.7199999988079</v>
          </cell>
          <cell r="AY17">
            <v>5066.8800000008196</v>
          </cell>
          <cell r="AZ17">
            <v>7742046.4799999995</v>
          </cell>
          <cell r="BA17">
            <v>3459.1200000001118</v>
          </cell>
          <cell r="BB17">
            <v>3995.0399999991059</v>
          </cell>
          <cell r="BC17">
            <v>11414803.68</v>
          </cell>
          <cell r="BD17">
            <v>4969.4399999994785</v>
          </cell>
          <cell r="BE17">
            <v>6284.8799999989569</v>
          </cell>
          <cell r="BJ17">
            <v>47402000</v>
          </cell>
          <cell r="BK17">
            <v>0</v>
          </cell>
          <cell r="BL17">
            <v>61500</v>
          </cell>
          <cell r="BM17">
            <v>52279200</v>
          </cell>
          <cell r="BN17">
            <v>41000</v>
          </cell>
          <cell r="BO17">
            <v>60300</v>
          </cell>
          <cell r="BP17">
            <v>45646100</v>
          </cell>
          <cell r="BQ17">
            <v>55500</v>
          </cell>
          <cell r="BR17">
            <v>0</v>
          </cell>
          <cell r="BS17">
            <v>3542320</v>
          </cell>
          <cell r="BT17">
            <v>5070</v>
          </cell>
          <cell r="BV17">
            <v>0.48</v>
          </cell>
          <cell r="BW17">
            <v>-4.0000000000000036E-2</v>
          </cell>
          <cell r="BX17">
            <v>-5.0000000000000044E-2</v>
          </cell>
          <cell r="BY17">
            <v>42731</v>
          </cell>
          <cell r="BZ17">
            <v>22</v>
          </cell>
          <cell r="CA17">
            <v>37947</v>
          </cell>
          <cell r="CB17">
            <v>16</v>
          </cell>
          <cell r="CC17">
            <v>12524</v>
          </cell>
          <cell r="CD17">
            <v>5</v>
          </cell>
          <cell r="CE17">
            <v>15619</v>
          </cell>
          <cell r="CF17">
            <v>10</v>
          </cell>
          <cell r="CG17">
            <v>17937</v>
          </cell>
          <cell r="CH17">
            <v>12</v>
          </cell>
          <cell r="CI17">
            <v>37983</v>
          </cell>
          <cell r="CJ17">
            <v>26</v>
          </cell>
          <cell r="CK17">
            <v>166695</v>
          </cell>
          <cell r="CL17">
            <v>85</v>
          </cell>
          <cell r="CM17">
            <v>79</v>
          </cell>
          <cell r="CN17">
            <v>118182</v>
          </cell>
          <cell r="CO17">
            <v>63</v>
          </cell>
          <cell r="CP17">
            <v>60</v>
          </cell>
          <cell r="CQ17">
            <v>215357</v>
          </cell>
          <cell r="CR17">
            <v>0</v>
          </cell>
          <cell r="CS17">
            <v>12</v>
          </cell>
          <cell r="CT17">
            <v>461261</v>
          </cell>
          <cell r="CU17">
            <v>192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17146</v>
          </cell>
          <cell r="DB17">
            <v>10</v>
          </cell>
          <cell r="DC17">
            <v>17930</v>
          </cell>
          <cell r="DD17">
            <v>10</v>
          </cell>
          <cell r="DE17">
            <v>12496</v>
          </cell>
          <cell r="DF17">
            <v>8</v>
          </cell>
          <cell r="DG17">
            <v>16572</v>
          </cell>
          <cell r="DH17">
            <v>7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479</v>
          </cell>
          <cell r="DN17">
            <v>6</v>
          </cell>
          <cell r="DO17">
            <v>716</v>
          </cell>
          <cell r="DP17">
            <v>1</v>
          </cell>
          <cell r="DQ17">
            <v>15628</v>
          </cell>
          <cell r="DR17">
            <v>20</v>
          </cell>
          <cell r="DT17">
            <v>2599941</v>
          </cell>
          <cell r="DU17">
            <v>1490</v>
          </cell>
          <cell r="DV17">
            <v>4089</v>
          </cell>
          <cell r="DW17">
            <v>3</v>
          </cell>
          <cell r="DX17">
            <v>1700953</v>
          </cell>
          <cell r="DY17">
            <v>1260</v>
          </cell>
          <cell r="DZ17">
            <v>244830</v>
          </cell>
          <cell r="EA17">
            <v>119</v>
          </cell>
          <cell r="ED17">
            <v>348730</v>
          </cell>
          <cell r="EE17">
            <v>600</v>
          </cell>
          <cell r="EF17">
            <v>72723</v>
          </cell>
          <cell r="EG17">
            <v>139</v>
          </cell>
          <cell r="EI17">
            <v>6389507</v>
          </cell>
          <cell r="EJ17">
            <v>7120</v>
          </cell>
          <cell r="EK17">
            <v>565940</v>
          </cell>
          <cell r="EL17">
            <v>450</v>
          </cell>
          <cell r="EM17">
            <v>4411800</v>
          </cell>
          <cell r="EN17">
            <v>3100</v>
          </cell>
          <cell r="EO17">
            <v>1956810</v>
          </cell>
          <cell r="EP17">
            <v>820</v>
          </cell>
          <cell r="EQ17">
            <v>662590</v>
          </cell>
          <cell r="ER17">
            <v>190</v>
          </cell>
          <cell r="ES17">
            <v>10447100</v>
          </cell>
          <cell r="ET17">
            <v>7500</v>
          </cell>
          <cell r="EV17">
            <v>26010</v>
          </cell>
          <cell r="EX17">
            <v>22776</v>
          </cell>
          <cell r="EY17">
            <v>15</v>
          </cell>
          <cell r="EZ17">
            <v>0</v>
          </cell>
          <cell r="FA17">
            <v>0</v>
          </cell>
          <cell r="FB17">
            <v>42703</v>
          </cell>
          <cell r="FD17">
            <v>17891</v>
          </cell>
          <cell r="FE17">
            <v>26</v>
          </cell>
        </row>
        <row r="18">
          <cell r="B18">
            <v>0.75</v>
          </cell>
          <cell r="E18">
            <v>468779</v>
          </cell>
          <cell r="F18">
            <v>519</v>
          </cell>
          <cell r="G18">
            <v>577</v>
          </cell>
          <cell r="H18">
            <v>653235</v>
          </cell>
          <cell r="I18">
            <v>276</v>
          </cell>
          <cell r="J18">
            <v>386</v>
          </cell>
          <cell r="K18">
            <v>58549</v>
          </cell>
          <cell r="L18">
            <v>0</v>
          </cell>
          <cell r="N18">
            <v>589915</v>
          </cell>
          <cell r="O18">
            <v>413</v>
          </cell>
          <cell r="Q18">
            <v>156722</v>
          </cell>
          <cell r="R18">
            <v>0</v>
          </cell>
          <cell r="S18">
            <v>82624</v>
          </cell>
          <cell r="T18">
            <v>229</v>
          </cell>
          <cell r="U18">
            <v>207</v>
          </cell>
          <cell r="V18">
            <v>4363</v>
          </cell>
          <cell r="W18">
            <v>46</v>
          </cell>
          <cell r="AB18">
            <v>5234525.5200000005</v>
          </cell>
          <cell r="AC18">
            <v>2436</v>
          </cell>
          <cell r="AD18">
            <v>2289.839999999851</v>
          </cell>
          <cell r="AE18">
            <v>10226863.92</v>
          </cell>
          <cell r="AF18">
            <v>5066.8799999989569</v>
          </cell>
          <cell r="AG18">
            <v>5359.2000000011176</v>
          </cell>
          <cell r="AH18">
            <v>9363691.6799999997</v>
          </cell>
          <cell r="AI18">
            <v>438.48000000044703</v>
          </cell>
          <cell r="AJ18">
            <v>9354.2399999992922</v>
          </cell>
          <cell r="AK18">
            <v>12806636.640000001</v>
          </cell>
          <cell r="AL18">
            <v>11351.759999999776</v>
          </cell>
          <cell r="AM18">
            <v>11692.800000000745</v>
          </cell>
          <cell r="AN18">
            <v>12732630.959999999</v>
          </cell>
          <cell r="AO18">
            <v>12959.519999999553</v>
          </cell>
          <cell r="AP18">
            <v>974.40000000037253</v>
          </cell>
          <cell r="AQ18">
            <v>11392246.319999998</v>
          </cell>
          <cell r="AR18">
            <v>7697.7599999997765</v>
          </cell>
          <cell r="AS18">
            <v>5895.1200000010431</v>
          </cell>
          <cell r="AT18">
            <v>10015614</v>
          </cell>
          <cell r="AU18">
            <v>7941.359999999404</v>
          </cell>
          <cell r="AV18">
            <v>5115.5999999996275</v>
          </cell>
          <cell r="AW18">
            <v>9629556.7199999988</v>
          </cell>
          <cell r="AX18">
            <v>5115.5999999996275</v>
          </cell>
          <cell r="AY18">
            <v>5310.4799999995157</v>
          </cell>
          <cell r="AZ18">
            <v>7745554.3200000003</v>
          </cell>
          <cell r="BA18">
            <v>3507.8400000007823</v>
          </cell>
          <cell r="BB18">
            <v>3946.320000000298</v>
          </cell>
          <cell r="BC18">
            <v>11420065.439999999</v>
          </cell>
          <cell r="BD18">
            <v>5261.7599999997765</v>
          </cell>
          <cell r="BE18">
            <v>5261.7599999997765</v>
          </cell>
          <cell r="BJ18">
            <v>47402000</v>
          </cell>
          <cell r="BK18">
            <v>0</v>
          </cell>
          <cell r="BL18">
            <v>61400</v>
          </cell>
          <cell r="BM18">
            <v>52331500</v>
          </cell>
          <cell r="BN18">
            <v>52300</v>
          </cell>
          <cell r="BO18">
            <v>0</v>
          </cell>
          <cell r="BP18">
            <v>45702100</v>
          </cell>
          <cell r="BQ18">
            <v>56000</v>
          </cell>
          <cell r="BR18">
            <v>0</v>
          </cell>
          <cell r="BS18">
            <v>3547320</v>
          </cell>
          <cell r="BT18">
            <v>5000</v>
          </cell>
          <cell r="BV18">
            <v>0.47</v>
          </cell>
          <cell r="BW18">
            <v>-1.0000000000000009E-2</v>
          </cell>
          <cell r="BX18">
            <v>-3.9999999999999925E-2</v>
          </cell>
          <cell r="BY18">
            <v>42748</v>
          </cell>
          <cell r="BZ18">
            <v>17</v>
          </cell>
          <cell r="CA18">
            <v>37961</v>
          </cell>
          <cell r="CB18">
            <v>14</v>
          </cell>
          <cell r="CC18">
            <v>12531</v>
          </cell>
          <cell r="CD18">
            <v>7</v>
          </cell>
          <cell r="CE18">
            <v>15628</v>
          </cell>
          <cell r="CF18">
            <v>9</v>
          </cell>
          <cell r="CG18">
            <v>17947</v>
          </cell>
          <cell r="CH18">
            <v>10</v>
          </cell>
          <cell r="CI18">
            <v>38007</v>
          </cell>
          <cell r="CJ18">
            <v>24</v>
          </cell>
          <cell r="CK18">
            <v>166779</v>
          </cell>
          <cell r="CL18">
            <v>84</v>
          </cell>
          <cell r="CM18">
            <v>82</v>
          </cell>
          <cell r="CN18">
            <v>118249</v>
          </cell>
          <cell r="CO18">
            <v>67</v>
          </cell>
          <cell r="CP18">
            <v>58</v>
          </cell>
          <cell r="CQ18">
            <v>215357</v>
          </cell>
          <cell r="CR18">
            <v>0</v>
          </cell>
          <cell r="CS18">
            <v>12</v>
          </cell>
          <cell r="CT18">
            <v>461449</v>
          </cell>
          <cell r="CU18">
            <v>188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17158</v>
          </cell>
          <cell r="DB18">
            <v>12</v>
          </cell>
          <cell r="DC18">
            <v>17944</v>
          </cell>
          <cell r="DD18">
            <v>14</v>
          </cell>
          <cell r="DE18">
            <v>12504</v>
          </cell>
          <cell r="DF18">
            <v>8</v>
          </cell>
          <cell r="DG18">
            <v>16579</v>
          </cell>
          <cell r="DH18">
            <v>7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489</v>
          </cell>
          <cell r="DN18">
            <v>10</v>
          </cell>
          <cell r="DO18">
            <v>717</v>
          </cell>
          <cell r="DP18">
            <v>1</v>
          </cell>
          <cell r="DQ18">
            <v>15662</v>
          </cell>
          <cell r="DR18">
            <v>34</v>
          </cell>
          <cell r="DT18">
            <v>2601475</v>
          </cell>
          <cell r="DU18">
            <v>1534</v>
          </cell>
          <cell r="DV18">
            <v>4094</v>
          </cell>
          <cell r="DW18">
            <v>5</v>
          </cell>
          <cell r="DX18">
            <v>1702185</v>
          </cell>
          <cell r="DY18">
            <v>1232</v>
          </cell>
          <cell r="DZ18">
            <v>244975</v>
          </cell>
          <cell r="EA18">
            <v>145</v>
          </cell>
          <cell r="ED18">
            <v>349325</v>
          </cell>
          <cell r="EE18">
            <v>595</v>
          </cell>
          <cell r="EF18">
            <v>72864</v>
          </cell>
          <cell r="EG18">
            <v>141</v>
          </cell>
          <cell r="EI18">
            <v>6397347</v>
          </cell>
          <cell r="EJ18">
            <v>7840</v>
          </cell>
          <cell r="EK18">
            <v>566390</v>
          </cell>
          <cell r="EL18">
            <v>450</v>
          </cell>
          <cell r="EM18">
            <v>4414900</v>
          </cell>
          <cell r="EN18">
            <v>3100</v>
          </cell>
          <cell r="EO18">
            <v>1957660</v>
          </cell>
          <cell r="EP18">
            <v>850</v>
          </cell>
          <cell r="EQ18">
            <v>662790</v>
          </cell>
          <cell r="ER18">
            <v>200</v>
          </cell>
          <cell r="ES18">
            <v>10454900</v>
          </cell>
          <cell r="ET18">
            <v>7800</v>
          </cell>
          <cell r="EV18">
            <v>26027</v>
          </cell>
          <cell r="EX18">
            <v>22793</v>
          </cell>
          <cell r="EY18">
            <v>17</v>
          </cell>
          <cell r="EZ18">
            <v>0</v>
          </cell>
          <cell r="FA18">
            <v>0</v>
          </cell>
          <cell r="FB18">
            <v>42703</v>
          </cell>
          <cell r="FD18">
            <v>17926</v>
          </cell>
          <cell r="FE18">
            <v>35</v>
          </cell>
        </row>
        <row r="19">
          <cell r="B19">
            <v>0.72</v>
          </cell>
          <cell r="E19">
            <v>469348</v>
          </cell>
          <cell r="F19">
            <v>569</v>
          </cell>
          <cell r="G19">
            <v>507</v>
          </cell>
          <cell r="H19">
            <v>653536</v>
          </cell>
          <cell r="I19">
            <v>301</v>
          </cell>
          <cell r="J19">
            <v>360</v>
          </cell>
          <cell r="K19">
            <v>58551</v>
          </cell>
          <cell r="L19">
            <v>2</v>
          </cell>
          <cell r="N19">
            <v>590297</v>
          </cell>
          <cell r="O19">
            <v>382</v>
          </cell>
          <cell r="Q19">
            <v>156722</v>
          </cell>
          <cell r="R19">
            <v>0</v>
          </cell>
          <cell r="S19">
            <v>82872</v>
          </cell>
          <cell r="T19">
            <v>248</v>
          </cell>
          <cell r="U19">
            <v>176</v>
          </cell>
          <cell r="V19">
            <v>4424</v>
          </cell>
          <cell r="W19">
            <v>61</v>
          </cell>
          <cell r="AB19">
            <v>5237112.5520000001</v>
          </cell>
          <cell r="AC19">
            <v>2587.0319999996573</v>
          </cell>
          <cell r="AD19">
            <v>2825.7599999997765</v>
          </cell>
          <cell r="AE19">
            <v>10231930.799999999</v>
          </cell>
          <cell r="AF19">
            <v>5066.8799999989569</v>
          </cell>
          <cell r="AG19">
            <v>5554.0800000000745</v>
          </cell>
          <cell r="AH19">
            <v>9364325.040000001</v>
          </cell>
          <cell r="AI19">
            <v>633.3600000012666</v>
          </cell>
          <cell r="AJ19">
            <v>5748.9600000008941</v>
          </cell>
          <cell r="AK19">
            <v>12817306.319999998</v>
          </cell>
          <cell r="AL19">
            <v>10669.679999997839</v>
          </cell>
          <cell r="AM19">
            <v>11254.320000000298</v>
          </cell>
          <cell r="AN19">
            <v>12746467.439999999</v>
          </cell>
          <cell r="AO19">
            <v>13836.480000000447</v>
          </cell>
          <cell r="AP19">
            <v>1461.5999999996275</v>
          </cell>
          <cell r="AQ19">
            <v>11400333.84</v>
          </cell>
          <cell r="AR19">
            <v>8087.5200000014156</v>
          </cell>
          <cell r="AS19">
            <v>5895.1200000010431</v>
          </cell>
          <cell r="AT19">
            <v>10018050</v>
          </cell>
          <cell r="AU19">
            <v>2436</v>
          </cell>
          <cell r="AV19">
            <v>5359.2000000001863</v>
          </cell>
          <cell r="AW19">
            <v>9634477.4399999995</v>
          </cell>
          <cell r="AX19">
            <v>4920.7200000006706</v>
          </cell>
          <cell r="AY19">
            <v>4920.7200000006706</v>
          </cell>
          <cell r="AZ19">
            <v>7749451.9199999999</v>
          </cell>
          <cell r="BA19">
            <v>3897.5999999996275</v>
          </cell>
          <cell r="BB19">
            <v>3312.9600000008941</v>
          </cell>
          <cell r="BC19">
            <v>11428347.84</v>
          </cell>
          <cell r="BD19">
            <v>8282.4000000003725</v>
          </cell>
          <cell r="BE19">
            <v>5797.6800000015646</v>
          </cell>
          <cell r="BJ19">
            <v>47402000</v>
          </cell>
          <cell r="BK19">
            <v>0</v>
          </cell>
          <cell r="BL19">
            <v>63500</v>
          </cell>
          <cell r="BM19">
            <v>52381400</v>
          </cell>
          <cell r="BN19">
            <v>49900</v>
          </cell>
          <cell r="BO19">
            <v>0</v>
          </cell>
          <cell r="BP19">
            <v>45763900</v>
          </cell>
          <cell r="BQ19">
            <v>61800</v>
          </cell>
          <cell r="BR19">
            <v>900</v>
          </cell>
          <cell r="BS19">
            <v>3552540</v>
          </cell>
          <cell r="BT19">
            <v>5220</v>
          </cell>
          <cell r="BV19">
            <v>0.44</v>
          </cell>
          <cell r="BW19">
            <v>-2.9999999999999971E-2</v>
          </cell>
          <cell r="BX19">
            <v>-3.0000000000000027E-2</v>
          </cell>
          <cell r="BY19">
            <v>42769</v>
          </cell>
          <cell r="BZ19">
            <v>21</v>
          </cell>
          <cell r="CA19">
            <v>37981</v>
          </cell>
          <cell r="CB19">
            <v>20</v>
          </cell>
          <cell r="CC19">
            <v>12537</v>
          </cell>
          <cell r="CD19">
            <v>6</v>
          </cell>
          <cell r="CE19">
            <v>15638</v>
          </cell>
          <cell r="CF19">
            <v>10</v>
          </cell>
          <cell r="CG19">
            <v>17958</v>
          </cell>
          <cell r="CH19">
            <v>11</v>
          </cell>
          <cell r="CI19">
            <v>38032</v>
          </cell>
          <cell r="CJ19">
            <v>25</v>
          </cell>
          <cell r="CK19">
            <v>166872</v>
          </cell>
          <cell r="CL19">
            <v>93</v>
          </cell>
          <cell r="CM19">
            <v>82</v>
          </cell>
          <cell r="CN19">
            <v>118319</v>
          </cell>
          <cell r="CO19">
            <v>70</v>
          </cell>
          <cell r="CP19">
            <v>54</v>
          </cell>
          <cell r="CQ19">
            <v>215365</v>
          </cell>
          <cell r="CR19">
            <v>8</v>
          </cell>
          <cell r="CS19">
            <v>11</v>
          </cell>
          <cell r="CT19">
            <v>461657</v>
          </cell>
          <cell r="CU19">
            <v>208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17172</v>
          </cell>
          <cell r="DB19">
            <v>14</v>
          </cell>
          <cell r="DC19">
            <v>17961</v>
          </cell>
          <cell r="DD19">
            <v>17</v>
          </cell>
          <cell r="DE19">
            <v>12513</v>
          </cell>
          <cell r="DF19">
            <v>9</v>
          </cell>
          <cell r="DG19">
            <v>16586</v>
          </cell>
          <cell r="DH19">
            <v>7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497</v>
          </cell>
          <cell r="DN19">
            <v>8</v>
          </cell>
          <cell r="DO19">
            <v>719</v>
          </cell>
          <cell r="DP19">
            <v>2</v>
          </cell>
          <cell r="DQ19">
            <v>15687</v>
          </cell>
          <cell r="DR19">
            <v>25</v>
          </cell>
          <cell r="DT19">
            <v>2603058</v>
          </cell>
          <cell r="DU19">
            <v>1583</v>
          </cell>
          <cell r="DV19">
            <v>4099</v>
          </cell>
          <cell r="DW19">
            <v>5</v>
          </cell>
          <cell r="DX19">
            <v>1703461</v>
          </cell>
          <cell r="DY19">
            <v>1276</v>
          </cell>
          <cell r="DZ19">
            <v>245108</v>
          </cell>
          <cell r="EA19">
            <v>133</v>
          </cell>
          <cell r="ED19">
            <v>349886</v>
          </cell>
          <cell r="EE19">
            <v>561</v>
          </cell>
          <cell r="EF19">
            <v>73008</v>
          </cell>
          <cell r="EG19">
            <v>144</v>
          </cell>
          <cell r="EI19">
            <v>6405187</v>
          </cell>
          <cell r="EJ19">
            <v>7840</v>
          </cell>
          <cell r="EK19">
            <v>566790</v>
          </cell>
          <cell r="EL19">
            <v>400</v>
          </cell>
          <cell r="EM19">
            <v>4418000</v>
          </cell>
          <cell r="EN19">
            <v>3100</v>
          </cell>
          <cell r="EO19">
            <v>1958260</v>
          </cell>
          <cell r="EP19">
            <v>600</v>
          </cell>
          <cell r="EQ19">
            <v>662970</v>
          </cell>
          <cell r="ER19">
            <v>180</v>
          </cell>
          <cell r="ES19">
            <v>10462900</v>
          </cell>
          <cell r="ET19">
            <v>8000</v>
          </cell>
          <cell r="EV19">
            <v>26050</v>
          </cell>
          <cell r="EX19">
            <v>22811</v>
          </cell>
          <cell r="EY19">
            <v>18</v>
          </cell>
          <cell r="EZ19">
            <v>0</v>
          </cell>
          <cell r="FA19">
            <v>0</v>
          </cell>
          <cell r="FB19">
            <v>42703</v>
          </cell>
          <cell r="FD19">
            <v>17957</v>
          </cell>
          <cell r="FE19">
            <v>31</v>
          </cell>
        </row>
        <row r="20">
          <cell r="B20">
            <v>0.81</v>
          </cell>
          <cell r="E20">
            <v>469930</v>
          </cell>
          <cell r="F20">
            <v>582</v>
          </cell>
          <cell r="G20">
            <v>503</v>
          </cell>
          <cell r="H20">
            <v>653878</v>
          </cell>
          <cell r="I20">
            <v>342</v>
          </cell>
          <cell r="J20">
            <v>387</v>
          </cell>
          <cell r="K20">
            <v>58552</v>
          </cell>
          <cell r="L20">
            <v>1</v>
          </cell>
          <cell r="N20">
            <v>590707</v>
          </cell>
          <cell r="O20">
            <v>410</v>
          </cell>
          <cell r="Q20">
            <v>156722</v>
          </cell>
          <cell r="R20">
            <v>0</v>
          </cell>
          <cell r="S20">
            <v>83118</v>
          </cell>
          <cell r="T20">
            <v>246</v>
          </cell>
          <cell r="U20">
            <v>179</v>
          </cell>
          <cell r="V20">
            <v>4468</v>
          </cell>
          <cell r="W20">
            <v>44</v>
          </cell>
          <cell r="AB20">
            <v>5239348.8</v>
          </cell>
          <cell r="AC20">
            <v>2236.2479999996722</v>
          </cell>
          <cell r="AD20">
            <v>2825.7600000007078</v>
          </cell>
          <cell r="AE20">
            <v>10236900.24</v>
          </cell>
          <cell r="AF20">
            <v>4969.4400000013411</v>
          </cell>
          <cell r="AG20">
            <v>5213.0400000009686</v>
          </cell>
          <cell r="AH20">
            <v>9366566.1600000001</v>
          </cell>
          <cell r="AI20">
            <v>2241.1199999991804</v>
          </cell>
          <cell r="AJ20">
            <v>4092.4799999995157</v>
          </cell>
          <cell r="AK20">
            <v>12827391.359999999</v>
          </cell>
          <cell r="AL20">
            <v>10085.040000000969</v>
          </cell>
          <cell r="AM20">
            <v>10913.279999999329</v>
          </cell>
          <cell r="AN20">
            <v>12760109.040000001</v>
          </cell>
          <cell r="AO20">
            <v>13641.60000000149</v>
          </cell>
          <cell r="AP20">
            <v>925.68000000156462</v>
          </cell>
          <cell r="AQ20">
            <v>11403110.880000001</v>
          </cell>
          <cell r="AR20">
            <v>2777.0400000009686</v>
          </cell>
          <cell r="AS20">
            <v>5895.1199999991804</v>
          </cell>
          <cell r="AT20">
            <v>10023360.48</v>
          </cell>
          <cell r="AU20">
            <v>5310.480000000447</v>
          </cell>
          <cell r="AV20">
            <v>4872</v>
          </cell>
          <cell r="AW20">
            <v>9639690.4800000004</v>
          </cell>
          <cell r="AX20">
            <v>5213.0400000009686</v>
          </cell>
          <cell r="AY20">
            <v>4872</v>
          </cell>
          <cell r="AZ20">
            <v>7753057.2000000002</v>
          </cell>
          <cell r="BA20">
            <v>3605.2800000002608</v>
          </cell>
          <cell r="BB20">
            <v>3410.3999999994412</v>
          </cell>
          <cell r="BC20">
            <v>11430588.959999999</v>
          </cell>
          <cell r="BD20">
            <v>2241.1199999991804</v>
          </cell>
          <cell r="BE20">
            <v>5700.2400000002235</v>
          </cell>
          <cell r="BJ20">
            <v>47406500</v>
          </cell>
          <cell r="BK20">
            <v>4500</v>
          </cell>
          <cell r="BL20">
            <v>24800</v>
          </cell>
          <cell r="BM20">
            <v>52432200</v>
          </cell>
          <cell r="BN20">
            <v>50800</v>
          </cell>
          <cell r="BO20">
            <v>55500</v>
          </cell>
          <cell r="BP20">
            <v>45823500</v>
          </cell>
          <cell r="BQ20">
            <v>59600</v>
          </cell>
          <cell r="BR20">
            <v>0</v>
          </cell>
          <cell r="BS20">
            <v>3558300</v>
          </cell>
          <cell r="BT20">
            <v>5760</v>
          </cell>
          <cell r="BV20">
            <v>0.62</v>
          </cell>
          <cell r="BW20">
            <v>0.18</v>
          </cell>
          <cell r="BX20">
            <v>-4.0000000000000036E-2</v>
          </cell>
          <cell r="BY20">
            <v>42789</v>
          </cell>
          <cell r="BZ20">
            <v>20</v>
          </cell>
          <cell r="CA20">
            <v>37997</v>
          </cell>
          <cell r="CB20">
            <v>16</v>
          </cell>
          <cell r="CC20">
            <v>12544</v>
          </cell>
          <cell r="CD20">
            <v>7</v>
          </cell>
          <cell r="CE20">
            <v>15649</v>
          </cell>
          <cell r="CF20">
            <v>11</v>
          </cell>
          <cell r="CG20">
            <v>17973</v>
          </cell>
          <cell r="CH20">
            <v>15</v>
          </cell>
          <cell r="CI20">
            <v>38059</v>
          </cell>
          <cell r="CJ20">
            <v>27</v>
          </cell>
          <cell r="CK20">
            <v>166953</v>
          </cell>
          <cell r="CL20">
            <v>81</v>
          </cell>
          <cell r="CM20">
            <v>79</v>
          </cell>
          <cell r="CN20">
            <v>118383</v>
          </cell>
          <cell r="CO20">
            <v>64</v>
          </cell>
          <cell r="CP20">
            <v>58</v>
          </cell>
          <cell r="CQ20">
            <v>215365</v>
          </cell>
          <cell r="CR20">
            <v>0</v>
          </cell>
          <cell r="CS20">
            <v>12</v>
          </cell>
          <cell r="CT20">
            <v>461839</v>
          </cell>
          <cell r="CU20">
            <v>182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17193</v>
          </cell>
          <cell r="DB20">
            <v>21</v>
          </cell>
          <cell r="DC20">
            <v>17981</v>
          </cell>
          <cell r="DD20">
            <v>20</v>
          </cell>
          <cell r="DE20">
            <v>12523</v>
          </cell>
          <cell r="DF20">
            <v>10</v>
          </cell>
          <cell r="DG20">
            <v>16594</v>
          </cell>
          <cell r="DH20">
            <v>8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506</v>
          </cell>
          <cell r="DN20">
            <v>9</v>
          </cell>
          <cell r="DO20">
            <v>722</v>
          </cell>
          <cell r="DP20">
            <v>3</v>
          </cell>
          <cell r="DQ20">
            <v>15716</v>
          </cell>
          <cell r="DR20">
            <v>29</v>
          </cell>
          <cell r="DT20">
            <v>2604687</v>
          </cell>
          <cell r="DU20">
            <v>1629</v>
          </cell>
          <cell r="DV20">
            <v>4103</v>
          </cell>
          <cell r="DW20">
            <v>4</v>
          </cell>
          <cell r="DX20">
            <v>1704762</v>
          </cell>
          <cell r="DY20">
            <v>1301</v>
          </cell>
          <cell r="DZ20">
            <v>245240</v>
          </cell>
          <cell r="EA20">
            <v>132</v>
          </cell>
          <cell r="ED20">
            <v>350446</v>
          </cell>
          <cell r="EE20">
            <v>560</v>
          </cell>
          <cell r="EF20">
            <v>73150</v>
          </cell>
          <cell r="EG20">
            <v>142</v>
          </cell>
          <cell r="EI20">
            <v>6413027</v>
          </cell>
          <cell r="EJ20">
            <v>7840</v>
          </cell>
          <cell r="EK20">
            <v>567240</v>
          </cell>
          <cell r="EL20">
            <v>450</v>
          </cell>
          <cell r="EM20">
            <v>4421100</v>
          </cell>
          <cell r="EN20">
            <v>3100</v>
          </cell>
          <cell r="EO20">
            <v>1958910</v>
          </cell>
          <cell r="EP20">
            <v>650</v>
          </cell>
          <cell r="EQ20">
            <v>663170</v>
          </cell>
          <cell r="ER20">
            <v>200</v>
          </cell>
          <cell r="ES20">
            <v>10468400</v>
          </cell>
          <cell r="ET20">
            <v>5500</v>
          </cell>
          <cell r="EV20">
            <v>26071</v>
          </cell>
          <cell r="EX20">
            <v>22829</v>
          </cell>
          <cell r="EY20">
            <v>18</v>
          </cell>
          <cell r="EZ20">
            <v>0</v>
          </cell>
          <cell r="FA20">
            <v>0</v>
          </cell>
          <cell r="FB20">
            <v>42703</v>
          </cell>
          <cell r="FD20">
            <v>17991</v>
          </cell>
          <cell r="FE20">
            <v>34</v>
          </cell>
        </row>
        <row r="21">
          <cell r="B21">
            <v>0.88</v>
          </cell>
          <cell r="E21">
            <v>470475</v>
          </cell>
          <cell r="F21">
            <v>545</v>
          </cell>
          <cell r="G21">
            <v>511</v>
          </cell>
          <cell r="H21">
            <v>654223</v>
          </cell>
          <cell r="I21">
            <v>345</v>
          </cell>
          <cell r="J21">
            <v>376</v>
          </cell>
          <cell r="K21">
            <v>311</v>
          </cell>
          <cell r="L21">
            <v>-58241</v>
          </cell>
          <cell r="N21">
            <v>591099</v>
          </cell>
          <cell r="O21">
            <v>392</v>
          </cell>
          <cell r="Q21">
            <v>156722</v>
          </cell>
          <cell r="R21">
            <v>0</v>
          </cell>
          <cell r="S21">
            <v>83332</v>
          </cell>
          <cell r="T21">
            <v>214</v>
          </cell>
          <cell r="U21">
            <v>169</v>
          </cell>
          <cell r="V21">
            <v>4519</v>
          </cell>
          <cell r="W21">
            <v>51</v>
          </cell>
          <cell r="AB21">
            <v>5242320.72</v>
          </cell>
          <cell r="AC21">
            <v>2971.9199999999255</v>
          </cell>
          <cell r="AD21">
            <v>2874.4799999995157</v>
          </cell>
          <cell r="AE21">
            <v>10241626.08</v>
          </cell>
          <cell r="AF21">
            <v>4725.839999999851</v>
          </cell>
          <cell r="AG21">
            <v>5407.9199999980628</v>
          </cell>
          <cell r="AH21">
            <v>9378161.5199999996</v>
          </cell>
          <cell r="AI21">
            <v>11595.359999999404</v>
          </cell>
          <cell r="AJ21">
            <v>4872</v>
          </cell>
          <cell r="AK21">
            <v>12827829.84</v>
          </cell>
          <cell r="AL21">
            <v>438.48000000044703</v>
          </cell>
          <cell r="AM21">
            <v>11985.120000001043</v>
          </cell>
          <cell r="AN21">
            <v>12767417.040000001</v>
          </cell>
          <cell r="AO21">
            <v>7308</v>
          </cell>
          <cell r="AP21">
            <v>925.67999999970198</v>
          </cell>
          <cell r="AQ21">
            <v>11415242.16</v>
          </cell>
          <cell r="AR21">
            <v>12131.279999999329</v>
          </cell>
          <cell r="AS21">
            <v>6090</v>
          </cell>
          <cell r="AT21">
            <v>10028232.48</v>
          </cell>
          <cell r="AU21">
            <v>4872</v>
          </cell>
          <cell r="AV21">
            <v>5554.0800000000745</v>
          </cell>
          <cell r="AW21">
            <v>9644318.8800000008</v>
          </cell>
          <cell r="AX21">
            <v>4628.4000000003725</v>
          </cell>
          <cell r="AY21">
            <v>5213.0399999991059</v>
          </cell>
          <cell r="AZ21">
            <v>7756321.4400000004</v>
          </cell>
          <cell r="BA21">
            <v>3264.2400000002235</v>
          </cell>
          <cell r="BB21">
            <v>3897.6000000005588</v>
          </cell>
          <cell r="BC21">
            <v>11435607.119999999</v>
          </cell>
          <cell r="BD21">
            <v>5018.160000000149</v>
          </cell>
          <cell r="BE21">
            <v>5943.839999999851</v>
          </cell>
          <cell r="BJ21">
            <v>47463800</v>
          </cell>
          <cell r="BK21">
            <v>57300</v>
          </cell>
          <cell r="BL21">
            <v>25700</v>
          </cell>
          <cell r="BM21">
            <v>52432200</v>
          </cell>
          <cell r="BN21">
            <v>0</v>
          </cell>
          <cell r="BO21">
            <v>54700</v>
          </cell>
          <cell r="BP21">
            <v>45861100</v>
          </cell>
          <cell r="BQ21">
            <v>37600</v>
          </cell>
          <cell r="BR21">
            <v>0</v>
          </cell>
          <cell r="BS21">
            <v>3563900</v>
          </cell>
          <cell r="BT21">
            <v>5600</v>
          </cell>
          <cell r="BV21">
            <v>0.57999999999999996</v>
          </cell>
          <cell r="BW21">
            <v>-4.0000000000000036E-2</v>
          </cell>
          <cell r="BX21">
            <v>-2.0000000000000018E-2</v>
          </cell>
          <cell r="BY21">
            <v>42809</v>
          </cell>
          <cell r="BZ21">
            <v>20</v>
          </cell>
          <cell r="CA21">
            <v>38015</v>
          </cell>
          <cell r="CB21">
            <v>18</v>
          </cell>
          <cell r="CC21">
            <v>12552</v>
          </cell>
          <cell r="CD21">
            <v>8</v>
          </cell>
          <cell r="CE21">
            <v>15658</v>
          </cell>
          <cell r="CF21">
            <v>9</v>
          </cell>
          <cell r="CG21">
            <v>17979</v>
          </cell>
          <cell r="CH21">
            <v>6</v>
          </cell>
          <cell r="CI21">
            <v>38084</v>
          </cell>
          <cell r="CJ21">
            <v>25</v>
          </cell>
          <cell r="CK21">
            <v>167035</v>
          </cell>
          <cell r="CL21">
            <v>82</v>
          </cell>
          <cell r="CM21">
            <v>82</v>
          </cell>
          <cell r="CN21">
            <v>118454</v>
          </cell>
          <cell r="CO21">
            <v>71</v>
          </cell>
          <cell r="CP21">
            <v>63</v>
          </cell>
          <cell r="CQ21">
            <v>215365</v>
          </cell>
          <cell r="CR21">
            <v>0</v>
          </cell>
          <cell r="CS21">
            <v>13</v>
          </cell>
          <cell r="CT21">
            <v>462022</v>
          </cell>
          <cell r="CU21">
            <v>183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17221</v>
          </cell>
          <cell r="DB21">
            <v>28</v>
          </cell>
          <cell r="DC21">
            <v>18007</v>
          </cell>
          <cell r="DD21">
            <v>26</v>
          </cell>
          <cell r="DE21">
            <v>12539</v>
          </cell>
          <cell r="DF21">
            <v>16</v>
          </cell>
          <cell r="DG21">
            <v>16601</v>
          </cell>
          <cell r="DH21">
            <v>7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514</v>
          </cell>
          <cell r="DN21">
            <v>8</v>
          </cell>
          <cell r="DO21">
            <v>724</v>
          </cell>
          <cell r="DP21">
            <v>2</v>
          </cell>
          <cell r="DQ21">
            <v>15741</v>
          </cell>
          <cell r="DR21">
            <v>25</v>
          </cell>
          <cell r="DT21">
            <v>2606187</v>
          </cell>
          <cell r="DU21">
            <v>1500</v>
          </cell>
          <cell r="DV21">
            <v>4106</v>
          </cell>
          <cell r="DW21">
            <v>3</v>
          </cell>
          <cell r="DX21">
            <v>1706002</v>
          </cell>
          <cell r="DY21">
            <v>1240</v>
          </cell>
          <cell r="DZ21">
            <v>245380</v>
          </cell>
          <cell r="EA21">
            <v>140</v>
          </cell>
          <cell r="ED21">
            <v>351026</v>
          </cell>
          <cell r="EE21">
            <v>580</v>
          </cell>
          <cell r="EF21">
            <v>73300</v>
          </cell>
          <cell r="EG21">
            <v>150</v>
          </cell>
          <cell r="EI21">
            <v>6420867</v>
          </cell>
          <cell r="EJ21">
            <v>7840</v>
          </cell>
          <cell r="EK21">
            <v>567690</v>
          </cell>
          <cell r="EL21">
            <v>450</v>
          </cell>
          <cell r="EM21">
            <v>4424200</v>
          </cell>
          <cell r="EN21">
            <v>3100</v>
          </cell>
          <cell r="EO21">
            <v>1959510</v>
          </cell>
          <cell r="EP21">
            <v>600</v>
          </cell>
          <cell r="EQ21">
            <v>663380</v>
          </cell>
          <cell r="ER21">
            <v>210</v>
          </cell>
          <cell r="ES21">
            <v>10474000</v>
          </cell>
          <cell r="ET21">
            <v>5600</v>
          </cell>
          <cell r="EV21">
            <v>26091</v>
          </cell>
          <cell r="EX21">
            <v>22845</v>
          </cell>
          <cell r="EY21">
            <v>16</v>
          </cell>
          <cell r="EZ21">
            <v>0</v>
          </cell>
          <cell r="FA21">
            <v>0</v>
          </cell>
          <cell r="FB21">
            <v>42703</v>
          </cell>
          <cell r="FD21">
            <v>18021</v>
          </cell>
          <cell r="FE21">
            <v>30</v>
          </cell>
        </row>
        <row r="22">
          <cell r="B22">
            <v>0.72</v>
          </cell>
          <cell r="E22">
            <v>471021</v>
          </cell>
          <cell r="F22">
            <v>546</v>
          </cell>
          <cell r="G22">
            <v>489</v>
          </cell>
          <cell r="H22">
            <v>654567</v>
          </cell>
          <cell r="I22">
            <v>344</v>
          </cell>
          <cell r="J22">
            <v>366</v>
          </cell>
          <cell r="K22">
            <v>671</v>
          </cell>
          <cell r="L22">
            <v>360</v>
          </cell>
          <cell r="N22">
            <v>591286</v>
          </cell>
          <cell r="O22">
            <v>187</v>
          </cell>
          <cell r="Q22">
            <v>156722</v>
          </cell>
          <cell r="R22">
            <v>0</v>
          </cell>
          <cell r="S22">
            <v>83565</v>
          </cell>
          <cell r="T22">
            <v>233</v>
          </cell>
          <cell r="U22">
            <v>157</v>
          </cell>
          <cell r="V22">
            <v>4590</v>
          </cell>
          <cell r="W22">
            <v>71</v>
          </cell>
          <cell r="AB22">
            <v>5245243.92</v>
          </cell>
          <cell r="AC22">
            <v>2923.2000000001863</v>
          </cell>
          <cell r="AD22">
            <v>3848.8799999998882</v>
          </cell>
          <cell r="AE22">
            <v>10246839.119999999</v>
          </cell>
          <cell r="AF22">
            <v>5213.0399999991059</v>
          </cell>
          <cell r="AG22">
            <v>5407.9200000017881</v>
          </cell>
          <cell r="AH22">
            <v>9389805.5999999996</v>
          </cell>
          <cell r="AI22">
            <v>11644.080000000075</v>
          </cell>
          <cell r="AJ22">
            <v>438.47999999951571</v>
          </cell>
          <cell r="AK22">
            <v>12828317.040000001</v>
          </cell>
          <cell r="AL22">
            <v>487.20000000111759</v>
          </cell>
          <cell r="AM22">
            <v>5797.679999999702</v>
          </cell>
          <cell r="AN22">
            <v>12773896.799999999</v>
          </cell>
          <cell r="AO22">
            <v>6479.7599999979138</v>
          </cell>
          <cell r="AP22">
            <v>10620.960000000894</v>
          </cell>
          <cell r="AQ22">
            <v>11422793.76</v>
          </cell>
          <cell r="AR22">
            <v>7551.5999999996275</v>
          </cell>
          <cell r="AS22">
            <v>6187.4399999994785</v>
          </cell>
          <cell r="AT22">
            <v>10033445.52</v>
          </cell>
          <cell r="AU22">
            <v>5213.0399999991059</v>
          </cell>
          <cell r="AV22">
            <v>5261.7600000007078</v>
          </cell>
          <cell r="AW22">
            <v>9649629.3599999994</v>
          </cell>
          <cell r="AX22">
            <v>5310.4799999985844</v>
          </cell>
          <cell r="AY22">
            <v>5066.8799999998882</v>
          </cell>
          <cell r="AZ22">
            <v>7759731.8399999999</v>
          </cell>
          <cell r="BA22">
            <v>3410.3999999994412</v>
          </cell>
          <cell r="BB22">
            <v>3800.1599999992177</v>
          </cell>
          <cell r="BC22">
            <v>11440868.880000001</v>
          </cell>
          <cell r="BD22">
            <v>5261.7600000016391</v>
          </cell>
          <cell r="BE22">
            <v>5943.839999999851</v>
          </cell>
          <cell r="BJ22">
            <v>47521100</v>
          </cell>
          <cell r="BK22">
            <v>57300</v>
          </cell>
          <cell r="BL22">
            <v>0</v>
          </cell>
          <cell r="BM22">
            <v>52432200</v>
          </cell>
          <cell r="BN22">
            <v>0</v>
          </cell>
          <cell r="BO22">
            <v>34700</v>
          </cell>
          <cell r="BP22">
            <v>45892500</v>
          </cell>
          <cell r="BQ22">
            <v>31400</v>
          </cell>
          <cell r="BR22">
            <v>40700</v>
          </cell>
          <cell r="BS22">
            <v>3569990</v>
          </cell>
          <cell r="BT22">
            <v>6090</v>
          </cell>
          <cell r="BV22">
            <v>0.54</v>
          </cell>
          <cell r="BW22">
            <v>-3.9999999999999925E-2</v>
          </cell>
          <cell r="BX22">
            <v>-5.0000000000000044E-2</v>
          </cell>
          <cell r="BY22">
            <v>42834</v>
          </cell>
          <cell r="BZ22">
            <v>25</v>
          </cell>
          <cell r="CA22">
            <v>38035</v>
          </cell>
          <cell r="CB22">
            <v>20</v>
          </cell>
          <cell r="CC22">
            <v>12559</v>
          </cell>
          <cell r="CD22">
            <v>7</v>
          </cell>
          <cell r="CE22">
            <v>15670</v>
          </cell>
          <cell r="CF22">
            <v>12</v>
          </cell>
          <cell r="CG22">
            <v>17994</v>
          </cell>
          <cell r="CH22">
            <v>15</v>
          </cell>
          <cell r="CI22">
            <v>38110</v>
          </cell>
          <cell r="CJ22">
            <v>26</v>
          </cell>
          <cell r="CK22">
            <v>167121</v>
          </cell>
          <cell r="CL22">
            <v>86</v>
          </cell>
          <cell r="CM22">
            <v>82</v>
          </cell>
          <cell r="CN22">
            <v>118524</v>
          </cell>
          <cell r="CO22">
            <v>70</v>
          </cell>
          <cell r="CP22">
            <v>62</v>
          </cell>
          <cell r="CQ22">
            <v>215365</v>
          </cell>
          <cell r="CR22">
            <v>0</v>
          </cell>
          <cell r="CS22">
            <v>13</v>
          </cell>
          <cell r="CT22">
            <v>462214</v>
          </cell>
          <cell r="CU22">
            <v>192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17233</v>
          </cell>
          <cell r="DB22">
            <v>12</v>
          </cell>
          <cell r="DC22">
            <v>18019</v>
          </cell>
          <cell r="DD22">
            <v>12</v>
          </cell>
          <cell r="DE22">
            <v>12539</v>
          </cell>
          <cell r="DF22">
            <v>0</v>
          </cell>
          <cell r="DG22">
            <v>16619</v>
          </cell>
          <cell r="DH22">
            <v>18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520</v>
          </cell>
          <cell r="DN22">
            <v>6</v>
          </cell>
          <cell r="DO22">
            <v>725</v>
          </cell>
          <cell r="DP22">
            <v>1</v>
          </cell>
          <cell r="DQ22">
            <v>15756</v>
          </cell>
          <cell r="DR22">
            <v>15</v>
          </cell>
          <cell r="DT22">
            <v>2607775</v>
          </cell>
          <cell r="DU22">
            <v>1588</v>
          </cell>
          <cell r="DV22">
            <v>4109</v>
          </cell>
          <cell r="DW22">
            <v>3</v>
          </cell>
          <cell r="DX22">
            <v>1707317</v>
          </cell>
          <cell r="DY22">
            <v>1315</v>
          </cell>
          <cell r="DZ22">
            <v>245506</v>
          </cell>
          <cell r="EA22">
            <v>126</v>
          </cell>
          <cell r="ED22">
            <v>351582</v>
          </cell>
          <cell r="EE22">
            <v>556</v>
          </cell>
          <cell r="EF22">
            <v>73432</v>
          </cell>
          <cell r="EG22">
            <v>132</v>
          </cell>
          <cell r="EI22">
            <v>6427367</v>
          </cell>
          <cell r="EJ22">
            <v>6500</v>
          </cell>
          <cell r="EK22">
            <v>568140</v>
          </cell>
          <cell r="EL22">
            <v>450</v>
          </cell>
          <cell r="EM22">
            <v>4428100</v>
          </cell>
          <cell r="EN22">
            <v>3900</v>
          </cell>
          <cell r="EO22">
            <v>1960130</v>
          </cell>
          <cell r="EP22">
            <v>620</v>
          </cell>
          <cell r="EQ22">
            <v>663600</v>
          </cell>
          <cell r="ER22">
            <v>220</v>
          </cell>
          <cell r="ES22">
            <v>10482000</v>
          </cell>
          <cell r="ET22">
            <v>8000</v>
          </cell>
          <cell r="EV22">
            <v>26110</v>
          </cell>
          <cell r="EX22">
            <v>22862</v>
          </cell>
          <cell r="EY22">
            <v>17</v>
          </cell>
          <cell r="EZ22">
            <v>0</v>
          </cell>
          <cell r="FA22">
            <v>0</v>
          </cell>
          <cell r="FB22">
            <v>42703</v>
          </cell>
          <cell r="FD22">
            <v>18051</v>
          </cell>
          <cell r="FE22">
            <v>30</v>
          </cell>
        </row>
        <row r="23">
          <cell r="B23">
            <v>0.66</v>
          </cell>
          <cell r="E23">
            <v>471532</v>
          </cell>
          <cell r="F23">
            <v>511</v>
          </cell>
          <cell r="G23">
            <v>497</v>
          </cell>
          <cell r="H23">
            <v>654880</v>
          </cell>
          <cell r="I23">
            <v>313</v>
          </cell>
          <cell r="J23">
            <v>382</v>
          </cell>
          <cell r="K23">
            <v>996</v>
          </cell>
          <cell r="L23">
            <v>325</v>
          </cell>
          <cell r="N23">
            <v>591652</v>
          </cell>
          <cell r="O23">
            <v>366</v>
          </cell>
          <cell r="Q23">
            <v>156722</v>
          </cell>
          <cell r="R23">
            <v>0</v>
          </cell>
          <cell r="S23">
            <v>83766</v>
          </cell>
          <cell r="T23">
            <v>201</v>
          </cell>
          <cell r="U23">
            <v>205</v>
          </cell>
          <cell r="V23">
            <v>4635</v>
          </cell>
          <cell r="W23">
            <v>45</v>
          </cell>
          <cell r="AB23">
            <v>5248362</v>
          </cell>
          <cell r="AC23">
            <v>3118.0800000000745</v>
          </cell>
          <cell r="AD23">
            <v>2582.1600000010803</v>
          </cell>
          <cell r="AE23">
            <v>10251613.68</v>
          </cell>
          <cell r="AF23">
            <v>4774.5600000005215</v>
          </cell>
          <cell r="AG23">
            <v>5213.0399999991059</v>
          </cell>
          <cell r="AH23">
            <v>9400718.8800000008</v>
          </cell>
          <cell r="AI23">
            <v>10913.280000001192</v>
          </cell>
          <cell r="AJ23">
            <v>438.48000000044703</v>
          </cell>
          <cell r="AK23">
            <v>12828852.959999999</v>
          </cell>
          <cell r="AL23">
            <v>535.91999999806285</v>
          </cell>
          <cell r="AM23">
            <v>7600.320000000298</v>
          </cell>
          <cell r="AN23">
            <v>12780425.280000001</v>
          </cell>
          <cell r="AO23">
            <v>6528.4800000023097</v>
          </cell>
          <cell r="AP23">
            <v>12423.599999999627</v>
          </cell>
          <cell r="AQ23">
            <v>11430199.199999999</v>
          </cell>
          <cell r="AR23">
            <v>7405.4399999994785</v>
          </cell>
          <cell r="AS23">
            <v>5797.6800000015646</v>
          </cell>
          <cell r="AT23">
            <v>10038220.08</v>
          </cell>
          <cell r="AU23">
            <v>4774.5600000005215</v>
          </cell>
          <cell r="AV23">
            <v>5115.5999999996275</v>
          </cell>
          <cell r="AW23">
            <v>9654306.4800000004</v>
          </cell>
          <cell r="AX23">
            <v>4677.1200000010431</v>
          </cell>
          <cell r="AY23">
            <v>5066.8800000008196</v>
          </cell>
          <cell r="AZ23">
            <v>7763093.5199999996</v>
          </cell>
          <cell r="BA23">
            <v>3361.679999999702</v>
          </cell>
          <cell r="BB23">
            <v>3702.7200000006706</v>
          </cell>
          <cell r="BC23">
            <v>11445984.48</v>
          </cell>
          <cell r="BD23">
            <v>5115.5999999996275</v>
          </cell>
          <cell r="BE23">
            <v>5846.4000000003725</v>
          </cell>
          <cell r="BJ23">
            <v>47578600</v>
          </cell>
          <cell r="BK23">
            <v>57500</v>
          </cell>
          <cell r="BL23">
            <v>700</v>
          </cell>
          <cell r="BM23">
            <v>52432200</v>
          </cell>
          <cell r="BN23">
            <v>0</v>
          </cell>
          <cell r="BO23">
            <v>39400</v>
          </cell>
          <cell r="BP23">
            <v>45923700</v>
          </cell>
          <cell r="BQ23">
            <v>31200</v>
          </cell>
          <cell r="BR23">
            <v>56900</v>
          </cell>
          <cell r="BS23">
            <v>3575370</v>
          </cell>
          <cell r="BT23">
            <v>5380</v>
          </cell>
          <cell r="BV23">
            <v>0.51</v>
          </cell>
          <cell r="BW23">
            <v>-3.0000000000000027E-2</v>
          </cell>
          <cell r="BX23">
            <v>-3.9999999999999925E-2</v>
          </cell>
          <cell r="BY23">
            <v>42854</v>
          </cell>
          <cell r="BZ23">
            <v>20</v>
          </cell>
          <cell r="CA23">
            <v>38055</v>
          </cell>
          <cell r="CB23">
            <v>20</v>
          </cell>
          <cell r="CC23">
            <v>12567</v>
          </cell>
          <cell r="CD23">
            <v>8</v>
          </cell>
          <cell r="CE23">
            <v>15682</v>
          </cell>
          <cell r="CF23">
            <v>12</v>
          </cell>
          <cell r="CG23">
            <v>18006</v>
          </cell>
          <cell r="CH23">
            <v>12</v>
          </cell>
          <cell r="CI23">
            <v>38135</v>
          </cell>
          <cell r="CJ23">
            <v>25</v>
          </cell>
          <cell r="CK23">
            <v>167205</v>
          </cell>
          <cell r="CL23">
            <v>84</v>
          </cell>
          <cell r="CM23">
            <v>83</v>
          </cell>
          <cell r="CN23">
            <v>118588</v>
          </cell>
          <cell r="CO23">
            <v>64</v>
          </cell>
          <cell r="CP23">
            <v>59</v>
          </cell>
          <cell r="CQ23">
            <v>215419</v>
          </cell>
          <cell r="CR23">
            <v>54</v>
          </cell>
          <cell r="CS23">
            <v>13</v>
          </cell>
          <cell r="CT23">
            <v>462406</v>
          </cell>
          <cell r="CU23">
            <v>192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17243</v>
          </cell>
          <cell r="DB23">
            <v>10</v>
          </cell>
          <cell r="DC23">
            <v>18031</v>
          </cell>
          <cell r="DD23">
            <v>12</v>
          </cell>
          <cell r="DE23">
            <v>12548</v>
          </cell>
          <cell r="DF23">
            <v>9</v>
          </cell>
          <cell r="DG23">
            <v>16625</v>
          </cell>
          <cell r="DH23">
            <v>6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526</v>
          </cell>
          <cell r="DN23">
            <v>6</v>
          </cell>
          <cell r="DO23">
            <v>726</v>
          </cell>
          <cell r="DP23">
            <v>1</v>
          </cell>
          <cell r="DQ23">
            <v>15783</v>
          </cell>
          <cell r="DR23">
            <v>27</v>
          </cell>
          <cell r="DT23">
            <v>2609273</v>
          </cell>
          <cell r="DU23">
            <v>1498</v>
          </cell>
          <cell r="DV23">
            <v>4115</v>
          </cell>
          <cell r="DW23">
            <v>6</v>
          </cell>
          <cell r="DX23">
            <v>1708560</v>
          </cell>
          <cell r="DY23">
            <v>1243</v>
          </cell>
          <cell r="DZ23">
            <v>245639</v>
          </cell>
          <cell r="EA23">
            <v>133</v>
          </cell>
          <cell r="ED23">
            <v>352137</v>
          </cell>
          <cell r="EE23">
            <v>555</v>
          </cell>
          <cell r="EF23">
            <v>73572</v>
          </cell>
          <cell r="EG23">
            <v>140</v>
          </cell>
          <cell r="EI23">
            <v>6435207</v>
          </cell>
          <cell r="EJ23">
            <v>7840</v>
          </cell>
          <cell r="EK23">
            <v>568590</v>
          </cell>
          <cell r="EL23">
            <v>450</v>
          </cell>
          <cell r="EM23">
            <v>4432100</v>
          </cell>
          <cell r="EN23">
            <v>4000</v>
          </cell>
          <cell r="EO23">
            <v>1960831</v>
          </cell>
          <cell r="EP23">
            <v>701</v>
          </cell>
          <cell r="EQ23">
            <v>663780</v>
          </cell>
          <cell r="ER23">
            <v>180</v>
          </cell>
          <cell r="ES23">
            <v>10487600</v>
          </cell>
          <cell r="ET23">
            <v>5600</v>
          </cell>
          <cell r="EV23">
            <v>26126</v>
          </cell>
          <cell r="EX23">
            <v>22878</v>
          </cell>
          <cell r="EY23">
            <v>16</v>
          </cell>
          <cell r="EZ23">
            <v>0</v>
          </cell>
          <cell r="FA23">
            <v>0</v>
          </cell>
          <cell r="FB23">
            <v>42703</v>
          </cell>
          <cell r="FD23">
            <v>18077</v>
          </cell>
          <cell r="FE23">
            <v>26</v>
          </cell>
        </row>
        <row r="24">
          <cell r="B24">
            <v>0.63</v>
          </cell>
          <cell r="E24">
            <v>472164</v>
          </cell>
          <cell r="F24">
            <v>632</v>
          </cell>
          <cell r="G24">
            <v>512</v>
          </cell>
          <cell r="H24">
            <v>655240</v>
          </cell>
          <cell r="I24">
            <v>360</v>
          </cell>
          <cell r="J24">
            <v>331</v>
          </cell>
          <cell r="K24">
            <v>1388</v>
          </cell>
          <cell r="L24">
            <v>392</v>
          </cell>
          <cell r="N24">
            <v>592050</v>
          </cell>
          <cell r="O24">
            <v>398</v>
          </cell>
          <cell r="Q24">
            <v>156722</v>
          </cell>
          <cell r="R24">
            <v>0</v>
          </cell>
          <cell r="S24">
            <v>83970</v>
          </cell>
          <cell r="T24">
            <v>204</v>
          </cell>
          <cell r="U24">
            <v>198</v>
          </cell>
          <cell r="V24">
            <v>4690</v>
          </cell>
          <cell r="W24">
            <v>55</v>
          </cell>
          <cell r="AB24">
            <v>5251528.8</v>
          </cell>
          <cell r="AC24">
            <v>3166.7999999998137</v>
          </cell>
          <cell r="AD24">
            <v>3459.1199999991804</v>
          </cell>
          <cell r="AE24">
            <v>10256583.119999999</v>
          </cell>
          <cell r="AF24">
            <v>4969.4399999994785</v>
          </cell>
          <cell r="AG24">
            <v>5115.5999999996275</v>
          </cell>
          <cell r="AH24">
            <v>9412752.7199999988</v>
          </cell>
          <cell r="AI24">
            <v>12033.839999997988</v>
          </cell>
          <cell r="AJ24">
            <v>584.63999999966472</v>
          </cell>
          <cell r="AK24">
            <v>12828999.119999999</v>
          </cell>
          <cell r="AL24">
            <v>146.16000000014901</v>
          </cell>
          <cell r="AM24">
            <v>8136.2400000002235</v>
          </cell>
          <cell r="AN24">
            <v>12787733.280000001</v>
          </cell>
          <cell r="AO24">
            <v>7308</v>
          </cell>
          <cell r="AP24">
            <v>13154.400000000373</v>
          </cell>
          <cell r="AQ24">
            <v>11438043.119999999</v>
          </cell>
          <cell r="AR24">
            <v>7843.9199999999255</v>
          </cell>
          <cell r="AS24">
            <v>5846.3999999985099</v>
          </cell>
          <cell r="AT24">
            <v>10043043.359999999</v>
          </cell>
          <cell r="AU24">
            <v>4823.2799999993294</v>
          </cell>
          <cell r="AV24">
            <v>5213.0399999991059</v>
          </cell>
          <cell r="AW24">
            <v>9659422.0800000001</v>
          </cell>
          <cell r="AX24">
            <v>5115.5999999996275</v>
          </cell>
          <cell r="AY24">
            <v>5213.0399999991059</v>
          </cell>
          <cell r="AZ24">
            <v>7766552.6400000006</v>
          </cell>
          <cell r="BA24">
            <v>3459.1200000010431</v>
          </cell>
          <cell r="BB24">
            <v>3800.1599999992177</v>
          </cell>
          <cell r="BC24">
            <v>11451343.68</v>
          </cell>
          <cell r="BD24">
            <v>5359.1999999992549</v>
          </cell>
          <cell r="BE24">
            <v>5797.679999999702</v>
          </cell>
          <cell r="BJ24">
            <v>47635300</v>
          </cell>
          <cell r="BK24">
            <v>56700</v>
          </cell>
          <cell r="BL24">
            <v>0</v>
          </cell>
          <cell r="BM24">
            <v>52432200</v>
          </cell>
          <cell r="BN24">
            <v>0</v>
          </cell>
          <cell r="BO24">
            <v>40000</v>
          </cell>
          <cell r="BP24">
            <v>45955700</v>
          </cell>
          <cell r="BQ24">
            <v>32000</v>
          </cell>
          <cell r="BR24">
            <v>58200</v>
          </cell>
          <cell r="BS24">
            <v>3581960</v>
          </cell>
          <cell r="BT24">
            <v>6590</v>
          </cell>
          <cell r="BV24">
            <v>0.46</v>
          </cell>
          <cell r="BW24">
            <v>-4.9999999999999989E-2</v>
          </cell>
          <cell r="BX24">
            <v>-4.0000000000000036E-2</v>
          </cell>
          <cell r="BY24">
            <v>42870</v>
          </cell>
          <cell r="BZ24">
            <v>16</v>
          </cell>
          <cell r="CA24">
            <v>38059</v>
          </cell>
          <cell r="CB24">
            <v>4</v>
          </cell>
          <cell r="CC24">
            <v>12573</v>
          </cell>
          <cell r="CD24">
            <v>6</v>
          </cell>
          <cell r="CE24">
            <v>15688</v>
          </cell>
          <cell r="CF24">
            <v>6</v>
          </cell>
          <cell r="CG24">
            <v>18016</v>
          </cell>
          <cell r="CH24">
            <v>10</v>
          </cell>
          <cell r="CI24">
            <v>38159</v>
          </cell>
          <cell r="CJ24">
            <v>24</v>
          </cell>
          <cell r="CK24">
            <v>167298</v>
          </cell>
          <cell r="CL24">
            <v>93</v>
          </cell>
          <cell r="CM24">
            <v>78</v>
          </cell>
          <cell r="CN24">
            <v>118651</v>
          </cell>
          <cell r="CO24">
            <v>63</v>
          </cell>
          <cell r="CP24">
            <v>54</v>
          </cell>
          <cell r="CQ24">
            <v>215496</v>
          </cell>
          <cell r="CR24">
            <v>77</v>
          </cell>
          <cell r="CS24">
            <v>12</v>
          </cell>
          <cell r="CT24">
            <v>462595</v>
          </cell>
          <cell r="CU24">
            <v>189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17245</v>
          </cell>
          <cell r="DB24">
            <v>2</v>
          </cell>
          <cell r="DC24">
            <v>18031</v>
          </cell>
          <cell r="DD24">
            <v>0</v>
          </cell>
          <cell r="DE24">
            <v>12556</v>
          </cell>
          <cell r="DF24">
            <v>8</v>
          </cell>
          <cell r="DG24">
            <v>16632</v>
          </cell>
          <cell r="DH24">
            <v>7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531</v>
          </cell>
          <cell r="DN24">
            <v>5</v>
          </cell>
          <cell r="DO24">
            <v>727</v>
          </cell>
          <cell r="DP24">
            <v>1</v>
          </cell>
          <cell r="DQ24">
            <v>15810</v>
          </cell>
          <cell r="DR24">
            <v>27</v>
          </cell>
          <cell r="DT24">
            <v>2610757</v>
          </cell>
          <cell r="DU24">
            <v>1484</v>
          </cell>
          <cell r="DV24">
            <v>4118</v>
          </cell>
          <cell r="DW24">
            <v>3</v>
          </cell>
          <cell r="DX24">
            <v>1709827</v>
          </cell>
          <cell r="DY24">
            <v>1267</v>
          </cell>
          <cell r="DZ24">
            <v>245772</v>
          </cell>
          <cell r="EA24">
            <v>133</v>
          </cell>
          <cell r="ED24">
            <v>352707</v>
          </cell>
          <cell r="EE24">
            <v>570</v>
          </cell>
          <cell r="EF24">
            <v>73708</v>
          </cell>
          <cell r="EG24">
            <v>136</v>
          </cell>
          <cell r="EI24">
            <v>6443047</v>
          </cell>
          <cell r="EJ24">
            <v>7840</v>
          </cell>
          <cell r="EK24">
            <v>569040</v>
          </cell>
          <cell r="EL24">
            <v>450</v>
          </cell>
          <cell r="EM24">
            <v>4435800</v>
          </cell>
          <cell r="EN24">
            <v>3700</v>
          </cell>
          <cell r="EO24">
            <v>1961551</v>
          </cell>
          <cell r="EP24">
            <v>720</v>
          </cell>
          <cell r="EQ24">
            <v>663960</v>
          </cell>
          <cell r="ER24">
            <v>180</v>
          </cell>
          <cell r="ES24">
            <v>10493200</v>
          </cell>
          <cell r="ET24">
            <v>5600</v>
          </cell>
          <cell r="EV24">
            <v>26145</v>
          </cell>
          <cell r="EX24">
            <v>22894</v>
          </cell>
          <cell r="EY24">
            <v>16</v>
          </cell>
          <cell r="EZ24">
            <v>0</v>
          </cell>
          <cell r="FA24">
            <v>0</v>
          </cell>
          <cell r="FB24">
            <v>42703</v>
          </cell>
          <cell r="FD24">
            <v>18106</v>
          </cell>
          <cell r="FE24">
            <v>29</v>
          </cell>
        </row>
        <row r="25">
          <cell r="B25">
            <v>0.61</v>
          </cell>
          <cell r="E25">
            <v>472650</v>
          </cell>
          <cell r="F25">
            <v>486</v>
          </cell>
          <cell r="G25">
            <v>615</v>
          </cell>
          <cell r="H25">
            <v>655562</v>
          </cell>
          <cell r="I25">
            <v>322</v>
          </cell>
          <cell r="J25">
            <v>365</v>
          </cell>
          <cell r="K25">
            <v>1782</v>
          </cell>
          <cell r="L25">
            <v>394</v>
          </cell>
          <cell r="N25">
            <v>592441</v>
          </cell>
          <cell r="O25">
            <v>391</v>
          </cell>
          <cell r="Q25">
            <v>156722</v>
          </cell>
          <cell r="R25">
            <v>0</v>
          </cell>
          <cell r="S25">
            <v>84201</v>
          </cell>
          <cell r="T25">
            <v>231</v>
          </cell>
          <cell r="U25">
            <v>191</v>
          </cell>
          <cell r="V25">
            <v>4752</v>
          </cell>
          <cell r="W25">
            <v>62</v>
          </cell>
          <cell r="AB25">
            <v>5254549.4400000004</v>
          </cell>
          <cell r="AC25">
            <v>3020.640000000596</v>
          </cell>
          <cell r="AD25">
            <v>3020.6399999996647</v>
          </cell>
          <cell r="AE25">
            <v>10261357.68</v>
          </cell>
          <cell r="AF25">
            <v>4774.5600000005215</v>
          </cell>
          <cell r="AG25">
            <v>5554.0800000000745</v>
          </cell>
          <cell r="AH25">
            <v>9424932.7199999988</v>
          </cell>
          <cell r="AI25">
            <v>12180</v>
          </cell>
          <cell r="AJ25">
            <v>535.92000000085682</v>
          </cell>
          <cell r="AK25">
            <v>12829291.439999999</v>
          </cell>
          <cell r="AL25">
            <v>292.32000000029802</v>
          </cell>
          <cell r="AM25">
            <v>8233.679999999702</v>
          </cell>
          <cell r="AN25">
            <v>12793969.439999999</v>
          </cell>
          <cell r="AO25">
            <v>6236.1599999982864</v>
          </cell>
          <cell r="AP25">
            <v>11936.400000000373</v>
          </cell>
          <cell r="AQ25">
            <v>11445692.16</v>
          </cell>
          <cell r="AR25">
            <v>7649.0400000009686</v>
          </cell>
          <cell r="AS25">
            <v>6090</v>
          </cell>
          <cell r="AT25">
            <v>10047720.48</v>
          </cell>
          <cell r="AU25">
            <v>4677.1200000010431</v>
          </cell>
          <cell r="AV25">
            <v>5164.320000000298</v>
          </cell>
          <cell r="AW25">
            <v>9664294.0800000001</v>
          </cell>
          <cell r="AX25">
            <v>4872</v>
          </cell>
          <cell r="AY25">
            <v>4872</v>
          </cell>
          <cell r="AZ25">
            <v>7769670.7199999997</v>
          </cell>
          <cell r="BA25">
            <v>3118.0799999991432</v>
          </cell>
          <cell r="BB25">
            <v>3410.4000000003725</v>
          </cell>
          <cell r="BC25">
            <v>11456410.559999999</v>
          </cell>
          <cell r="BD25">
            <v>5066.8799999989569</v>
          </cell>
          <cell r="BE25">
            <v>5895.1199999991804</v>
          </cell>
          <cell r="BJ25">
            <v>47697900</v>
          </cell>
          <cell r="BK25">
            <v>62600</v>
          </cell>
          <cell r="BL25">
            <v>0</v>
          </cell>
          <cell r="BM25">
            <v>52432200</v>
          </cell>
          <cell r="BN25">
            <v>0</v>
          </cell>
          <cell r="BO25">
            <v>41700</v>
          </cell>
          <cell r="BP25">
            <v>45988800</v>
          </cell>
          <cell r="BQ25">
            <v>33100</v>
          </cell>
          <cell r="BR25">
            <v>52700</v>
          </cell>
          <cell r="BS25">
            <v>3587910</v>
          </cell>
          <cell r="BT25">
            <v>5950</v>
          </cell>
          <cell r="BV25">
            <v>0.43</v>
          </cell>
          <cell r="BW25">
            <v>-3.0000000000000027E-2</v>
          </cell>
          <cell r="BX25">
            <v>-3.999999999999998E-2</v>
          </cell>
          <cell r="BY25">
            <v>42889</v>
          </cell>
          <cell r="BZ25">
            <v>19</v>
          </cell>
          <cell r="CA25">
            <v>38076</v>
          </cell>
          <cell r="CB25">
            <v>17</v>
          </cell>
          <cell r="CC25">
            <v>12579</v>
          </cell>
          <cell r="CD25">
            <v>6</v>
          </cell>
          <cell r="CE25">
            <v>15698</v>
          </cell>
          <cell r="CF25">
            <v>10</v>
          </cell>
          <cell r="CG25">
            <v>18026</v>
          </cell>
          <cell r="CH25">
            <v>10</v>
          </cell>
          <cell r="CI25">
            <v>38184</v>
          </cell>
          <cell r="CJ25">
            <v>25</v>
          </cell>
          <cell r="CK25">
            <v>167374</v>
          </cell>
          <cell r="CL25">
            <v>76</v>
          </cell>
          <cell r="CM25">
            <v>79</v>
          </cell>
          <cell r="CN25">
            <v>118719</v>
          </cell>
          <cell r="CO25">
            <v>68</v>
          </cell>
          <cell r="CP25">
            <v>61</v>
          </cell>
          <cell r="CQ25">
            <v>215569</v>
          </cell>
          <cell r="CR25">
            <v>73</v>
          </cell>
          <cell r="CS25">
            <v>13</v>
          </cell>
          <cell r="CT25">
            <v>462787</v>
          </cell>
          <cell r="CU25">
            <v>192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17258</v>
          </cell>
          <cell r="DB25">
            <v>13</v>
          </cell>
          <cell r="DC25">
            <v>18043</v>
          </cell>
          <cell r="DD25">
            <v>12</v>
          </cell>
          <cell r="DE25">
            <v>12559</v>
          </cell>
          <cell r="DF25">
            <v>3</v>
          </cell>
          <cell r="DG25">
            <v>16635</v>
          </cell>
          <cell r="DH25">
            <v>3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536</v>
          </cell>
          <cell r="DN25">
            <v>5</v>
          </cell>
          <cell r="DO25">
            <v>728</v>
          </cell>
          <cell r="DP25">
            <v>1</v>
          </cell>
          <cell r="DQ25">
            <v>15837</v>
          </cell>
          <cell r="DR25">
            <v>27</v>
          </cell>
          <cell r="DT25">
            <v>2612254</v>
          </cell>
          <cell r="DU25">
            <v>1497</v>
          </cell>
          <cell r="DV25">
            <v>4124</v>
          </cell>
          <cell r="DW25">
            <v>6</v>
          </cell>
          <cell r="DX25">
            <v>1711022</v>
          </cell>
          <cell r="DY25">
            <v>1195</v>
          </cell>
          <cell r="DZ25">
            <v>245904</v>
          </cell>
          <cell r="EA25">
            <v>132</v>
          </cell>
          <cell r="ED25">
            <v>353265</v>
          </cell>
          <cell r="EE25">
            <v>558</v>
          </cell>
          <cell r="EF25">
            <v>73845</v>
          </cell>
          <cell r="EG25">
            <v>137</v>
          </cell>
          <cell r="EI25">
            <v>6449847</v>
          </cell>
          <cell r="EJ25">
            <v>6800</v>
          </cell>
          <cell r="EK25">
            <v>569450</v>
          </cell>
          <cell r="EL25">
            <v>410</v>
          </cell>
          <cell r="EM25">
            <v>4439800</v>
          </cell>
          <cell r="EN25">
            <v>4000</v>
          </cell>
          <cell r="EO25">
            <v>1962231</v>
          </cell>
          <cell r="EP25">
            <v>680</v>
          </cell>
          <cell r="EQ25">
            <v>664140</v>
          </cell>
          <cell r="ER25">
            <v>180</v>
          </cell>
          <cell r="ES25">
            <v>10500700</v>
          </cell>
          <cell r="ET25">
            <v>7500</v>
          </cell>
          <cell r="EV25">
            <v>26162</v>
          </cell>
          <cell r="EX25">
            <v>22910</v>
          </cell>
          <cell r="EY25">
            <v>16</v>
          </cell>
          <cell r="EZ25">
            <v>0</v>
          </cell>
          <cell r="FA25">
            <v>0</v>
          </cell>
          <cell r="FB25">
            <v>42703</v>
          </cell>
          <cell r="FD25">
            <v>18135</v>
          </cell>
          <cell r="FE25">
            <v>29</v>
          </cell>
        </row>
        <row r="26">
          <cell r="B26">
            <v>0.62</v>
          </cell>
          <cell r="E26">
            <v>473230</v>
          </cell>
          <cell r="F26">
            <v>580</v>
          </cell>
          <cell r="G26">
            <v>516</v>
          </cell>
          <cell r="H26">
            <v>655917</v>
          </cell>
          <cell r="I26">
            <v>355</v>
          </cell>
          <cell r="J26">
            <v>369</v>
          </cell>
          <cell r="K26">
            <v>2006</v>
          </cell>
          <cell r="L26">
            <v>224</v>
          </cell>
          <cell r="N26">
            <v>592658</v>
          </cell>
          <cell r="O26">
            <v>217</v>
          </cell>
          <cell r="Q26">
            <v>156722</v>
          </cell>
          <cell r="R26">
            <v>0</v>
          </cell>
          <cell r="S26">
            <v>84419</v>
          </cell>
          <cell r="T26">
            <v>218</v>
          </cell>
          <cell r="U26">
            <v>178</v>
          </cell>
          <cell r="V26">
            <v>4808</v>
          </cell>
          <cell r="W26">
            <v>56</v>
          </cell>
          <cell r="AB26">
            <v>5257716.24</v>
          </cell>
          <cell r="AC26">
            <v>3166.7999999998137</v>
          </cell>
          <cell r="AD26">
            <v>2971.9200000008568</v>
          </cell>
          <cell r="AE26">
            <v>10266278.4</v>
          </cell>
          <cell r="AF26">
            <v>4920.7200000006706</v>
          </cell>
          <cell r="AG26">
            <v>5407.9199999999255</v>
          </cell>
          <cell r="AH26">
            <v>9437015.2800000012</v>
          </cell>
          <cell r="AI26">
            <v>12082.560000002384</v>
          </cell>
          <cell r="AJ26">
            <v>438.47999999951571</v>
          </cell>
          <cell r="AK26">
            <v>12829924.799999999</v>
          </cell>
          <cell r="AL26">
            <v>633.35999999940395</v>
          </cell>
          <cell r="AM26">
            <v>7795.1999999992549</v>
          </cell>
          <cell r="AN26">
            <v>12801715.919999998</v>
          </cell>
          <cell r="AO26">
            <v>7746.4799999985844</v>
          </cell>
          <cell r="AP26">
            <v>11644.079999998212</v>
          </cell>
          <cell r="AQ26">
            <v>11452415.52</v>
          </cell>
          <cell r="AR26">
            <v>6723.359999999404</v>
          </cell>
          <cell r="AS26">
            <v>6041.2799999993294</v>
          </cell>
          <cell r="AT26">
            <v>10052738.640000001</v>
          </cell>
          <cell r="AU26">
            <v>5018.160000000149</v>
          </cell>
          <cell r="AV26">
            <v>5115.5999999996275</v>
          </cell>
          <cell r="AW26">
            <v>9669312.2400000002</v>
          </cell>
          <cell r="AX26">
            <v>5018.160000000149</v>
          </cell>
          <cell r="AY26">
            <v>5164.320000000298</v>
          </cell>
          <cell r="AZ26">
            <v>7773178.5599999996</v>
          </cell>
          <cell r="BA26">
            <v>3507.839999999851</v>
          </cell>
          <cell r="BB26">
            <v>3848.8799999998882</v>
          </cell>
          <cell r="BC26">
            <v>11461818.48</v>
          </cell>
          <cell r="BD26">
            <v>5407.9200000017881</v>
          </cell>
          <cell r="BE26">
            <v>5846.4000000003725</v>
          </cell>
          <cell r="BJ26">
            <v>47757100</v>
          </cell>
          <cell r="BK26">
            <v>59200</v>
          </cell>
          <cell r="BL26">
            <v>0</v>
          </cell>
          <cell r="BM26">
            <v>52432200</v>
          </cell>
          <cell r="BN26">
            <v>0</v>
          </cell>
          <cell r="BO26">
            <v>39800</v>
          </cell>
          <cell r="BP26">
            <v>46026100</v>
          </cell>
          <cell r="BQ26">
            <v>37300</v>
          </cell>
          <cell r="BR26">
            <v>49900</v>
          </cell>
          <cell r="BS26">
            <v>3594280</v>
          </cell>
          <cell r="BT26">
            <v>6370</v>
          </cell>
          <cell r="BV26">
            <v>0.6</v>
          </cell>
          <cell r="BW26">
            <v>0.16999999999999998</v>
          </cell>
          <cell r="BX26">
            <v>-4.0000000000000036E-2</v>
          </cell>
          <cell r="BY26">
            <v>42912</v>
          </cell>
          <cell r="BZ26">
            <v>23</v>
          </cell>
          <cell r="CA26">
            <v>38096</v>
          </cell>
          <cell r="CB26">
            <v>20</v>
          </cell>
          <cell r="CC26">
            <v>12587</v>
          </cell>
          <cell r="CD26">
            <v>8</v>
          </cell>
          <cell r="CE26">
            <v>15709</v>
          </cell>
          <cell r="CF26">
            <v>11</v>
          </cell>
          <cell r="CG26">
            <v>18039</v>
          </cell>
          <cell r="CH26">
            <v>13</v>
          </cell>
          <cell r="CI26">
            <v>38212</v>
          </cell>
          <cell r="CJ26">
            <v>28</v>
          </cell>
          <cell r="CK26">
            <v>167461</v>
          </cell>
          <cell r="CL26">
            <v>87</v>
          </cell>
          <cell r="CM26">
            <v>82</v>
          </cell>
          <cell r="CN26">
            <v>118786</v>
          </cell>
          <cell r="CO26">
            <v>67</v>
          </cell>
          <cell r="CP26">
            <v>66</v>
          </cell>
          <cell r="CQ26">
            <v>215642</v>
          </cell>
          <cell r="CR26">
            <v>73</v>
          </cell>
          <cell r="CS26">
            <v>14</v>
          </cell>
          <cell r="CT26">
            <v>462984</v>
          </cell>
          <cell r="CU26">
            <v>197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17275</v>
          </cell>
          <cell r="DB26">
            <v>17</v>
          </cell>
          <cell r="DC26">
            <v>18058</v>
          </cell>
          <cell r="DD26">
            <v>15</v>
          </cell>
          <cell r="DE26">
            <v>12567</v>
          </cell>
          <cell r="DF26">
            <v>8</v>
          </cell>
          <cell r="DG26">
            <v>16643</v>
          </cell>
          <cell r="DH26">
            <v>8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540</v>
          </cell>
          <cell r="DN26">
            <v>4</v>
          </cell>
          <cell r="DO26">
            <v>729</v>
          </cell>
          <cell r="DP26">
            <v>1</v>
          </cell>
          <cell r="DQ26">
            <v>15851</v>
          </cell>
          <cell r="DR26">
            <v>14</v>
          </cell>
          <cell r="DT26">
            <v>2613872</v>
          </cell>
          <cell r="DU26">
            <v>1618</v>
          </cell>
          <cell r="DV26">
            <v>4128</v>
          </cell>
          <cell r="DW26">
            <v>4</v>
          </cell>
          <cell r="DX26">
            <v>1712254</v>
          </cell>
          <cell r="DY26">
            <v>1232</v>
          </cell>
          <cell r="DZ26">
            <v>246037</v>
          </cell>
          <cell r="EA26">
            <v>133</v>
          </cell>
          <cell r="ED26">
            <v>353831</v>
          </cell>
          <cell r="EE26">
            <v>566</v>
          </cell>
          <cell r="EF26">
            <v>73984</v>
          </cell>
          <cell r="EG26">
            <v>139</v>
          </cell>
          <cell r="EI26">
            <v>6457047</v>
          </cell>
          <cell r="EJ26">
            <v>7200</v>
          </cell>
          <cell r="EK26">
            <v>569900</v>
          </cell>
          <cell r="EL26">
            <v>450</v>
          </cell>
          <cell r="EM26">
            <v>4442900</v>
          </cell>
          <cell r="EN26">
            <v>3100</v>
          </cell>
          <cell r="EO26">
            <v>1962881</v>
          </cell>
          <cell r="EP26">
            <v>650</v>
          </cell>
          <cell r="EQ26">
            <v>664320</v>
          </cell>
          <cell r="ER26">
            <v>180</v>
          </cell>
          <cell r="ES26">
            <v>10506300</v>
          </cell>
          <cell r="ET26">
            <v>5600</v>
          </cell>
          <cell r="EV26">
            <v>26182</v>
          </cell>
          <cell r="EX26">
            <v>22926</v>
          </cell>
          <cell r="EY26">
            <v>16</v>
          </cell>
          <cell r="EZ26">
            <v>0</v>
          </cell>
          <cell r="FA26">
            <v>0</v>
          </cell>
          <cell r="FB26">
            <v>42703</v>
          </cell>
          <cell r="FD26">
            <v>18164</v>
          </cell>
          <cell r="FE26">
            <v>29</v>
          </cell>
        </row>
        <row r="27">
          <cell r="B27">
            <v>0.73</v>
          </cell>
          <cell r="E27">
            <v>473875</v>
          </cell>
          <cell r="F27">
            <v>645</v>
          </cell>
          <cell r="G27">
            <v>571</v>
          </cell>
          <cell r="H27">
            <v>656325</v>
          </cell>
          <cell r="I27">
            <v>408</v>
          </cell>
          <cell r="J27">
            <v>412</v>
          </cell>
          <cell r="K27">
            <v>2227</v>
          </cell>
          <cell r="L27">
            <v>221</v>
          </cell>
          <cell r="N27">
            <v>592874</v>
          </cell>
          <cell r="O27">
            <v>216</v>
          </cell>
          <cell r="Q27">
            <v>156722</v>
          </cell>
          <cell r="R27">
            <v>0</v>
          </cell>
          <cell r="S27">
            <v>84654</v>
          </cell>
          <cell r="T27">
            <v>235</v>
          </cell>
          <cell r="U27">
            <v>200</v>
          </cell>
          <cell r="V27">
            <v>4871</v>
          </cell>
          <cell r="W27">
            <v>63</v>
          </cell>
          <cell r="AB27">
            <v>5260980.4799999995</v>
          </cell>
          <cell r="AC27">
            <v>3264.2399999992922</v>
          </cell>
          <cell r="AD27">
            <v>2874.4799999995157</v>
          </cell>
          <cell r="AE27">
            <v>10271101.68</v>
          </cell>
          <cell r="AF27">
            <v>4823.2799999993294</v>
          </cell>
          <cell r="AG27">
            <v>5164.320000000298</v>
          </cell>
          <cell r="AH27">
            <v>9449438.8800000008</v>
          </cell>
          <cell r="AI27">
            <v>12423.599999999627</v>
          </cell>
          <cell r="AJ27">
            <v>389.75999999977648</v>
          </cell>
          <cell r="AK27">
            <v>12830217.119999999</v>
          </cell>
          <cell r="AL27">
            <v>292.32000000029802</v>
          </cell>
          <cell r="AM27">
            <v>7990.0800000019372</v>
          </cell>
          <cell r="AN27">
            <v>12810290.640000001</v>
          </cell>
          <cell r="AO27">
            <v>8574.7200000025332</v>
          </cell>
          <cell r="AP27">
            <v>6382.320000000298</v>
          </cell>
          <cell r="AQ27">
            <v>11459285.040000001</v>
          </cell>
          <cell r="AR27">
            <v>6869.5200000014156</v>
          </cell>
          <cell r="AS27">
            <v>5748.9600000008941</v>
          </cell>
          <cell r="AT27">
            <v>10057708.08</v>
          </cell>
          <cell r="AU27">
            <v>4969.4399999994785</v>
          </cell>
          <cell r="AV27">
            <v>5213.0400000009686</v>
          </cell>
          <cell r="AW27">
            <v>9674330.4000000004</v>
          </cell>
          <cell r="AX27">
            <v>5018.160000000149</v>
          </cell>
          <cell r="AY27">
            <v>4872</v>
          </cell>
          <cell r="AZ27">
            <v>7776686.3999999994</v>
          </cell>
          <cell r="BA27">
            <v>3507.839999999851</v>
          </cell>
          <cell r="BB27">
            <v>3459.1200000001118</v>
          </cell>
          <cell r="BC27">
            <v>11467128.959999999</v>
          </cell>
          <cell r="BD27">
            <v>5310.4799999985844</v>
          </cell>
          <cell r="BE27">
            <v>5797.6800000015646</v>
          </cell>
          <cell r="BJ27">
            <v>47818900</v>
          </cell>
          <cell r="BK27">
            <v>61800</v>
          </cell>
          <cell r="BL27">
            <v>0</v>
          </cell>
          <cell r="BM27">
            <v>52432200</v>
          </cell>
          <cell r="BN27">
            <v>0</v>
          </cell>
          <cell r="BO27">
            <v>36900</v>
          </cell>
          <cell r="BP27">
            <v>46066800</v>
          </cell>
          <cell r="BQ27">
            <v>40700</v>
          </cell>
          <cell r="BR27">
            <v>53400</v>
          </cell>
          <cell r="BS27">
            <v>3601340</v>
          </cell>
          <cell r="BT27">
            <v>7060</v>
          </cell>
          <cell r="BV27">
            <v>0.57999999999999996</v>
          </cell>
          <cell r="BW27">
            <v>-2.0000000000000018E-2</v>
          </cell>
          <cell r="BX27">
            <v>0.2</v>
          </cell>
          <cell r="BY27">
            <v>42932</v>
          </cell>
          <cell r="BZ27">
            <v>20</v>
          </cell>
          <cell r="CA27">
            <v>38113</v>
          </cell>
          <cell r="CB27">
            <v>17</v>
          </cell>
          <cell r="CC27">
            <v>12594</v>
          </cell>
          <cell r="CD27">
            <v>7</v>
          </cell>
          <cell r="CE27">
            <v>15718</v>
          </cell>
          <cell r="CF27">
            <v>9</v>
          </cell>
          <cell r="CG27">
            <v>18048</v>
          </cell>
          <cell r="CH27">
            <v>9</v>
          </cell>
          <cell r="CI27">
            <v>38239</v>
          </cell>
          <cell r="CJ27">
            <v>27</v>
          </cell>
          <cell r="CK27">
            <v>167543</v>
          </cell>
          <cell r="CL27">
            <v>82</v>
          </cell>
          <cell r="CM27">
            <v>79</v>
          </cell>
          <cell r="CN27">
            <v>118848</v>
          </cell>
          <cell r="CO27">
            <v>62</v>
          </cell>
          <cell r="CP27">
            <v>59</v>
          </cell>
          <cell r="CQ27">
            <v>215710</v>
          </cell>
          <cell r="CR27">
            <v>68</v>
          </cell>
          <cell r="CS27">
            <v>14</v>
          </cell>
          <cell r="CT27">
            <v>463170</v>
          </cell>
          <cell r="CU27">
            <v>186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17294</v>
          </cell>
          <cell r="DB27">
            <v>19</v>
          </cell>
          <cell r="DC27">
            <v>18077</v>
          </cell>
          <cell r="DD27">
            <v>19</v>
          </cell>
          <cell r="DE27">
            <v>12577</v>
          </cell>
          <cell r="DF27">
            <v>10</v>
          </cell>
          <cell r="DG27">
            <v>16650</v>
          </cell>
          <cell r="DH27">
            <v>7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545</v>
          </cell>
          <cell r="DN27">
            <v>5</v>
          </cell>
          <cell r="DO27">
            <v>733</v>
          </cell>
          <cell r="DP27">
            <v>4</v>
          </cell>
          <cell r="DQ27">
            <v>15884</v>
          </cell>
          <cell r="DR27">
            <v>33</v>
          </cell>
          <cell r="DT27">
            <v>2615478</v>
          </cell>
          <cell r="DU27">
            <v>1606</v>
          </cell>
          <cell r="DV27">
            <v>4132</v>
          </cell>
          <cell r="DW27">
            <v>4</v>
          </cell>
          <cell r="DX27">
            <v>1713526</v>
          </cell>
          <cell r="DY27">
            <v>1272</v>
          </cell>
          <cell r="DZ27">
            <v>246170</v>
          </cell>
          <cell r="EA27">
            <v>133</v>
          </cell>
          <cell r="ED27">
            <v>354401</v>
          </cell>
          <cell r="EE27">
            <v>570</v>
          </cell>
          <cell r="EF27">
            <v>74124</v>
          </cell>
          <cell r="EG27">
            <v>140</v>
          </cell>
          <cell r="EI27">
            <v>6464887</v>
          </cell>
          <cell r="EJ27">
            <v>7840</v>
          </cell>
          <cell r="EK27">
            <v>570350</v>
          </cell>
          <cell r="EL27">
            <v>450</v>
          </cell>
          <cell r="EM27">
            <v>4446000</v>
          </cell>
          <cell r="EN27">
            <v>3100</v>
          </cell>
          <cell r="EO27">
            <v>1963531</v>
          </cell>
          <cell r="EP27">
            <v>650</v>
          </cell>
          <cell r="EQ27">
            <v>664500</v>
          </cell>
          <cell r="ER27">
            <v>180</v>
          </cell>
          <cell r="ES27">
            <v>10515300</v>
          </cell>
          <cell r="ET27">
            <v>9000</v>
          </cell>
          <cell r="EV27">
            <v>26203</v>
          </cell>
          <cell r="EX27">
            <v>22944</v>
          </cell>
          <cell r="EY27">
            <v>18</v>
          </cell>
          <cell r="EZ27">
            <v>0</v>
          </cell>
          <cell r="FA27">
            <v>0</v>
          </cell>
          <cell r="FB27">
            <v>42703</v>
          </cell>
          <cell r="FD27">
            <v>18198</v>
          </cell>
          <cell r="FE27">
            <v>34</v>
          </cell>
        </row>
        <row r="28">
          <cell r="B28">
            <v>0.62</v>
          </cell>
          <cell r="E28">
            <v>474421</v>
          </cell>
          <cell r="F28">
            <v>546</v>
          </cell>
          <cell r="G28">
            <v>599</v>
          </cell>
          <cell r="H28">
            <v>656666</v>
          </cell>
          <cell r="I28">
            <v>341</v>
          </cell>
          <cell r="J28">
            <v>367</v>
          </cell>
          <cell r="K28">
            <v>2762</v>
          </cell>
          <cell r="L28">
            <v>535</v>
          </cell>
          <cell r="N28">
            <v>593275</v>
          </cell>
          <cell r="O28">
            <v>401</v>
          </cell>
          <cell r="Q28">
            <v>156722</v>
          </cell>
          <cell r="R28">
            <v>0</v>
          </cell>
          <cell r="S28">
            <v>84869</v>
          </cell>
          <cell r="T28">
            <v>215</v>
          </cell>
          <cell r="U28">
            <v>180</v>
          </cell>
          <cell r="V28">
            <v>4924</v>
          </cell>
          <cell r="W28">
            <v>53</v>
          </cell>
          <cell r="AB28">
            <v>5263367.76</v>
          </cell>
          <cell r="AC28">
            <v>2387.2800000002608</v>
          </cell>
          <cell r="AD28">
            <v>3069.359999999404</v>
          </cell>
          <cell r="AE28">
            <v>10275973.68</v>
          </cell>
          <cell r="AF28">
            <v>4872</v>
          </cell>
          <cell r="AG28">
            <v>5310.480000000447</v>
          </cell>
          <cell r="AH28">
            <v>9460352.1600000001</v>
          </cell>
          <cell r="AI28">
            <v>10913.279999999329</v>
          </cell>
          <cell r="AJ28">
            <v>438.47999999951571</v>
          </cell>
          <cell r="AK28">
            <v>12838938</v>
          </cell>
          <cell r="AL28">
            <v>8720.8800000008196</v>
          </cell>
          <cell r="AM28">
            <v>6284.8799999989569</v>
          </cell>
          <cell r="AN28">
            <v>12811265.040000001</v>
          </cell>
          <cell r="AO28">
            <v>974.40000000037253</v>
          </cell>
          <cell r="AP28">
            <v>17149.440000001341</v>
          </cell>
          <cell r="AQ28">
            <v>11466300.719999999</v>
          </cell>
          <cell r="AR28">
            <v>7015.6799999978393</v>
          </cell>
          <cell r="AS28">
            <v>5992.5600000005215</v>
          </cell>
          <cell r="AT28">
            <v>10062482.640000001</v>
          </cell>
          <cell r="AU28">
            <v>4774.5600000005215</v>
          </cell>
          <cell r="AV28">
            <v>5115.5999999996275</v>
          </cell>
          <cell r="AW28">
            <v>9679251.1199999992</v>
          </cell>
          <cell r="AX28">
            <v>4920.7199999988079</v>
          </cell>
          <cell r="AY28">
            <v>5066.8799999998882</v>
          </cell>
          <cell r="AZ28">
            <v>7779901.9199999999</v>
          </cell>
          <cell r="BA28">
            <v>3215.5200000004843</v>
          </cell>
          <cell r="BB28">
            <v>3654</v>
          </cell>
          <cell r="BC28">
            <v>11472390.719999999</v>
          </cell>
          <cell r="BD28">
            <v>5261.7599999997765</v>
          </cell>
          <cell r="BE28">
            <v>5992.5599999986589</v>
          </cell>
          <cell r="BJ28">
            <v>47874800</v>
          </cell>
          <cell r="BK28">
            <v>55900</v>
          </cell>
          <cell r="BL28">
            <v>13700</v>
          </cell>
          <cell r="BM28">
            <v>52471900</v>
          </cell>
          <cell r="BN28">
            <v>39700</v>
          </cell>
          <cell r="BO28">
            <v>0</v>
          </cell>
          <cell r="BP28">
            <v>46066800</v>
          </cell>
          <cell r="BQ28">
            <v>0</v>
          </cell>
          <cell r="BR28">
            <v>0</v>
          </cell>
          <cell r="BS28">
            <v>3607510</v>
          </cell>
          <cell r="BT28">
            <v>6170</v>
          </cell>
          <cell r="BV28">
            <v>0.53</v>
          </cell>
          <cell r="BW28">
            <v>-4.9999999999999933E-2</v>
          </cell>
          <cell r="BX28">
            <v>-1.0000000000000009E-2</v>
          </cell>
          <cell r="BY28">
            <v>42951</v>
          </cell>
          <cell r="BZ28">
            <v>19</v>
          </cell>
          <cell r="CA28">
            <v>38127</v>
          </cell>
          <cell r="CB28">
            <v>14</v>
          </cell>
          <cell r="CC28">
            <v>12600</v>
          </cell>
          <cell r="CD28">
            <v>6</v>
          </cell>
          <cell r="CE28">
            <v>15728</v>
          </cell>
          <cell r="CF28">
            <v>10</v>
          </cell>
          <cell r="CG28">
            <v>18052</v>
          </cell>
          <cell r="CH28">
            <v>4</v>
          </cell>
          <cell r="CI28">
            <v>38266</v>
          </cell>
          <cell r="CJ28">
            <v>27</v>
          </cell>
          <cell r="CK28">
            <v>167630</v>
          </cell>
          <cell r="CL28">
            <v>87</v>
          </cell>
          <cell r="CM28">
            <v>81</v>
          </cell>
          <cell r="CN28">
            <v>118920</v>
          </cell>
          <cell r="CO28">
            <v>72</v>
          </cell>
          <cell r="CP28">
            <v>71</v>
          </cell>
          <cell r="CQ28">
            <v>215783</v>
          </cell>
          <cell r="CR28">
            <v>73</v>
          </cell>
          <cell r="CS28">
            <v>14</v>
          </cell>
          <cell r="CT28">
            <v>463365</v>
          </cell>
          <cell r="CU28">
            <v>195</v>
          </cell>
          <cell r="CW28">
            <v>3047</v>
          </cell>
          <cell r="CX28">
            <v>0</v>
          </cell>
          <cell r="CY28">
            <v>938</v>
          </cell>
          <cell r="CZ28">
            <v>0</v>
          </cell>
          <cell r="DA28">
            <v>17312</v>
          </cell>
          <cell r="DB28">
            <v>18</v>
          </cell>
          <cell r="DC28">
            <v>18092</v>
          </cell>
          <cell r="DD28">
            <v>15</v>
          </cell>
          <cell r="DE28">
            <v>12585</v>
          </cell>
          <cell r="DF28">
            <v>8</v>
          </cell>
          <cell r="DG28">
            <v>16657</v>
          </cell>
          <cell r="DH28">
            <v>7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550</v>
          </cell>
          <cell r="DN28">
            <v>5</v>
          </cell>
          <cell r="DO28">
            <v>735</v>
          </cell>
          <cell r="DP28">
            <v>2</v>
          </cell>
          <cell r="DQ28">
            <v>15902</v>
          </cell>
          <cell r="DR28">
            <v>18</v>
          </cell>
          <cell r="DT28">
            <v>2616978</v>
          </cell>
          <cell r="DU28">
            <v>1500</v>
          </cell>
          <cell r="DV28">
            <v>4137</v>
          </cell>
          <cell r="DW28">
            <v>5</v>
          </cell>
          <cell r="DX28">
            <v>1714776</v>
          </cell>
          <cell r="DY28">
            <v>1250</v>
          </cell>
          <cell r="DZ28">
            <v>246290</v>
          </cell>
          <cell r="EA28">
            <v>120</v>
          </cell>
          <cell r="ED28">
            <v>354961</v>
          </cell>
          <cell r="EE28">
            <v>560</v>
          </cell>
          <cell r="EF28">
            <v>74274</v>
          </cell>
          <cell r="EG28">
            <v>150</v>
          </cell>
          <cell r="EI28">
            <v>6471987</v>
          </cell>
          <cell r="EJ28">
            <v>7100</v>
          </cell>
          <cell r="EK28">
            <v>570770</v>
          </cell>
          <cell r="EL28">
            <v>420</v>
          </cell>
          <cell r="EM28">
            <v>4449700</v>
          </cell>
          <cell r="EN28">
            <v>3700</v>
          </cell>
          <cell r="EO28">
            <v>1964151</v>
          </cell>
          <cell r="EP28">
            <v>620</v>
          </cell>
          <cell r="EQ28">
            <v>664680</v>
          </cell>
          <cell r="ER28">
            <v>180</v>
          </cell>
          <cell r="ES28">
            <v>10522300</v>
          </cell>
          <cell r="ET28">
            <v>7000</v>
          </cell>
          <cell r="EV28">
            <v>26223</v>
          </cell>
          <cell r="EX28">
            <v>22962</v>
          </cell>
          <cell r="EY28">
            <v>18</v>
          </cell>
          <cell r="EZ28">
            <v>0</v>
          </cell>
          <cell r="FA28">
            <v>0</v>
          </cell>
          <cell r="FB28">
            <v>42703</v>
          </cell>
          <cell r="FD28">
            <v>18228</v>
          </cell>
          <cell r="FE28">
            <v>30</v>
          </cell>
        </row>
        <row r="29">
          <cell r="B29">
            <v>0.65</v>
          </cell>
          <cell r="E29">
            <v>475016</v>
          </cell>
          <cell r="F29">
            <v>595</v>
          </cell>
          <cell r="G29">
            <v>519</v>
          </cell>
          <cell r="H29">
            <v>657028</v>
          </cell>
          <cell r="I29">
            <v>362</v>
          </cell>
          <cell r="J29">
            <v>398</v>
          </cell>
          <cell r="K29">
            <v>3069</v>
          </cell>
          <cell r="L29">
            <v>307</v>
          </cell>
          <cell r="N29">
            <v>593639</v>
          </cell>
          <cell r="O29">
            <v>364</v>
          </cell>
          <cell r="Q29">
            <v>156722</v>
          </cell>
          <cell r="R29">
            <v>0</v>
          </cell>
          <cell r="S29">
            <v>85087</v>
          </cell>
          <cell r="T29">
            <v>218</v>
          </cell>
          <cell r="U29">
            <v>190</v>
          </cell>
          <cell r="V29">
            <v>4982</v>
          </cell>
          <cell r="W29">
            <v>58</v>
          </cell>
          <cell r="AB29">
            <v>5265755.04</v>
          </cell>
          <cell r="AC29">
            <v>2387.2800000002608</v>
          </cell>
          <cell r="AD29">
            <v>3069.3600000012666</v>
          </cell>
          <cell r="AE29">
            <v>10280894.4</v>
          </cell>
          <cell r="AF29">
            <v>4920.7200000006706</v>
          </cell>
          <cell r="AG29">
            <v>5310.480000000447</v>
          </cell>
          <cell r="AH29">
            <v>9468196.0800000001</v>
          </cell>
          <cell r="AI29">
            <v>7843.9199999999255</v>
          </cell>
          <cell r="AJ29">
            <v>10377.360000000335</v>
          </cell>
          <cell r="AK29">
            <v>12849753.84</v>
          </cell>
          <cell r="AL29">
            <v>10815.839999999851</v>
          </cell>
          <cell r="AM29">
            <v>292.32000000029802</v>
          </cell>
          <cell r="AN29">
            <v>12812483.040000001</v>
          </cell>
          <cell r="AO29">
            <v>1218</v>
          </cell>
          <cell r="AP29">
            <v>7843.9199999980628</v>
          </cell>
          <cell r="AQ29">
            <v>11473072.799999999</v>
          </cell>
          <cell r="AR29">
            <v>6772.0800000000745</v>
          </cell>
          <cell r="AS29">
            <v>5895.1199999991804</v>
          </cell>
          <cell r="AT29">
            <v>10067159.76</v>
          </cell>
          <cell r="AU29">
            <v>4677.1199999991804</v>
          </cell>
          <cell r="AV29">
            <v>4969.4399999994785</v>
          </cell>
          <cell r="AW29">
            <v>9684220.5599999987</v>
          </cell>
          <cell r="AX29">
            <v>4969.4399999994785</v>
          </cell>
          <cell r="AY29">
            <v>5115.5999999996275</v>
          </cell>
          <cell r="AZ29">
            <v>7783068.7199999997</v>
          </cell>
          <cell r="BA29">
            <v>3166.7999999998137</v>
          </cell>
          <cell r="BB29">
            <v>3459.1200000001118</v>
          </cell>
          <cell r="BC29">
            <v>11477652.48</v>
          </cell>
          <cell r="BD29">
            <v>5261.7600000016391</v>
          </cell>
          <cell r="BE29">
            <v>5748.9599999990314</v>
          </cell>
          <cell r="BJ29">
            <v>47917300</v>
          </cell>
          <cell r="BK29">
            <v>42500</v>
          </cell>
          <cell r="BL29">
            <v>56500</v>
          </cell>
          <cell r="BM29">
            <v>52525500</v>
          </cell>
          <cell r="BN29">
            <v>53600</v>
          </cell>
          <cell r="BO29">
            <v>0</v>
          </cell>
          <cell r="BP29">
            <v>46066800</v>
          </cell>
          <cell r="BQ29">
            <v>0</v>
          </cell>
          <cell r="BR29">
            <v>95900</v>
          </cell>
          <cell r="BS29">
            <v>3613850</v>
          </cell>
          <cell r="BT29">
            <v>6340</v>
          </cell>
          <cell r="BV29">
            <v>0.49</v>
          </cell>
          <cell r="BW29">
            <v>-4.0000000000000036E-2</v>
          </cell>
          <cell r="BX29">
            <v>-3.0000000000000027E-2</v>
          </cell>
          <cell r="BY29">
            <v>42971</v>
          </cell>
          <cell r="BZ29">
            <v>20</v>
          </cell>
          <cell r="CA29">
            <v>38144</v>
          </cell>
          <cell r="CB29">
            <v>17</v>
          </cell>
          <cell r="CC29">
            <v>12607</v>
          </cell>
          <cell r="CD29">
            <v>7</v>
          </cell>
          <cell r="CE29">
            <v>15740</v>
          </cell>
          <cell r="CF29">
            <v>12</v>
          </cell>
          <cell r="CG29">
            <v>18061</v>
          </cell>
          <cell r="CH29">
            <v>9</v>
          </cell>
          <cell r="CI29">
            <v>38293</v>
          </cell>
          <cell r="CJ29">
            <v>27</v>
          </cell>
          <cell r="CK29">
            <v>167714</v>
          </cell>
          <cell r="CL29">
            <v>84</v>
          </cell>
          <cell r="CM29">
            <v>81</v>
          </cell>
          <cell r="CN29">
            <v>118982</v>
          </cell>
          <cell r="CO29">
            <v>62</v>
          </cell>
          <cell r="CP29">
            <v>63</v>
          </cell>
          <cell r="CQ29">
            <v>215850</v>
          </cell>
          <cell r="CR29">
            <v>67</v>
          </cell>
          <cell r="CS29">
            <v>14</v>
          </cell>
          <cell r="CT29">
            <v>463555</v>
          </cell>
          <cell r="CU29">
            <v>190</v>
          </cell>
          <cell r="CW29">
            <v>3047</v>
          </cell>
          <cell r="CX29">
            <v>0</v>
          </cell>
          <cell r="CY29">
            <v>938</v>
          </cell>
          <cell r="CZ29">
            <v>0</v>
          </cell>
          <cell r="DA29">
            <v>17321</v>
          </cell>
          <cell r="DB29">
            <v>9</v>
          </cell>
          <cell r="DC29">
            <v>18099</v>
          </cell>
          <cell r="DD29">
            <v>7</v>
          </cell>
          <cell r="DE29">
            <v>12594</v>
          </cell>
          <cell r="DF29">
            <v>9</v>
          </cell>
          <cell r="DG29">
            <v>16668</v>
          </cell>
          <cell r="DH29">
            <v>11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566</v>
          </cell>
          <cell r="DN29">
            <v>16</v>
          </cell>
          <cell r="DO29">
            <v>739</v>
          </cell>
          <cell r="DP29">
            <v>4</v>
          </cell>
          <cell r="DQ29">
            <v>15918</v>
          </cell>
          <cell r="DR29">
            <v>16</v>
          </cell>
          <cell r="DT29">
            <v>2618524</v>
          </cell>
          <cell r="DU29">
            <v>1546</v>
          </cell>
          <cell r="DV29">
            <v>4141</v>
          </cell>
          <cell r="DW29">
            <v>4</v>
          </cell>
          <cell r="DX29">
            <v>1716024</v>
          </cell>
          <cell r="DY29">
            <v>1248</v>
          </cell>
          <cell r="DZ29">
            <v>246436</v>
          </cell>
          <cell r="EA29">
            <v>146</v>
          </cell>
          <cell r="ED29">
            <v>355537</v>
          </cell>
          <cell r="EE29">
            <v>576</v>
          </cell>
          <cell r="EF29">
            <v>74396</v>
          </cell>
          <cell r="EG29">
            <v>122</v>
          </cell>
          <cell r="EI29">
            <v>6478887</v>
          </cell>
          <cell r="EJ29">
            <v>6900</v>
          </cell>
          <cell r="EK29">
            <v>571220</v>
          </cell>
          <cell r="EL29">
            <v>450</v>
          </cell>
          <cell r="EM29">
            <v>4452800</v>
          </cell>
          <cell r="EN29">
            <v>3100</v>
          </cell>
          <cell r="EO29">
            <v>1964771</v>
          </cell>
          <cell r="EP29">
            <v>620</v>
          </cell>
          <cell r="EQ29">
            <v>664860</v>
          </cell>
          <cell r="ER29">
            <v>180</v>
          </cell>
          <cell r="ES29">
            <v>10527900</v>
          </cell>
          <cell r="ET29">
            <v>5600</v>
          </cell>
          <cell r="EV29">
            <v>26243</v>
          </cell>
          <cell r="EX29">
            <v>22977</v>
          </cell>
          <cell r="EY29">
            <v>15</v>
          </cell>
          <cell r="EZ29">
            <v>0</v>
          </cell>
          <cell r="FA29">
            <v>0</v>
          </cell>
          <cell r="FB29">
            <v>42703</v>
          </cell>
          <cell r="FD29">
            <v>18258</v>
          </cell>
          <cell r="FE29">
            <v>30</v>
          </cell>
        </row>
        <row r="30">
          <cell r="B30">
            <v>0.71</v>
          </cell>
          <cell r="E30">
            <v>475500</v>
          </cell>
          <cell r="F30">
            <v>484</v>
          </cell>
          <cell r="G30">
            <v>545</v>
          </cell>
          <cell r="H30">
            <v>657308</v>
          </cell>
          <cell r="I30">
            <v>280</v>
          </cell>
          <cell r="J30">
            <v>399</v>
          </cell>
          <cell r="K30">
            <v>3462</v>
          </cell>
          <cell r="L30">
            <v>393</v>
          </cell>
          <cell r="N30">
            <v>594106</v>
          </cell>
          <cell r="O30">
            <v>467</v>
          </cell>
          <cell r="Q30">
            <v>156722</v>
          </cell>
          <cell r="R30">
            <v>0</v>
          </cell>
          <cell r="S30">
            <v>85288</v>
          </cell>
          <cell r="T30">
            <v>201</v>
          </cell>
          <cell r="U30">
            <v>188</v>
          </cell>
          <cell r="V30">
            <v>5026</v>
          </cell>
          <cell r="W30">
            <v>44</v>
          </cell>
          <cell r="AB30">
            <v>5268142.32</v>
          </cell>
          <cell r="AC30">
            <v>2387.2800000002608</v>
          </cell>
          <cell r="AD30">
            <v>2971.9199999999255</v>
          </cell>
          <cell r="AE30">
            <v>10285766.4</v>
          </cell>
          <cell r="AF30">
            <v>4872</v>
          </cell>
          <cell r="AG30">
            <v>5310.480000000447</v>
          </cell>
          <cell r="AH30">
            <v>9475504.0800000001</v>
          </cell>
          <cell r="AI30">
            <v>7308</v>
          </cell>
          <cell r="AJ30">
            <v>11741.520000000484</v>
          </cell>
          <cell r="AK30">
            <v>12860862</v>
          </cell>
          <cell r="AL30">
            <v>11108.160000000149</v>
          </cell>
          <cell r="AM30">
            <v>341.04000000096858</v>
          </cell>
          <cell r="AN30">
            <v>12813262.559999999</v>
          </cell>
          <cell r="AO30">
            <v>779.51999999769032</v>
          </cell>
          <cell r="AP30">
            <v>5213.0400000009686</v>
          </cell>
          <cell r="AQ30">
            <v>11480137.199999999</v>
          </cell>
          <cell r="AR30">
            <v>7064.4000000003725</v>
          </cell>
          <cell r="AS30">
            <v>5895.1199999991804</v>
          </cell>
          <cell r="AT30">
            <v>10071642</v>
          </cell>
          <cell r="AU30">
            <v>4482.2400000002235</v>
          </cell>
          <cell r="AV30">
            <v>4774.5600000005215</v>
          </cell>
          <cell r="AW30">
            <v>9689043.8399999999</v>
          </cell>
          <cell r="AX30">
            <v>4823.2800000011921</v>
          </cell>
          <cell r="AY30">
            <v>5310.480000000447</v>
          </cell>
          <cell r="AZ30">
            <v>7786527.8399999999</v>
          </cell>
          <cell r="BA30">
            <v>3459.1200000001118</v>
          </cell>
          <cell r="BB30">
            <v>3264.2400000002235</v>
          </cell>
          <cell r="BC30">
            <v>11482914.24</v>
          </cell>
          <cell r="BD30">
            <v>5261.7599999997765</v>
          </cell>
          <cell r="BE30">
            <v>5602.8000000007451</v>
          </cell>
          <cell r="BJ30">
            <v>47954600</v>
          </cell>
          <cell r="BK30">
            <v>37300</v>
          </cell>
          <cell r="BL30">
            <v>34700</v>
          </cell>
          <cell r="BM30">
            <v>52580900</v>
          </cell>
          <cell r="BN30">
            <v>55400</v>
          </cell>
          <cell r="BO30">
            <v>34000</v>
          </cell>
          <cell r="BP30">
            <v>46066800</v>
          </cell>
          <cell r="BQ30">
            <v>0</v>
          </cell>
          <cell r="BR30">
            <v>24700</v>
          </cell>
          <cell r="BS30">
            <v>3618540</v>
          </cell>
          <cell r="BT30">
            <v>4690</v>
          </cell>
          <cell r="BV30">
            <v>0.44</v>
          </cell>
          <cell r="BW30">
            <v>-4.9999999999999989E-2</v>
          </cell>
          <cell r="BX30">
            <v>-1.9999999999999907E-2</v>
          </cell>
          <cell r="BY30">
            <v>42991</v>
          </cell>
          <cell r="BZ30">
            <v>20</v>
          </cell>
          <cell r="CA30">
            <v>38159</v>
          </cell>
          <cell r="CB30">
            <v>15</v>
          </cell>
          <cell r="CC30">
            <v>12614</v>
          </cell>
          <cell r="CD30">
            <v>7</v>
          </cell>
          <cell r="CE30">
            <v>15751</v>
          </cell>
          <cell r="CF30">
            <v>11</v>
          </cell>
          <cell r="CG30">
            <v>18071</v>
          </cell>
          <cell r="CH30">
            <v>10</v>
          </cell>
          <cell r="CI30">
            <v>38319</v>
          </cell>
          <cell r="CJ30">
            <v>26</v>
          </cell>
          <cell r="CK30">
            <v>167800</v>
          </cell>
          <cell r="CL30">
            <v>86</v>
          </cell>
          <cell r="CM30">
            <v>80</v>
          </cell>
          <cell r="CN30">
            <v>119055</v>
          </cell>
          <cell r="CO30">
            <v>73</v>
          </cell>
          <cell r="CP30">
            <v>68</v>
          </cell>
          <cell r="CQ30">
            <v>215921</v>
          </cell>
          <cell r="CR30">
            <v>71</v>
          </cell>
          <cell r="CS30">
            <v>15</v>
          </cell>
          <cell r="CT30">
            <v>463748</v>
          </cell>
          <cell r="CU30">
            <v>193</v>
          </cell>
          <cell r="CW30">
            <v>3047</v>
          </cell>
          <cell r="CX30">
            <v>0</v>
          </cell>
          <cell r="CY30">
            <v>938</v>
          </cell>
          <cell r="CZ30">
            <v>0</v>
          </cell>
          <cell r="DA30">
            <v>17334</v>
          </cell>
          <cell r="DB30">
            <v>13</v>
          </cell>
          <cell r="DC30">
            <v>18111</v>
          </cell>
          <cell r="DD30">
            <v>12</v>
          </cell>
          <cell r="DE30">
            <v>12603</v>
          </cell>
          <cell r="DF30">
            <v>9</v>
          </cell>
          <cell r="DG30">
            <v>16675</v>
          </cell>
          <cell r="DH30">
            <v>7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571</v>
          </cell>
          <cell r="DN30">
            <v>5</v>
          </cell>
          <cell r="DO30">
            <v>742</v>
          </cell>
          <cell r="DP30">
            <v>3</v>
          </cell>
          <cell r="DQ30">
            <v>15945</v>
          </cell>
          <cell r="DR30">
            <v>27</v>
          </cell>
          <cell r="DT30">
            <v>2620039</v>
          </cell>
          <cell r="DU30">
            <v>1515</v>
          </cell>
          <cell r="DV30">
            <v>4145</v>
          </cell>
          <cell r="DW30">
            <v>4</v>
          </cell>
          <cell r="DX30">
            <v>1717298</v>
          </cell>
          <cell r="DY30">
            <v>1274</v>
          </cell>
          <cell r="DZ30">
            <v>246570</v>
          </cell>
          <cell r="EA30">
            <v>134</v>
          </cell>
          <cell r="ED30">
            <v>356128</v>
          </cell>
          <cell r="EE30">
            <v>591</v>
          </cell>
          <cell r="EF30">
            <v>74537</v>
          </cell>
          <cell r="EG30">
            <v>141</v>
          </cell>
          <cell r="EI30">
            <v>6486387</v>
          </cell>
          <cell r="EJ30">
            <v>7500</v>
          </cell>
          <cell r="EK30">
            <v>571670</v>
          </cell>
          <cell r="EL30">
            <v>450</v>
          </cell>
          <cell r="EM30">
            <v>4456300</v>
          </cell>
          <cell r="EN30">
            <v>3500</v>
          </cell>
          <cell r="EO30">
            <v>1965561</v>
          </cell>
          <cell r="EP30">
            <v>790</v>
          </cell>
          <cell r="EQ30">
            <v>665040</v>
          </cell>
          <cell r="ER30">
            <v>180</v>
          </cell>
          <cell r="ES30">
            <v>10533500</v>
          </cell>
          <cell r="ET30">
            <v>5600</v>
          </cell>
          <cell r="EV30">
            <v>26259</v>
          </cell>
          <cell r="EX30">
            <v>22994</v>
          </cell>
          <cell r="EY30">
            <v>17</v>
          </cell>
          <cell r="EZ30">
            <v>0</v>
          </cell>
          <cell r="FA30">
            <v>0</v>
          </cell>
          <cell r="FB30">
            <v>42703</v>
          </cell>
          <cell r="FD30">
            <v>18287</v>
          </cell>
          <cell r="FE30">
            <v>29</v>
          </cell>
        </row>
        <row r="31">
          <cell r="B31">
            <v>0.74</v>
          </cell>
          <cell r="E31">
            <v>476042</v>
          </cell>
          <cell r="F31">
            <v>542</v>
          </cell>
          <cell r="G31">
            <v>524</v>
          </cell>
          <cell r="H31">
            <v>657602</v>
          </cell>
          <cell r="I31">
            <v>294</v>
          </cell>
          <cell r="J31">
            <v>376</v>
          </cell>
          <cell r="K31">
            <v>3623</v>
          </cell>
          <cell r="L31">
            <v>161</v>
          </cell>
          <cell r="N31">
            <v>594497</v>
          </cell>
          <cell r="O31">
            <v>391</v>
          </cell>
          <cell r="Q31">
            <v>156722</v>
          </cell>
          <cell r="R31">
            <v>0</v>
          </cell>
          <cell r="S31">
            <v>85507</v>
          </cell>
          <cell r="T31">
            <v>219</v>
          </cell>
          <cell r="U31">
            <v>172</v>
          </cell>
          <cell r="V31">
            <v>5085</v>
          </cell>
          <cell r="W31">
            <v>59</v>
          </cell>
          <cell r="AB31">
            <v>5270627.04</v>
          </cell>
          <cell r="AC31">
            <v>2484.7199999997392</v>
          </cell>
          <cell r="AD31">
            <v>3166.7999999998137</v>
          </cell>
          <cell r="AE31">
            <v>10290784.559999999</v>
          </cell>
          <cell r="AF31">
            <v>5018.1599999982864</v>
          </cell>
          <cell r="AG31">
            <v>5554.0799999982119</v>
          </cell>
          <cell r="AH31">
            <v>9483640.3199999984</v>
          </cell>
          <cell r="AI31">
            <v>8136.2399999983609</v>
          </cell>
          <cell r="AJ31">
            <v>12374.879999999888</v>
          </cell>
          <cell r="AK31">
            <v>12873870.24</v>
          </cell>
          <cell r="AL31">
            <v>13008.240000000224</v>
          </cell>
          <cell r="AM31">
            <v>974.39999999850988</v>
          </cell>
          <cell r="AN31">
            <v>12814626.719999999</v>
          </cell>
          <cell r="AO31">
            <v>1364.160000000149</v>
          </cell>
          <cell r="AP31">
            <v>6431.0400000009686</v>
          </cell>
          <cell r="AQ31">
            <v>11487396.48</v>
          </cell>
          <cell r="AR31">
            <v>7259.2800000011921</v>
          </cell>
          <cell r="AS31">
            <v>5895.1200000010431</v>
          </cell>
          <cell r="AT31">
            <v>10076319.119999999</v>
          </cell>
          <cell r="AU31">
            <v>4677.1199999991804</v>
          </cell>
          <cell r="AV31">
            <v>4969.4399999994785</v>
          </cell>
          <cell r="AW31">
            <v>9694256.8800000008</v>
          </cell>
          <cell r="AX31">
            <v>5213.0400000009686</v>
          </cell>
          <cell r="AY31">
            <v>5018.160000000149</v>
          </cell>
          <cell r="AZ31">
            <v>7789938.2400000002</v>
          </cell>
          <cell r="BA31">
            <v>3410.4000000003725</v>
          </cell>
          <cell r="BB31">
            <v>3751.4399999994785</v>
          </cell>
          <cell r="BC31">
            <v>11488419.6</v>
          </cell>
          <cell r="BD31">
            <v>5505.359999999404</v>
          </cell>
          <cell r="BE31">
            <v>5895.1200000010431</v>
          </cell>
          <cell r="BJ31">
            <v>47996500</v>
          </cell>
          <cell r="BK31">
            <v>41900</v>
          </cell>
          <cell r="BL31">
            <v>82100</v>
          </cell>
          <cell r="BM31">
            <v>52638600</v>
          </cell>
          <cell r="BN31">
            <v>57700</v>
          </cell>
          <cell r="BO31">
            <v>0</v>
          </cell>
          <cell r="BP31">
            <v>46066800</v>
          </cell>
          <cell r="BQ31">
            <v>0</v>
          </cell>
          <cell r="BR31">
            <v>22400</v>
          </cell>
          <cell r="BS31">
            <v>3623380</v>
          </cell>
          <cell r="BT31">
            <v>4840</v>
          </cell>
          <cell r="BV31">
            <v>0.41</v>
          </cell>
          <cell r="BW31">
            <v>-3.0000000000000027E-2</v>
          </cell>
          <cell r="BX31">
            <v>-4.0000000000000036E-2</v>
          </cell>
          <cell r="BY31">
            <v>43011</v>
          </cell>
          <cell r="BZ31">
            <v>20</v>
          </cell>
          <cell r="CA31">
            <v>38174</v>
          </cell>
          <cell r="CB31">
            <v>15</v>
          </cell>
          <cell r="CC31">
            <v>12621</v>
          </cell>
          <cell r="CD31">
            <v>7</v>
          </cell>
          <cell r="CE31">
            <v>15762</v>
          </cell>
          <cell r="CF31">
            <v>11</v>
          </cell>
          <cell r="CG31">
            <v>18081</v>
          </cell>
          <cell r="CH31">
            <v>10</v>
          </cell>
          <cell r="CI31">
            <v>38345</v>
          </cell>
          <cell r="CJ31">
            <v>26</v>
          </cell>
          <cell r="CK31">
            <v>167883</v>
          </cell>
          <cell r="CL31">
            <v>83</v>
          </cell>
          <cell r="CM31">
            <v>80</v>
          </cell>
          <cell r="CN31">
            <v>119127</v>
          </cell>
          <cell r="CO31">
            <v>72</v>
          </cell>
          <cell r="CP31">
            <v>64</v>
          </cell>
          <cell r="CQ31">
            <v>215989</v>
          </cell>
          <cell r="CR31">
            <v>68</v>
          </cell>
          <cell r="CS31">
            <v>14</v>
          </cell>
          <cell r="CT31">
            <v>463936</v>
          </cell>
          <cell r="CU31">
            <v>188</v>
          </cell>
          <cell r="CW31">
            <v>3047</v>
          </cell>
          <cell r="CX31">
            <v>0</v>
          </cell>
          <cell r="CY31">
            <v>938</v>
          </cell>
          <cell r="CZ31">
            <v>0</v>
          </cell>
          <cell r="DA31">
            <v>17345</v>
          </cell>
          <cell r="DB31">
            <v>11</v>
          </cell>
          <cell r="DC31">
            <v>18123</v>
          </cell>
          <cell r="DD31">
            <v>12</v>
          </cell>
          <cell r="DE31">
            <v>12605</v>
          </cell>
          <cell r="DF31">
            <v>2</v>
          </cell>
          <cell r="DG31">
            <v>16678</v>
          </cell>
          <cell r="DH31">
            <v>3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>
            <v>578</v>
          </cell>
          <cell r="DN31">
            <v>7</v>
          </cell>
          <cell r="DO31">
            <v>743</v>
          </cell>
          <cell r="DP31">
            <v>1</v>
          </cell>
          <cell r="DQ31">
            <v>15972</v>
          </cell>
          <cell r="DR31">
            <v>27</v>
          </cell>
          <cell r="DT31">
            <v>2621540</v>
          </cell>
          <cell r="DU31">
            <v>1501</v>
          </cell>
          <cell r="DV31">
            <v>4149</v>
          </cell>
          <cell r="DW31">
            <v>4</v>
          </cell>
          <cell r="DX31">
            <v>1718546</v>
          </cell>
          <cell r="DY31">
            <v>1248</v>
          </cell>
          <cell r="DZ31">
            <v>246696</v>
          </cell>
          <cell r="EA31">
            <v>126</v>
          </cell>
          <cell r="ED31">
            <v>356694</v>
          </cell>
          <cell r="EE31">
            <v>566</v>
          </cell>
          <cell r="EF31">
            <v>74673</v>
          </cell>
          <cell r="EG31">
            <v>136</v>
          </cell>
          <cell r="EI31">
            <v>6494227</v>
          </cell>
          <cell r="EJ31">
            <v>7840</v>
          </cell>
          <cell r="EK31">
            <v>572120</v>
          </cell>
          <cell r="EL31">
            <v>450</v>
          </cell>
          <cell r="EM31">
            <v>4459400</v>
          </cell>
          <cell r="EN31">
            <v>3100</v>
          </cell>
          <cell r="EO31">
            <v>1966351</v>
          </cell>
          <cell r="EP31">
            <v>790</v>
          </cell>
          <cell r="EQ31">
            <v>665220</v>
          </cell>
          <cell r="ER31">
            <v>180</v>
          </cell>
          <cell r="ES31">
            <v>10539100</v>
          </cell>
          <cell r="ET31">
            <v>5600</v>
          </cell>
          <cell r="EV31">
            <v>26276</v>
          </cell>
          <cell r="EX31">
            <v>23010</v>
          </cell>
          <cell r="EY31">
            <v>16</v>
          </cell>
          <cell r="EZ31">
            <v>0</v>
          </cell>
          <cell r="FA31">
            <v>0</v>
          </cell>
          <cell r="FB31">
            <v>42703</v>
          </cell>
          <cell r="FD31">
            <v>18313</v>
          </cell>
          <cell r="FE31">
            <v>26</v>
          </cell>
        </row>
        <row r="32">
          <cell r="B32">
            <v>0.73</v>
          </cell>
          <cell r="E32">
            <v>476598</v>
          </cell>
          <cell r="F32">
            <v>556</v>
          </cell>
          <cell r="G32">
            <v>565</v>
          </cell>
          <cell r="H32">
            <v>657928</v>
          </cell>
          <cell r="I32">
            <v>326</v>
          </cell>
          <cell r="J32">
            <v>365</v>
          </cell>
          <cell r="K32">
            <v>4282</v>
          </cell>
          <cell r="L32">
            <v>659</v>
          </cell>
          <cell r="N32">
            <v>594903</v>
          </cell>
          <cell r="O32">
            <v>406</v>
          </cell>
          <cell r="Q32">
            <v>156722</v>
          </cell>
          <cell r="R32">
            <v>0</v>
          </cell>
          <cell r="S32">
            <v>85740</v>
          </cell>
          <cell r="T32">
            <v>233</v>
          </cell>
          <cell r="U32">
            <v>196</v>
          </cell>
          <cell r="V32">
            <v>5145</v>
          </cell>
          <cell r="W32">
            <v>60</v>
          </cell>
          <cell r="AB32">
            <v>5273014.32</v>
          </cell>
          <cell r="AC32">
            <v>2387.2800000002608</v>
          </cell>
          <cell r="AD32">
            <v>2387.2800000002608</v>
          </cell>
          <cell r="AE32">
            <v>10295607.84</v>
          </cell>
          <cell r="AF32">
            <v>4823.2800000011921</v>
          </cell>
          <cell r="AG32">
            <v>5310.480000000447</v>
          </cell>
          <cell r="AH32">
            <v>9491581.6799999997</v>
          </cell>
          <cell r="AI32">
            <v>7941.3600000012666</v>
          </cell>
          <cell r="AJ32">
            <v>12277.439999999478</v>
          </cell>
          <cell r="AK32">
            <v>12885611.76</v>
          </cell>
          <cell r="AL32">
            <v>11741.519999999553</v>
          </cell>
          <cell r="AM32">
            <v>779.51999999955297</v>
          </cell>
          <cell r="AN32">
            <v>12816088.319999998</v>
          </cell>
          <cell r="AO32">
            <v>1461.5999999996275</v>
          </cell>
          <cell r="AP32">
            <v>9451.6799999978393</v>
          </cell>
          <cell r="AQ32">
            <v>11494314.719999999</v>
          </cell>
          <cell r="AR32">
            <v>6918.2399999983609</v>
          </cell>
          <cell r="AS32">
            <v>5651.519999999553</v>
          </cell>
          <cell r="AT32">
            <v>10081044.959999999</v>
          </cell>
          <cell r="AU32">
            <v>4725.839999999851</v>
          </cell>
          <cell r="AV32">
            <v>4823.2800000011921</v>
          </cell>
          <cell r="AW32">
            <v>9699128.8800000008</v>
          </cell>
          <cell r="AX32">
            <v>4872</v>
          </cell>
          <cell r="AY32">
            <v>5066.8799999998882</v>
          </cell>
          <cell r="AZ32">
            <v>7793494.7999999998</v>
          </cell>
          <cell r="BA32">
            <v>3556.5599999995902</v>
          </cell>
          <cell r="BB32">
            <v>3507.8400000007823</v>
          </cell>
          <cell r="BC32">
            <v>11493681.359999999</v>
          </cell>
          <cell r="BD32">
            <v>5261.7599999997765</v>
          </cell>
          <cell r="BE32">
            <v>5797.679999999702</v>
          </cell>
          <cell r="BJ32">
            <v>48040600</v>
          </cell>
          <cell r="BK32">
            <v>44100</v>
          </cell>
          <cell r="BL32">
            <v>40600</v>
          </cell>
          <cell r="BM32">
            <v>52697800</v>
          </cell>
          <cell r="BN32">
            <v>59200</v>
          </cell>
          <cell r="BO32">
            <v>0</v>
          </cell>
          <cell r="BP32">
            <v>46066800</v>
          </cell>
          <cell r="BQ32">
            <v>0</v>
          </cell>
          <cell r="BR32">
            <v>16700</v>
          </cell>
          <cell r="BS32">
            <v>3628980</v>
          </cell>
          <cell r="BT32">
            <v>5600</v>
          </cell>
          <cell r="BV32">
            <v>0.55000000000000004</v>
          </cell>
          <cell r="BW32">
            <v>0.14000000000000007</v>
          </cell>
          <cell r="BX32">
            <v>-4.0000000000000036E-2</v>
          </cell>
          <cell r="BY32">
            <v>43031</v>
          </cell>
          <cell r="BZ32">
            <v>20</v>
          </cell>
          <cell r="CA32">
            <v>38189</v>
          </cell>
          <cell r="CB32">
            <v>15</v>
          </cell>
          <cell r="CC32">
            <v>12628</v>
          </cell>
          <cell r="CD32">
            <v>7</v>
          </cell>
          <cell r="CE32">
            <v>15773</v>
          </cell>
          <cell r="CF32">
            <v>11</v>
          </cell>
          <cell r="CG32">
            <v>18091</v>
          </cell>
          <cell r="CH32">
            <v>10</v>
          </cell>
          <cell r="CI32">
            <v>38371</v>
          </cell>
          <cell r="CJ32">
            <v>26</v>
          </cell>
          <cell r="CK32">
            <v>167971</v>
          </cell>
          <cell r="CL32">
            <v>88</v>
          </cell>
          <cell r="CM32">
            <v>81</v>
          </cell>
          <cell r="CN32">
            <v>119204</v>
          </cell>
          <cell r="CO32">
            <v>77</v>
          </cell>
          <cell r="CP32">
            <v>66</v>
          </cell>
          <cell r="CQ32">
            <v>216078</v>
          </cell>
          <cell r="CR32">
            <v>89</v>
          </cell>
          <cell r="CS32">
            <v>13</v>
          </cell>
          <cell r="CT32">
            <v>464134</v>
          </cell>
          <cell r="CU32">
            <v>198</v>
          </cell>
          <cell r="CW32">
            <v>3047</v>
          </cell>
          <cell r="CX32">
            <v>0</v>
          </cell>
          <cell r="CY32">
            <v>938</v>
          </cell>
          <cell r="CZ32">
            <v>0</v>
          </cell>
          <cell r="DA32">
            <v>17359</v>
          </cell>
          <cell r="DB32">
            <v>14</v>
          </cell>
          <cell r="DC32">
            <v>18135</v>
          </cell>
          <cell r="DD32">
            <v>12</v>
          </cell>
          <cell r="DE32">
            <v>12615</v>
          </cell>
          <cell r="DF32">
            <v>10</v>
          </cell>
          <cell r="DG32">
            <v>16690</v>
          </cell>
          <cell r="DH32">
            <v>12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>
            <v>584</v>
          </cell>
          <cell r="DN32">
            <v>6</v>
          </cell>
          <cell r="DO32">
            <v>746</v>
          </cell>
          <cell r="DP32">
            <v>3</v>
          </cell>
          <cell r="DQ32">
            <v>15999</v>
          </cell>
          <cell r="DR32">
            <v>27</v>
          </cell>
          <cell r="DT32">
            <v>2623126</v>
          </cell>
          <cell r="DU32">
            <v>1586</v>
          </cell>
          <cell r="DV32">
            <v>4154</v>
          </cell>
          <cell r="DW32">
            <v>5</v>
          </cell>
          <cell r="DX32">
            <v>1719832</v>
          </cell>
          <cell r="DY32">
            <v>1286</v>
          </cell>
          <cell r="DZ32">
            <v>246822</v>
          </cell>
          <cell r="EA32">
            <v>126</v>
          </cell>
          <cell r="ED32">
            <v>357271</v>
          </cell>
          <cell r="EE32">
            <v>577</v>
          </cell>
          <cell r="EF32">
            <v>74813</v>
          </cell>
          <cell r="EG32">
            <v>140</v>
          </cell>
          <cell r="EI32">
            <v>6501827</v>
          </cell>
          <cell r="EJ32">
            <v>7600</v>
          </cell>
          <cell r="EK32">
            <v>572570</v>
          </cell>
          <cell r="EL32">
            <v>450</v>
          </cell>
          <cell r="EM32">
            <v>4463400</v>
          </cell>
          <cell r="EN32">
            <v>4000</v>
          </cell>
          <cell r="EO32">
            <v>1967141</v>
          </cell>
          <cell r="EP32">
            <v>790</v>
          </cell>
          <cell r="EQ32">
            <v>665400</v>
          </cell>
          <cell r="ER32">
            <v>180</v>
          </cell>
          <cell r="ES32">
            <v>10544700</v>
          </cell>
          <cell r="ET32">
            <v>5600</v>
          </cell>
          <cell r="EV32">
            <v>26292</v>
          </cell>
          <cell r="EX32">
            <v>23026</v>
          </cell>
          <cell r="EY32">
            <v>16</v>
          </cell>
          <cell r="EZ32">
            <v>0</v>
          </cell>
          <cell r="FA32">
            <v>0</v>
          </cell>
          <cell r="FB32">
            <v>42703</v>
          </cell>
          <cell r="FD32">
            <v>18346</v>
          </cell>
          <cell r="FE32">
            <v>33</v>
          </cell>
        </row>
        <row r="33">
          <cell r="B33"/>
          <cell r="E33">
            <v>477181</v>
          </cell>
          <cell r="F33">
            <v>583</v>
          </cell>
          <cell r="G33">
            <v>539</v>
          </cell>
          <cell r="H33">
            <v>658264</v>
          </cell>
          <cell r="I33">
            <v>336</v>
          </cell>
          <cell r="J33">
            <v>399</v>
          </cell>
          <cell r="K33">
            <v>4677</v>
          </cell>
          <cell r="L33">
            <v>395</v>
          </cell>
          <cell r="N33">
            <v>595291</v>
          </cell>
          <cell r="O33">
            <v>388</v>
          </cell>
          <cell r="Q33">
            <v>156722</v>
          </cell>
          <cell r="R33">
            <v>0</v>
          </cell>
          <cell r="S33">
            <v>85972</v>
          </cell>
          <cell r="T33">
            <v>232</v>
          </cell>
          <cell r="U33">
            <v>193</v>
          </cell>
          <cell r="V33">
            <v>5210</v>
          </cell>
          <cell r="W33">
            <v>65</v>
          </cell>
          <cell r="AB33">
            <v>5275499.04</v>
          </cell>
          <cell r="AC33">
            <v>2484.7199999997392</v>
          </cell>
          <cell r="AD33">
            <v>2258</v>
          </cell>
          <cell r="AE33">
            <v>10300626</v>
          </cell>
          <cell r="AF33">
            <v>5018.160000000149</v>
          </cell>
          <cell r="AG33">
            <v>5412</v>
          </cell>
          <cell r="AH33">
            <v>9500058.959999999</v>
          </cell>
          <cell r="AI33">
            <v>8477.2799999993294</v>
          </cell>
          <cell r="AJ33">
            <v>10000</v>
          </cell>
          <cell r="AK33">
            <v>12897353.280000001</v>
          </cell>
          <cell r="AL33">
            <v>11741.520000001416</v>
          </cell>
          <cell r="AM33">
            <v>1000</v>
          </cell>
          <cell r="AN33">
            <v>12817598.640000001</v>
          </cell>
          <cell r="AO33">
            <v>1510.3200000021607</v>
          </cell>
          <cell r="AP33">
            <v>9563</v>
          </cell>
          <cell r="AQ33">
            <v>11501184.24</v>
          </cell>
          <cell r="AR33">
            <v>6869.5200000014156</v>
          </cell>
          <cell r="AS33">
            <v>5561</v>
          </cell>
          <cell r="AT33">
            <v>10086111.84</v>
          </cell>
          <cell r="AU33">
            <v>5066.8800000008196</v>
          </cell>
          <cell r="AV33">
            <v>4900</v>
          </cell>
          <cell r="AW33">
            <v>9704049.5999999996</v>
          </cell>
          <cell r="AX33">
            <v>4920.7199999988079</v>
          </cell>
          <cell r="AY33">
            <v>5058</v>
          </cell>
          <cell r="AZ33">
            <v>7797051.3599999994</v>
          </cell>
          <cell r="BA33">
            <v>3556.5599999995902</v>
          </cell>
          <cell r="BB33">
            <v>3600</v>
          </cell>
          <cell r="BC33">
            <v>11499186.719999999</v>
          </cell>
          <cell r="BD33">
            <v>5505.359999999404</v>
          </cell>
          <cell r="BE33">
            <v>5780</v>
          </cell>
          <cell r="BJ33">
            <v>48084000</v>
          </cell>
          <cell r="BK33">
            <v>43400</v>
          </cell>
          <cell r="BL33">
            <v>55600</v>
          </cell>
          <cell r="BM33">
            <v>52757700</v>
          </cell>
          <cell r="BN33">
            <v>59900</v>
          </cell>
          <cell r="BO33">
            <v>0</v>
          </cell>
          <cell r="BP33">
            <v>46066800</v>
          </cell>
          <cell r="BQ33">
            <v>0</v>
          </cell>
          <cell r="BR33">
            <v>0</v>
          </cell>
          <cell r="BS33">
            <v>3634510</v>
          </cell>
          <cell r="BT33">
            <v>5530</v>
          </cell>
          <cell r="BV33">
            <v>0.48</v>
          </cell>
          <cell r="BW33">
            <v>-7.0000000000000062E-2</v>
          </cell>
          <cell r="BX33">
            <v>-4.9999999999999989E-2</v>
          </cell>
          <cell r="BY33">
            <v>43051</v>
          </cell>
          <cell r="BZ33">
            <v>20</v>
          </cell>
          <cell r="CA33">
            <v>38204</v>
          </cell>
          <cell r="CB33">
            <v>15</v>
          </cell>
          <cell r="CC33">
            <v>12635</v>
          </cell>
          <cell r="CD33">
            <v>7</v>
          </cell>
          <cell r="CE33">
            <v>15784</v>
          </cell>
          <cell r="CF33">
            <v>11</v>
          </cell>
          <cell r="CG33">
            <v>18101</v>
          </cell>
          <cell r="CH33">
            <v>10</v>
          </cell>
          <cell r="CI33">
            <v>38397</v>
          </cell>
          <cell r="CJ33">
            <v>26</v>
          </cell>
          <cell r="CK33">
            <v>168056</v>
          </cell>
          <cell r="CL33">
            <v>85</v>
          </cell>
          <cell r="CM33">
            <v>81</v>
          </cell>
          <cell r="CN33">
            <v>119278</v>
          </cell>
          <cell r="CO33">
            <v>74</v>
          </cell>
          <cell r="CP33">
            <v>71</v>
          </cell>
          <cell r="CQ33">
            <v>216161</v>
          </cell>
          <cell r="CR33">
            <v>83</v>
          </cell>
          <cell r="CS33">
            <v>14</v>
          </cell>
          <cell r="CT33">
            <v>464324</v>
          </cell>
          <cell r="CU33">
            <v>190</v>
          </cell>
          <cell r="CW33">
            <v>3047</v>
          </cell>
          <cell r="CX33">
            <v>0</v>
          </cell>
          <cell r="CY33">
            <v>938</v>
          </cell>
          <cell r="CZ33">
            <v>0</v>
          </cell>
          <cell r="DA33">
            <v>17377</v>
          </cell>
          <cell r="DB33">
            <v>18</v>
          </cell>
          <cell r="DC33">
            <v>18148</v>
          </cell>
          <cell r="DD33">
            <v>13</v>
          </cell>
          <cell r="DE33">
            <v>12625</v>
          </cell>
          <cell r="DF33">
            <v>10</v>
          </cell>
          <cell r="DG33">
            <v>16697</v>
          </cell>
          <cell r="DH33">
            <v>7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>
            <v>591</v>
          </cell>
          <cell r="DN33">
            <v>7</v>
          </cell>
          <cell r="DO33">
            <v>748</v>
          </cell>
          <cell r="DP33">
            <v>2</v>
          </cell>
          <cell r="DQ33">
            <v>16024</v>
          </cell>
          <cell r="DR33">
            <v>25</v>
          </cell>
          <cell r="DT33">
            <v>2624733</v>
          </cell>
          <cell r="DU33">
            <v>1607</v>
          </cell>
          <cell r="DV33">
            <v>4158</v>
          </cell>
          <cell r="DW33">
            <v>4</v>
          </cell>
          <cell r="DX33">
            <v>1721075</v>
          </cell>
          <cell r="DY33">
            <v>1243</v>
          </cell>
          <cell r="DZ33">
            <v>246947</v>
          </cell>
          <cell r="EA33">
            <v>125</v>
          </cell>
          <cell r="ED33">
            <v>357832</v>
          </cell>
          <cell r="EE33">
            <v>561</v>
          </cell>
          <cell r="EF33">
            <v>74952</v>
          </cell>
          <cell r="EG33">
            <v>139</v>
          </cell>
          <cell r="EI33">
            <v>6508400</v>
          </cell>
          <cell r="EJ33">
            <v>6573</v>
          </cell>
          <cell r="EK33">
            <v>572840</v>
          </cell>
          <cell r="EL33">
            <v>270</v>
          </cell>
          <cell r="EM33">
            <v>4467500</v>
          </cell>
          <cell r="EN33">
            <v>4100</v>
          </cell>
          <cell r="EO33">
            <v>1967900</v>
          </cell>
          <cell r="EP33">
            <v>759</v>
          </cell>
          <cell r="EQ33">
            <v>665540</v>
          </cell>
          <cell r="ER33">
            <v>140</v>
          </cell>
          <cell r="ES33">
            <v>10549100</v>
          </cell>
          <cell r="ET33">
            <v>4400</v>
          </cell>
          <cell r="EV33">
            <v>26311</v>
          </cell>
          <cell r="EX33">
            <v>23044</v>
          </cell>
          <cell r="EY33">
            <v>18</v>
          </cell>
          <cell r="EZ33">
            <v>0</v>
          </cell>
          <cell r="FA33">
            <v>0</v>
          </cell>
          <cell r="FB33">
            <v>42703</v>
          </cell>
          <cell r="FD33">
            <v>18376</v>
          </cell>
          <cell r="FE33">
            <v>30</v>
          </cell>
        </row>
        <row r="34">
          <cell r="B34"/>
          <cell r="E34">
            <v>477760</v>
          </cell>
          <cell r="F34">
            <v>579</v>
          </cell>
          <cell r="G34">
            <v>605</v>
          </cell>
          <cell r="H34">
            <v>658643</v>
          </cell>
          <cell r="I34">
            <v>379</v>
          </cell>
          <cell r="J34">
            <v>423</v>
          </cell>
          <cell r="K34">
            <v>5042</v>
          </cell>
          <cell r="L34">
            <v>365</v>
          </cell>
          <cell r="N34">
            <v>595685</v>
          </cell>
          <cell r="O34">
            <v>394</v>
          </cell>
          <cell r="Q34">
            <v>156722</v>
          </cell>
          <cell r="R34">
            <v>0</v>
          </cell>
          <cell r="S34">
            <v>86176</v>
          </cell>
          <cell r="T34">
            <v>204</v>
          </cell>
          <cell r="U34">
            <v>220</v>
          </cell>
          <cell r="V34">
            <v>5260</v>
          </cell>
          <cell r="W34">
            <v>50</v>
          </cell>
          <cell r="AB34">
            <v>5278519.68</v>
          </cell>
          <cell r="AC34">
            <v>3020.6399999996647</v>
          </cell>
          <cell r="AD34">
            <v>2370.3999999994412</v>
          </cell>
          <cell r="AE34">
            <v>10305010.799999999</v>
          </cell>
          <cell r="AF34">
            <v>4384.7999999988824</v>
          </cell>
          <cell r="AG34">
            <v>5403.8400000017136</v>
          </cell>
          <cell r="AH34">
            <v>9506392.5599999987</v>
          </cell>
          <cell r="AI34">
            <v>6333.5999999996275</v>
          </cell>
          <cell r="AJ34">
            <v>13677.919999999925</v>
          </cell>
          <cell r="AK34">
            <v>12907292.16</v>
          </cell>
          <cell r="AL34">
            <v>9938.8799999989569</v>
          </cell>
          <cell r="AM34">
            <v>364.16000000014901</v>
          </cell>
          <cell r="AN34">
            <v>12818573.040000001</v>
          </cell>
          <cell r="AO34">
            <v>974.40000000037253</v>
          </cell>
          <cell r="AP34">
            <v>5637.640000000596</v>
          </cell>
          <cell r="AQ34">
            <v>11507517.84</v>
          </cell>
          <cell r="AR34">
            <v>6333.5999999996275</v>
          </cell>
          <cell r="AS34">
            <v>6131.8000000007451</v>
          </cell>
          <cell r="AT34">
            <v>10090545.359999999</v>
          </cell>
          <cell r="AU34">
            <v>4433.519999999553</v>
          </cell>
          <cell r="AV34">
            <v>4892.7199999988079</v>
          </cell>
          <cell r="AW34">
            <v>9708531.8399999999</v>
          </cell>
          <cell r="AX34">
            <v>4482.2400000002235</v>
          </cell>
          <cell r="AY34">
            <v>5027.0400000000373</v>
          </cell>
          <cell r="AZ34">
            <v>7800315.5999999996</v>
          </cell>
          <cell r="BA34">
            <v>3264.2400000002235</v>
          </cell>
          <cell r="BB34">
            <v>3464.3999999994412</v>
          </cell>
          <cell r="BC34">
            <v>11504204.880000001</v>
          </cell>
          <cell r="BD34">
            <v>5018.1600000020117</v>
          </cell>
          <cell r="BE34">
            <v>5500</v>
          </cell>
          <cell r="BJ34">
            <v>48121400</v>
          </cell>
          <cell r="BK34">
            <v>37400</v>
          </cell>
          <cell r="BL34">
            <v>73500</v>
          </cell>
          <cell r="BM34">
            <v>52809200</v>
          </cell>
          <cell r="BN34">
            <v>51500</v>
          </cell>
          <cell r="BO34">
            <v>0</v>
          </cell>
          <cell r="BP34">
            <v>46066800</v>
          </cell>
          <cell r="BQ34">
            <v>0</v>
          </cell>
          <cell r="BR34">
            <v>90300</v>
          </cell>
          <cell r="BS34">
            <v>3640380</v>
          </cell>
          <cell r="BT34">
            <v>5870</v>
          </cell>
          <cell r="BV34">
            <v>0.46</v>
          </cell>
          <cell r="BW34">
            <v>-1.9999999999999962E-2</v>
          </cell>
          <cell r="BX34">
            <v>0.26000000000000006</v>
          </cell>
          <cell r="BY34">
            <v>43071</v>
          </cell>
          <cell r="BZ34">
            <v>20</v>
          </cell>
          <cell r="CA34">
            <v>38219</v>
          </cell>
          <cell r="CB34">
            <v>15</v>
          </cell>
          <cell r="CC34">
            <v>12642</v>
          </cell>
          <cell r="CD34">
            <v>7</v>
          </cell>
          <cell r="CE34">
            <v>15795</v>
          </cell>
          <cell r="CF34">
            <v>11</v>
          </cell>
          <cell r="CG34">
            <v>18111</v>
          </cell>
          <cell r="CH34">
            <v>10</v>
          </cell>
          <cell r="CI34">
            <v>38423</v>
          </cell>
          <cell r="CJ34">
            <v>26</v>
          </cell>
          <cell r="CK34">
            <v>168141</v>
          </cell>
          <cell r="CL34">
            <v>85</v>
          </cell>
          <cell r="CM34">
            <v>80</v>
          </cell>
          <cell r="CN34">
            <v>119355</v>
          </cell>
          <cell r="CO34">
            <v>77</v>
          </cell>
          <cell r="CP34">
            <v>64</v>
          </cell>
          <cell r="CQ34">
            <v>216265</v>
          </cell>
          <cell r="CR34">
            <v>104</v>
          </cell>
          <cell r="CS34">
            <v>22</v>
          </cell>
          <cell r="CT34">
            <v>464504</v>
          </cell>
          <cell r="CU34">
            <v>180</v>
          </cell>
          <cell r="CW34">
            <v>3047</v>
          </cell>
          <cell r="CX34">
            <v>0</v>
          </cell>
          <cell r="CY34">
            <v>938</v>
          </cell>
          <cell r="CZ34">
            <v>0</v>
          </cell>
          <cell r="DA34">
            <v>17396</v>
          </cell>
          <cell r="DB34">
            <v>19</v>
          </cell>
          <cell r="DC34">
            <v>18160</v>
          </cell>
          <cell r="DD34">
            <v>12</v>
          </cell>
          <cell r="DE34">
            <v>12635</v>
          </cell>
          <cell r="DF34">
            <v>10</v>
          </cell>
          <cell r="DG34">
            <v>16703</v>
          </cell>
          <cell r="DH34">
            <v>6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>
            <v>597</v>
          </cell>
          <cell r="DN34">
            <v>6</v>
          </cell>
          <cell r="DO34">
            <v>749</v>
          </cell>
          <cell r="DP34">
            <v>1</v>
          </cell>
          <cell r="DQ34">
            <v>16051</v>
          </cell>
          <cell r="DR34">
            <v>27</v>
          </cell>
          <cell r="DT34">
            <v>2626343</v>
          </cell>
          <cell r="DU34">
            <v>1610</v>
          </cell>
          <cell r="DV34">
            <v>4162</v>
          </cell>
          <cell r="DW34">
            <v>4</v>
          </cell>
          <cell r="DX34">
            <v>1722338</v>
          </cell>
          <cell r="DY34">
            <v>1263</v>
          </cell>
          <cell r="DZ34">
            <v>247072</v>
          </cell>
          <cell r="EA34">
            <v>125</v>
          </cell>
          <cell r="ED34">
            <v>358389</v>
          </cell>
          <cell r="EE34">
            <v>557</v>
          </cell>
          <cell r="EF34">
            <v>75089</v>
          </cell>
          <cell r="EG34">
            <v>137</v>
          </cell>
          <cell r="EI34">
            <v>6515900</v>
          </cell>
          <cell r="EJ34">
            <v>7500</v>
          </cell>
          <cell r="EK34">
            <v>573270</v>
          </cell>
          <cell r="EL34">
            <v>430</v>
          </cell>
          <cell r="EM34">
            <v>4471100</v>
          </cell>
          <cell r="EN34">
            <v>3600</v>
          </cell>
          <cell r="EO34">
            <v>1968600</v>
          </cell>
          <cell r="EP34">
            <v>700</v>
          </cell>
          <cell r="EQ34">
            <v>665750</v>
          </cell>
          <cell r="ER34">
            <v>210</v>
          </cell>
          <cell r="ES34">
            <v>10555900</v>
          </cell>
          <cell r="ET34">
            <v>6800</v>
          </cell>
          <cell r="EV34">
            <v>26329</v>
          </cell>
          <cell r="EX34">
            <v>23061</v>
          </cell>
          <cell r="EY34">
            <v>17</v>
          </cell>
          <cell r="EZ34">
            <v>0</v>
          </cell>
          <cell r="FA34">
            <v>0</v>
          </cell>
          <cell r="FB34">
            <v>42703</v>
          </cell>
          <cell r="FD34">
            <v>18407</v>
          </cell>
          <cell r="FE34">
            <v>31</v>
          </cell>
        </row>
        <row r="35">
          <cell r="B35"/>
          <cell r="E35">
            <v>478313</v>
          </cell>
          <cell r="F35">
            <v>553</v>
          </cell>
          <cell r="G35">
            <v>590</v>
          </cell>
          <cell r="H35">
            <v>658981</v>
          </cell>
          <cell r="I35">
            <v>338</v>
          </cell>
          <cell r="J35">
            <v>408</v>
          </cell>
          <cell r="K35">
            <v>5457</v>
          </cell>
          <cell r="L35">
            <v>415</v>
          </cell>
          <cell r="N35">
            <v>596072</v>
          </cell>
          <cell r="O35">
            <v>387</v>
          </cell>
          <cell r="Q35">
            <v>156722</v>
          </cell>
          <cell r="R35">
            <v>0</v>
          </cell>
          <cell r="S35">
            <v>86376</v>
          </cell>
          <cell r="T35">
            <v>200</v>
          </cell>
          <cell r="U35">
            <v>140</v>
          </cell>
          <cell r="V35">
            <v>5312</v>
          </cell>
          <cell r="W35">
            <v>52</v>
          </cell>
          <cell r="AB35">
            <v>5282027.5200000005</v>
          </cell>
          <cell r="AC35">
            <v>3507.8400000007823</v>
          </cell>
          <cell r="AD35">
            <v>1997.5200000004843</v>
          </cell>
          <cell r="AE35">
            <v>10309980.24</v>
          </cell>
          <cell r="AF35">
            <v>4969.4400000013411</v>
          </cell>
          <cell r="AG35">
            <v>5213.0399999972433</v>
          </cell>
          <cell r="AH35">
            <v>9510192.7199999988</v>
          </cell>
          <cell r="AI35">
            <v>3800.160000000149</v>
          </cell>
          <cell r="AJ35">
            <v>11303.040000000037</v>
          </cell>
          <cell r="AK35">
            <v>12918643.919999998</v>
          </cell>
          <cell r="AL35">
            <v>11351.759999997914</v>
          </cell>
          <cell r="AM35">
            <v>584.64000000059605</v>
          </cell>
          <cell r="AN35">
            <v>12821544.959999999</v>
          </cell>
          <cell r="AO35">
            <v>2971.9199999980628</v>
          </cell>
          <cell r="AP35">
            <v>6869.519999999553</v>
          </cell>
          <cell r="AQ35">
            <v>11514533.52</v>
          </cell>
          <cell r="AR35">
            <v>7015.679999999702</v>
          </cell>
          <cell r="AS35">
            <v>5846.3999999985099</v>
          </cell>
          <cell r="AT35">
            <v>10095027.6</v>
          </cell>
          <cell r="AU35">
            <v>4482.2400000002235</v>
          </cell>
          <cell r="AV35">
            <v>4677.1200000010431</v>
          </cell>
          <cell r="AW35">
            <v>9713988.4800000004</v>
          </cell>
          <cell r="AX35">
            <v>5456.640000000596</v>
          </cell>
          <cell r="AY35">
            <v>5164.3199999993667</v>
          </cell>
          <cell r="AZ35">
            <v>7803872.1599999992</v>
          </cell>
          <cell r="BA35">
            <v>3556.5599999995902</v>
          </cell>
          <cell r="BB35">
            <v>3556.5599999995902</v>
          </cell>
          <cell r="BC35">
            <v>11509515.359999999</v>
          </cell>
          <cell r="BD35">
            <v>5310.4799999985844</v>
          </cell>
          <cell r="BE35">
            <v>6113.0399999991059</v>
          </cell>
          <cell r="BJ35">
            <v>48135200</v>
          </cell>
          <cell r="BK35">
            <v>13800</v>
          </cell>
          <cell r="BL35">
            <v>40300</v>
          </cell>
          <cell r="BM35">
            <v>52866300</v>
          </cell>
          <cell r="BN35">
            <v>57100</v>
          </cell>
          <cell r="BO35">
            <v>0</v>
          </cell>
          <cell r="BP35">
            <v>46082800</v>
          </cell>
          <cell r="BQ35">
            <v>16000</v>
          </cell>
          <cell r="BR35">
            <v>30600</v>
          </cell>
          <cell r="BS35">
            <v>3645990</v>
          </cell>
          <cell r="BT35">
            <v>5610</v>
          </cell>
          <cell r="BV35">
            <v>0.42</v>
          </cell>
          <cell r="BW35">
            <v>-4.0000000000000036E-2</v>
          </cell>
          <cell r="BX35">
            <v>-3.0000000000000027E-2</v>
          </cell>
          <cell r="BY35">
            <v>43102</v>
          </cell>
          <cell r="BZ35">
            <v>31</v>
          </cell>
          <cell r="CA35">
            <v>38241</v>
          </cell>
          <cell r="CB35">
            <v>22</v>
          </cell>
          <cell r="CC35">
            <v>12649</v>
          </cell>
          <cell r="CD35">
            <v>7</v>
          </cell>
          <cell r="CE35">
            <v>15800</v>
          </cell>
          <cell r="CF35">
            <v>5</v>
          </cell>
          <cell r="CG35">
            <v>18111</v>
          </cell>
          <cell r="CH35">
            <v>0</v>
          </cell>
          <cell r="CI35">
            <v>38459</v>
          </cell>
          <cell r="CJ35">
            <v>36</v>
          </cell>
          <cell r="CK35">
            <v>168227</v>
          </cell>
          <cell r="CL35">
            <v>86</v>
          </cell>
          <cell r="CM35">
            <v>80</v>
          </cell>
          <cell r="CN35">
            <v>119433</v>
          </cell>
          <cell r="CO35">
            <v>78</v>
          </cell>
          <cell r="CP35">
            <v>67</v>
          </cell>
          <cell r="CQ35">
            <v>216373</v>
          </cell>
          <cell r="CR35">
            <v>108</v>
          </cell>
          <cell r="CS35">
            <v>44</v>
          </cell>
          <cell r="CT35">
            <v>464709</v>
          </cell>
          <cell r="CU35">
            <v>205</v>
          </cell>
          <cell r="CW35">
            <v>3047</v>
          </cell>
          <cell r="CX35">
            <v>0</v>
          </cell>
          <cell r="CY35">
            <v>938</v>
          </cell>
          <cell r="CZ35">
            <v>0</v>
          </cell>
          <cell r="DA35">
            <v>17411</v>
          </cell>
          <cell r="DB35">
            <v>15</v>
          </cell>
          <cell r="DC35">
            <v>18171</v>
          </cell>
          <cell r="DD35">
            <v>11</v>
          </cell>
          <cell r="DE35">
            <v>12643</v>
          </cell>
          <cell r="DF35">
            <v>8</v>
          </cell>
          <cell r="DG35">
            <v>16713</v>
          </cell>
          <cell r="DH35">
            <v>10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>
            <v>605</v>
          </cell>
          <cell r="DN35">
            <v>8</v>
          </cell>
          <cell r="DO35">
            <v>750</v>
          </cell>
          <cell r="DP35">
            <v>1</v>
          </cell>
          <cell r="DQ35">
            <v>16077</v>
          </cell>
          <cell r="DR35">
            <v>26</v>
          </cell>
          <cell r="DT35">
            <v>2627843</v>
          </cell>
          <cell r="DU35">
            <v>1500</v>
          </cell>
          <cell r="DV35">
            <v>4166</v>
          </cell>
          <cell r="DW35">
            <v>4</v>
          </cell>
          <cell r="DX35">
            <v>1723578</v>
          </cell>
          <cell r="DY35">
            <v>1240</v>
          </cell>
          <cell r="DZ35">
            <v>247197</v>
          </cell>
          <cell r="EA35">
            <v>125</v>
          </cell>
          <cell r="ED35">
            <v>358949</v>
          </cell>
          <cell r="EE35">
            <v>560</v>
          </cell>
          <cell r="EF35">
            <v>75229</v>
          </cell>
          <cell r="EG35">
            <v>140</v>
          </cell>
          <cell r="EI35">
            <v>6522100</v>
          </cell>
          <cell r="EJ35">
            <v>6200</v>
          </cell>
          <cell r="EK35">
            <v>573650</v>
          </cell>
          <cell r="EL35">
            <v>380</v>
          </cell>
          <cell r="EM35">
            <v>4473900</v>
          </cell>
          <cell r="EN35">
            <v>2800</v>
          </cell>
          <cell r="EO35">
            <v>1969200</v>
          </cell>
          <cell r="EP35">
            <v>600</v>
          </cell>
          <cell r="EQ35">
            <v>665920</v>
          </cell>
          <cell r="ER35">
            <v>170</v>
          </cell>
          <cell r="ES35">
            <v>10560900</v>
          </cell>
          <cell r="ET35">
            <v>5000</v>
          </cell>
          <cell r="EV35">
            <v>26348</v>
          </cell>
          <cell r="EX35">
            <v>23079</v>
          </cell>
          <cell r="EY35">
            <v>18</v>
          </cell>
          <cell r="EZ35">
            <v>0</v>
          </cell>
          <cell r="FA35">
            <v>0</v>
          </cell>
          <cell r="FB35">
            <v>42703</v>
          </cell>
          <cell r="FD35">
            <v>18437</v>
          </cell>
          <cell r="FE35">
            <v>30</v>
          </cell>
        </row>
        <row r="36">
          <cell r="B36"/>
          <cell r="E36">
            <v>478849</v>
          </cell>
          <cell r="F36">
            <v>536</v>
          </cell>
          <cell r="G36">
            <v>575</v>
          </cell>
          <cell r="H36">
            <v>659338</v>
          </cell>
          <cell r="I36">
            <v>357</v>
          </cell>
          <cell r="J36">
            <v>396</v>
          </cell>
          <cell r="K36">
            <v>5700</v>
          </cell>
          <cell r="L36">
            <v>243</v>
          </cell>
          <cell r="N36">
            <v>596481</v>
          </cell>
          <cell r="O36">
            <v>409</v>
          </cell>
          <cell r="Q36">
            <v>156722</v>
          </cell>
          <cell r="R36">
            <v>0</v>
          </cell>
          <cell r="S36">
            <v>86562</v>
          </cell>
          <cell r="T36">
            <v>186</v>
          </cell>
          <cell r="U36">
            <v>178</v>
          </cell>
          <cell r="V36">
            <v>5364</v>
          </cell>
          <cell r="W36">
            <v>52</v>
          </cell>
          <cell r="AB36">
            <v>5284950.72</v>
          </cell>
          <cell r="AC36">
            <v>2923.1999999992549</v>
          </cell>
          <cell r="AD36">
            <v>2679.5999999996275</v>
          </cell>
          <cell r="AE36">
            <v>10314803.52</v>
          </cell>
          <cell r="AF36">
            <v>4823.2799999993294</v>
          </cell>
          <cell r="AG36">
            <v>5651.5200000014156</v>
          </cell>
          <cell r="AH36">
            <v>9512190.2400000002</v>
          </cell>
          <cell r="AI36">
            <v>1997.5200000014156</v>
          </cell>
          <cell r="AJ36">
            <v>8818.320000000298</v>
          </cell>
          <cell r="AK36">
            <v>12924880.08</v>
          </cell>
          <cell r="AL36">
            <v>6236.1600000020117</v>
          </cell>
          <cell r="AM36">
            <v>10815.839999999851</v>
          </cell>
          <cell r="AN36">
            <v>12829047.84</v>
          </cell>
          <cell r="AO36">
            <v>7502.8800000008196</v>
          </cell>
          <cell r="AP36">
            <v>1169.2800000011921</v>
          </cell>
          <cell r="AQ36">
            <v>11520574.799999999</v>
          </cell>
          <cell r="AR36">
            <v>6041.2799999993294</v>
          </cell>
          <cell r="AS36">
            <v>5895.1200000010431</v>
          </cell>
          <cell r="AT36">
            <v>10099704.719999999</v>
          </cell>
          <cell r="AU36">
            <v>4677.1199999991804</v>
          </cell>
          <cell r="AV36">
            <v>4725.839999999851</v>
          </cell>
          <cell r="AW36">
            <v>9718957.9199999999</v>
          </cell>
          <cell r="AX36">
            <v>4969.4399999994785</v>
          </cell>
          <cell r="AY36">
            <v>5115.6000000005588</v>
          </cell>
          <cell r="AZ36">
            <v>7807185.1200000001</v>
          </cell>
          <cell r="BA36">
            <v>3312.9600000008941</v>
          </cell>
          <cell r="BB36">
            <v>3848.8799999998882</v>
          </cell>
          <cell r="BC36">
            <v>11514533.52</v>
          </cell>
          <cell r="BD36">
            <v>5018.160000000149</v>
          </cell>
          <cell r="BE36">
            <v>6187.4400000013411</v>
          </cell>
          <cell r="BJ36">
            <v>48140700</v>
          </cell>
          <cell r="BK36">
            <v>5500</v>
          </cell>
          <cell r="BL36">
            <v>38400</v>
          </cell>
          <cell r="BM36">
            <v>52898800</v>
          </cell>
          <cell r="BN36">
            <v>32500</v>
          </cell>
          <cell r="BO36">
            <v>46900</v>
          </cell>
          <cell r="BP36">
            <v>46117600</v>
          </cell>
          <cell r="BQ36">
            <v>34800</v>
          </cell>
          <cell r="BR36">
            <v>1000</v>
          </cell>
          <cell r="BS36">
            <v>3651900</v>
          </cell>
          <cell r="BT36">
            <v>5910</v>
          </cell>
          <cell r="BV36">
            <v>0.75</v>
          </cell>
          <cell r="BW36">
            <v>0.33</v>
          </cell>
          <cell r="BX36">
            <v>-5.0000000000000044E-2</v>
          </cell>
          <cell r="BY36">
            <v>43119</v>
          </cell>
          <cell r="BZ36">
            <v>17</v>
          </cell>
          <cell r="CA36">
            <v>38255</v>
          </cell>
          <cell r="CB36">
            <v>14</v>
          </cell>
          <cell r="CC36">
            <v>12656</v>
          </cell>
          <cell r="CD36">
            <v>7</v>
          </cell>
          <cell r="CE36">
            <v>15810</v>
          </cell>
          <cell r="CF36">
            <v>10</v>
          </cell>
          <cell r="CG36">
            <v>18125</v>
          </cell>
          <cell r="CH36">
            <v>14</v>
          </cell>
          <cell r="CI36">
            <v>38482</v>
          </cell>
          <cell r="CJ36">
            <v>23</v>
          </cell>
          <cell r="CK36">
            <v>168315</v>
          </cell>
          <cell r="CL36">
            <v>88</v>
          </cell>
          <cell r="CM36">
            <v>84</v>
          </cell>
          <cell r="CN36">
            <v>119510</v>
          </cell>
          <cell r="CO36">
            <v>77</v>
          </cell>
          <cell r="CP36">
            <v>71</v>
          </cell>
          <cell r="CQ36">
            <v>216510</v>
          </cell>
          <cell r="CR36">
            <v>137</v>
          </cell>
          <cell r="CS36">
            <v>48</v>
          </cell>
          <cell r="CT36">
            <v>464907</v>
          </cell>
          <cell r="CU36">
            <v>198</v>
          </cell>
          <cell r="CW36">
            <v>3047</v>
          </cell>
          <cell r="CX36">
            <v>0</v>
          </cell>
          <cell r="CY36">
            <v>938</v>
          </cell>
          <cell r="CZ36">
            <v>0</v>
          </cell>
          <cell r="DA36">
            <v>17428</v>
          </cell>
          <cell r="DB36">
            <v>17</v>
          </cell>
          <cell r="DC36">
            <v>18192</v>
          </cell>
          <cell r="DD36">
            <v>21</v>
          </cell>
          <cell r="DE36">
            <v>12653</v>
          </cell>
          <cell r="DF36">
            <v>10</v>
          </cell>
          <cell r="DG36">
            <v>16724</v>
          </cell>
          <cell r="DH36">
            <v>11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>
            <v>616</v>
          </cell>
          <cell r="DN36">
            <v>11</v>
          </cell>
          <cell r="DO36">
            <v>751</v>
          </cell>
          <cell r="DP36">
            <v>1</v>
          </cell>
          <cell r="DQ36">
            <v>16108</v>
          </cell>
          <cell r="DR36">
            <v>31</v>
          </cell>
          <cell r="DT36">
            <v>2629458</v>
          </cell>
          <cell r="DU36">
            <v>1615</v>
          </cell>
          <cell r="DV36">
            <v>4170</v>
          </cell>
          <cell r="DW36">
            <v>4</v>
          </cell>
          <cell r="DX36">
            <v>1724866</v>
          </cell>
          <cell r="DY36">
            <v>1288</v>
          </cell>
          <cell r="DZ36">
            <v>247323</v>
          </cell>
          <cell r="EA36">
            <v>126</v>
          </cell>
          <cell r="ED36">
            <v>359533</v>
          </cell>
          <cell r="EE36">
            <v>584</v>
          </cell>
          <cell r="EF36">
            <v>75363</v>
          </cell>
          <cell r="EG36">
            <v>134</v>
          </cell>
          <cell r="EI36">
            <v>6527800</v>
          </cell>
          <cell r="EJ36">
            <v>5700</v>
          </cell>
          <cell r="EK36">
            <v>574060</v>
          </cell>
          <cell r="EL36">
            <v>410</v>
          </cell>
          <cell r="EM36">
            <v>4476800</v>
          </cell>
          <cell r="EN36">
            <v>2900</v>
          </cell>
          <cell r="EO36">
            <v>1969800</v>
          </cell>
          <cell r="EP36">
            <v>600</v>
          </cell>
          <cell r="EQ36">
            <v>666100</v>
          </cell>
          <cell r="ER36">
            <v>180</v>
          </cell>
          <cell r="ES36">
            <v>10564300</v>
          </cell>
          <cell r="ET36">
            <v>3400</v>
          </cell>
          <cell r="EV36">
            <v>26364</v>
          </cell>
          <cell r="EX36">
            <v>23097</v>
          </cell>
          <cell r="EY36">
            <v>18</v>
          </cell>
          <cell r="EZ36">
            <v>0</v>
          </cell>
          <cell r="FA36">
            <v>0</v>
          </cell>
          <cell r="FB36">
            <v>42703</v>
          </cell>
          <cell r="FD36">
            <v>18465</v>
          </cell>
          <cell r="FE36">
            <v>28</v>
          </cell>
        </row>
        <row r="37">
          <cell r="B37"/>
          <cell r="E37">
            <v>479364</v>
          </cell>
          <cell r="F37">
            <v>515</v>
          </cell>
          <cell r="G37">
            <v>594</v>
          </cell>
          <cell r="H37">
            <v>659659</v>
          </cell>
          <cell r="I37">
            <v>321</v>
          </cell>
          <cell r="J37">
            <v>389</v>
          </cell>
          <cell r="K37">
            <v>6096</v>
          </cell>
          <cell r="L37">
            <v>396</v>
          </cell>
          <cell r="N37">
            <v>596879</v>
          </cell>
          <cell r="O37">
            <v>398</v>
          </cell>
          <cell r="Q37">
            <v>156722</v>
          </cell>
          <cell r="R37">
            <v>0</v>
          </cell>
          <cell r="S37">
            <v>86727</v>
          </cell>
          <cell r="T37">
            <v>165</v>
          </cell>
          <cell r="U37">
            <v>188</v>
          </cell>
          <cell r="V37">
            <v>5408</v>
          </cell>
          <cell r="W37">
            <v>44</v>
          </cell>
          <cell r="AB37">
            <v>5288068.8</v>
          </cell>
          <cell r="AC37">
            <v>3118.0800000000745</v>
          </cell>
          <cell r="AD37">
            <v>2241.1199999991804</v>
          </cell>
          <cell r="AE37">
            <v>10319919.119999999</v>
          </cell>
          <cell r="AF37">
            <v>5115.5999999996275</v>
          </cell>
          <cell r="AG37">
            <v>5261.7599999997765</v>
          </cell>
          <cell r="AH37">
            <v>9513115.9199999999</v>
          </cell>
          <cell r="AI37">
            <v>925.67999999970198</v>
          </cell>
          <cell r="AJ37">
            <v>7210.5599999995902</v>
          </cell>
          <cell r="AK37">
            <v>12926682.719999999</v>
          </cell>
          <cell r="AL37">
            <v>1802.6399999987334</v>
          </cell>
          <cell r="AM37">
            <v>10377.359999999404</v>
          </cell>
          <cell r="AN37">
            <v>12841374</v>
          </cell>
          <cell r="AO37">
            <v>12326.160000000149</v>
          </cell>
          <cell r="AP37">
            <v>779.51999999955297</v>
          </cell>
          <cell r="AQ37">
            <v>11527395.6</v>
          </cell>
          <cell r="AR37">
            <v>6820.8000000007451</v>
          </cell>
          <cell r="AS37">
            <v>5700.2400000002235</v>
          </cell>
          <cell r="AT37">
            <v>10104528</v>
          </cell>
          <cell r="AU37">
            <v>4823.2800000011921</v>
          </cell>
          <cell r="AV37">
            <v>4920.7200000006706</v>
          </cell>
          <cell r="AW37">
            <v>9723976.0800000001</v>
          </cell>
          <cell r="AX37">
            <v>5018.160000000149</v>
          </cell>
          <cell r="AY37">
            <v>5066.8800000008196</v>
          </cell>
          <cell r="AZ37">
            <v>7810108.3200000003</v>
          </cell>
          <cell r="BA37">
            <v>2923.2000000001863</v>
          </cell>
          <cell r="BB37">
            <v>3800.1600000010803</v>
          </cell>
          <cell r="BC37">
            <v>11520185.040000001</v>
          </cell>
          <cell r="BD37">
            <v>5651.5200000014156</v>
          </cell>
          <cell r="BE37">
            <v>5895.1199999991804</v>
          </cell>
          <cell r="BJ37">
            <v>48140700</v>
          </cell>
          <cell r="BK37">
            <v>0</v>
          </cell>
          <cell r="BL37">
            <v>38500</v>
          </cell>
          <cell r="BM37">
            <v>52907800</v>
          </cell>
          <cell r="BN37">
            <v>9000</v>
          </cell>
          <cell r="BO37">
            <v>50300</v>
          </cell>
          <cell r="BP37">
            <v>46173700</v>
          </cell>
          <cell r="BQ37">
            <v>56100</v>
          </cell>
          <cell r="BR37">
            <v>0</v>
          </cell>
          <cell r="BS37">
            <v>3657150</v>
          </cell>
          <cell r="BT37">
            <v>5250</v>
          </cell>
          <cell r="BV37">
            <v>0.67</v>
          </cell>
          <cell r="BW37">
            <v>-7.999999999999996E-2</v>
          </cell>
          <cell r="BX37">
            <v>-4.9999999999999933E-2</v>
          </cell>
          <cell r="BY37">
            <v>43141</v>
          </cell>
          <cell r="BZ37">
            <v>22</v>
          </cell>
          <cell r="CA37">
            <v>38268</v>
          </cell>
          <cell r="CB37">
            <v>13</v>
          </cell>
          <cell r="CC37">
            <v>12663</v>
          </cell>
          <cell r="CD37">
            <v>7</v>
          </cell>
          <cell r="CE37">
            <v>15820</v>
          </cell>
          <cell r="CF37">
            <v>10</v>
          </cell>
          <cell r="CG37">
            <v>18134</v>
          </cell>
          <cell r="CH37">
            <v>9</v>
          </cell>
          <cell r="CI37">
            <v>38510</v>
          </cell>
          <cell r="CJ37">
            <v>28</v>
          </cell>
          <cell r="CK37">
            <v>168398</v>
          </cell>
          <cell r="CL37">
            <v>83</v>
          </cell>
          <cell r="CM37">
            <v>79</v>
          </cell>
          <cell r="CN37">
            <v>119593</v>
          </cell>
          <cell r="CO37">
            <v>83</v>
          </cell>
          <cell r="CP37">
            <v>71</v>
          </cell>
          <cell r="CQ37">
            <v>216656</v>
          </cell>
          <cell r="CR37">
            <v>146</v>
          </cell>
          <cell r="CS37">
            <v>21</v>
          </cell>
          <cell r="CT37">
            <v>465094</v>
          </cell>
          <cell r="CU37">
            <v>187</v>
          </cell>
          <cell r="CW37">
            <v>3047</v>
          </cell>
          <cell r="CX37">
            <v>0</v>
          </cell>
          <cell r="CY37">
            <v>938</v>
          </cell>
          <cell r="CZ37">
            <v>0</v>
          </cell>
          <cell r="DA37">
            <v>17441</v>
          </cell>
          <cell r="DB37">
            <v>13</v>
          </cell>
          <cell r="DC37">
            <v>18203</v>
          </cell>
          <cell r="DD37">
            <v>11</v>
          </cell>
          <cell r="DE37">
            <v>12656</v>
          </cell>
          <cell r="DF37">
            <v>3</v>
          </cell>
          <cell r="DG37">
            <v>16732</v>
          </cell>
          <cell r="DH37">
            <v>8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>
            <v>624</v>
          </cell>
          <cell r="DN37">
            <v>8</v>
          </cell>
          <cell r="DO37">
            <v>752</v>
          </cell>
          <cell r="DP37">
            <v>1</v>
          </cell>
          <cell r="DQ37">
            <v>16135</v>
          </cell>
          <cell r="DR37">
            <v>27</v>
          </cell>
          <cell r="DT37">
            <v>2630984</v>
          </cell>
          <cell r="DU37">
            <v>1526</v>
          </cell>
          <cell r="DV37">
            <v>4177</v>
          </cell>
          <cell r="DW37">
            <v>7</v>
          </cell>
          <cell r="DX37">
            <v>1726100</v>
          </cell>
          <cell r="DY37">
            <v>1234</v>
          </cell>
          <cell r="DZ37">
            <v>247447</v>
          </cell>
          <cell r="EA37">
            <v>124</v>
          </cell>
          <cell r="ED37">
            <v>360109</v>
          </cell>
          <cell r="EE37">
            <v>576</v>
          </cell>
          <cell r="EF37">
            <v>75500</v>
          </cell>
          <cell r="EG37">
            <v>137</v>
          </cell>
          <cell r="EI37">
            <v>6530900</v>
          </cell>
          <cell r="EJ37">
            <v>3100</v>
          </cell>
          <cell r="EK37">
            <v>574330</v>
          </cell>
          <cell r="EL37">
            <v>270</v>
          </cell>
          <cell r="EM37">
            <v>4478400</v>
          </cell>
          <cell r="EN37">
            <v>1600</v>
          </cell>
          <cell r="EO37">
            <v>1970200</v>
          </cell>
          <cell r="EP37">
            <v>400</v>
          </cell>
          <cell r="EQ37">
            <v>666220</v>
          </cell>
          <cell r="ER37">
            <v>120</v>
          </cell>
          <cell r="ES37">
            <v>10566370</v>
          </cell>
          <cell r="ET37">
            <v>2070</v>
          </cell>
          <cell r="EV37">
            <v>26382</v>
          </cell>
          <cell r="EX37">
            <v>23111</v>
          </cell>
          <cell r="EY37">
            <v>14</v>
          </cell>
          <cell r="EZ37">
            <v>0</v>
          </cell>
          <cell r="FA37">
            <v>0</v>
          </cell>
          <cell r="FB37">
            <v>42703</v>
          </cell>
          <cell r="FD37">
            <v>18497</v>
          </cell>
          <cell r="FE37">
            <v>32</v>
          </cell>
        </row>
        <row r="38">
          <cell r="B38"/>
          <cell r="E38">
            <v>479904</v>
          </cell>
          <cell r="F38">
            <v>540</v>
          </cell>
          <cell r="G38">
            <v>589</v>
          </cell>
          <cell r="H38">
            <v>660043</v>
          </cell>
          <cell r="I38">
            <v>384</v>
          </cell>
          <cell r="J38">
            <v>420</v>
          </cell>
          <cell r="K38">
            <v>6550</v>
          </cell>
          <cell r="L38">
            <v>454</v>
          </cell>
          <cell r="N38">
            <v>597311</v>
          </cell>
          <cell r="O38">
            <v>432</v>
          </cell>
          <cell r="Q38">
            <v>156722</v>
          </cell>
          <cell r="R38">
            <v>0</v>
          </cell>
          <cell r="S38">
            <v>86910</v>
          </cell>
          <cell r="T38">
            <v>183</v>
          </cell>
          <cell r="U38">
            <v>160</v>
          </cell>
          <cell r="V38">
            <v>5457</v>
          </cell>
          <cell r="W38">
            <v>49</v>
          </cell>
          <cell r="AB38">
            <v>5290943.2799999993</v>
          </cell>
          <cell r="AC38">
            <v>2874.4799999995157</v>
          </cell>
          <cell r="AD38">
            <v>3069.3600000012666</v>
          </cell>
          <cell r="AE38">
            <v>10324791.119999999</v>
          </cell>
          <cell r="AF38">
            <v>4872</v>
          </cell>
          <cell r="AG38">
            <v>5407.9199999999255</v>
          </cell>
          <cell r="AH38">
            <v>9514090.3199999984</v>
          </cell>
          <cell r="AI38">
            <v>974.39999999850988</v>
          </cell>
          <cell r="AJ38">
            <v>6820.8000000007451</v>
          </cell>
          <cell r="AK38">
            <v>12931018.799999999</v>
          </cell>
          <cell r="AL38">
            <v>4336.0800000000745</v>
          </cell>
          <cell r="AM38">
            <v>8964.480000000447</v>
          </cell>
          <cell r="AN38">
            <v>12851702.640000001</v>
          </cell>
          <cell r="AO38">
            <v>10328.640000000596</v>
          </cell>
          <cell r="AP38">
            <v>0</v>
          </cell>
          <cell r="AQ38">
            <v>11533680.48</v>
          </cell>
          <cell r="AR38">
            <v>6284.8800000008196</v>
          </cell>
          <cell r="AS38">
            <v>5748.9600000008941</v>
          </cell>
          <cell r="AT38">
            <v>10109058.959999999</v>
          </cell>
          <cell r="AU38">
            <v>4530.9599999990314</v>
          </cell>
          <cell r="AV38">
            <v>4482.2399999983609</v>
          </cell>
          <cell r="AW38">
            <v>9728750.6400000006</v>
          </cell>
          <cell r="AX38">
            <v>4774.5600000005215</v>
          </cell>
          <cell r="AY38">
            <v>5213.0399999991059</v>
          </cell>
          <cell r="AZ38">
            <v>7813470</v>
          </cell>
          <cell r="BA38">
            <v>3361.679999999702</v>
          </cell>
          <cell r="BB38">
            <v>3702.7199999997392</v>
          </cell>
          <cell r="BC38">
            <v>11525349.359999999</v>
          </cell>
          <cell r="BD38">
            <v>5164.3199999984354</v>
          </cell>
          <cell r="BE38">
            <v>5992.5599999986589</v>
          </cell>
          <cell r="BJ38">
            <v>48140700</v>
          </cell>
          <cell r="BK38">
            <v>0</v>
          </cell>
          <cell r="BL38">
            <v>33100</v>
          </cell>
          <cell r="BM38">
            <v>52930300</v>
          </cell>
          <cell r="BN38">
            <v>22500</v>
          </cell>
          <cell r="BO38">
            <v>55700</v>
          </cell>
          <cell r="BP38">
            <v>46226300</v>
          </cell>
          <cell r="BQ38">
            <v>52600</v>
          </cell>
          <cell r="BR38">
            <v>0</v>
          </cell>
          <cell r="BS38">
            <v>3663370</v>
          </cell>
          <cell r="BT38">
            <v>6220</v>
          </cell>
          <cell r="BV38">
            <v>0.6</v>
          </cell>
          <cell r="BW38">
            <v>-7.0000000000000062E-2</v>
          </cell>
          <cell r="BX38">
            <v>-5.0000000000000044E-2</v>
          </cell>
          <cell r="BY38">
            <v>43169</v>
          </cell>
          <cell r="BZ38">
            <v>28</v>
          </cell>
          <cell r="CA38">
            <v>38287</v>
          </cell>
          <cell r="CB38">
            <v>19</v>
          </cell>
          <cell r="CC38">
            <v>12672</v>
          </cell>
          <cell r="CD38">
            <v>9</v>
          </cell>
          <cell r="CE38">
            <v>15831</v>
          </cell>
          <cell r="CF38">
            <v>11</v>
          </cell>
          <cell r="CG38">
            <v>18148</v>
          </cell>
          <cell r="CH38">
            <v>14</v>
          </cell>
          <cell r="CI38">
            <v>38544</v>
          </cell>
          <cell r="CJ38">
            <v>34</v>
          </cell>
          <cell r="CK38">
            <v>168490</v>
          </cell>
          <cell r="CL38">
            <v>92</v>
          </cell>
          <cell r="CM38">
            <v>80</v>
          </cell>
          <cell r="CN38">
            <v>119668</v>
          </cell>
          <cell r="CO38">
            <v>75</v>
          </cell>
          <cell r="CP38">
            <v>75</v>
          </cell>
          <cell r="CQ38">
            <v>216792</v>
          </cell>
          <cell r="CR38">
            <v>136</v>
          </cell>
          <cell r="CS38">
            <v>20</v>
          </cell>
          <cell r="CT38">
            <v>465298</v>
          </cell>
          <cell r="CU38">
            <v>204</v>
          </cell>
          <cell r="CW38">
            <v>3047</v>
          </cell>
          <cell r="CX38">
            <v>0</v>
          </cell>
          <cell r="CY38">
            <v>938</v>
          </cell>
          <cell r="CZ38">
            <v>0</v>
          </cell>
          <cell r="DA38">
            <v>17455</v>
          </cell>
          <cell r="DB38">
            <v>14</v>
          </cell>
          <cell r="DC38">
            <v>18217</v>
          </cell>
          <cell r="DD38">
            <v>14</v>
          </cell>
          <cell r="DE38">
            <v>12668</v>
          </cell>
          <cell r="DF38">
            <v>12</v>
          </cell>
          <cell r="DG38">
            <v>16739</v>
          </cell>
          <cell r="DH38">
            <v>7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>
            <v>632</v>
          </cell>
          <cell r="DN38">
            <v>8</v>
          </cell>
          <cell r="DO38">
            <v>753</v>
          </cell>
          <cell r="DP38">
            <v>1</v>
          </cell>
          <cell r="DQ38">
            <v>16162</v>
          </cell>
          <cell r="DR38">
            <v>27</v>
          </cell>
          <cell r="DT38">
            <v>2632518</v>
          </cell>
          <cell r="DU38">
            <v>1534</v>
          </cell>
          <cell r="DV38">
            <v>4181</v>
          </cell>
          <cell r="DW38">
            <v>4</v>
          </cell>
          <cell r="DX38">
            <v>1727316</v>
          </cell>
          <cell r="DY38">
            <v>1216</v>
          </cell>
          <cell r="DZ38">
            <v>247586</v>
          </cell>
          <cell r="EA38">
            <v>139</v>
          </cell>
          <cell r="ED38">
            <v>360709</v>
          </cell>
          <cell r="EE38">
            <v>600</v>
          </cell>
          <cell r="EF38">
            <v>75641</v>
          </cell>
          <cell r="EG38">
            <v>141</v>
          </cell>
          <cell r="EI38">
            <v>6536200</v>
          </cell>
          <cell r="EJ38">
            <v>5300</v>
          </cell>
          <cell r="EK38">
            <v>574710</v>
          </cell>
          <cell r="EL38">
            <v>380</v>
          </cell>
          <cell r="EM38">
            <v>4481200</v>
          </cell>
          <cell r="EN38">
            <v>2800</v>
          </cell>
          <cell r="EO38">
            <v>1970700</v>
          </cell>
          <cell r="EP38">
            <v>500</v>
          </cell>
          <cell r="EQ38">
            <v>666390</v>
          </cell>
          <cell r="ER38">
            <v>170</v>
          </cell>
          <cell r="ES38">
            <v>10571100</v>
          </cell>
          <cell r="ET38">
            <v>4730</v>
          </cell>
          <cell r="EV38">
            <v>26400</v>
          </cell>
          <cell r="EX38">
            <v>23132</v>
          </cell>
          <cell r="EY38">
            <v>21</v>
          </cell>
          <cell r="EZ38">
            <v>0</v>
          </cell>
          <cell r="FA38">
            <v>0</v>
          </cell>
          <cell r="FB38">
            <v>42703</v>
          </cell>
          <cell r="FD38">
            <v>18526</v>
          </cell>
          <cell r="FE38">
            <v>29</v>
          </cell>
        </row>
        <row r="39">
          <cell r="B39"/>
          <cell r="E39">
            <v>480499</v>
          </cell>
          <cell r="F39">
            <v>595</v>
          </cell>
          <cell r="G39">
            <v>525</v>
          </cell>
          <cell r="H39">
            <v>660423</v>
          </cell>
          <cell r="I39">
            <v>380</v>
          </cell>
          <cell r="J39">
            <v>476</v>
          </cell>
          <cell r="K39">
            <v>7006</v>
          </cell>
          <cell r="L39">
            <v>456</v>
          </cell>
          <cell r="N39">
            <v>597714</v>
          </cell>
          <cell r="O39">
            <v>403</v>
          </cell>
          <cell r="Q39">
            <v>156722</v>
          </cell>
          <cell r="R39">
            <v>0</v>
          </cell>
          <cell r="S39">
            <v>87098</v>
          </cell>
          <cell r="T39">
            <v>188</v>
          </cell>
          <cell r="U39">
            <v>177</v>
          </cell>
          <cell r="V39">
            <v>5501</v>
          </cell>
          <cell r="W39">
            <v>44</v>
          </cell>
          <cell r="AB39">
            <v>5293963.92</v>
          </cell>
          <cell r="AC39">
            <v>3020.640000000596</v>
          </cell>
          <cell r="AD39">
            <v>2289.8399999989197</v>
          </cell>
          <cell r="AE39">
            <v>10329614.4</v>
          </cell>
          <cell r="AF39">
            <v>4823.2800000011921</v>
          </cell>
          <cell r="AG39">
            <v>5407.9199999999255</v>
          </cell>
          <cell r="AH39">
            <v>9515113.4399999995</v>
          </cell>
          <cell r="AI39">
            <v>1023.1200000010431</v>
          </cell>
          <cell r="AJ39">
            <v>2533.4400000004098</v>
          </cell>
          <cell r="AK39">
            <v>12936036.959999999</v>
          </cell>
          <cell r="AL39">
            <v>5018.160000000149</v>
          </cell>
          <cell r="AM39">
            <v>9549.1199999991804</v>
          </cell>
          <cell r="AN39">
            <v>12862810.799999999</v>
          </cell>
          <cell r="AO39">
            <v>11108.159999998286</v>
          </cell>
          <cell r="AP39">
            <v>9013.1999999992549</v>
          </cell>
          <cell r="AQ39">
            <v>11540208.959999999</v>
          </cell>
          <cell r="AR39">
            <v>6528.4799999985844</v>
          </cell>
          <cell r="AS39">
            <v>5748.9599999990314</v>
          </cell>
          <cell r="AT39">
            <v>10114223.280000001</v>
          </cell>
          <cell r="AU39">
            <v>5164.3200000021607</v>
          </cell>
          <cell r="AV39">
            <v>4725.839999999851</v>
          </cell>
          <cell r="AW39">
            <v>9733720.0800000001</v>
          </cell>
          <cell r="AX39">
            <v>4969.4399999994785</v>
          </cell>
          <cell r="AY39">
            <v>5164.320000000298</v>
          </cell>
          <cell r="AZ39">
            <v>7816734.2400000002</v>
          </cell>
          <cell r="BA39">
            <v>3264.2400000002235</v>
          </cell>
          <cell r="BB39">
            <v>3654</v>
          </cell>
          <cell r="BC39">
            <v>11530854.719999999</v>
          </cell>
          <cell r="BD39">
            <v>5505.359999999404</v>
          </cell>
          <cell r="BE39">
            <v>6187.4400000013411</v>
          </cell>
          <cell r="BJ39">
            <v>48140700</v>
          </cell>
          <cell r="BK39">
            <v>0</v>
          </cell>
          <cell r="BL39">
            <v>7700</v>
          </cell>
          <cell r="BM39">
            <v>52956100</v>
          </cell>
          <cell r="BN39">
            <v>25800</v>
          </cell>
          <cell r="BO39">
            <v>29300</v>
          </cell>
          <cell r="BP39">
            <v>46280900</v>
          </cell>
          <cell r="BQ39">
            <v>54600</v>
          </cell>
          <cell r="BR39">
            <v>38600</v>
          </cell>
          <cell r="BS39">
            <v>3669950</v>
          </cell>
          <cell r="BT39">
            <v>6580</v>
          </cell>
          <cell r="BV39">
            <v>0.56999999999999995</v>
          </cell>
          <cell r="BW39">
            <v>-3.0000000000000027E-2</v>
          </cell>
          <cell r="BX39">
            <v>-4.9999999999999989E-2</v>
          </cell>
          <cell r="BY39">
            <v>43188</v>
          </cell>
          <cell r="BZ39">
            <v>19</v>
          </cell>
          <cell r="CA39">
            <v>38302</v>
          </cell>
          <cell r="CB39">
            <v>15</v>
          </cell>
          <cell r="CC39">
            <v>12679</v>
          </cell>
          <cell r="CD39">
            <v>7</v>
          </cell>
          <cell r="CE39">
            <v>15841</v>
          </cell>
          <cell r="CF39">
            <v>10</v>
          </cell>
          <cell r="CG39">
            <v>18163</v>
          </cell>
          <cell r="CH39">
            <v>15</v>
          </cell>
          <cell r="CI39">
            <v>38572</v>
          </cell>
          <cell r="CJ39">
            <v>28</v>
          </cell>
          <cell r="CK39">
            <v>168573</v>
          </cell>
          <cell r="CL39">
            <v>83</v>
          </cell>
          <cell r="CM39">
            <v>80</v>
          </cell>
          <cell r="CN39">
            <v>119747</v>
          </cell>
          <cell r="CO39">
            <v>79</v>
          </cell>
          <cell r="CP39">
            <v>69</v>
          </cell>
          <cell r="CQ39">
            <v>216906</v>
          </cell>
          <cell r="CR39">
            <v>114</v>
          </cell>
          <cell r="CS39">
            <v>20</v>
          </cell>
          <cell r="CT39">
            <v>465485</v>
          </cell>
          <cell r="CU39">
            <v>187</v>
          </cell>
          <cell r="CW39">
            <v>3047</v>
          </cell>
          <cell r="CX39">
            <v>0</v>
          </cell>
          <cell r="CY39">
            <v>938</v>
          </cell>
          <cell r="CZ39">
            <v>0</v>
          </cell>
          <cell r="DA39">
            <v>17472</v>
          </cell>
          <cell r="DB39">
            <v>17</v>
          </cell>
          <cell r="DC39">
            <v>18235</v>
          </cell>
          <cell r="DD39">
            <v>18</v>
          </cell>
          <cell r="DE39">
            <v>12679</v>
          </cell>
          <cell r="DF39">
            <v>11</v>
          </cell>
          <cell r="DG39">
            <v>16746</v>
          </cell>
          <cell r="DH39">
            <v>7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>
            <v>639</v>
          </cell>
          <cell r="DN39">
            <v>7</v>
          </cell>
          <cell r="DO39">
            <v>756</v>
          </cell>
          <cell r="DP39">
            <v>3</v>
          </cell>
          <cell r="DQ39">
            <v>16189</v>
          </cell>
          <cell r="DR39">
            <v>27</v>
          </cell>
          <cell r="DT39">
            <v>2634075</v>
          </cell>
          <cell r="DU39">
            <v>1557</v>
          </cell>
          <cell r="DV39">
            <v>4186</v>
          </cell>
          <cell r="DW39">
            <v>5</v>
          </cell>
          <cell r="DX39">
            <v>1728558</v>
          </cell>
          <cell r="DY39">
            <v>1242</v>
          </cell>
          <cell r="DZ39">
            <v>247730</v>
          </cell>
          <cell r="EA39">
            <v>144</v>
          </cell>
          <cell r="ED39">
            <v>361277</v>
          </cell>
          <cell r="EE39">
            <v>568</v>
          </cell>
          <cell r="EF39">
            <v>75781</v>
          </cell>
          <cell r="EG39">
            <v>140</v>
          </cell>
          <cell r="EI39">
            <v>6541800</v>
          </cell>
          <cell r="EJ39">
            <v>5600</v>
          </cell>
          <cell r="EK39">
            <v>575060</v>
          </cell>
          <cell r="EL39">
            <v>350</v>
          </cell>
          <cell r="EM39">
            <v>4484100</v>
          </cell>
          <cell r="EN39">
            <v>2900</v>
          </cell>
          <cell r="EO39">
            <v>1971300</v>
          </cell>
          <cell r="EP39">
            <v>600</v>
          </cell>
          <cell r="EQ39">
            <v>666570</v>
          </cell>
          <cell r="ER39">
            <v>180</v>
          </cell>
          <cell r="ES39">
            <v>10576300</v>
          </cell>
          <cell r="ET39">
            <v>5200</v>
          </cell>
          <cell r="EV39">
            <v>26420</v>
          </cell>
          <cell r="EX39">
            <v>23149</v>
          </cell>
          <cell r="EY39">
            <v>17</v>
          </cell>
          <cell r="EZ39">
            <v>0</v>
          </cell>
          <cell r="FA39">
            <v>0</v>
          </cell>
          <cell r="FB39">
            <v>42703</v>
          </cell>
          <cell r="FD39">
            <v>18554</v>
          </cell>
          <cell r="FE39">
            <v>28</v>
          </cell>
        </row>
        <row r="40">
          <cell r="B40"/>
          <cell r="E40">
            <v>481042</v>
          </cell>
          <cell r="F40">
            <v>543</v>
          </cell>
          <cell r="G40">
            <v>561</v>
          </cell>
          <cell r="H40">
            <v>660799</v>
          </cell>
          <cell r="I40">
            <v>376</v>
          </cell>
          <cell r="J40">
            <v>301</v>
          </cell>
          <cell r="K40">
            <v>7478</v>
          </cell>
          <cell r="L40">
            <v>472</v>
          </cell>
          <cell r="N40">
            <v>598099</v>
          </cell>
          <cell r="O40">
            <v>385</v>
          </cell>
          <cell r="Q40">
            <v>156722</v>
          </cell>
          <cell r="R40">
            <v>0</v>
          </cell>
          <cell r="S40">
            <v>87262</v>
          </cell>
          <cell r="T40">
            <v>164</v>
          </cell>
          <cell r="U40">
            <v>102</v>
          </cell>
          <cell r="V40">
            <v>5514</v>
          </cell>
          <cell r="W40">
            <v>13</v>
          </cell>
          <cell r="AB40">
            <v>5296935.84</v>
          </cell>
          <cell r="AC40">
            <v>2971.9199999999255</v>
          </cell>
          <cell r="AD40">
            <v>2387.2800000011921</v>
          </cell>
          <cell r="AE40">
            <v>10334535.119999999</v>
          </cell>
          <cell r="AF40">
            <v>4920.7199999988079</v>
          </cell>
          <cell r="AG40">
            <v>5602.8000000007451</v>
          </cell>
          <cell r="AH40">
            <v>9522713.7599999998</v>
          </cell>
          <cell r="AI40">
            <v>7600.320000000298</v>
          </cell>
          <cell r="AJ40">
            <v>9744</v>
          </cell>
          <cell r="AK40">
            <v>12937011.359999999</v>
          </cell>
          <cell r="AL40">
            <v>974.40000000037253</v>
          </cell>
          <cell r="AM40">
            <v>2094.9600000008941</v>
          </cell>
          <cell r="AN40">
            <v>12873821.52</v>
          </cell>
          <cell r="AO40">
            <v>11010.720000000671</v>
          </cell>
          <cell r="AP40">
            <v>4238.640000000596</v>
          </cell>
          <cell r="AQ40">
            <v>11547078.48</v>
          </cell>
          <cell r="AR40">
            <v>6869.5200000014156</v>
          </cell>
          <cell r="AS40">
            <v>5992.5600000005215</v>
          </cell>
          <cell r="AT40">
            <v>10119095.280000001</v>
          </cell>
          <cell r="AU40">
            <v>4872</v>
          </cell>
          <cell r="AV40">
            <v>4823.2800000011921</v>
          </cell>
          <cell r="AW40">
            <v>9738543.3599999994</v>
          </cell>
          <cell r="AX40">
            <v>4823.2799999993294</v>
          </cell>
          <cell r="AY40">
            <v>5359.2000000001863</v>
          </cell>
          <cell r="AZ40">
            <v>7819998.4799999995</v>
          </cell>
          <cell r="BA40">
            <v>3264.2399999992922</v>
          </cell>
          <cell r="BB40">
            <v>3556.5599999995902</v>
          </cell>
          <cell r="BC40">
            <v>11536652.4</v>
          </cell>
          <cell r="BD40">
            <v>5797.6800000015646</v>
          </cell>
          <cell r="BE40">
            <v>6138.7200000006706</v>
          </cell>
          <cell r="BJ40">
            <v>48140700</v>
          </cell>
          <cell r="BK40">
            <v>0</v>
          </cell>
          <cell r="BL40">
            <v>41200</v>
          </cell>
          <cell r="BM40">
            <v>52958600</v>
          </cell>
          <cell r="BN40">
            <v>2500</v>
          </cell>
          <cell r="BO40">
            <v>2500</v>
          </cell>
          <cell r="BP40">
            <v>46332300</v>
          </cell>
          <cell r="BQ40">
            <v>51400</v>
          </cell>
          <cell r="BR40">
            <v>58900</v>
          </cell>
          <cell r="BS40">
            <v>3675920</v>
          </cell>
          <cell r="BT40">
            <v>5970</v>
          </cell>
          <cell r="BV40">
            <v>0.78</v>
          </cell>
          <cell r="BW40">
            <v>0.21000000000000008</v>
          </cell>
          <cell r="BX40">
            <v>-4.9999999999999989E-2</v>
          </cell>
          <cell r="BY40">
            <v>43210</v>
          </cell>
          <cell r="BZ40">
            <v>22</v>
          </cell>
          <cell r="CA40">
            <v>38318</v>
          </cell>
          <cell r="CB40">
            <v>16</v>
          </cell>
          <cell r="CC40">
            <v>12687</v>
          </cell>
          <cell r="CD40">
            <v>8</v>
          </cell>
          <cell r="CE40">
            <v>15851</v>
          </cell>
          <cell r="CF40">
            <v>10</v>
          </cell>
          <cell r="CG40">
            <v>18175</v>
          </cell>
          <cell r="CH40">
            <v>12</v>
          </cell>
          <cell r="CI40">
            <v>38605</v>
          </cell>
          <cell r="CJ40">
            <v>33</v>
          </cell>
          <cell r="CK40">
            <v>168662</v>
          </cell>
          <cell r="CL40">
            <v>89</v>
          </cell>
          <cell r="CM40">
            <v>87</v>
          </cell>
          <cell r="CN40">
            <v>119824</v>
          </cell>
          <cell r="CO40">
            <v>77</v>
          </cell>
          <cell r="CP40">
            <v>70</v>
          </cell>
          <cell r="CQ40">
            <v>216990</v>
          </cell>
          <cell r="CR40">
            <v>84</v>
          </cell>
          <cell r="CS40">
            <v>61</v>
          </cell>
          <cell r="CT40">
            <v>465687</v>
          </cell>
          <cell r="CU40">
            <v>202</v>
          </cell>
          <cell r="CW40">
            <v>3047</v>
          </cell>
          <cell r="CX40">
            <v>0</v>
          </cell>
          <cell r="CY40">
            <v>938</v>
          </cell>
          <cell r="CZ40">
            <v>0</v>
          </cell>
          <cell r="DA40">
            <v>17491</v>
          </cell>
          <cell r="DB40">
            <v>19</v>
          </cell>
          <cell r="DC40">
            <v>18253</v>
          </cell>
          <cell r="DD40">
            <v>18</v>
          </cell>
          <cell r="DE40">
            <v>12691</v>
          </cell>
          <cell r="DF40">
            <v>12</v>
          </cell>
          <cell r="DG40">
            <v>16752</v>
          </cell>
          <cell r="DH40">
            <v>6</v>
          </cell>
          <cell r="DI40">
            <v>825</v>
          </cell>
          <cell r="DJ40">
            <v>0</v>
          </cell>
          <cell r="DK40">
            <v>3570</v>
          </cell>
          <cell r="DL40">
            <v>0</v>
          </cell>
          <cell r="DM40">
            <v>643</v>
          </cell>
          <cell r="DN40">
            <v>4</v>
          </cell>
          <cell r="DO40">
            <v>761</v>
          </cell>
          <cell r="DP40">
            <v>5</v>
          </cell>
          <cell r="DQ40">
            <v>16216</v>
          </cell>
          <cell r="DR40">
            <v>27</v>
          </cell>
          <cell r="DT40">
            <v>2635719</v>
          </cell>
          <cell r="DU40">
            <v>1644</v>
          </cell>
          <cell r="DV40">
            <v>4191</v>
          </cell>
          <cell r="DW40">
            <v>5</v>
          </cell>
          <cell r="DX40">
            <v>1729807</v>
          </cell>
          <cell r="DY40">
            <v>1249</v>
          </cell>
          <cell r="DZ40">
            <v>247871</v>
          </cell>
          <cell r="EA40">
            <v>141</v>
          </cell>
          <cell r="ED40">
            <v>361848</v>
          </cell>
          <cell r="EE40">
            <v>571</v>
          </cell>
          <cell r="EF40">
            <v>75923</v>
          </cell>
          <cell r="EG40">
            <v>142</v>
          </cell>
          <cell r="EI40">
            <v>6549200</v>
          </cell>
          <cell r="EJ40">
            <v>7400</v>
          </cell>
          <cell r="EK40">
            <v>575500</v>
          </cell>
          <cell r="EL40">
            <v>440</v>
          </cell>
          <cell r="EM40">
            <v>4487600</v>
          </cell>
          <cell r="EN40">
            <v>3500</v>
          </cell>
          <cell r="EO40">
            <v>1971600</v>
          </cell>
          <cell r="EP40">
            <v>300</v>
          </cell>
          <cell r="EQ40">
            <v>666670</v>
          </cell>
          <cell r="ER40">
            <v>100</v>
          </cell>
          <cell r="ES40">
            <v>10583100</v>
          </cell>
          <cell r="ET40">
            <v>6800</v>
          </cell>
          <cell r="EV40">
            <v>26439</v>
          </cell>
          <cell r="EX40">
            <v>23167</v>
          </cell>
          <cell r="EY40">
            <v>18</v>
          </cell>
          <cell r="EZ40">
            <v>0</v>
          </cell>
          <cell r="FA40">
            <v>0</v>
          </cell>
          <cell r="FB40">
            <v>42703</v>
          </cell>
          <cell r="FD40">
            <v>18586</v>
          </cell>
          <cell r="FE40">
            <v>32</v>
          </cell>
        </row>
      </sheetData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H3" sqref="H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2019</v>
      </c>
      <c r="E2" s="3">
        <f>Submetering!M2+Submetering!N2+Submetering!O2+Submetering!P2+Submetering!Q2+Submetering!R2+Submetering!S2+Submetering!T2+Submetering!U2+Submetering!V2</f>
        <v>55638.23999999743</v>
      </c>
      <c r="F2">
        <v>0.44447999999999999</v>
      </c>
      <c r="G2" s="3">
        <f>Submetering!Z2+Submetering!AA2+Submetering!AB2</f>
        <v>283.5</v>
      </c>
      <c r="H2" s="241">
        <f>1.41/0.52</f>
        <v>2.7115384615384612</v>
      </c>
      <c r="I2" s="3">
        <f>Submetering!G2</f>
        <v>558</v>
      </c>
      <c r="J2">
        <v>13.83</v>
      </c>
      <c r="K2" s="3">
        <f>Submetering!I2</f>
        <v>397</v>
      </c>
      <c r="L2">
        <v>1.2</v>
      </c>
      <c r="M2" s="241">
        <f>Submetering!E2</f>
        <v>180.12</v>
      </c>
      <c r="N2">
        <f>Submetering!F2</f>
        <v>258</v>
      </c>
    </row>
    <row r="3" spans="1:14" x14ac:dyDescent="0.25">
      <c r="A3" t="s">
        <v>59</v>
      </c>
      <c r="B3">
        <f>B2+1</f>
        <v>2</v>
      </c>
      <c r="C3">
        <v>10</v>
      </c>
      <c r="D3">
        <v>2019</v>
      </c>
      <c r="E3" s="3">
        <f>Submetering!M3+Submetering!N3+Submetering!O3+Submetering!P3+Submetering!Q3+Submetering!R3+Submetering!S3+Submetering!T3+Submetering!U3+Submetering!V3</f>
        <v>51935.520000001416</v>
      </c>
      <c r="F3">
        <v>0.44447999999999999</v>
      </c>
      <c r="G3" s="3">
        <f>Submetering!Z3+Submetering!AA3+Submetering!AB3</f>
        <v>292.95</v>
      </c>
      <c r="H3" s="241">
        <f t="shared" ref="H3:H32" si="0">1.41/0.52</f>
        <v>2.7115384615384612</v>
      </c>
      <c r="I3" s="3">
        <f>Submetering!G3</f>
        <v>528</v>
      </c>
      <c r="J3">
        <v>13.83</v>
      </c>
      <c r="K3" s="3">
        <f>Submetering!I3</f>
        <v>380</v>
      </c>
      <c r="L3">
        <v>1.2</v>
      </c>
      <c r="M3" s="241">
        <f>Submetering!E3</f>
        <v>120.87</v>
      </c>
      <c r="N3">
        <f>Submetering!F3</f>
        <v>258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2019</v>
      </c>
      <c r="E4" s="3">
        <f>Submetering!M4+Submetering!N4+Submetering!O4+Submetering!P4+Submetering!Q4+Submetering!R4+Submetering!S4+Submetering!T4+Submetering!U4+Submetering!V4</f>
        <v>55297.199999996461</v>
      </c>
      <c r="F4">
        <v>0.44447999999999999</v>
      </c>
      <c r="G4" s="3">
        <f>Submetering!Z4+Submetering!AA4+Submetering!AB4</f>
        <v>302.39999999999998</v>
      </c>
      <c r="H4" s="241">
        <f t="shared" si="0"/>
        <v>2.7115384615384612</v>
      </c>
      <c r="I4" s="3">
        <f>Submetering!G4</f>
        <v>564</v>
      </c>
      <c r="J4">
        <v>13.83</v>
      </c>
      <c r="K4" s="3">
        <f>Submetering!I4</f>
        <v>425</v>
      </c>
      <c r="L4">
        <v>1.2</v>
      </c>
      <c r="M4" s="241">
        <f>Submetering!E4</f>
        <v>165.89999999999998</v>
      </c>
      <c r="N4">
        <f>Submetering!F4</f>
        <v>340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2019</v>
      </c>
      <c r="E5" s="3">
        <f>Submetering!M5+Submetering!N5+Submetering!O5+Submetering!P5+Submetering!Q5+Submetering!R5+Submetering!S5+Submetering!T5+Submetering!U5+Submetering!V5</f>
        <v>53007.360000004992</v>
      </c>
      <c r="F5">
        <v>0.44447999999999999</v>
      </c>
      <c r="G5" s="3">
        <f>Submetering!Z5+Submetering!AA5+Submetering!AB5</f>
        <v>306.17999999999995</v>
      </c>
      <c r="H5" s="241">
        <f t="shared" si="0"/>
        <v>2.7115384615384612</v>
      </c>
      <c r="I5" s="3">
        <f>Submetering!G5</f>
        <v>591</v>
      </c>
      <c r="J5">
        <v>13.83</v>
      </c>
      <c r="K5" s="3">
        <f>Submetering!I5</f>
        <v>386</v>
      </c>
      <c r="L5">
        <v>1.2</v>
      </c>
      <c r="M5" s="241">
        <f>Submetering!E5</f>
        <v>189.60000000000002</v>
      </c>
      <c r="N5">
        <f>Submetering!F5</f>
        <v>380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2019</v>
      </c>
      <c r="E6" s="3">
        <f>Submetering!M6+Submetering!N6+Submetering!O6+Submetering!P6+Submetering!Q6+Submetering!R6+Submetering!S6+Submetering!T6+Submetering!U6+Submetering!V6</f>
        <v>54517.680000000633</v>
      </c>
      <c r="F6">
        <v>0.44447999999999999</v>
      </c>
      <c r="G6" s="3">
        <f>Submetering!Z6+Submetering!AA6+Submetering!AB6</f>
        <v>285.39</v>
      </c>
      <c r="H6" s="241">
        <f t="shared" si="0"/>
        <v>2.7115384615384612</v>
      </c>
      <c r="I6" s="3">
        <f>Submetering!G6</f>
        <v>533</v>
      </c>
      <c r="J6">
        <v>13.83</v>
      </c>
      <c r="K6" s="3">
        <f>Submetering!I6</f>
        <v>233</v>
      </c>
      <c r="L6">
        <v>1.2</v>
      </c>
      <c r="M6" s="241">
        <f>Submetering!E6</f>
        <v>194.33999999999997</v>
      </c>
      <c r="N6">
        <f>Submetering!F6</f>
        <v>363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2019</v>
      </c>
      <c r="E7" s="3">
        <f>Submetering!M7+Submetering!N7+Submetering!O7+Submetering!P7+Submetering!Q7+Submetering!R7+Submetering!S7+Submetering!T7+Submetering!U7+Submetering!V7</f>
        <v>55102.319999997504</v>
      </c>
      <c r="F7">
        <v>0.44447999999999999</v>
      </c>
      <c r="G7" s="3">
        <f>Submetering!Z7+Submetering!AA7+Submetering!AB7</f>
        <v>296.73</v>
      </c>
      <c r="H7" s="241">
        <f t="shared" si="0"/>
        <v>2.7115384615384612</v>
      </c>
      <c r="I7" s="3">
        <f>Submetering!G7</f>
        <v>527</v>
      </c>
      <c r="J7">
        <v>13.83</v>
      </c>
      <c r="K7" s="3">
        <f>Submetering!I7</f>
        <v>428</v>
      </c>
      <c r="L7">
        <v>1.2</v>
      </c>
      <c r="M7" s="241">
        <f>Submetering!E7</f>
        <v>168.26999999999998</v>
      </c>
      <c r="N7">
        <f>Submetering!F7</f>
        <v>327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2019</v>
      </c>
      <c r="E8" s="282">
        <f>Submetering!M8+Submetering!N8+Submetering!O8+Submetering!P8+Submetering!Q8+Submetering!R8+Submetering!S8+Submetering!T8+Submetering!U8+Submetering!V8</f>
        <v>51399.600000000559</v>
      </c>
      <c r="F8" s="283">
        <v>0.44447999999999999</v>
      </c>
      <c r="G8" s="282">
        <f>Submetering!Z8+Submetering!AA8+Submetering!AB8</f>
        <v>291.05999999999995</v>
      </c>
      <c r="H8" s="241">
        <f t="shared" si="0"/>
        <v>2.7115384615384612</v>
      </c>
      <c r="I8" s="282">
        <f>Submetering!G8</f>
        <v>501</v>
      </c>
      <c r="J8" s="283">
        <v>13.83</v>
      </c>
      <c r="K8" s="282">
        <f>Submetering!I8</f>
        <v>428</v>
      </c>
      <c r="L8" s="283">
        <v>1.2</v>
      </c>
      <c r="M8" s="284">
        <f>Submetering!E8</f>
        <v>191.97</v>
      </c>
      <c r="N8">
        <f>Submetering!F8</f>
        <v>353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2019</v>
      </c>
      <c r="E9" s="3">
        <f>Submetering!M9+Submetering!N9+Submetering!O9+Submetering!P9+Submetering!Q9+Submetering!R9+Submetering!S9+Submetering!T9+Submetering!U9+Submetering!V9</f>
        <v>54517.679999999702</v>
      </c>
      <c r="F9">
        <v>0.44447999999999999</v>
      </c>
      <c r="G9" s="3">
        <f>Submetering!Z9+Submetering!AA9+Submetering!AB9</f>
        <v>279.72000000000003</v>
      </c>
      <c r="H9" s="241">
        <f t="shared" si="0"/>
        <v>2.7115384615384612</v>
      </c>
      <c r="I9" s="3">
        <f>Submetering!G9</f>
        <v>512</v>
      </c>
      <c r="J9">
        <v>13.83</v>
      </c>
      <c r="K9" s="3">
        <f>Submetering!I9</f>
        <v>405</v>
      </c>
      <c r="L9">
        <v>1.2</v>
      </c>
      <c r="M9" s="241">
        <f>Submetering!E9</f>
        <v>180.12</v>
      </c>
      <c r="N9">
        <f>Submetering!F9</f>
        <v>296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2019</v>
      </c>
      <c r="E10" s="3">
        <f>Submetering!M10+Submetering!N10+Submetering!O10+Submetering!P10+Submetering!Q10+Submetering!R10+Submetering!S10+Submetering!T10+Submetering!U10+Submetering!V10</f>
        <v>61776.9599999981</v>
      </c>
      <c r="F10">
        <v>0.44447999999999999</v>
      </c>
      <c r="G10" s="3">
        <f>Submetering!Z10+Submetering!AA10+Submetering!AB10</f>
        <v>285.39</v>
      </c>
      <c r="H10" s="241">
        <f t="shared" si="0"/>
        <v>2.7115384615384612</v>
      </c>
      <c r="I10" s="3">
        <f>Submetering!G10</f>
        <v>519</v>
      </c>
      <c r="J10">
        <v>13.83</v>
      </c>
      <c r="K10" s="3">
        <f>Submetering!I10</f>
        <v>413</v>
      </c>
      <c r="L10">
        <v>1.2</v>
      </c>
      <c r="M10" s="241">
        <f>Submetering!E10</f>
        <v>177.75</v>
      </c>
      <c r="N10">
        <f>Submetering!F10</f>
        <v>293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2019</v>
      </c>
      <c r="E11" s="3">
        <f>Submetering!M11+Submetering!N11+Submetering!O11+Submetering!P11+Submetering!Q11+Submetering!R11+Submetering!S11+Submetering!T11+Submetering!U11+Submetering!V11</f>
        <v>60417.672000000253</v>
      </c>
      <c r="F11">
        <v>0.44447999999999999</v>
      </c>
      <c r="G11" s="3">
        <f>Submetering!Z11+Submetering!AA11+Submetering!AB11</f>
        <v>323.18999999999994</v>
      </c>
      <c r="H11" s="241">
        <f t="shared" si="0"/>
        <v>2.7115384615384612</v>
      </c>
      <c r="I11" s="3">
        <f>Submetering!G11</f>
        <v>569</v>
      </c>
      <c r="J11">
        <v>13.83</v>
      </c>
      <c r="K11" s="3">
        <f>Submetering!I11</f>
        <v>382</v>
      </c>
      <c r="L11">
        <v>1.2</v>
      </c>
      <c r="M11" s="241">
        <f>Submetering!E11</f>
        <v>170.64</v>
      </c>
      <c r="N11">
        <f>Submetering!F11</f>
        <v>298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2019</v>
      </c>
      <c r="E12" s="3">
        <f>Submetering!M12+Submetering!N12+Submetering!O12+Submetering!P12+Submetering!Q12+Submetering!R12+Submetering!S12+Submetering!T12+Submetering!U12+Submetering!V12</f>
        <v>52320.408000004478</v>
      </c>
      <c r="F12">
        <v>0.44447999999999999</v>
      </c>
      <c r="G12" s="3">
        <f>Submetering!Z12+Submetering!AA12+Submetering!AB12</f>
        <v>274.05</v>
      </c>
      <c r="H12" s="241">
        <f t="shared" si="0"/>
        <v>2.7115384615384612</v>
      </c>
      <c r="I12" s="3">
        <f>Submetering!G12</f>
        <v>582</v>
      </c>
      <c r="J12">
        <v>13.83</v>
      </c>
      <c r="K12" s="3">
        <f>Submetering!I12</f>
        <v>410</v>
      </c>
      <c r="L12">
        <v>1.2</v>
      </c>
      <c r="M12" s="241">
        <f>Submetering!E12</f>
        <v>191.97</v>
      </c>
      <c r="N12">
        <f>Submetering!F12</f>
        <v>380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2019</v>
      </c>
      <c r="E13" s="3">
        <f>Submetering!M13+Submetering!N13+Submetering!O13+Submetering!P13+Submetering!Q13+Submetering!R13+Submetering!S13+Submetering!T13+Submetering!U13+Submetering!V13</f>
        <v>56953.679999999702</v>
      </c>
      <c r="F13">
        <v>0.44447999999999999</v>
      </c>
      <c r="G13" s="3">
        <f>Submetering!Z13+Submetering!AA13+Submetering!AB13</f>
        <v>289.16999999999996</v>
      </c>
      <c r="H13" s="241">
        <f t="shared" si="0"/>
        <v>2.7115384615384612</v>
      </c>
      <c r="I13" s="3">
        <f>Submetering!G13</f>
        <v>545</v>
      </c>
      <c r="J13">
        <v>13.83</v>
      </c>
      <c r="K13" s="3">
        <f>Submetering!I13</f>
        <v>392</v>
      </c>
      <c r="L13">
        <v>1.2</v>
      </c>
      <c r="M13" s="241">
        <f>Submetering!E13</f>
        <v>208.56</v>
      </c>
      <c r="N13">
        <f>Submetering!F13</f>
        <v>413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2019</v>
      </c>
      <c r="E14" s="3">
        <f>Submetering!M14+Submetering!N14+Submetering!O14+Submetering!P14+Submetering!Q14+Submetering!R14+Submetering!S14+Submetering!T14+Submetering!U14+Submetering!V14</f>
        <v>53494.559999996796</v>
      </c>
      <c r="F14">
        <v>0.44447999999999999</v>
      </c>
      <c r="G14" s="3">
        <f>Submetering!Z14+Submetering!AA14+Submetering!AB14</f>
        <v>294.83999999999997</v>
      </c>
      <c r="H14" s="241">
        <f t="shared" si="0"/>
        <v>2.7115384615384612</v>
      </c>
      <c r="I14" s="3">
        <f>Submetering!G14</f>
        <v>546</v>
      </c>
      <c r="J14">
        <v>13.83</v>
      </c>
      <c r="K14" s="3">
        <f>Submetering!I14</f>
        <v>187</v>
      </c>
      <c r="L14">
        <v>1.2</v>
      </c>
      <c r="M14" s="241">
        <f>Submetering!E14</f>
        <v>170.64</v>
      </c>
      <c r="N14">
        <f>Submetering!F14</f>
        <v>344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2019</v>
      </c>
      <c r="E15" s="3">
        <f>Submetering!M15+Submetering!N15+Submetering!O15+Submetering!P15+Submetering!Q15+Submetering!R15+Submetering!S15+Submetering!T15+Submetering!U15+Submetering!V15</f>
        <v>51204.720000002533</v>
      </c>
      <c r="F15">
        <v>0.44447999999999999</v>
      </c>
      <c r="G15" s="3">
        <f>Submetering!Z15+Submetering!AA15+Submetering!AB15</f>
        <v>381.78</v>
      </c>
      <c r="H15" s="241">
        <f t="shared" si="0"/>
        <v>2.7115384615384612</v>
      </c>
      <c r="I15" s="3">
        <f>Submetering!G15</f>
        <v>511</v>
      </c>
      <c r="J15">
        <v>13.83</v>
      </c>
      <c r="K15" s="3">
        <f>Submetering!I15</f>
        <v>366</v>
      </c>
      <c r="L15">
        <v>1.2</v>
      </c>
      <c r="M15" s="241">
        <f>Submetering!E15</f>
        <v>156.42000000000002</v>
      </c>
      <c r="N15">
        <f>Submetering!F15</f>
        <v>314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2019</v>
      </c>
      <c r="E16" s="3">
        <f>Submetering!M16+Submetering!N16+Submetering!O16+Submetering!P16+Submetering!Q16+Submetering!R16+Submetering!S16+Submetering!T16+Submetering!U16+Submetering!V16</f>
        <v>54225.35999999661</v>
      </c>
      <c r="F16">
        <v>0.44447999999999999</v>
      </c>
      <c r="G16" s="3">
        <f>Submetering!Z16+Submetering!AA16+Submetering!AB16</f>
        <v>440.37</v>
      </c>
      <c r="H16" s="241">
        <f t="shared" si="0"/>
        <v>2.7115384615384612</v>
      </c>
      <c r="I16" s="3">
        <f>Submetering!G16</f>
        <v>632</v>
      </c>
      <c r="J16">
        <v>13.83</v>
      </c>
      <c r="K16" s="3">
        <f>Submetering!I16</f>
        <v>398</v>
      </c>
      <c r="L16">
        <v>1.2</v>
      </c>
      <c r="M16" s="241">
        <f>Submetering!E16</f>
        <v>149.31</v>
      </c>
      <c r="N16">
        <f>Submetering!F16</f>
        <v>294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2019</v>
      </c>
      <c r="E17" s="3">
        <f>Submetering!M17+Submetering!N17+Submetering!O17+Submetering!P17+Submetering!Q17+Submetering!R17+Submetering!S17+Submetering!T17+Submetering!U17+Submetering!V17</f>
        <v>51886.799999999814</v>
      </c>
      <c r="F17">
        <v>0.44447999999999999</v>
      </c>
      <c r="G17" s="3">
        <f>Submetering!Z17+Submetering!AA17+Submetering!AB17</f>
        <v>410.13</v>
      </c>
      <c r="H17" s="241">
        <f t="shared" si="0"/>
        <v>2.7115384615384612</v>
      </c>
      <c r="I17" s="3">
        <f>Submetering!G17</f>
        <v>486</v>
      </c>
      <c r="J17">
        <v>13.83</v>
      </c>
      <c r="K17" s="3">
        <f>Submetering!I17</f>
        <v>391</v>
      </c>
      <c r="L17">
        <v>1.2</v>
      </c>
      <c r="M17" s="241">
        <f>Submetering!E17</f>
        <v>144.57</v>
      </c>
      <c r="N17">
        <f>Submetering!F17</f>
        <v>291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2019</v>
      </c>
      <c r="E18" s="3">
        <f>Submetering!M18+Submetering!N18+Submetering!O18+Submetering!P18+Submetering!Q18+Submetering!R18+Submetering!S18+Submetering!T18+Submetering!U18+Submetering!V18</f>
        <v>54225.360000002198</v>
      </c>
      <c r="F18">
        <v>0.44447999999999999</v>
      </c>
      <c r="G18" s="3">
        <f>Submetering!Z18+Submetering!AA18+Submetering!AB18</f>
        <v>429.03</v>
      </c>
      <c r="H18" s="241">
        <f t="shared" si="0"/>
        <v>2.7115384615384612</v>
      </c>
      <c r="I18" s="3">
        <f>Submetering!G18</f>
        <v>580</v>
      </c>
      <c r="J18">
        <v>13.83</v>
      </c>
      <c r="K18" s="3">
        <f>Submetering!I18</f>
        <v>217</v>
      </c>
      <c r="L18">
        <v>1.2</v>
      </c>
      <c r="M18" s="241">
        <f>Submetering!E18</f>
        <v>146.94</v>
      </c>
      <c r="N18">
        <f>Submetering!F18</f>
        <v>309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2019</v>
      </c>
      <c r="E19" s="3">
        <f>Submetering!M19+Submetering!N19+Submetering!O19+Submetering!P19+Submetering!Q19+Submetering!R19+Submetering!S19+Submetering!T19+Submetering!U19+Submetering!V19</f>
        <v>55053.600000000559</v>
      </c>
      <c r="F19">
        <v>0.44447999999999999</v>
      </c>
      <c r="G19" s="3">
        <f>Submetering!Z19+Submetering!AA19+Submetering!AB19</f>
        <v>400.67999999999995</v>
      </c>
      <c r="H19" s="241">
        <f t="shared" si="0"/>
        <v>2.7115384615384612</v>
      </c>
      <c r="I19" s="3">
        <f>Submetering!G19</f>
        <v>645</v>
      </c>
      <c r="J19">
        <v>13.83</v>
      </c>
      <c r="K19" s="3">
        <f>Submetering!I19</f>
        <v>216</v>
      </c>
      <c r="L19">
        <v>1.2</v>
      </c>
      <c r="M19" s="241">
        <f>Submetering!E19</f>
        <v>173.01</v>
      </c>
      <c r="N19">
        <f>Submetering!F19</f>
        <v>382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2019</v>
      </c>
      <c r="E20" s="3">
        <f>Submetering!M20+Submetering!N20+Submetering!O20+Submetering!P20+Submetering!Q20+Submetering!R20+Submetering!S20+Submetering!T20+Submetering!U20+Submetering!V20</f>
        <v>53056.079999998212</v>
      </c>
      <c r="F20">
        <v>0.44447999999999999</v>
      </c>
      <c r="G20" s="3">
        <f>Submetering!Z20+Submetering!AA20+Submetering!AB20</f>
        <v>438.48</v>
      </c>
      <c r="H20" s="241">
        <f t="shared" si="0"/>
        <v>2.7115384615384612</v>
      </c>
      <c r="I20" s="3">
        <f>Submetering!G20</f>
        <v>546</v>
      </c>
      <c r="J20">
        <v>13.83</v>
      </c>
      <c r="K20" s="3">
        <f>Submetering!I20</f>
        <v>401</v>
      </c>
      <c r="L20">
        <v>1.2</v>
      </c>
      <c r="M20" s="241">
        <f>Submetering!E20</f>
        <v>146.94</v>
      </c>
      <c r="N20">
        <f>Submetering!F20</f>
        <v>388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2019</v>
      </c>
      <c r="E21" s="3">
        <f>Submetering!M21+Submetering!N21+Submetering!O21+Submetering!P21+Submetering!Q21+Submetering!R21+Submetering!S21+Submetering!T21+Submetering!U21+Submetering!V21</f>
        <v>52032.960000000894</v>
      </c>
      <c r="F21">
        <v>0.44447999999999999</v>
      </c>
      <c r="G21" s="3">
        <f>Submetering!Z21+Submetering!AA21+Submetering!AB21</f>
        <v>402.57</v>
      </c>
      <c r="H21" s="241">
        <f t="shared" si="0"/>
        <v>2.7115384615384612</v>
      </c>
      <c r="I21" s="3">
        <f>Submetering!G21</f>
        <v>595</v>
      </c>
      <c r="J21">
        <v>13.83</v>
      </c>
      <c r="K21" s="3">
        <f>Submetering!I21</f>
        <v>364</v>
      </c>
      <c r="L21">
        <v>1.2</v>
      </c>
      <c r="M21" s="241">
        <f>Submetering!E21</f>
        <v>154.05000000000001</v>
      </c>
      <c r="N21">
        <f>Submetering!F21</f>
        <v>354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2019</v>
      </c>
      <c r="E22" s="3">
        <f>Submetering!M22+Submetering!N22+Submetering!O22+Submetering!P22+Submetering!Q22+Submetering!R22+Submetering!S22+Submetering!T22+Submetering!U22+Submetering!V22</f>
        <v>51545.759999999776</v>
      </c>
      <c r="F22">
        <v>0.44447999999999999</v>
      </c>
      <c r="G22" s="3">
        <f>Submetering!Z22+Submetering!AA22+Submetering!AB22</f>
        <v>434.7</v>
      </c>
      <c r="H22" s="241">
        <f t="shared" si="0"/>
        <v>2.7115384615384612</v>
      </c>
      <c r="I22" s="3">
        <f>Submetering!G22</f>
        <v>484</v>
      </c>
      <c r="J22">
        <v>13.83</v>
      </c>
      <c r="K22" s="3">
        <f>Submetering!I22</f>
        <v>467</v>
      </c>
      <c r="L22">
        <v>1.2</v>
      </c>
      <c r="M22" s="241">
        <f>Submetering!E22</f>
        <v>168.26999999999998</v>
      </c>
      <c r="N22">
        <f>Submetering!F22</f>
        <v>376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2019</v>
      </c>
      <c r="E23" s="3">
        <f>Submetering!M23+Submetering!N23+Submetering!O23+Submetering!P23+Submetering!Q23+Submetering!R23+Submetering!S23+Submetering!T23+Submetering!U23+Submetering!V23</f>
        <v>56076.719999997877</v>
      </c>
      <c r="F23">
        <v>0.44447999999999999</v>
      </c>
      <c r="G23" s="3">
        <f>Submetering!Z23+Submetering!AA23+Submetering!AB23</f>
        <v>421.46999999999997</v>
      </c>
      <c r="H23" s="241">
        <f t="shared" si="0"/>
        <v>2.7115384615384612</v>
      </c>
      <c r="I23" s="3">
        <f>Submetering!G23</f>
        <v>542</v>
      </c>
      <c r="J23">
        <v>13.83</v>
      </c>
      <c r="K23" s="3">
        <f>Submetering!I23</f>
        <v>391</v>
      </c>
      <c r="L23">
        <v>1.2</v>
      </c>
      <c r="M23" s="241">
        <f>Submetering!E23</f>
        <v>175.38</v>
      </c>
      <c r="N23">
        <f>Submetering!F23</f>
        <v>399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2019</v>
      </c>
      <c r="E24" s="3">
        <f>Submetering!M24+Submetering!N24+Submetering!O24+Submetering!P24+Submetering!Q24+Submetering!R24+Submetering!S24+Submetering!T24+Submetering!U24+Submetering!V24</f>
        <v>53689.439999999478</v>
      </c>
      <c r="F24">
        <v>0.44447999999999999</v>
      </c>
      <c r="G24" s="3">
        <f>Submetering!Z24+Submetering!AA24+Submetering!AB24</f>
        <v>480.06</v>
      </c>
      <c r="H24" s="241">
        <f t="shared" si="0"/>
        <v>2.7115384615384612</v>
      </c>
      <c r="I24" s="3">
        <f>Submetering!G24</f>
        <v>556</v>
      </c>
      <c r="J24">
        <v>13.83</v>
      </c>
      <c r="K24" s="3">
        <f>Submetering!I24</f>
        <v>406</v>
      </c>
      <c r="L24">
        <v>1.2</v>
      </c>
      <c r="M24" s="241">
        <f>Submetering!E24</f>
        <v>173.01</v>
      </c>
      <c r="N24">
        <f>Submetering!F24</f>
        <v>396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2019</v>
      </c>
      <c r="E25" s="3">
        <f>Submetering!M25+Submetering!N25+Submetering!O25+Submetering!P25+Submetering!Q25+Submetering!R25+Submetering!S25+Submetering!T25+Submetering!U25+Submetering!V25</f>
        <v>55151.040000002831</v>
      </c>
      <c r="F25">
        <v>0.44447999999999999</v>
      </c>
      <c r="G25" s="3">
        <f>Submetering!Z25+Submetering!AA25+Submetering!AB25</f>
        <v>457.38</v>
      </c>
      <c r="H25" s="241">
        <f t="shared" si="0"/>
        <v>2.7115384615384612</v>
      </c>
      <c r="I25" s="3">
        <f>Submetering!G25</f>
        <v>583</v>
      </c>
      <c r="J25">
        <v>13.83</v>
      </c>
      <c r="K25" s="3">
        <f>Submetering!I25</f>
        <v>388</v>
      </c>
      <c r="L25">
        <v>1.2</v>
      </c>
      <c r="M25" s="241">
        <f>Submetering!E25</f>
        <v>191.97</v>
      </c>
      <c r="N25">
        <f>Submetering!F25</f>
        <v>423</v>
      </c>
    </row>
    <row r="26" spans="1:14" x14ac:dyDescent="0.25">
      <c r="A26" t="s">
        <v>59</v>
      </c>
      <c r="B26">
        <f>B25+1</f>
        <v>25</v>
      </c>
      <c r="C26">
        <v>10</v>
      </c>
      <c r="D26">
        <v>2019</v>
      </c>
      <c r="E26" s="3">
        <f>Submetering!M26+Submetering!N26+Submetering!O26+Submetering!P26+Submetering!Q26+Submetering!R26+Submetering!S26+Submetering!T26+Submetering!U26+Submetering!V26</f>
        <v>48184.079999999143</v>
      </c>
      <c r="F26">
        <v>0.44447999999999999</v>
      </c>
      <c r="G26" s="3">
        <f>Submetering!Z26+Submetering!AA26+Submetering!AB26</f>
        <v>502.74</v>
      </c>
      <c r="H26" s="241">
        <f t="shared" si="0"/>
        <v>2.7115384615384612</v>
      </c>
      <c r="I26" s="3">
        <f>Submetering!G26</f>
        <v>579</v>
      </c>
      <c r="J26">
        <v>13.83</v>
      </c>
      <c r="K26" s="3">
        <f>Submetering!I26</f>
        <v>394</v>
      </c>
      <c r="L26">
        <v>1.2</v>
      </c>
      <c r="M26" s="241">
        <f>Submetering!E26</f>
        <v>229.89</v>
      </c>
      <c r="N26">
        <f>Submetering!F26</f>
        <v>502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2019</v>
      </c>
      <c r="E27" s="3">
        <f>Submetering!M27+Submetering!N27+Submetering!O27+Submetering!P27+Submetering!Q27+Submetering!R27+Submetering!S27+Submetering!T27+Submetering!U27+Submetering!V27</f>
        <v>52422.719999996945</v>
      </c>
      <c r="F27">
        <v>0.44447999999999999</v>
      </c>
      <c r="G27" s="3">
        <f>Submetering!Z27+Submetering!AA27+Submetering!AB27</f>
        <v>514.07999999999993</v>
      </c>
      <c r="H27" s="241">
        <f t="shared" si="0"/>
        <v>2.7115384615384612</v>
      </c>
      <c r="I27" s="3">
        <f>Submetering!G27</f>
        <v>553</v>
      </c>
      <c r="J27">
        <v>13.83</v>
      </c>
      <c r="K27" s="3">
        <f>Submetering!I27</f>
        <v>387</v>
      </c>
      <c r="L27">
        <v>1.2</v>
      </c>
      <c r="M27" s="241">
        <f>Submetering!E27</f>
        <v>218.04000000000002</v>
      </c>
      <c r="N27">
        <f>Submetering!F27</f>
        <v>477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2019</v>
      </c>
      <c r="E28" s="3">
        <f>Submetering!M28+Submetering!N28+Submetering!O28+Submetering!P28+Submetering!Q28+Submetering!R28+Submetering!S28+Submetering!T28+Submetering!U28+Submetering!V28</f>
        <v>47502.000000001863</v>
      </c>
      <c r="F28">
        <v>0.44447999999999999</v>
      </c>
      <c r="G28" s="3">
        <f>Submetering!Z28+Submetering!AA28+Submetering!AB28</f>
        <v>570.78</v>
      </c>
      <c r="H28" s="241">
        <f t="shared" si="0"/>
        <v>2.7115384615384612</v>
      </c>
      <c r="I28" s="3">
        <f>Submetering!G28</f>
        <v>536</v>
      </c>
      <c r="J28">
        <v>13.83</v>
      </c>
      <c r="K28" s="3">
        <f>Submetering!I28</f>
        <v>409</v>
      </c>
      <c r="L28">
        <v>1.2</v>
      </c>
      <c r="M28" s="241">
        <f>Submetering!E28</f>
        <v>222.78</v>
      </c>
      <c r="N28">
        <f>Submetering!F28</f>
        <v>503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2019</v>
      </c>
      <c r="E29" s="3">
        <f>Submetering!M29+Submetering!N29+Submetering!O29+Submetering!P29+Submetering!Q29+Submetering!R29+Submetering!S29+Submetering!T29+Submetering!U29+Submetering!V29</f>
        <v>48525.120000001974</v>
      </c>
      <c r="F29">
        <v>0.44447999999999999</v>
      </c>
      <c r="G29" s="3">
        <f>Submetering!Z29+Submetering!AA29+Submetering!AB29</f>
        <v>589.68000000000006</v>
      </c>
      <c r="H29" s="241">
        <f t="shared" si="0"/>
        <v>2.7115384615384612</v>
      </c>
      <c r="I29" s="3">
        <f>Submetering!G29</f>
        <v>515</v>
      </c>
      <c r="J29">
        <v>13.83</v>
      </c>
      <c r="K29" s="3">
        <f>Submetering!I29</f>
        <v>398</v>
      </c>
      <c r="L29">
        <v>1.2</v>
      </c>
      <c r="M29" s="241">
        <f>Submetering!E29</f>
        <v>222.78</v>
      </c>
      <c r="N29">
        <f>Submetering!F29</f>
        <v>346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2019</v>
      </c>
      <c r="E30" s="3">
        <f>Submetering!M30+Submetering!N30+Submetering!O30+Submetering!P30+Submetering!Q30+Submetering!R30+Submetering!S30+Submetering!T30+Submetering!U30+Submetering!V30</f>
        <v>47501.999999997206</v>
      </c>
      <c r="F30">
        <v>0.44447999999999999</v>
      </c>
      <c r="G30" s="3">
        <f>Submetering!Z30+Submetering!AA30+Submetering!AB30</f>
        <v>572.66999999999996</v>
      </c>
      <c r="H30" s="241">
        <f t="shared" si="0"/>
        <v>2.7115384615384612</v>
      </c>
      <c r="I30" s="3">
        <f>Submetering!G30</f>
        <v>540</v>
      </c>
      <c r="J30">
        <v>13.83</v>
      </c>
      <c r="K30" s="3">
        <f>Submetering!I30</f>
        <v>432</v>
      </c>
      <c r="L30">
        <v>1.2</v>
      </c>
      <c r="M30" s="241">
        <f>Submetering!E30</f>
        <v>222.78</v>
      </c>
      <c r="N30">
        <f>Submetering!F30</f>
        <v>346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2019</v>
      </c>
      <c r="E31" s="3">
        <f>Submetering!M31+Submetering!N31+Submetering!O31+Submetering!P31+Submetering!Q31+Submetering!R31+Submetering!S31+Submetering!T31+Submetering!U31+Submetering!V31</f>
        <v>50425.200000001118</v>
      </c>
      <c r="F31">
        <v>0.44447999999999999</v>
      </c>
      <c r="G31" s="3">
        <f>Submetering!Z31+Submetering!AA31+Submetering!AB31</f>
        <v>521.64</v>
      </c>
      <c r="H31" s="241">
        <f t="shared" si="0"/>
        <v>2.7115384615384612</v>
      </c>
      <c r="I31" s="3">
        <f>Submetering!G31</f>
        <v>595</v>
      </c>
      <c r="J31">
        <v>13.83</v>
      </c>
      <c r="K31" s="3">
        <f>Submetering!I31</f>
        <v>403</v>
      </c>
      <c r="L31">
        <v>1.2</v>
      </c>
      <c r="M31" s="241">
        <f>Submetering!E31</f>
        <v>215.67000000000002</v>
      </c>
      <c r="N31">
        <f>Submetering!F31</f>
        <v>346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2019</v>
      </c>
      <c r="E32" s="3">
        <f>Submetering!M32+Submetering!N32+Submetering!O32+Submetering!P32+Submetering!Q32+Submetering!R32+Submetering!S32+Submetering!T32+Submetering!U32+Submetering!V32</f>
        <v>53104.800000001676</v>
      </c>
      <c r="F32">
        <v>0.44447999999999999</v>
      </c>
      <c r="G32" s="3">
        <f>Submetering!Z32+Submetering!AA32+Submetering!AB32</f>
        <v>472.5</v>
      </c>
      <c r="H32" s="241">
        <f t="shared" si="0"/>
        <v>2.7115384615384612</v>
      </c>
      <c r="I32" s="3">
        <f>Submetering!G32</f>
        <v>543</v>
      </c>
      <c r="J32">
        <v>13.83</v>
      </c>
      <c r="K32" s="3">
        <f>Submetering!I32</f>
        <v>385</v>
      </c>
      <c r="L32">
        <v>1.2</v>
      </c>
      <c r="M32" s="241">
        <f>Submetering!E32</f>
        <v>215.67000000000002</v>
      </c>
      <c r="N32">
        <f>Submetering!F32</f>
        <v>423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3" sqref="E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10</v>
      </c>
      <c r="D2">
        <v>2019</v>
      </c>
      <c r="E2" s="78">
        <f>237*0.76</f>
        <v>180.12</v>
      </c>
      <c r="F2" s="79">
        <f>242+16</f>
        <v>258</v>
      </c>
      <c r="G2" s="3">
        <f>'DJB Daily Readings'!C10-'DJB Daily Readings'!C9</f>
        <v>558</v>
      </c>
      <c r="H2" s="3">
        <f>'DJB Daily Readings'!F10-'DJB Daily Readings'!F9</f>
        <v>295</v>
      </c>
      <c r="I2" s="3">
        <f>'DJB Daily Readings'!K10-'DJB Daily Readings'!K9</f>
        <v>397</v>
      </c>
      <c r="J2" s="3">
        <f>'DJB Daily Readings'!K10-'DJB Daily Readings'!K9</f>
        <v>397</v>
      </c>
      <c r="K2" s="3">
        <f>'DJB Daily Readings'!O10-'DJB Daily Readings'!O9</f>
        <v>260</v>
      </c>
      <c r="L2" s="3">
        <f>'DJB Daily Readings'!R10-'DJB Daily Readings'!R9</f>
        <v>66</v>
      </c>
      <c r="M2" s="3">
        <f>'DJB Daily Readings'!U10-'DJB Daily Readings'!U9</f>
        <v>3069.359999999404</v>
      </c>
      <c r="N2" s="3">
        <f>'DJB Daily Readings'!X10-'DJB Daily Readings'!X9</f>
        <v>4969.4399999994785</v>
      </c>
      <c r="O2" s="3">
        <f>'DJB Daily Readings'!AA10-'DJB Daily Readings'!AA9</f>
        <v>10036.320000000298</v>
      </c>
      <c r="P2" s="3">
        <f>'DJB Daily Readings'!AD10-'DJB Daily Readings'!AD9</f>
        <v>12569.759999999776</v>
      </c>
      <c r="Q2" s="3">
        <f>'DJB Daily Readings'!AG10-'DJB Daily Readings'!AG9</f>
        <v>779.51999999769032</v>
      </c>
      <c r="R2" s="3">
        <f>'DJB Daily Readings'!AJ10-'DJB Daily Readings'!AJ9</f>
        <v>6918.2399999983609</v>
      </c>
      <c r="S2" s="3">
        <f>'DJB Daily Readings'!AM10-'DJB Daily Readings'!AM9</f>
        <v>4579.6800000015646</v>
      </c>
      <c r="T2" s="3">
        <f>'DJB Daily Readings'!AP10-'DJB Daily Readings'!AP9</f>
        <v>4677.1200000010431</v>
      </c>
      <c r="U2" s="3">
        <f>'DJB Daily Readings'!AS10-'DJB Daily Readings'!AS9</f>
        <v>3069.3600000003353</v>
      </c>
      <c r="V2" s="3">
        <f>'DJB Daily Readings'!AV10-'DJB Daily Readings'!AV9</f>
        <v>4969.4399999994785</v>
      </c>
      <c r="W2" s="3">
        <f>'DJB Daily Readings'!AZ10-'DJB Daily Readings'!AZ9</f>
        <v>49100</v>
      </c>
      <c r="X2" s="3">
        <f>'DJB Daily Readings'!BC10-'DJB Daily Readings'!BC9</f>
        <v>66500</v>
      </c>
      <c r="Y2" s="3">
        <f>'DJB Daily Readings'!BF10-'DJB Daily Readings'!BF9</f>
        <v>0</v>
      </c>
      <c r="Z2" s="3">
        <f>('DJB Daily Readings'!CK10-'DJB Daily Readings'!CK9)*1.89</f>
        <v>154.97999999999999</v>
      </c>
      <c r="AA2" s="3">
        <f>('DJB Daily Readings'!CN10-'DJB Daily Readings'!CN9)*1.89</f>
        <v>128.51999999999998</v>
      </c>
      <c r="AB2" s="3">
        <f>('DJB Daily Readings'!CQ10-'DJB Daily Readings'!CQ9)*1.89</f>
        <v>0</v>
      </c>
      <c r="AC2" s="3">
        <f>'DJB Daily Readings'!CT10-'DJB Daily Readings'!CT9</f>
        <v>122</v>
      </c>
      <c r="AD2" s="84">
        <f>('DJB Daily Readings'!BY10-'DJB Daily Readings'!BY9)*1.89</f>
        <v>30.24</v>
      </c>
      <c r="AE2" s="84">
        <f>('DJB Daily Readings'!CA10-'DJB Daily Readings'!CA9)*1.89</f>
        <v>20.79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11.34</v>
      </c>
      <c r="AI2" s="84">
        <f>('DJB Daily Readings'!CI10-'DJB Daily Readings'!CI9)*1.89</f>
        <v>34.019999999999996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10</v>
      </c>
      <c r="AM2" s="82">
        <f>'DJB Daily Readings'!DA10-'DJB Daily Readings'!DA9</f>
        <v>10</v>
      </c>
      <c r="AN2" s="82">
        <f>'DJB Daily Readings'!DG10-'DJB Daily Readings'!DG9</f>
        <v>6</v>
      </c>
      <c r="AO2" s="82">
        <f>'DJB Daily Readings'!DE10-'DJB Daily Readings'!DE9</f>
        <v>9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</v>
      </c>
      <c r="AS2" s="82">
        <f>'DJB Daily Readings'!DM10-'DJB Daily Readings'!DM9</f>
        <v>4</v>
      </c>
      <c r="AT2" s="82">
        <f>'DJB Daily Readings'!DQ10-'DJB Daily Readings'!DQ9</f>
        <v>27</v>
      </c>
      <c r="AU2" s="82">
        <f>'DJB Daily Readings'!DT10-'DJB Daily Readings'!DT9</f>
        <v>1430</v>
      </c>
      <c r="AW2" s="82">
        <f>'DJB Daily Readings'!DX10-'DJB Daily Readings'!DX9</f>
        <v>1091</v>
      </c>
      <c r="AX2" s="82">
        <f>'DJB Daily Readings'!DZ10-'DJB Daily Readings'!DZ9</f>
        <v>130</v>
      </c>
      <c r="AY2" s="82">
        <f>'DJB Daily Readings'!EB10-'DJB Daily Readings'!EB9</f>
        <v>511</v>
      </c>
      <c r="AZ2" s="82">
        <f>'DJB Daily Readings'!ED10-'DJB Daily Readings'!ED9</f>
        <v>127</v>
      </c>
      <c r="BA2" s="82">
        <f>'DJB Daily Readings'!EG10-'DJB Daily Readings'!EG9</f>
        <v>9000</v>
      </c>
      <c r="BB2" s="82">
        <f>'DJB Daily Readings'!EI10-'DJB Daily Readings'!EI9</f>
        <v>480</v>
      </c>
      <c r="BC2" s="82">
        <f>'DJB Daily Readings'!EQ10-'DJB Daily Readings'!EQ9</f>
        <v>8200</v>
      </c>
      <c r="BD2" s="82">
        <f>'DJB Daily Readings'!EK10-'DJB Daily Readings'!EK9</f>
        <v>3500</v>
      </c>
      <c r="BE2" s="82">
        <f>'DJB Daily Readings'!EM10-'DJB Daily Readings'!EM9</f>
        <v>800</v>
      </c>
      <c r="BF2" s="82">
        <f>'DJB Daily Readings'!EO10-'DJB Daily Readings'!EO9</f>
        <v>190</v>
      </c>
      <c r="BG2" s="82">
        <f>('DJB Daily Readings'!ET10-'DJB Daily Readings'!ET9)*1.89</f>
        <v>28.349999999999998</v>
      </c>
      <c r="BH2" s="82">
        <f>('DJB Daily Readings'!EV10-'DJB Daily Readings'!EV9)*1.89</f>
        <v>20.79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52.919999999999995</v>
      </c>
    </row>
    <row r="3" spans="1:65" x14ac:dyDescent="0.25">
      <c r="A3" t="s">
        <v>59</v>
      </c>
      <c r="B3">
        <f>B2+1</f>
        <v>2</v>
      </c>
      <c r="C3">
        <v>10</v>
      </c>
      <c r="D3">
        <v>2019</v>
      </c>
      <c r="E3" s="78">
        <f>237*0.51</f>
        <v>120.87</v>
      </c>
      <c r="F3" s="79">
        <f>242+16</f>
        <v>258</v>
      </c>
      <c r="G3" s="3">
        <f>'DJB Daily Readings'!C11-'DJB Daily Readings'!C10</f>
        <v>528</v>
      </c>
      <c r="H3" s="3">
        <f>'DJB Daily Readings'!F11-'DJB Daily Readings'!F10</f>
        <v>264</v>
      </c>
      <c r="I3" s="3">
        <f>'DJB Daily Readings'!K11-'DJB Daily Readings'!K10</f>
        <v>380</v>
      </c>
      <c r="J3" s="3">
        <f>'DJB Daily Readings'!K11-'DJB Daily Readings'!K10</f>
        <v>380</v>
      </c>
      <c r="K3" s="3">
        <f>'DJB Daily Readings'!O11-'DJB Daily Readings'!O10</f>
        <v>217</v>
      </c>
      <c r="L3" s="3">
        <f>'DJB Daily Readings'!R11-'DJB Daily Readings'!R10</f>
        <v>40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8818.3199999984354</v>
      </c>
      <c r="P3" s="3">
        <f>'DJB Daily Readings'!AD11-'DJB Daily Readings'!AD10</f>
        <v>10815.839999999851</v>
      </c>
      <c r="Q3" s="3">
        <f>'DJB Daily Readings'!AG11-'DJB Daily Readings'!AG10</f>
        <v>48.720000000670552</v>
      </c>
      <c r="R3" s="3">
        <f>'DJB Daily Readings'!AJ11-'DJB Daily Readings'!AJ10</f>
        <v>6966.9600000008941</v>
      </c>
      <c r="S3" s="3">
        <f>'DJB Daily Readings'!AM11-'DJB Daily Readings'!AM10</f>
        <v>4384.8000000007451</v>
      </c>
      <c r="T3" s="3">
        <f>'DJB Daily Readings'!AP11-'DJB Daily Readings'!AP10</f>
        <v>4872</v>
      </c>
      <c r="U3" s="3">
        <f>'DJB Daily Readings'!AS11-'DJB Daily Readings'!AS10</f>
        <v>3020.6399999996647</v>
      </c>
      <c r="V3" s="3">
        <f>'DJB Daily Readings'!AV11-'DJB Daily Readings'!AV10</f>
        <v>4920.7200000006706</v>
      </c>
      <c r="W3" s="3">
        <f>'DJB Daily Readings'!AZ11-'DJB Daily Readings'!AZ10</f>
        <v>39100</v>
      </c>
      <c r="X3" s="3">
        <f>'DJB Daily Readings'!BC11-'DJB Daily Readings'!BC10</f>
        <v>57300</v>
      </c>
      <c r="Y3" s="3">
        <f>'DJB Daily Readings'!BF11-'DJB Daily Readings'!BF10</f>
        <v>0</v>
      </c>
      <c r="Z3" s="3">
        <f>('DJB Daily Readings'!CK11-'DJB Daily Readings'!CK10)*1.89</f>
        <v>170.1</v>
      </c>
      <c r="AA3" s="3">
        <f>('DJB Daily Readings'!CN11-'DJB Daily Readings'!CN10)*1.89</f>
        <v>122.85</v>
      </c>
      <c r="AB3" s="3">
        <f>('DJB Daily Readings'!CQ11-'DJB Daily Readings'!CQ10)*1.89</f>
        <v>0</v>
      </c>
      <c r="AC3" s="3">
        <f>'DJB Daily Readings'!CT11-'DJB Daily Readings'!CT10</f>
        <v>137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17.009999999999998</v>
      </c>
      <c r="AI3" s="84">
        <f>('DJB Daily Readings'!CI11-'DJB Daily Readings'!CI10)*1.89</f>
        <v>49.14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1</v>
      </c>
      <c r="AS3" s="82">
        <f>'DJB Daily Readings'!DM11-'DJB Daily Readings'!DM10</f>
        <v>6</v>
      </c>
      <c r="AT3" s="82">
        <f>'DJB Daily Readings'!DQ11-'DJB Daily Readings'!DQ10</f>
        <v>27</v>
      </c>
      <c r="AU3" s="82">
        <f>'DJB Daily Readings'!DT11-'DJB Daily Readings'!DT10</f>
        <v>1505</v>
      </c>
      <c r="AW3" s="82">
        <f>'DJB Daily Readings'!DX11-'DJB Daily Readings'!DX10</f>
        <v>1204</v>
      </c>
      <c r="AX3" s="82">
        <f>'DJB Daily Readings'!DZ11-'DJB Daily Readings'!DZ10</f>
        <v>134</v>
      </c>
      <c r="AY3" s="82">
        <f>'DJB Daily Readings'!EB11-'DJB Daily Readings'!EB10</f>
        <v>560</v>
      </c>
      <c r="AZ3" s="82">
        <f>'DJB Daily Readings'!ED11-'DJB Daily Readings'!ED10</f>
        <v>136</v>
      </c>
      <c r="BA3" s="82">
        <f>'DJB Daily Readings'!EG11-'DJB Daily Readings'!EG10</f>
        <v>7855</v>
      </c>
      <c r="BB3" s="82">
        <f>'DJB Daily Readings'!EI11-'DJB Daily Readings'!EI10</f>
        <v>450</v>
      </c>
      <c r="BC3" s="82">
        <f>'DJB Daily Readings'!EQ11-'DJB Daily Readings'!EQ10</f>
        <v>7000</v>
      </c>
      <c r="BD3" s="82">
        <f>'DJB Daily Readings'!EK11-'DJB Daily Readings'!EK10</f>
        <v>3300</v>
      </c>
      <c r="BE3" s="82">
        <f>'DJB Daily Readings'!EM11-'DJB Daily Readings'!EM10</f>
        <v>800</v>
      </c>
      <c r="BF3" s="82">
        <f>'DJB Daily Readings'!EO11-'DJB Daily Readings'!EO10</f>
        <v>200</v>
      </c>
      <c r="BG3" s="82">
        <f>('DJB Daily Readings'!ET11-'DJB Daily Readings'!ET10)*1.89</f>
        <v>34.019999999999996</v>
      </c>
      <c r="BH3" s="82">
        <f>('DJB Daily Readings'!EV11-'DJB Daily Readings'!EV10)*1.89</f>
        <v>32.129999999999995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47.25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2019</v>
      </c>
      <c r="E4" s="78">
        <f>237*0.7</f>
        <v>165.89999999999998</v>
      </c>
      <c r="F4" s="79">
        <f>311+29</f>
        <v>340</v>
      </c>
      <c r="G4" s="3">
        <f>'DJB Daily Readings'!C12-'DJB Daily Readings'!C11</f>
        <v>564</v>
      </c>
      <c r="H4" s="3">
        <f>'DJB Daily Readings'!F12-'DJB Daily Readings'!F11</f>
        <v>293</v>
      </c>
      <c r="I4" s="3">
        <f>'DJB Daily Readings'!K12-'DJB Daily Readings'!K11</f>
        <v>425</v>
      </c>
      <c r="J4" s="3">
        <f>'DJB Daily Readings'!K12-'DJB Daily Readings'!K11</f>
        <v>425</v>
      </c>
      <c r="K4" s="3">
        <f>'DJB Daily Readings'!O12-'DJB Daily Readings'!O11</f>
        <v>242</v>
      </c>
      <c r="L4" s="3">
        <f>'DJB Daily Readings'!R12-'DJB Daily Readings'!R11</f>
        <v>59</v>
      </c>
      <c r="M4" s="3">
        <f>'DJB Daily Readings'!U12-'DJB Daily Readings'!U11</f>
        <v>3264.2399999992922</v>
      </c>
      <c r="N4" s="3">
        <f>'DJB Daily Readings'!X12-'DJB Daily Readings'!X11</f>
        <v>5066.8799999989569</v>
      </c>
      <c r="O4" s="3">
        <f>'DJB Daily Readings'!AA12-'DJB Daily Readings'!AA11</f>
        <v>8136.2400000002235</v>
      </c>
      <c r="P4" s="3">
        <f>'DJB Daily Readings'!AD12-'DJB Daily Readings'!AD11</f>
        <v>12326.160000000149</v>
      </c>
      <c r="Q4" s="3">
        <f>'DJB Daily Readings'!AG12-'DJB Daily Readings'!AG11</f>
        <v>438.48000000044703</v>
      </c>
      <c r="R4" s="3">
        <f>'DJB Daily Readings'!AJ12-'DJB Daily Readings'!AJ11</f>
        <v>7259.2799999993294</v>
      </c>
      <c r="S4" s="3">
        <f>'DJB Daily Readings'!AM12-'DJB Daily Readings'!AM11</f>
        <v>4920.7199999988079</v>
      </c>
      <c r="T4" s="3">
        <f>'DJB Daily Readings'!AP12-'DJB Daily Readings'!AP11</f>
        <v>4872</v>
      </c>
      <c r="U4" s="3">
        <f>'DJB Daily Readings'!AS12-'DJB Daily Readings'!AS11</f>
        <v>3264.2400000002235</v>
      </c>
      <c r="V4" s="3">
        <f>'DJB Daily Readings'!AV12-'DJB Daily Readings'!AV11</f>
        <v>5748.9599999990314</v>
      </c>
      <c r="W4" s="3">
        <f>'DJB Daily Readings'!AZ12-'DJB Daily Readings'!AZ11</f>
        <v>38100</v>
      </c>
      <c r="X4" s="3">
        <f>'DJB Daily Readings'!BC12-'DJB Daily Readings'!BC11</f>
        <v>63500</v>
      </c>
      <c r="Y4" s="3">
        <f>'DJB Daily Readings'!BF12-'DJB Daily Readings'!BF11</f>
        <v>0</v>
      </c>
      <c r="Z4" s="3">
        <f>('DJB Daily Readings'!CK12-'DJB Daily Readings'!CK11)*1.89</f>
        <v>162.54</v>
      </c>
      <c r="AA4" s="3">
        <f>('DJB Daily Readings'!CN12-'DJB Daily Readings'!CN11)*1.89</f>
        <v>139.85999999999999</v>
      </c>
      <c r="AB4" s="3">
        <f>('DJB Daily Readings'!CQ12-'DJB Daily Readings'!CQ11)*1.89</f>
        <v>0</v>
      </c>
      <c r="AC4" s="3">
        <f>'DJB Daily Readings'!CT12-'DJB Daily Readings'!CT11</f>
        <v>120</v>
      </c>
      <c r="AD4" s="84">
        <f>('DJB Daily Readings'!BY12-'DJB Daily Readings'!BY11)*1.89</f>
        <v>37.799999999999997</v>
      </c>
      <c r="AE4" s="84">
        <f>('DJB Daily Readings'!CA12-'DJB Daily Readings'!CA11)*1.89</f>
        <v>32.129999999999995</v>
      </c>
      <c r="AF4" s="84">
        <f>('DJB Daily Readings'!CC12-'DJB Daily Readings'!CC11)*1.89</f>
        <v>15.12</v>
      </c>
      <c r="AG4" s="84">
        <f>('DJB Daily Readings'!CE12-'DJB Daily Readings'!CE11)*1.89</f>
        <v>22.68</v>
      </c>
      <c r="AH4" s="84">
        <f>('DJB Daily Readings'!CG12-'DJB Daily Readings'!CG11)*1.89</f>
        <v>11.34</v>
      </c>
      <c r="AI4" s="84">
        <f>('DJB Daily Readings'!CI12-'DJB Daily Readings'!CI11)*1.89</f>
        <v>37.799999999999997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18</v>
      </c>
      <c r="AM4" s="82">
        <f>'DJB Daily Readings'!DA12-'DJB Daily Readings'!DA11</f>
        <v>14</v>
      </c>
      <c r="AN4" s="82">
        <f>'DJB Daily Readings'!DG12-'DJB Daily Readings'!DG11</f>
        <v>7</v>
      </c>
      <c r="AO4" s="82">
        <f>'DJB Daily Readings'!DE12-'DJB Daily Readings'!DE11</f>
        <v>9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1</v>
      </c>
      <c r="AS4" s="82">
        <f>'DJB Daily Readings'!DM12-'DJB Daily Readings'!DM11</f>
        <v>7</v>
      </c>
      <c r="AT4" s="82">
        <f>'DJB Daily Readings'!DQ12-'DJB Daily Readings'!DQ11</f>
        <v>27</v>
      </c>
      <c r="AU4" s="82">
        <f>'DJB Daily Readings'!DT12-'DJB Daily Readings'!DT11</f>
        <v>1595</v>
      </c>
      <c r="AW4" s="82">
        <f>'DJB Daily Readings'!DX12-'DJB Daily Readings'!DX11</f>
        <v>1299</v>
      </c>
      <c r="AX4" s="82">
        <f>'DJB Daily Readings'!DZ12-'DJB Daily Readings'!DZ11</f>
        <v>135</v>
      </c>
      <c r="AY4" s="82">
        <f>'DJB Daily Readings'!EB12-'DJB Daily Readings'!EB11</f>
        <v>581</v>
      </c>
      <c r="AZ4" s="82">
        <f>'DJB Daily Readings'!ED12-'DJB Daily Readings'!ED11</f>
        <v>144</v>
      </c>
      <c r="BA4" s="82">
        <f>'DJB Daily Readings'!EG12-'DJB Daily Readings'!EG11</f>
        <v>7860</v>
      </c>
      <c r="BB4" s="82">
        <f>'DJB Daily Readings'!EI12-'DJB Daily Readings'!EI11</f>
        <v>450</v>
      </c>
      <c r="BC4" s="82">
        <f>'DJB Daily Readings'!EQ12-'DJB Daily Readings'!EQ11</f>
        <v>8000</v>
      </c>
      <c r="BD4" s="82">
        <f>'DJB Daily Readings'!EK12-'DJB Daily Readings'!EK11</f>
        <v>3200</v>
      </c>
      <c r="BE4" s="82">
        <f>'DJB Daily Readings'!EM12-'DJB Daily Readings'!EM11</f>
        <v>750</v>
      </c>
      <c r="BF4" s="82">
        <f>'DJB Daily Readings'!EO12-'DJB Daily Readings'!EO11</f>
        <v>200</v>
      </c>
      <c r="BG4" s="82">
        <f>('DJB Daily Readings'!ET12-'DJB Daily Readings'!ET11)*1.89</f>
        <v>39.69</v>
      </c>
      <c r="BH4" s="82">
        <f>('DJB Daily Readings'!EV12-'DJB Daily Readings'!EV11)*1.89</f>
        <v>30.24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2019</v>
      </c>
      <c r="E5" s="78">
        <f>237*0.8</f>
        <v>189.60000000000002</v>
      </c>
      <c r="F5" s="79">
        <f>342+38</f>
        <v>380</v>
      </c>
      <c r="G5" s="3">
        <f>'DJB Daily Readings'!C13-'DJB Daily Readings'!C12</f>
        <v>591</v>
      </c>
      <c r="H5" s="3">
        <f>'DJB Daily Readings'!F13-'DJB Daily Readings'!F12</f>
        <v>349</v>
      </c>
      <c r="I5" s="3">
        <f>'DJB Daily Readings'!K13-'DJB Daily Readings'!K12</f>
        <v>386</v>
      </c>
      <c r="J5" s="3">
        <f>'DJB Daily Readings'!K13-'DJB Daily Readings'!K12</f>
        <v>386</v>
      </c>
      <c r="K5" s="3">
        <f>'DJB Daily Readings'!O13-'DJB Daily Readings'!O12</f>
        <v>247</v>
      </c>
      <c r="L5" s="3">
        <f>'DJB Daily Readings'!R13-'DJB Daily Readings'!R12</f>
        <v>55</v>
      </c>
      <c r="M5" s="3">
        <f>'DJB Daily Readings'!U13-'DJB Daily Readings'!U12</f>
        <v>3118.0800000000745</v>
      </c>
      <c r="N5" s="3">
        <f>'DJB Daily Readings'!X13-'DJB Daily Readings'!X12</f>
        <v>4823.2800000011921</v>
      </c>
      <c r="O5" s="3">
        <f>'DJB Daily Readings'!AA13-'DJB Daily Readings'!AA12</f>
        <v>9451.6800000015646</v>
      </c>
      <c r="P5" s="3">
        <f>'DJB Daily Readings'!AD13-'DJB Daily Readings'!AD12</f>
        <v>11059.439999999478</v>
      </c>
      <c r="Q5" s="3">
        <f>'DJB Daily Readings'!AG13-'DJB Daily Readings'!AG12</f>
        <v>584.64000000059605</v>
      </c>
      <c r="R5" s="3">
        <f>'DJB Daily Readings'!AJ13-'DJB Daily Readings'!AJ12</f>
        <v>6869.5200000014156</v>
      </c>
      <c r="S5" s="3">
        <f>'DJB Daily Readings'!AM13-'DJB Daily Readings'!AM12</f>
        <v>4579.679999999702</v>
      </c>
      <c r="T5" s="3">
        <f>'DJB Daily Readings'!AP13-'DJB Daily Readings'!AP12</f>
        <v>4872</v>
      </c>
      <c r="U5" s="3">
        <f>'DJB Daily Readings'!AS13-'DJB Daily Readings'!AS12</f>
        <v>3069.359999999404</v>
      </c>
      <c r="V5" s="3">
        <f>'DJB Daily Readings'!AV13-'DJB Daily Readings'!AV12</f>
        <v>4579.6800000015646</v>
      </c>
      <c r="W5" s="3">
        <f>'DJB Daily Readings'!AZ13-'DJB Daily Readings'!AZ12</f>
        <v>45300</v>
      </c>
      <c r="X5" s="3">
        <f>'DJB Daily Readings'!BC13-'DJB Daily Readings'!BC12</f>
        <v>61100</v>
      </c>
      <c r="Y5" s="3">
        <f>'DJB Daily Readings'!BF13-'DJB Daily Readings'!BF12</f>
        <v>0</v>
      </c>
      <c r="Z5" s="3">
        <f>('DJB Daily Readings'!CK13-'DJB Daily Readings'!CK12)*1.89</f>
        <v>175.76999999999998</v>
      </c>
      <c r="AA5" s="3">
        <f>('DJB Daily Readings'!CN13-'DJB Daily Readings'!CN12)*1.89</f>
        <v>130.41</v>
      </c>
      <c r="AB5" s="3">
        <f>('DJB Daily Readings'!CQ13-'DJB Daily Readings'!CQ12)*1.89</f>
        <v>0</v>
      </c>
      <c r="AC5" s="3">
        <f>'DJB Daily Readings'!CT13-'DJB Daily Readings'!CT12</f>
        <v>165</v>
      </c>
      <c r="AD5" s="84">
        <f>('DJB Daily Readings'!BY13-'DJB Daily Readings'!BY12)*1.89</f>
        <v>39.69</v>
      </c>
      <c r="AE5" s="84">
        <f>('DJB Daily Readings'!CA13-'DJB Daily Readings'!CA12)*1.89</f>
        <v>34.019999999999996</v>
      </c>
      <c r="AF5" s="84">
        <f>('DJB Daily Readings'!CC13-'DJB Daily Readings'!CC12)*1.89</f>
        <v>17.009999999999998</v>
      </c>
      <c r="AG5" s="84">
        <f>('DJB Daily Readings'!CE13-'DJB Daily Readings'!CE12)*1.89</f>
        <v>24.57</v>
      </c>
      <c r="AH5" s="84">
        <f>('DJB Daily Readings'!CG13-'DJB Daily Readings'!CG12)*1.89</f>
        <v>18.899999999999999</v>
      </c>
      <c r="AI5" s="84">
        <f>('DJB Daily Readings'!CI13-'DJB Daily Readings'!CI12)*1.89</f>
        <v>47.25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21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9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2</v>
      </c>
      <c r="AS5" s="82">
        <f>'DJB Daily Readings'!DM13-'DJB Daily Readings'!DM12</f>
        <v>8</v>
      </c>
      <c r="AT5" s="82">
        <f>'DJB Daily Readings'!DQ13-'DJB Daily Readings'!DQ12</f>
        <v>27</v>
      </c>
      <c r="AU5" s="82">
        <f>'DJB Daily Readings'!DT13-'DJB Daily Readings'!DT12</f>
        <v>1589</v>
      </c>
      <c r="AW5" s="82">
        <f>'DJB Daily Readings'!DX13-'DJB Daily Readings'!DX12</f>
        <v>1265</v>
      </c>
      <c r="AX5" s="82">
        <f>'DJB Daily Readings'!DZ13-'DJB Daily Readings'!DZ12</f>
        <v>133</v>
      </c>
      <c r="AY5" s="82">
        <f>'DJB Daily Readings'!EB13-'DJB Daily Readings'!EB12</f>
        <v>552</v>
      </c>
      <c r="AZ5" s="82">
        <f>'DJB Daily Readings'!ED13-'DJB Daily Readings'!ED12</f>
        <v>137</v>
      </c>
      <c r="BA5" s="82">
        <f>'DJB Daily Readings'!EG13-'DJB Daily Readings'!EG12</f>
        <v>7842</v>
      </c>
      <c r="BB5" s="82">
        <f>'DJB Daily Readings'!EI13-'DJB Daily Readings'!EI12</f>
        <v>450</v>
      </c>
      <c r="BC5" s="82">
        <f>'DJB Daily Readings'!EQ13-'DJB Daily Readings'!EQ12</f>
        <v>7500</v>
      </c>
      <c r="BD5" s="82">
        <f>'DJB Daily Readings'!EK13-'DJB Daily Readings'!EK12</f>
        <v>3500</v>
      </c>
      <c r="BE5" s="82">
        <f>'DJB Daily Readings'!EM13-'DJB Daily Readings'!EM12</f>
        <v>820</v>
      </c>
      <c r="BF5" s="82">
        <f>'DJB Daily Readings'!EO13-'DJB Daily Readings'!EO12</f>
        <v>210</v>
      </c>
      <c r="BG5" s="82">
        <f>('DJB Daily Readings'!ET13-'DJB Daily Readings'!ET12)*1.89</f>
        <v>35.909999999999997</v>
      </c>
      <c r="BH5" s="82">
        <f>('DJB Daily Readings'!EV13-'DJB Daily Readings'!EV12)*1.89</f>
        <v>32.129999999999995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51.029999999999994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2019</v>
      </c>
      <c r="E6" s="78">
        <f>237*0.82</f>
        <v>194.33999999999997</v>
      </c>
      <c r="F6" s="79">
        <f>331+32</f>
        <v>363</v>
      </c>
      <c r="G6" s="3">
        <f>'DJB Daily Readings'!C14-'DJB Daily Readings'!C13</f>
        <v>533</v>
      </c>
      <c r="H6" s="3">
        <f>'DJB Daily Readings'!F14-'DJB Daily Readings'!F13</f>
        <v>300</v>
      </c>
      <c r="I6" s="3">
        <f>'DJB Daily Readings'!K14-'DJB Daily Readings'!K13</f>
        <v>233</v>
      </c>
      <c r="J6" s="3">
        <f>'DJB Daily Readings'!K14-'DJB Daily Readings'!K13</f>
        <v>233</v>
      </c>
      <c r="K6" s="3">
        <f>'DJB Daily Readings'!O14-'DJB Daily Readings'!O13</f>
        <v>220</v>
      </c>
      <c r="L6" s="3">
        <f>'DJB Daily Readings'!R14-'DJB Daily Readings'!R13</f>
        <v>46</v>
      </c>
      <c r="M6" s="3">
        <f>'DJB Daily Readings'!U14-'DJB Daily Readings'!U13</f>
        <v>2192.4000000003725</v>
      </c>
      <c r="N6" s="3">
        <f>'DJB Daily Readings'!X14-'DJB Daily Readings'!X13</f>
        <v>4969.4400000013411</v>
      </c>
      <c r="O6" s="3">
        <f>'DJB Daily Readings'!AA14-'DJB Daily Readings'!AA13</f>
        <v>730.80000000074506</v>
      </c>
      <c r="P6" s="3">
        <f>'DJB Daily Readings'!AD14-'DJB Daily Readings'!AD13</f>
        <v>9451.679999999702</v>
      </c>
      <c r="Q6" s="3">
        <f>'DJB Daily Readings'!AG14-'DJB Daily Readings'!AG13</f>
        <v>11985.11999999918</v>
      </c>
      <c r="R6" s="3">
        <f>'DJB Daily Readings'!AJ14-'DJB Daily Readings'!AJ13</f>
        <v>7454.1599999982864</v>
      </c>
      <c r="S6" s="3">
        <f>'DJB Daily Readings'!AM14-'DJB Daily Readings'!AM13</f>
        <v>4628.4000000003725</v>
      </c>
      <c r="T6" s="3">
        <f>'DJB Daily Readings'!AP14-'DJB Daily Readings'!AP13</f>
        <v>4774.5600000005215</v>
      </c>
      <c r="U6" s="3">
        <f>'DJB Daily Readings'!AS14-'DJB Daily Readings'!AS13</f>
        <v>3361.6800000006333</v>
      </c>
      <c r="V6" s="3">
        <f>'DJB Daily Readings'!AV14-'DJB Daily Readings'!AV13</f>
        <v>4969.4399999994785</v>
      </c>
      <c r="W6" s="3">
        <f>'DJB Daily Readings'!AZ14-'DJB Daily Readings'!AZ13</f>
        <v>0</v>
      </c>
      <c r="X6" s="3">
        <f>'DJB Daily Readings'!BC14-'DJB Daily Readings'!BC13</f>
        <v>43500</v>
      </c>
      <c r="Y6" s="3">
        <f>'DJB Daily Readings'!BF14-'DJB Daily Readings'!BF13</f>
        <v>53700</v>
      </c>
      <c r="Z6" s="3">
        <f>('DJB Daily Readings'!CK14-'DJB Daily Readings'!CK13)*1.89</f>
        <v>154.97999999999999</v>
      </c>
      <c r="AA6" s="3">
        <f>('DJB Daily Readings'!CN14-'DJB Daily Readings'!CN13)*1.89</f>
        <v>130.41</v>
      </c>
      <c r="AB6" s="3">
        <f>('DJB Daily Readings'!CQ14-'DJB Daily Readings'!CQ13)*1.89</f>
        <v>0</v>
      </c>
      <c r="AC6" s="3">
        <f>'DJB Daily Readings'!CT14-'DJB Daily Readings'!CT13</f>
        <v>141</v>
      </c>
      <c r="AD6" s="84">
        <f>('DJB Daily Readings'!BY14-'DJB Daily Readings'!BY13)*1.89</f>
        <v>39.69</v>
      </c>
      <c r="AE6" s="84">
        <f>('DJB Daily Readings'!CA14-'DJB Daily Readings'!CA13)*1.89</f>
        <v>32.129999999999995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15.12</v>
      </c>
      <c r="AI6" s="84">
        <f>('DJB Daily Readings'!CI14-'DJB Daily Readings'!CI13)*1.89</f>
        <v>43.47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20</v>
      </c>
      <c r="AM6" s="82">
        <f>'DJB Daily Readings'!DA14-'DJB Daily Readings'!DA13</f>
        <v>15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1</v>
      </c>
      <c r="AS6" s="82">
        <f>'DJB Daily Readings'!DM14-'DJB Daily Readings'!DM13</f>
        <v>6</v>
      </c>
      <c r="AT6" s="82">
        <f>'DJB Daily Readings'!DQ14-'DJB Daily Readings'!DQ13</f>
        <v>25</v>
      </c>
      <c r="AU6" s="82">
        <f>'DJB Daily Readings'!DT14-'DJB Daily Readings'!DT13</f>
        <v>1600</v>
      </c>
      <c r="AW6" s="82">
        <f>'DJB Daily Readings'!DX14-'DJB Daily Readings'!DX13</f>
        <v>1300</v>
      </c>
      <c r="AX6" s="82">
        <f>'DJB Daily Readings'!DZ14-'DJB Daily Readings'!DZ13</f>
        <v>150</v>
      </c>
      <c r="AY6" s="82">
        <f>'DJB Daily Readings'!EB14-'DJB Daily Readings'!EB13</f>
        <v>540</v>
      </c>
      <c r="AZ6" s="82">
        <f>'DJB Daily Readings'!ED14-'DJB Daily Readings'!ED13</f>
        <v>140</v>
      </c>
      <c r="BA6" s="82">
        <f>'DJB Daily Readings'!EG14-'DJB Daily Readings'!EG13</f>
        <v>7840</v>
      </c>
      <c r="BB6" s="82">
        <f>'DJB Daily Readings'!EI14-'DJB Daily Readings'!EI13</f>
        <v>450</v>
      </c>
      <c r="BC6" s="82">
        <f>'DJB Daily Readings'!EQ14-'DJB Daily Readings'!EQ13</f>
        <v>8000</v>
      </c>
      <c r="BD6" s="82">
        <f>'DJB Daily Readings'!EK14-'DJB Daily Readings'!EK13</f>
        <v>3400</v>
      </c>
      <c r="BE6" s="82">
        <f>'DJB Daily Readings'!EM14-'DJB Daily Readings'!EM13</f>
        <v>830</v>
      </c>
      <c r="BF6" s="82">
        <f>'DJB Daily Readings'!EO14-'DJB Daily Readings'!EO13</f>
        <v>180</v>
      </c>
      <c r="BG6" s="82">
        <f>('DJB Daily Readings'!ET14-'DJB Daily Readings'!ET13)*1.89</f>
        <v>39.69</v>
      </c>
      <c r="BH6" s="82">
        <f>('DJB Daily Readings'!EV14-'DJB Daily Readings'!EV13)*1.89</f>
        <v>34.019999999999996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52.919999999999995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2019</v>
      </c>
      <c r="E7" s="78">
        <f>237*0.71</f>
        <v>168.26999999999998</v>
      </c>
      <c r="F7" s="79">
        <f>301+26</f>
        <v>327</v>
      </c>
      <c r="G7" s="3">
        <f>'DJB Daily Readings'!C15-'DJB Daily Readings'!C14</f>
        <v>527</v>
      </c>
      <c r="H7" s="3">
        <f>'DJB Daily Readings'!F15-'DJB Daily Readings'!F14</f>
        <v>289</v>
      </c>
      <c r="I7" s="3">
        <f>'DJB Daily Readings'!K15-'DJB Daily Readings'!K14</f>
        <v>428</v>
      </c>
      <c r="J7" s="3">
        <f>'DJB Daily Readings'!K15-'DJB Daily Readings'!K14</f>
        <v>428</v>
      </c>
      <c r="K7" s="3">
        <f>'DJB Daily Readings'!O15-'DJB Daily Readings'!O14</f>
        <v>226</v>
      </c>
      <c r="L7" s="3">
        <f>'DJB Daily Readings'!R15-'DJB Daily Readings'!R14</f>
        <v>54</v>
      </c>
      <c r="M7" s="3">
        <f>'DJB Daily Readings'!U15-'DJB Daily Readings'!U14</f>
        <v>2630.8799999998882</v>
      </c>
      <c r="N7" s="3">
        <f>'DJB Daily Readings'!X15-'DJB Daily Readings'!X14</f>
        <v>5164.3199999984354</v>
      </c>
      <c r="O7" s="3">
        <f>'DJB Daily Readings'!AA15-'DJB Daily Readings'!AA14</f>
        <v>194.87999999895692</v>
      </c>
      <c r="P7" s="3">
        <f>'DJB Daily Readings'!AD15-'DJB Daily Readings'!AD14</f>
        <v>8720.8800000008196</v>
      </c>
      <c r="Q7" s="3">
        <f>'DJB Daily Readings'!AG15-'DJB Daily Readings'!AG14</f>
        <v>12472.320000000298</v>
      </c>
      <c r="R7" s="3">
        <f>'DJB Daily Readings'!AJ15-'DJB Daily Readings'!AJ14</f>
        <v>7113.1199999991804</v>
      </c>
      <c r="S7" s="3">
        <f>'DJB Daily Readings'!AM15-'DJB Daily Readings'!AM14</f>
        <v>4920.7199999988079</v>
      </c>
      <c r="T7" s="3">
        <f>'DJB Daily Readings'!AP15-'DJB Daily Readings'!AP14</f>
        <v>5213.0400000009686</v>
      </c>
      <c r="U7" s="3">
        <f>'DJB Daily Readings'!AS15-'DJB Daily Readings'!AS14</f>
        <v>3507.839999999851</v>
      </c>
      <c r="V7" s="3">
        <f>'DJB Daily Readings'!AV15-'DJB Daily Readings'!AV14</f>
        <v>5164.320000000298</v>
      </c>
      <c r="W7" s="3">
        <f>'DJB Daily Readings'!AZ15-'DJB Daily Readings'!AZ14</f>
        <v>0</v>
      </c>
      <c r="X7" s="3">
        <f>'DJB Daily Readings'!BC15-'DJB Daily Readings'!BC14</f>
        <v>38600</v>
      </c>
      <c r="Y7" s="3">
        <f>'DJB Daily Readings'!BF15-'DJB Daily Readings'!BF14</f>
        <v>54600</v>
      </c>
      <c r="Z7" s="3">
        <f>('DJB Daily Readings'!CK15-'DJB Daily Readings'!CK14)*1.89</f>
        <v>177.66</v>
      </c>
      <c r="AA7" s="3">
        <f>('DJB Daily Readings'!CN15-'DJB Daily Readings'!CN14)*1.89</f>
        <v>119.07</v>
      </c>
      <c r="AB7" s="3">
        <f>('DJB Daily Readings'!CQ15-'DJB Daily Readings'!CQ14)*1.89</f>
        <v>0</v>
      </c>
      <c r="AC7" s="3">
        <f>'DJB Daily Readings'!CT15-'DJB Daily Readings'!CT14</f>
        <v>187</v>
      </c>
      <c r="AD7" s="84">
        <f>('DJB Daily Readings'!BY15-'DJB Daily Readings'!BY14)*1.89</f>
        <v>37.799999999999997</v>
      </c>
      <c r="AE7" s="84">
        <f>('DJB Daily Readings'!CA15-'DJB Daily Readings'!CA14)*1.89</f>
        <v>28.349999999999998</v>
      </c>
      <c r="AF7" s="84">
        <f>('DJB Daily Readings'!CC15-'DJB Daily Readings'!CC14)*1.89</f>
        <v>15.12</v>
      </c>
      <c r="AG7" s="84">
        <f>('DJB Daily Readings'!CE15-'DJB Daily Readings'!CE14)*1.89</f>
        <v>20.79</v>
      </c>
      <c r="AH7" s="84">
        <f>('DJB Daily Readings'!CG15-'DJB Daily Readings'!CG14)*1.89</f>
        <v>26.459999999999997</v>
      </c>
      <c r="AI7" s="84">
        <f>('DJB Daily Readings'!CI15-'DJB Daily Readings'!CI14)*1.89</f>
        <v>41.58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3</v>
      </c>
      <c r="AM7" s="82">
        <f>'DJB Daily Readings'!DA15-'DJB Daily Readings'!DA14</f>
        <v>8</v>
      </c>
      <c r="AN7" s="82">
        <f>'DJB Daily Readings'!DG15-'DJB Daily Readings'!DG14</f>
        <v>6</v>
      </c>
      <c r="AO7" s="82">
        <f>'DJB Daily Readings'!DE15-'DJB Daily Readings'!DE14</f>
        <v>9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2</v>
      </c>
      <c r="AS7" s="82">
        <f>'DJB Daily Readings'!DM15-'DJB Daily Readings'!DM14</f>
        <v>8</v>
      </c>
      <c r="AT7" s="82">
        <f>'DJB Daily Readings'!DQ15-'DJB Daily Readings'!DQ14</f>
        <v>16</v>
      </c>
      <c r="AU7" s="82">
        <f>'DJB Daily Readings'!DT15-'DJB Daily Readings'!DT14</f>
        <v>1356</v>
      </c>
      <c r="AW7" s="82">
        <f>'DJB Daily Readings'!DX15-'DJB Daily Readings'!DX14</f>
        <v>1156</v>
      </c>
      <c r="AX7" s="82">
        <f>'DJB Daily Readings'!DZ15-'DJB Daily Readings'!DZ14</f>
        <v>115</v>
      </c>
      <c r="AY7" s="82">
        <f>'DJB Daily Readings'!EB15-'DJB Daily Readings'!EB14</f>
        <v>583</v>
      </c>
      <c r="AZ7" s="82">
        <f>'DJB Daily Readings'!ED15-'DJB Daily Readings'!ED14</f>
        <v>136</v>
      </c>
      <c r="BA7" s="82">
        <f>'DJB Daily Readings'!EG15-'DJB Daily Readings'!EG14</f>
        <v>7250</v>
      </c>
      <c r="BB7" s="82">
        <f>'DJB Daily Readings'!EI15-'DJB Daily Readings'!EI14</f>
        <v>450</v>
      </c>
      <c r="BC7" s="82">
        <f>'DJB Daily Readings'!EQ15-'DJB Daily Readings'!EQ14</f>
        <v>8200</v>
      </c>
      <c r="BD7" s="82">
        <f>'DJB Daily Readings'!EK15-'DJB Daily Readings'!EK14</f>
        <v>3500</v>
      </c>
      <c r="BE7" s="82">
        <f>'DJB Daily Readings'!EM15-'DJB Daily Readings'!EM14</f>
        <v>790</v>
      </c>
      <c r="BF7" s="82">
        <f>'DJB Daily Readings'!EO15-'DJB Daily Readings'!EO14</f>
        <v>220</v>
      </c>
      <c r="BG7" s="82">
        <f>('DJB Daily Readings'!ET15-'DJB Daily Readings'!ET14)*1.89</f>
        <v>34.019999999999996</v>
      </c>
      <c r="BH7" s="82">
        <f>('DJB Daily Readings'!EV15-'DJB Daily Readings'!EV14)*1.89</f>
        <v>28.349999999999998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51.029999999999994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2019</v>
      </c>
      <c r="E8" s="78">
        <f>237*0.81</f>
        <v>191.97</v>
      </c>
      <c r="F8" s="79">
        <f>324+29</f>
        <v>353</v>
      </c>
      <c r="G8" s="3">
        <f>'DJB Daily Readings'!C16-'DJB Daily Readings'!C15</f>
        <v>501</v>
      </c>
      <c r="H8" s="3">
        <f>'DJB Daily Readings'!F16-'DJB Daily Readings'!F15</f>
        <v>295</v>
      </c>
      <c r="I8" s="3">
        <f>'DJB Daily Readings'!K16-'DJB Daily Readings'!K15</f>
        <v>428</v>
      </c>
      <c r="J8" s="3">
        <f>'DJB Daily Readings'!K16-'DJB Daily Readings'!K15</f>
        <v>428</v>
      </c>
      <c r="K8" s="3">
        <f>'DJB Daily Readings'!O16-'DJB Daily Readings'!O15</f>
        <v>217</v>
      </c>
      <c r="L8" s="3">
        <f>'DJB Daily Readings'!R16-'DJB Daily Readings'!R15</f>
        <v>49</v>
      </c>
      <c r="M8" s="3">
        <f>'DJB Daily Readings'!U16-'DJB Daily Readings'!U15</f>
        <v>2241.1200000001118</v>
      </c>
      <c r="N8" s="3">
        <f>'DJB Daily Readings'!X16-'DJB Daily Readings'!X15</f>
        <v>4823.2800000011921</v>
      </c>
      <c r="O8" s="3">
        <f>'DJB Daily Readings'!AA16-'DJB Daily Readings'!AA15</f>
        <v>389.75999999977648</v>
      </c>
      <c r="P8" s="3">
        <f>'DJB Daily Readings'!AD16-'DJB Daily Readings'!AD15</f>
        <v>7551.5999999996275</v>
      </c>
      <c r="Q8" s="3">
        <f>'DJB Daily Readings'!AG16-'DJB Daily Readings'!AG15</f>
        <v>11741.519999999553</v>
      </c>
      <c r="R8" s="3">
        <f>'DJB Daily Readings'!AJ16-'DJB Daily Readings'!AJ15</f>
        <v>7064.4000000003725</v>
      </c>
      <c r="S8" s="3">
        <f>'DJB Daily Readings'!AM16-'DJB Daily Readings'!AM15</f>
        <v>4677.1200000010431</v>
      </c>
      <c r="T8" s="3">
        <f>'DJB Daily Readings'!AP16-'DJB Daily Readings'!AP15</f>
        <v>4677.1199999991804</v>
      </c>
      <c r="U8" s="3">
        <f>'DJB Daily Readings'!AS16-'DJB Daily Readings'!AS15</f>
        <v>3361.679999999702</v>
      </c>
      <c r="V8" s="3">
        <f>'DJB Daily Readings'!AV16-'DJB Daily Readings'!AV15</f>
        <v>4872</v>
      </c>
      <c r="W8" s="3">
        <f>'DJB Daily Readings'!AZ16-'DJB Daily Readings'!AZ15</f>
        <v>0</v>
      </c>
      <c r="X8" s="3">
        <f>'DJB Daily Readings'!BC16-'DJB Daily Readings'!BC15</f>
        <v>38400</v>
      </c>
      <c r="Y8" s="3">
        <f>'DJB Daily Readings'!BF16-'DJB Daily Readings'!BF15</f>
        <v>54800</v>
      </c>
      <c r="Z8" s="3">
        <f>('DJB Daily Readings'!CK16-'DJB Daily Readings'!CK15)*1.89</f>
        <v>154.97999999999999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182</v>
      </c>
      <c r="AD8" s="84">
        <f>('DJB Daily Readings'!BY16-'DJB Daily Readings'!BY15)*1.89</f>
        <v>37.799999999999997</v>
      </c>
      <c r="AE8" s="84">
        <f>('DJB Daily Readings'!CA16-'DJB Daily Readings'!CA15)*1.89</f>
        <v>30.24</v>
      </c>
      <c r="AF8" s="84">
        <f>('DJB Daily Readings'!CC16-'DJB Daily Readings'!CC15)*1.89</f>
        <v>13.229999999999999</v>
      </c>
      <c r="AG8" s="84">
        <f>('DJB Daily Readings'!CE16-'DJB Daily Readings'!CE15)*1.89</f>
        <v>18.899999999999999</v>
      </c>
      <c r="AH8" s="84">
        <f>('DJB Daily Readings'!CG16-'DJB Daily Readings'!CG15)*1.89</f>
        <v>18.899999999999999</v>
      </c>
      <c r="AI8" s="84">
        <f>('DJB Daily Readings'!CI16-'DJB Daily Readings'!CI15)*1.89</f>
        <v>37.799999999999997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12</v>
      </c>
      <c r="AM8" s="82">
        <f>'DJB Daily Readings'!DA16-'DJB Daily Readings'!DA15</f>
        <v>13</v>
      </c>
      <c r="AN8" s="82">
        <f>'DJB Daily Readings'!DG16-'DJB Daily Readings'!DG15</f>
        <v>7</v>
      </c>
      <c r="AO8" s="82">
        <f>'DJB Daily Readings'!DE16-'DJB Daily Readings'!DE15</f>
        <v>7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1</v>
      </c>
      <c r="AS8" s="82">
        <f>'DJB Daily Readings'!DM16-'DJB Daily Readings'!DM15</f>
        <v>6</v>
      </c>
      <c r="AT8" s="82">
        <f>'DJB Daily Readings'!DQ16-'DJB Daily Readings'!DQ15</f>
        <v>27</v>
      </c>
      <c r="AU8" s="82">
        <f>'DJB Daily Readings'!DT16-'DJB Daily Readings'!DT15</f>
        <v>1562</v>
      </c>
      <c r="AW8" s="82">
        <f>'DJB Daily Readings'!DX16-'DJB Daily Readings'!DX15</f>
        <v>1245</v>
      </c>
      <c r="AX8" s="82">
        <f>'DJB Daily Readings'!DZ16-'DJB Daily Readings'!DZ15</f>
        <v>134</v>
      </c>
      <c r="AY8" s="82">
        <f>'DJB Daily Readings'!EB16-'DJB Daily Readings'!EB15</f>
        <v>576</v>
      </c>
      <c r="AZ8" s="82">
        <f>'DJB Daily Readings'!ED16-'DJB Daily Readings'!ED15</f>
        <v>142</v>
      </c>
      <c r="BA8" s="82">
        <f>'DJB Daily Readings'!EG16-'DJB Daily Readings'!EG15</f>
        <v>7840</v>
      </c>
      <c r="BB8" s="82">
        <f>'DJB Daily Readings'!EI16-'DJB Daily Readings'!EI15</f>
        <v>450</v>
      </c>
      <c r="BC8" s="82">
        <f>'DJB Daily Readings'!EQ16-'DJB Daily Readings'!EQ15</f>
        <v>7600</v>
      </c>
      <c r="BD8" s="82">
        <f>'DJB Daily Readings'!EK16-'DJB Daily Readings'!EK15</f>
        <v>3100</v>
      </c>
      <c r="BE8" s="82">
        <f>'DJB Daily Readings'!EM16-'DJB Daily Readings'!EM15</f>
        <v>800</v>
      </c>
      <c r="BF8" s="82">
        <f>'DJB Daily Readings'!EO16-'DJB Daily Readings'!EO15</f>
        <v>200</v>
      </c>
      <c r="BG8" s="82">
        <f>('DJB Daily Readings'!ET16-'DJB Daily Readings'!ET15)*1.89</f>
        <v>32.129999999999995</v>
      </c>
      <c r="BH8" s="82">
        <f>('DJB Daily Readings'!EV16-'DJB Daily Readings'!EV15)*1.89</f>
        <v>30.24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60.48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2019</v>
      </c>
      <c r="E9" s="78">
        <f>237*0.76</f>
        <v>180.12</v>
      </c>
      <c r="F9" s="79">
        <f>267+29</f>
        <v>296</v>
      </c>
      <c r="G9" s="3">
        <f>'DJB Daily Readings'!C17-'DJB Daily Readings'!C16</f>
        <v>512</v>
      </c>
      <c r="H9" s="3">
        <f>'DJB Daily Readings'!F17-'DJB Daily Readings'!F16</f>
        <v>300</v>
      </c>
      <c r="I9" s="3">
        <f>'DJB Daily Readings'!K17-'DJB Daily Readings'!K16</f>
        <v>405</v>
      </c>
      <c r="J9" s="3">
        <f>'DJB Daily Readings'!K17-'DJB Daily Readings'!K16</f>
        <v>405</v>
      </c>
      <c r="K9" s="3">
        <f>'DJB Daily Readings'!O17-'DJB Daily Readings'!O16</f>
        <v>220</v>
      </c>
      <c r="L9" s="3">
        <f>'DJB Daily Readings'!R17-'DJB Daily Readings'!R16</f>
        <v>46</v>
      </c>
      <c r="M9" s="3">
        <f>'DJB Daily Readings'!U17-'DJB Daily Readings'!U16</f>
        <v>2387.2800000002608</v>
      </c>
      <c r="N9" s="3">
        <f>'DJB Daily Readings'!X17-'DJB Daily Readings'!X16</f>
        <v>5018.160000000149</v>
      </c>
      <c r="O9" s="3">
        <f>'DJB Daily Readings'!AA17-'DJB Daily Readings'!AA16</f>
        <v>779.51999999955297</v>
      </c>
      <c r="P9" s="3">
        <f>'DJB Daily Readings'!AD17-'DJB Daily Readings'!AD16</f>
        <v>8477.2800000011921</v>
      </c>
      <c r="Q9" s="3">
        <f>'DJB Daily Readings'!AG17-'DJB Daily Readings'!AG16</f>
        <v>12033.839999999851</v>
      </c>
      <c r="R9" s="3">
        <f>'DJB Daily Readings'!AJ17-'DJB Daily Readings'!AJ16</f>
        <v>7551.5999999996275</v>
      </c>
      <c r="S9" s="3">
        <f>'DJB Daily Readings'!AM17-'DJB Daily Readings'!AM16</f>
        <v>4920.7200000006706</v>
      </c>
      <c r="T9" s="3">
        <f>'DJB Daily Readings'!AP17-'DJB Daily Readings'!AP16</f>
        <v>4920.7199999988079</v>
      </c>
      <c r="U9" s="3">
        <f>'DJB Daily Readings'!AS17-'DJB Daily Readings'!AS16</f>
        <v>3459.1200000001118</v>
      </c>
      <c r="V9" s="3">
        <f>'DJB Daily Readings'!AV17-'DJB Daily Readings'!AV16</f>
        <v>4969.4399999994785</v>
      </c>
      <c r="W9" s="3">
        <f>'DJB Daily Readings'!AZ17-'DJB Daily Readings'!AZ16</f>
        <v>0</v>
      </c>
      <c r="X9" s="3">
        <f>'DJB Daily Readings'!BC17-'DJB Daily Readings'!BC16</f>
        <v>41000</v>
      </c>
      <c r="Y9" s="3">
        <f>'DJB Daily Readings'!BF17-'DJB Daily Readings'!BF16</f>
        <v>55500</v>
      </c>
      <c r="Z9" s="3">
        <f>('DJB Daily Readings'!CK17-'DJB Daily Readings'!CK16)*1.89</f>
        <v>160.65</v>
      </c>
      <c r="AA9" s="3">
        <f>('DJB Daily Readings'!CN17-'DJB Daily Readings'!CN16)*1.89</f>
        <v>119.07</v>
      </c>
      <c r="AB9" s="3">
        <f>('DJB Daily Readings'!CQ17-'DJB Daily Readings'!CQ16)*1.89</f>
        <v>0</v>
      </c>
      <c r="AC9" s="3">
        <f>'DJB Daily Readings'!CT17-'DJB Daily Readings'!CT16</f>
        <v>192</v>
      </c>
      <c r="AD9" s="84">
        <f>('DJB Daily Readings'!BY17-'DJB Daily Readings'!BY16)*1.89</f>
        <v>41.58</v>
      </c>
      <c r="AE9" s="84">
        <f>('DJB Daily Readings'!CA17-'DJB Daily Readings'!CA16)*1.89</f>
        <v>30.24</v>
      </c>
      <c r="AF9" s="84">
        <f>('DJB Daily Readings'!CC17-'DJB Daily Readings'!CC16)*1.89</f>
        <v>9.4499999999999993</v>
      </c>
      <c r="AG9" s="84">
        <f>('DJB Daily Readings'!CE17-'DJB Daily Readings'!CE16)*1.89</f>
        <v>18.899999999999999</v>
      </c>
      <c r="AH9" s="84">
        <f>('DJB Daily Readings'!CG17-'DJB Daily Readings'!CG16)*1.89</f>
        <v>22.68</v>
      </c>
      <c r="AI9" s="84">
        <f>('DJB Daily Readings'!CI17-'DJB Daily Readings'!CI16)*1.89</f>
        <v>49.14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1</v>
      </c>
      <c r="AS9" s="82">
        <f>'DJB Daily Readings'!DM17-'DJB Daily Readings'!DM16</f>
        <v>6</v>
      </c>
      <c r="AT9" s="82">
        <f>'DJB Daily Readings'!DQ17-'DJB Daily Readings'!DQ16</f>
        <v>20</v>
      </c>
      <c r="AU9" s="82">
        <f>'DJB Daily Readings'!DT17-'DJB Daily Readings'!DT16</f>
        <v>1490</v>
      </c>
      <c r="AW9" s="82">
        <f>'DJB Daily Readings'!DX17-'DJB Daily Readings'!DX16</f>
        <v>1260</v>
      </c>
      <c r="AX9" s="82">
        <f>'DJB Daily Readings'!DZ17-'DJB Daily Readings'!DZ16</f>
        <v>119</v>
      </c>
      <c r="AY9" s="82">
        <f>'DJB Daily Readings'!EB17-'DJB Daily Readings'!EB16</f>
        <v>600</v>
      </c>
      <c r="AZ9" s="82">
        <f>'DJB Daily Readings'!ED17-'DJB Daily Readings'!ED16</f>
        <v>139</v>
      </c>
      <c r="BA9" s="82">
        <f>'DJB Daily Readings'!EG17-'DJB Daily Readings'!EG16</f>
        <v>7120</v>
      </c>
      <c r="BB9" s="82">
        <f>'DJB Daily Readings'!EI17-'DJB Daily Readings'!EI16</f>
        <v>450</v>
      </c>
      <c r="BC9" s="82">
        <f>'DJB Daily Readings'!EQ17-'DJB Daily Readings'!EQ16</f>
        <v>7500</v>
      </c>
      <c r="BD9" s="82">
        <f>'DJB Daily Readings'!EK17-'DJB Daily Readings'!EK16</f>
        <v>3100</v>
      </c>
      <c r="BE9" s="82">
        <f>'DJB Daily Readings'!EM17-'DJB Daily Readings'!EM16</f>
        <v>820</v>
      </c>
      <c r="BF9" s="82">
        <f>'DJB Daily Readings'!EO17-'DJB Daily Readings'!EO16</f>
        <v>190</v>
      </c>
      <c r="BG9" s="82">
        <f>('DJB Daily Readings'!ET17-'DJB Daily Readings'!ET16)*1.89</f>
        <v>35.909999999999997</v>
      </c>
      <c r="BH9" s="82">
        <f>('DJB Daily Readings'!EV17-'DJB Daily Readings'!EV16)*1.89</f>
        <v>28.349999999999998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2019</v>
      </c>
      <c r="E10" s="78">
        <f>237*0.75</f>
        <v>177.75</v>
      </c>
      <c r="F10" s="79">
        <f>257+36</f>
        <v>293</v>
      </c>
      <c r="G10" s="3">
        <f>'DJB Daily Readings'!C18-'DJB Daily Readings'!C17</f>
        <v>519</v>
      </c>
      <c r="H10" s="3">
        <f>'DJB Daily Readings'!F18-'DJB Daily Readings'!F17</f>
        <v>276</v>
      </c>
      <c r="I10" s="3">
        <f>'DJB Daily Readings'!K18-'DJB Daily Readings'!K17</f>
        <v>413</v>
      </c>
      <c r="J10" s="3">
        <f>'DJB Daily Readings'!K18-'DJB Daily Readings'!K17</f>
        <v>413</v>
      </c>
      <c r="K10" s="3">
        <f>'DJB Daily Readings'!O18-'DJB Daily Readings'!O17</f>
        <v>229</v>
      </c>
      <c r="L10" s="3">
        <f>'DJB Daily Readings'!R18-'DJB Daily Readings'!R17</f>
        <v>46</v>
      </c>
      <c r="M10" s="3">
        <f>'DJB Daily Readings'!U18-'DJB Daily Readings'!U17</f>
        <v>2436</v>
      </c>
      <c r="N10" s="3">
        <f>'DJB Daily Readings'!X18-'DJB Daily Readings'!X17</f>
        <v>5066.8799999989569</v>
      </c>
      <c r="O10" s="3">
        <f>'DJB Daily Readings'!AA18-'DJB Daily Readings'!AA17</f>
        <v>438.48000000044703</v>
      </c>
      <c r="P10" s="3">
        <f>'DJB Daily Readings'!AD18-'DJB Daily Readings'!AD17</f>
        <v>11351.759999999776</v>
      </c>
      <c r="Q10" s="3">
        <f>'DJB Daily Readings'!AG18-'DJB Daily Readings'!AG17</f>
        <v>12959.519999999553</v>
      </c>
      <c r="R10" s="3">
        <f>'DJB Daily Readings'!AJ18-'DJB Daily Readings'!AJ17</f>
        <v>7697.7599999997765</v>
      </c>
      <c r="S10" s="3">
        <f>'DJB Daily Readings'!AM18-'DJB Daily Readings'!AM17</f>
        <v>7941.359999999404</v>
      </c>
      <c r="T10" s="3">
        <f>'DJB Daily Readings'!AP18-'DJB Daily Readings'!AP17</f>
        <v>5115.5999999996275</v>
      </c>
      <c r="U10" s="3">
        <f>'DJB Daily Readings'!AS18-'DJB Daily Readings'!AS17</f>
        <v>3507.8400000007823</v>
      </c>
      <c r="V10" s="3">
        <f>'DJB Daily Readings'!AV18-'DJB Daily Readings'!AV17</f>
        <v>5261.7599999997765</v>
      </c>
      <c r="W10" s="3">
        <f>'DJB Daily Readings'!AZ18-'DJB Daily Readings'!AZ17</f>
        <v>0</v>
      </c>
      <c r="X10" s="3">
        <f>'DJB Daily Readings'!BC18-'DJB Daily Readings'!BC17</f>
        <v>52300</v>
      </c>
      <c r="Y10" s="3">
        <f>'DJB Daily Readings'!BF18-'DJB Daily Readings'!BF17</f>
        <v>56000</v>
      </c>
      <c r="Z10" s="3">
        <f>('DJB Daily Readings'!CK18-'DJB Daily Readings'!CK17)*1.89</f>
        <v>158.76</v>
      </c>
      <c r="AA10" s="3">
        <f>('DJB Daily Readings'!CN18-'DJB Daily Readings'!CN17)*1.89</f>
        <v>126.63</v>
      </c>
      <c r="AB10" s="3">
        <f>('DJB Daily Readings'!CQ18-'DJB Daily Readings'!CQ17)*1.89</f>
        <v>0</v>
      </c>
      <c r="AC10" s="3">
        <f>'DJB Daily Readings'!CT18-'DJB Daily Readings'!CT17</f>
        <v>188</v>
      </c>
      <c r="AD10" s="84">
        <f>('DJB Daily Readings'!BY18-'DJB Daily Readings'!BY17)*1.89</f>
        <v>32.129999999999995</v>
      </c>
      <c r="AE10" s="84">
        <f>('DJB Daily Readings'!CA18-'DJB Daily Readings'!CA17)*1.89</f>
        <v>26.459999999999997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17.009999999999998</v>
      </c>
      <c r="AH10" s="84">
        <f>('DJB Daily Readings'!CG18-'DJB Daily Readings'!CG17)*1.89</f>
        <v>18.899999999999999</v>
      </c>
      <c r="AI10" s="84">
        <f>('DJB Daily Readings'!CI18-'DJB Daily Readings'!CI17)*1.89</f>
        <v>45.36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14</v>
      </c>
      <c r="AM10" s="82">
        <f>'DJB Daily Readings'!DA18-'DJB Daily Readings'!DA17</f>
        <v>12</v>
      </c>
      <c r="AN10" s="82">
        <f>'DJB Daily Readings'!DG18-'DJB Daily Readings'!DG17</f>
        <v>7</v>
      </c>
      <c r="AO10" s="82">
        <f>'DJB Daily Readings'!DE18-'DJB Daily Readings'!DE17</f>
        <v>8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1</v>
      </c>
      <c r="AS10" s="82">
        <f>'DJB Daily Readings'!DM18-'DJB Daily Readings'!DM17</f>
        <v>10</v>
      </c>
      <c r="AT10" s="82">
        <f>'DJB Daily Readings'!DQ18-'DJB Daily Readings'!DQ17</f>
        <v>34</v>
      </c>
      <c r="AU10" s="82">
        <f>'DJB Daily Readings'!DT18-'DJB Daily Readings'!DT17</f>
        <v>1534</v>
      </c>
      <c r="AW10" s="82">
        <f>'DJB Daily Readings'!DX18-'DJB Daily Readings'!DX17</f>
        <v>1232</v>
      </c>
      <c r="AX10" s="82">
        <f>'DJB Daily Readings'!DZ18-'DJB Daily Readings'!DZ17</f>
        <v>145</v>
      </c>
      <c r="AY10" s="82">
        <f>'DJB Daily Readings'!EB18-'DJB Daily Readings'!EB17</f>
        <v>595</v>
      </c>
      <c r="AZ10" s="82">
        <f>'DJB Daily Readings'!ED18-'DJB Daily Readings'!ED17</f>
        <v>141</v>
      </c>
      <c r="BA10" s="82">
        <f>'DJB Daily Readings'!EG18-'DJB Daily Readings'!EG17</f>
        <v>7840</v>
      </c>
      <c r="BB10" s="82">
        <f>'DJB Daily Readings'!EI18-'DJB Daily Readings'!EI17</f>
        <v>450</v>
      </c>
      <c r="BC10" s="82">
        <f>'DJB Daily Readings'!EQ18-'DJB Daily Readings'!EQ17</f>
        <v>7800</v>
      </c>
      <c r="BD10" s="82">
        <f>'DJB Daily Readings'!EK18-'DJB Daily Readings'!EK17</f>
        <v>3100</v>
      </c>
      <c r="BE10" s="82">
        <f>'DJB Daily Readings'!EM18-'DJB Daily Readings'!EM17</f>
        <v>850</v>
      </c>
      <c r="BF10" s="82">
        <f>'DJB Daily Readings'!EO18-'DJB Daily Readings'!EO17</f>
        <v>200</v>
      </c>
      <c r="BG10" s="82">
        <f>('DJB Daily Readings'!ET18-'DJB Daily Readings'!ET17)*1.89</f>
        <v>32.129999999999995</v>
      </c>
      <c r="BH10" s="82">
        <f>('DJB Daily Readings'!EV18-'DJB Daily Readings'!EV17)*1.89</f>
        <v>32.129999999999995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66.149999999999991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2019</v>
      </c>
      <c r="E11" s="78">
        <f>237*0.72</f>
        <v>170.64</v>
      </c>
      <c r="F11" s="79">
        <f>258+40</f>
        <v>298</v>
      </c>
      <c r="G11" s="3">
        <f>'DJB Daily Readings'!C19-'DJB Daily Readings'!C18</f>
        <v>569</v>
      </c>
      <c r="H11" s="3">
        <f>'DJB Daily Readings'!F19-'DJB Daily Readings'!F18</f>
        <v>301</v>
      </c>
      <c r="I11" s="3">
        <f>'DJB Daily Readings'!K19-'DJB Daily Readings'!K18</f>
        <v>382</v>
      </c>
      <c r="J11" s="3">
        <f>'DJB Daily Readings'!K19-'DJB Daily Readings'!K18</f>
        <v>382</v>
      </c>
      <c r="K11" s="3">
        <f>'DJB Daily Readings'!O19-'DJB Daily Readings'!O18</f>
        <v>248</v>
      </c>
      <c r="L11" s="3">
        <f>'DJB Daily Readings'!R19-'DJB Daily Readings'!R18</f>
        <v>61</v>
      </c>
      <c r="M11" s="3">
        <f>'DJB Daily Readings'!U19-'DJB Daily Readings'!U18</f>
        <v>2587.0319999996573</v>
      </c>
      <c r="N11" s="3">
        <f>'DJB Daily Readings'!X19-'DJB Daily Readings'!X18</f>
        <v>5066.8799999989569</v>
      </c>
      <c r="O11" s="3">
        <f>'DJB Daily Readings'!AA19-'DJB Daily Readings'!AA18</f>
        <v>633.3600000012666</v>
      </c>
      <c r="P11" s="3">
        <f>'DJB Daily Readings'!AD19-'DJB Daily Readings'!AD18</f>
        <v>10669.679999997839</v>
      </c>
      <c r="Q11" s="3">
        <f>'DJB Daily Readings'!AG19-'DJB Daily Readings'!AG18</f>
        <v>13836.480000000447</v>
      </c>
      <c r="R11" s="3">
        <f>'DJB Daily Readings'!AJ19-'DJB Daily Readings'!AJ18</f>
        <v>8087.5200000014156</v>
      </c>
      <c r="S11" s="3">
        <f>'DJB Daily Readings'!AM19-'DJB Daily Readings'!AM18</f>
        <v>2436</v>
      </c>
      <c r="T11" s="3">
        <f>'DJB Daily Readings'!AP19-'DJB Daily Readings'!AP18</f>
        <v>4920.7200000006706</v>
      </c>
      <c r="U11" s="3">
        <f>'DJB Daily Readings'!AS19-'DJB Daily Readings'!AS18</f>
        <v>3897.5999999996275</v>
      </c>
      <c r="V11" s="3">
        <f>'DJB Daily Readings'!AV19-'DJB Daily Readings'!AV18</f>
        <v>8282.4000000003725</v>
      </c>
      <c r="W11" s="3">
        <f>'DJB Daily Readings'!AZ19-'DJB Daily Readings'!AZ18</f>
        <v>0</v>
      </c>
      <c r="X11" s="3">
        <f>'DJB Daily Readings'!BC19-'DJB Daily Readings'!BC18</f>
        <v>49900</v>
      </c>
      <c r="Y11" s="3">
        <f>'DJB Daily Readings'!BF19-'DJB Daily Readings'!BF18</f>
        <v>61800</v>
      </c>
      <c r="Z11" s="3">
        <f>('DJB Daily Readings'!CK19-'DJB Daily Readings'!CK18)*1.89</f>
        <v>175.76999999999998</v>
      </c>
      <c r="AA11" s="3">
        <f>('DJB Daily Readings'!CN19-'DJB Daily Readings'!CN18)*1.89</f>
        <v>132.29999999999998</v>
      </c>
      <c r="AB11" s="3">
        <f>('DJB Daily Readings'!CQ19-'DJB Daily Readings'!CQ18)*1.89</f>
        <v>15.12</v>
      </c>
      <c r="AC11" s="3">
        <f>'DJB Daily Readings'!CT19-'DJB Daily Readings'!CT18</f>
        <v>208</v>
      </c>
      <c r="AD11" s="84">
        <f>('DJB Daily Readings'!BY19-'DJB Daily Readings'!BY18)*1.89</f>
        <v>39.69</v>
      </c>
      <c r="AE11" s="84">
        <f>('DJB Daily Readings'!CA19-'DJB Daily Readings'!CA18)*1.89</f>
        <v>37.799999999999997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20.79</v>
      </c>
      <c r="AI11" s="84">
        <f>('DJB Daily Readings'!CI19-'DJB Daily Readings'!CI18)*1.89</f>
        <v>47.25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17</v>
      </c>
      <c r="AM11" s="82">
        <f>'DJB Daily Readings'!DA19-'DJB Daily Readings'!DA18</f>
        <v>14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8</v>
      </c>
      <c r="AT11" s="82">
        <f>'DJB Daily Readings'!DQ19-'DJB Daily Readings'!DQ18</f>
        <v>25</v>
      </c>
      <c r="AU11" s="82">
        <f>'DJB Daily Readings'!DT19-'DJB Daily Readings'!DT18</f>
        <v>1583</v>
      </c>
      <c r="AW11" s="82">
        <f>'DJB Daily Readings'!DX19-'DJB Daily Readings'!DX18</f>
        <v>1276</v>
      </c>
      <c r="AX11" s="82">
        <f>'DJB Daily Readings'!DZ19-'DJB Daily Readings'!DZ18</f>
        <v>133</v>
      </c>
      <c r="AY11" s="82">
        <f>'DJB Daily Readings'!EB19-'DJB Daily Readings'!EB18</f>
        <v>561</v>
      </c>
      <c r="AZ11" s="82">
        <f>'DJB Daily Readings'!ED19-'DJB Daily Readings'!ED18</f>
        <v>144</v>
      </c>
      <c r="BA11" s="82">
        <f>'DJB Daily Readings'!EG19-'DJB Daily Readings'!EG18</f>
        <v>7840</v>
      </c>
      <c r="BB11" s="82">
        <f>'DJB Daily Readings'!EI19-'DJB Daily Readings'!EI18</f>
        <v>400</v>
      </c>
      <c r="BC11" s="82">
        <f>'DJB Daily Readings'!EQ19-'DJB Daily Readings'!EQ18</f>
        <v>8000</v>
      </c>
      <c r="BD11" s="82">
        <f>'DJB Daily Readings'!EK19-'DJB Daily Readings'!EK18</f>
        <v>3100</v>
      </c>
      <c r="BE11" s="82">
        <f>'DJB Daily Readings'!EM19-'DJB Daily Readings'!EM18</f>
        <v>600</v>
      </c>
      <c r="BF11" s="82">
        <f>'DJB Daily Readings'!EO19-'DJB Daily Readings'!EO18</f>
        <v>180</v>
      </c>
      <c r="BG11" s="82">
        <f>('DJB Daily Readings'!ET19-'DJB Daily Readings'!ET18)*1.89</f>
        <v>43.47</v>
      </c>
      <c r="BH11" s="82">
        <f>('DJB Daily Readings'!EV19-'DJB Daily Readings'!EV18)*1.89</f>
        <v>34.019999999999996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2019</v>
      </c>
      <c r="E12" s="78">
        <f>237*0.81</f>
        <v>191.97</v>
      </c>
      <c r="F12" s="79">
        <f>332+48</f>
        <v>380</v>
      </c>
      <c r="G12" s="3">
        <f>'DJB Daily Readings'!C20-'DJB Daily Readings'!C19</f>
        <v>582</v>
      </c>
      <c r="H12" s="3">
        <f>'DJB Daily Readings'!F20-'DJB Daily Readings'!F19</f>
        <v>342</v>
      </c>
      <c r="I12" s="3">
        <f>'DJB Daily Readings'!K20-'DJB Daily Readings'!K19</f>
        <v>410</v>
      </c>
      <c r="J12" s="3">
        <f>'DJB Daily Readings'!K20-'DJB Daily Readings'!K19</f>
        <v>410</v>
      </c>
      <c r="K12" s="3">
        <f>'DJB Daily Readings'!O20-'DJB Daily Readings'!O19</f>
        <v>246</v>
      </c>
      <c r="L12" s="3">
        <f>'DJB Daily Readings'!R20-'DJB Daily Readings'!R19</f>
        <v>44</v>
      </c>
      <c r="M12" s="3">
        <f>'DJB Daily Readings'!U20-'DJB Daily Readings'!U19</f>
        <v>2236.2479999996722</v>
      </c>
      <c r="N12" s="3">
        <f>'DJB Daily Readings'!X20-'DJB Daily Readings'!X19</f>
        <v>4969.4400000013411</v>
      </c>
      <c r="O12" s="3">
        <f>'DJB Daily Readings'!AA20-'DJB Daily Readings'!AA19</f>
        <v>2241.1199999991804</v>
      </c>
      <c r="P12" s="3">
        <f>'DJB Daily Readings'!AD20-'DJB Daily Readings'!AD19</f>
        <v>10085.040000000969</v>
      </c>
      <c r="Q12" s="3">
        <f>'DJB Daily Readings'!AG20-'DJB Daily Readings'!AG19</f>
        <v>13641.60000000149</v>
      </c>
      <c r="R12" s="3">
        <f>'DJB Daily Readings'!AJ20-'DJB Daily Readings'!AJ19</f>
        <v>2777.0400000009686</v>
      </c>
      <c r="S12" s="3">
        <f>'DJB Daily Readings'!AM20-'DJB Daily Readings'!AM19</f>
        <v>5310.480000000447</v>
      </c>
      <c r="T12" s="3">
        <f>'DJB Daily Readings'!AP20-'DJB Daily Readings'!AP19</f>
        <v>5213.0400000009686</v>
      </c>
      <c r="U12" s="3">
        <f>'DJB Daily Readings'!AS20-'DJB Daily Readings'!AS19</f>
        <v>3605.2800000002608</v>
      </c>
      <c r="V12" s="3">
        <f>'DJB Daily Readings'!AV20-'DJB Daily Readings'!AV19</f>
        <v>2241.1199999991804</v>
      </c>
      <c r="W12" s="3">
        <f>'DJB Daily Readings'!AZ20-'DJB Daily Readings'!AZ19</f>
        <v>4500</v>
      </c>
      <c r="X12" s="3">
        <f>'DJB Daily Readings'!BC20-'DJB Daily Readings'!BC19</f>
        <v>50800</v>
      </c>
      <c r="Y12" s="3">
        <f>'DJB Daily Readings'!BF20-'DJB Daily Readings'!BF19</f>
        <v>59600</v>
      </c>
      <c r="Z12" s="3">
        <f>('DJB Daily Readings'!CK20-'DJB Daily Readings'!CK19)*1.89</f>
        <v>153.09</v>
      </c>
      <c r="AA12" s="3">
        <f>('DJB Daily Readings'!CN20-'DJB Daily Readings'!CN19)*1.89</f>
        <v>120.96</v>
      </c>
      <c r="AB12" s="3">
        <f>('DJB Daily Readings'!CQ20-'DJB Daily Readings'!CQ19)*1.89</f>
        <v>0</v>
      </c>
      <c r="AC12" s="3">
        <f>'DJB Daily Readings'!CT20-'DJB Daily Readings'!CT19</f>
        <v>182</v>
      </c>
      <c r="AD12" s="84">
        <f>('DJB Daily Readings'!BY20-'DJB Daily Readings'!BY19)*1.89</f>
        <v>37.799999999999997</v>
      </c>
      <c r="AE12" s="84">
        <f>('DJB Daily Readings'!CA20-'DJB Daily Readings'!CA19)*1.89</f>
        <v>30.24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28.349999999999998</v>
      </c>
      <c r="AI12" s="84">
        <f>('DJB Daily Readings'!CI20-'DJB Daily Readings'!CI19)*1.89</f>
        <v>51.029999999999994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20</v>
      </c>
      <c r="AM12" s="82">
        <f>'DJB Daily Readings'!DA20-'DJB Daily Readings'!DA19</f>
        <v>21</v>
      </c>
      <c r="AN12" s="82">
        <f>'DJB Daily Readings'!DG20-'DJB Daily Readings'!DG19</f>
        <v>8</v>
      </c>
      <c r="AO12" s="82">
        <f>'DJB Daily Readings'!DE20-'DJB Daily Readings'!DE19</f>
        <v>10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3</v>
      </c>
      <c r="AS12" s="82">
        <f>'DJB Daily Readings'!DM20-'DJB Daily Readings'!DM19</f>
        <v>9</v>
      </c>
      <c r="AT12" s="82">
        <f>'DJB Daily Readings'!DQ20-'DJB Daily Readings'!DQ19</f>
        <v>29</v>
      </c>
      <c r="AU12" s="82">
        <f>'DJB Daily Readings'!DT20-'DJB Daily Readings'!DT19</f>
        <v>1629</v>
      </c>
      <c r="AW12" s="82">
        <f>'DJB Daily Readings'!DX20-'DJB Daily Readings'!DX19</f>
        <v>1301</v>
      </c>
      <c r="AX12" s="82">
        <f>'DJB Daily Readings'!DZ20-'DJB Daily Readings'!DZ19</f>
        <v>132</v>
      </c>
      <c r="AY12" s="82">
        <f>'DJB Daily Readings'!EB20-'DJB Daily Readings'!EB19</f>
        <v>560</v>
      </c>
      <c r="AZ12" s="82">
        <f>'DJB Daily Readings'!ED20-'DJB Daily Readings'!ED19</f>
        <v>142</v>
      </c>
      <c r="BA12" s="82">
        <f>'DJB Daily Readings'!EG20-'DJB Daily Readings'!EG19</f>
        <v>7840</v>
      </c>
      <c r="BB12" s="82">
        <f>'DJB Daily Readings'!EI20-'DJB Daily Readings'!EI19</f>
        <v>450</v>
      </c>
      <c r="BC12" s="82">
        <f>'DJB Daily Readings'!EQ20-'DJB Daily Readings'!EQ19</f>
        <v>5500</v>
      </c>
      <c r="BD12" s="82">
        <f>'DJB Daily Readings'!EK20-'DJB Daily Readings'!EK19</f>
        <v>3100</v>
      </c>
      <c r="BE12" s="82">
        <f>'DJB Daily Readings'!EM20-'DJB Daily Readings'!EM19</f>
        <v>650</v>
      </c>
      <c r="BF12" s="82">
        <f>'DJB Daily Readings'!EO20-'DJB Daily Readings'!EO19</f>
        <v>200</v>
      </c>
      <c r="BG12" s="82">
        <f>('DJB Daily Readings'!ET20-'DJB Daily Readings'!ET19)*1.89</f>
        <v>39.69</v>
      </c>
      <c r="BH12" s="82">
        <f>('DJB Daily Readings'!EV20-'DJB Daily Readings'!EV19)*1.89</f>
        <v>34.019999999999996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64.259999999999991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2019</v>
      </c>
      <c r="E13" s="78">
        <f>237*0.88</f>
        <v>208.56</v>
      </c>
      <c r="F13" s="79">
        <f>360+53</f>
        <v>413</v>
      </c>
      <c r="G13" s="3">
        <f>'DJB Daily Readings'!C21-'DJB Daily Readings'!C20</f>
        <v>545</v>
      </c>
      <c r="H13" s="3">
        <f>'DJB Daily Readings'!F21-'DJB Daily Readings'!F20</f>
        <v>345</v>
      </c>
      <c r="I13" s="3">
        <f>'DJB Daily Readings'!K21-'DJB Daily Readings'!K20</f>
        <v>392</v>
      </c>
      <c r="J13" s="3">
        <f>'DJB Daily Readings'!K21-'DJB Daily Readings'!K20</f>
        <v>392</v>
      </c>
      <c r="K13" s="3">
        <f>'DJB Daily Readings'!O21-'DJB Daily Readings'!O20</f>
        <v>214</v>
      </c>
      <c r="L13" s="3">
        <f>'DJB Daily Readings'!R21-'DJB Daily Readings'!R20</f>
        <v>51</v>
      </c>
      <c r="M13" s="3">
        <f>'DJB Daily Readings'!U21-'DJB Daily Readings'!U20</f>
        <v>2971.9199999999255</v>
      </c>
      <c r="N13" s="3">
        <f>'DJB Daily Readings'!X21-'DJB Daily Readings'!X20</f>
        <v>4725.839999999851</v>
      </c>
      <c r="O13" s="3">
        <f>'DJB Daily Readings'!AA21-'DJB Daily Readings'!AA20</f>
        <v>11595.359999999404</v>
      </c>
      <c r="P13" s="3">
        <f>'DJB Daily Readings'!AD21-'DJB Daily Readings'!AD20</f>
        <v>438.48000000044703</v>
      </c>
      <c r="Q13" s="3">
        <f>'DJB Daily Readings'!AG21-'DJB Daily Readings'!AG20</f>
        <v>7308</v>
      </c>
      <c r="R13" s="3">
        <f>'DJB Daily Readings'!AJ21-'DJB Daily Readings'!AJ20</f>
        <v>12131.279999999329</v>
      </c>
      <c r="S13" s="3">
        <f>'DJB Daily Readings'!AM21-'DJB Daily Readings'!AM20</f>
        <v>4872</v>
      </c>
      <c r="T13" s="3">
        <f>'DJB Daily Readings'!AP21-'DJB Daily Readings'!AP20</f>
        <v>4628.4000000003725</v>
      </c>
      <c r="U13" s="3">
        <f>'DJB Daily Readings'!AS21-'DJB Daily Readings'!AS20</f>
        <v>3264.2400000002235</v>
      </c>
      <c r="V13" s="3">
        <f>'DJB Daily Readings'!AV21-'DJB Daily Readings'!AV20</f>
        <v>5018.160000000149</v>
      </c>
      <c r="W13" s="3">
        <f>'DJB Daily Readings'!AZ21-'DJB Daily Readings'!AZ20</f>
        <v>57300</v>
      </c>
      <c r="X13" s="3">
        <f>'DJB Daily Readings'!BC21-'DJB Daily Readings'!BC20</f>
        <v>0</v>
      </c>
      <c r="Y13" s="3">
        <f>'DJB Daily Readings'!BF21-'DJB Daily Readings'!BF20</f>
        <v>37600</v>
      </c>
      <c r="Z13" s="3">
        <f>('DJB Daily Readings'!CK21-'DJB Daily Readings'!CK20)*1.89</f>
        <v>154.97999999999999</v>
      </c>
      <c r="AA13" s="3">
        <f>('DJB Daily Readings'!CN21-'DJB Daily Readings'!CN20)*1.89</f>
        <v>134.19</v>
      </c>
      <c r="AB13" s="3">
        <f>('DJB Daily Readings'!CQ21-'DJB Daily Readings'!CQ20)*1.89</f>
        <v>0</v>
      </c>
      <c r="AC13" s="3">
        <f>'DJB Daily Readings'!CT21-'DJB Daily Readings'!CT20</f>
        <v>183</v>
      </c>
      <c r="AD13" s="84">
        <f>('DJB Daily Readings'!BY21-'DJB Daily Readings'!BY20)*1.89</f>
        <v>37.799999999999997</v>
      </c>
      <c r="AE13" s="84">
        <f>('DJB Daily Readings'!CA21-'DJB Daily Readings'!CA20)*1.89</f>
        <v>34.019999999999996</v>
      </c>
      <c r="AF13" s="84">
        <f>('DJB Daily Readings'!CC21-'DJB Daily Readings'!CC20)*1.89</f>
        <v>15.12</v>
      </c>
      <c r="AG13" s="84">
        <f>('DJB Daily Readings'!CE21-'DJB Daily Readings'!CE20)*1.89</f>
        <v>17.009999999999998</v>
      </c>
      <c r="AH13" s="84">
        <f>('DJB Daily Readings'!CG21-'DJB Daily Readings'!CG20)*1.89</f>
        <v>11.34</v>
      </c>
      <c r="AI13" s="84">
        <f>('DJB Daily Readings'!CI21-'DJB Daily Readings'!CI20)*1.89</f>
        <v>47.25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26</v>
      </c>
      <c r="AM13" s="82">
        <f>'DJB Daily Readings'!DA21-'DJB Daily Readings'!DA20</f>
        <v>28</v>
      </c>
      <c r="AN13" s="82">
        <f>'DJB Daily Readings'!DG21-'DJB Daily Readings'!DG20</f>
        <v>7</v>
      </c>
      <c r="AO13" s="82">
        <f>'DJB Daily Readings'!DE21-'DJB Daily Readings'!DE20</f>
        <v>16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2</v>
      </c>
      <c r="AS13" s="82">
        <f>'DJB Daily Readings'!DM21-'DJB Daily Readings'!DM20</f>
        <v>8</v>
      </c>
      <c r="AT13" s="82">
        <f>'DJB Daily Readings'!DQ21-'DJB Daily Readings'!DQ20</f>
        <v>25</v>
      </c>
      <c r="AU13" s="82">
        <f>'DJB Daily Readings'!DT21-'DJB Daily Readings'!DT20</f>
        <v>1500</v>
      </c>
      <c r="AW13" s="82">
        <f>'DJB Daily Readings'!DX21-'DJB Daily Readings'!DX20</f>
        <v>1240</v>
      </c>
      <c r="AX13" s="82">
        <f>'DJB Daily Readings'!DZ21-'DJB Daily Readings'!DZ20</f>
        <v>140</v>
      </c>
      <c r="AY13" s="82">
        <f>'DJB Daily Readings'!EB21-'DJB Daily Readings'!EB20</f>
        <v>580</v>
      </c>
      <c r="AZ13" s="82">
        <f>'DJB Daily Readings'!ED21-'DJB Daily Readings'!ED20</f>
        <v>150</v>
      </c>
      <c r="BA13" s="82">
        <f>'DJB Daily Readings'!EG21-'DJB Daily Readings'!EG20</f>
        <v>7840</v>
      </c>
      <c r="BB13" s="82">
        <f>'DJB Daily Readings'!EI21-'DJB Daily Readings'!EI20</f>
        <v>450</v>
      </c>
      <c r="BC13" s="82">
        <f>'DJB Daily Readings'!EQ21-'DJB Daily Readings'!EQ20</f>
        <v>5600</v>
      </c>
      <c r="BD13" s="82">
        <f>'DJB Daily Readings'!EK21-'DJB Daily Readings'!EK20</f>
        <v>3100</v>
      </c>
      <c r="BE13" s="82">
        <f>'DJB Daily Readings'!EM21-'DJB Daily Readings'!EM20</f>
        <v>600</v>
      </c>
      <c r="BF13" s="82">
        <f>'DJB Daily Readings'!EO21-'DJB Daily Readings'!EO20</f>
        <v>210</v>
      </c>
      <c r="BG13" s="82">
        <f>('DJB Daily Readings'!ET21-'DJB Daily Readings'!ET20)*1.89</f>
        <v>37.799999999999997</v>
      </c>
      <c r="BH13" s="82">
        <f>('DJB Daily Readings'!EV21-'DJB Daily Readings'!EV20)*1.89</f>
        <v>30.24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2019</v>
      </c>
      <c r="E14" s="78">
        <f>237*0.72</f>
        <v>170.64</v>
      </c>
      <c r="F14" s="79">
        <f>292+52</f>
        <v>344</v>
      </c>
      <c r="G14" s="3">
        <f>'DJB Daily Readings'!C22-'DJB Daily Readings'!C21</f>
        <v>546</v>
      </c>
      <c r="H14" s="3">
        <f>'DJB Daily Readings'!F22-'DJB Daily Readings'!F21</f>
        <v>344</v>
      </c>
      <c r="I14" s="3">
        <f>'DJB Daily Readings'!K22-'DJB Daily Readings'!K21</f>
        <v>187</v>
      </c>
      <c r="J14" s="3">
        <f>'DJB Daily Readings'!K22-'DJB Daily Readings'!K21</f>
        <v>187</v>
      </c>
      <c r="K14" s="3">
        <f>'DJB Daily Readings'!O22-'DJB Daily Readings'!O21</f>
        <v>233</v>
      </c>
      <c r="L14" s="3">
        <f>'DJB Daily Readings'!R22-'DJB Daily Readings'!R21</f>
        <v>71</v>
      </c>
      <c r="M14" s="3">
        <f>'DJB Daily Readings'!U22-'DJB Daily Readings'!U21</f>
        <v>2923.2000000001863</v>
      </c>
      <c r="N14" s="3">
        <f>'DJB Daily Readings'!X22-'DJB Daily Readings'!X21</f>
        <v>5213.0399999991059</v>
      </c>
      <c r="O14" s="3">
        <f>'DJB Daily Readings'!AA22-'DJB Daily Readings'!AA21</f>
        <v>11644.080000000075</v>
      </c>
      <c r="P14" s="3">
        <f>'DJB Daily Readings'!AD22-'DJB Daily Readings'!AD21</f>
        <v>487.20000000111759</v>
      </c>
      <c r="Q14" s="3">
        <f>'DJB Daily Readings'!AG22-'DJB Daily Readings'!AG21</f>
        <v>6479.7599999979138</v>
      </c>
      <c r="R14" s="3">
        <f>'DJB Daily Readings'!AJ22-'DJB Daily Readings'!AJ21</f>
        <v>7551.5999999996275</v>
      </c>
      <c r="S14" s="3">
        <f>'DJB Daily Readings'!AM22-'DJB Daily Readings'!AM21</f>
        <v>5213.0399999991059</v>
      </c>
      <c r="T14" s="3">
        <f>'DJB Daily Readings'!AP22-'DJB Daily Readings'!AP21</f>
        <v>5310.4799999985844</v>
      </c>
      <c r="U14" s="3">
        <f>'DJB Daily Readings'!AS22-'DJB Daily Readings'!AS21</f>
        <v>3410.3999999994412</v>
      </c>
      <c r="V14" s="3">
        <f>'DJB Daily Readings'!AV22-'DJB Daily Readings'!AV21</f>
        <v>5261.7600000016391</v>
      </c>
      <c r="W14" s="3">
        <f>'DJB Daily Readings'!AZ22-'DJB Daily Readings'!AZ21</f>
        <v>57300</v>
      </c>
      <c r="X14" s="3">
        <f>'DJB Daily Readings'!BC22-'DJB Daily Readings'!BC21</f>
        <v>0</v>
      </c>
      <c r="Y14" s="3">
        <f>'DJB Daily Readings'!BF22-'DJB Daily Readings'!BF21</f>
        <v>31400</v>
      </c>
      <c r="Z14" s="3">
        <f>('DJB Daily Readings'!CK22-'DJB Daily Readings'!CK21)*1.89</f>
        <v>162.54</v>
      </c>
      <c r="AA14" s="3">
        <f>('DJB Daily Readings'!CN22-'DJB Daily Readings'!CN21)*1.89</f>
        <v>132.29999999999998</v>
      </c>
      <c r="AB14" s="3">
        <f>('DJB Daily Readings'!CQ22-'DJB Daily Readings'!CQ21)*1.89</f>
        <v>0</v>
      </c>
      <c r="AC14" s="3">
        <f>'DJB Daily Readings'!CT22-'DJB Daily Readings'!CT21</f>
        <v>192</v>
      </c>
      <c r="AD14" s="84">
        <f>('DJB Daily Readings'!BY22-'DJB Daily Readings'!BY21)*1.89</f>
        <v>47.25</v>
      </c>
      <c r="AE14" s="84">
        <f>('DJB Daily Readings'!CA22-'DJB Daily Readings'!CA21)*1.89</f>
        <v>37.799999999999997</v>
      </c>
      <c r="AF14" s="84">
        <f>('DJB Daily Readings'!CC22-'DJB Daily Readings'!CC21)*1.89</f>
        <v>13.229999999999999</v>
      </c>
      <c r="AG14" s="84">
        <f>('DJB Daily Readings'!CE22-'DJB Daily Readings'!CE21)*1.89</f>
        <v>22.68</v>
      </c>
      <c r="AH14" s="84">
        <f>('DJB Daily Readings'!CG22-'DJB Daily Readings'!CG21)*1.89</f>
        <v>28.349999999999998</v>
      </c>
      <c r="AI14" s="84">
        <f>('DJB Daily Readings'!CI22-'DJB Daily Readings'!CI21)*1.89</f>
        <v>49.14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12</v>
      </c>
      <c r="AM14" s="82">
        <f>'DJB Daily Readings'!DA22-'DJB Daily Readings'!DA21</f>
        <v>12</v>
      </c>
      <c r="AN14" s="82">
        <f>'DJB Daily Readings'!DG22-'DJB Daily Readings'!DG21</f>
        <v>18</v>
      </c>
      <c r="AO14" s="82">
        <f>'DJB Daily Readings'!DE22-'DJB Daily Readings'!DE21</f>
        <v>0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1</v>
      </c>
      <c r="AS14" s="82">
        <f>'DJB Daily Readings'!DM22-'DJB Daily Readings'!DM21</f>
        <v>6</v>
      </c>
      <c r="AT14" s="82">
        <f>'DJB Daily Readings'!DQ22-'DJB Daily Readings'!DQ21</f>
        <v>15</v>
      </c>
      <c r="AU14" s="82">
        <f>'DJB Daily Readings'!DT22-'DJB Daily Readings'!DT21</f>
        <v>1588</v>
      </c>
      <c r="AW14" s="82">
        <f>'DJB Daily Readings'!DX22-'DJB Daily Readings'!DX21</f>
        <v>1315</v>
      </c>
      <c r="AX14" s="82">
        <f>'DJB Daily Readings'!DZ22-'DJB Daily Readings'!DZ21</f>
        <v>126</v>
      </c>
      <c r="AY14" s="82">
        <f>'DJB Daily Readings'!EB22-'DJB Daily Readings'!EB21</f>
        <v>556</v>
      </c>
      <c r="AZ14" s="82">
        <f>'DJB Daily Readings'!ED22-'DJB Daily Readings'!ED21</f>
        <v>132</v>
      </c>
      <c r="BA14" s="82">
        <f>'DJB Daily Readings'!EG22-'DJB Daily Readings'!EG21</f>
        <v>6500</v>
      </c>
      <c r="BB14" s="82">
        <f>'DJB Daily Readings'!EI22-'DJB Daily Readings'!EI21</f>
        <v>450</v>
      </c>
      <c r="BC14" s="82">
        <f>'DJB Daily Readings'!EQ22-'DJB Daily Readings'!EQ21</f>
        <v>8000</v>
      </c>
      <c r="BD14" s="82">
        <f>'DJB Daily Readings'!EK22-'DJB Daily Readings'!EK21</f>
        <v>3900</v>
      </c>
      <c r="BE14" s="82">
        <f>'DJB Daily Readings'!EM22-'DJB Daily Readings'!EM21</f>
        <v>620</v>
      </c>
      <c r="BF14" s="82">
        <f>'DJB Daily Readings'!EO22-'DJB Daily Readings'!EO21</f>
        <v>220</v>
      </c>
      <c r="BG14" s="82">
        <f>('DJB Daily Readings'!ET22-'DJB Daily Readings'!ET21)*1.89</f>
        <v>35.909999999999997</v>
      </c>
      <c r="BH14" s="82">
        <f>('DJB Daily Readings'!EV22-'DJB Daily Readings'!EV21)*1.89</f>
        <v>32.129999999999995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56.699999999999996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2019</v>
      </c>
      <c r="E15" s="78">
        <f>237*0.66</f>
        <v>156.42000000000002</v>
      </c>
      <c r="F15" s="79">
        <f>267+47</f>
        <v>314</v>
      </c>
      <c r="G15" s="3">
        <f>'DJB Daily Readings'!C23-'DJB Daily Readings'!C22</f>
        <v>511</v>
      </c>
      <c r="H15" s="3">
        <f>'DJB Daily Readings'!F23-'DJB Daily Readings'!F22</f>
        <v>313</v>
      </c>
      <c r="I15" s="3">
        <f>'DJB Daily Readings'!K23-'DJB Daily Readings'!K22</f>
        <v>366</v>
      </c>
      <c r="J15" s="3">
        <f>'DJB Daily Readings'!K23-'DJB Daily Readings'!K22</f>
        <v>366</v>
      </c>
      <c r="K15" s="3">
        <f>'DJB Daily Readings'!O23-'DJB Daily Readings'!O22</f>
        <v>201</v>
      </c>
      <c r="L15" s="3">
        <f>'DJB Daily Readings'!R23-'DJB Daily Readings'!R22</f>
        <v>45</v>
      </c>
      <c r="M15" s="3">
        <f>'DJB Daily Readings'!U23-'DJB Daily Readings'!U22</f>
        <v>3118.0800000000745</v>
      </c>
      <c r="N15" s="3">
        <f>'DJB Daily Readings'!X23-'DJB Daily Readings'!X22</f>
        <v>4774.5600000005215</v>
      </c>
      <c r="O15" s="3">
        <f>'DJB Daily Readings'!AA23-'DJB Daily Readings'!AA22</f>
        <v>10913.280000001192</v>
      </c>
      <c r="P15" s="3">
        <f>'DJB Daily Readings'!AD23-'DJB Daily Readings'!AD22</f>
        <v>535.91999999806285</v>
      </c>
      <c r="Q15" s="3">
        <f>'DJB Daily Readings'!AG23-'DJB Daily Readings'!AG22</f>
        <v>6528.4800000023097</v>
      </c>
      <c r="R15" s="3">
        <f>'DJB Daily Readings'!AJ23-'DJB Daily Readings'!AJ22</f>
        <v>7405.4399999994785</v>
      </c>
      <c r="S15" s="3">
        <f>'DJB Daily Readings'!AM23-'DJB Daily Readings'!AM22</f>
        <v>4774.5600000005215</v>
      </c>
      <c r="T15" s="3">
        <f>'DJB Daily Readings'!AP23-'DJB Daily Readings'!AP22</f>
        <v>4677.1200000010431</v>
      </c>
      <c r="U15" s="3">
        <f>'DJB Daily Readings'!AS23-'DJB Daily Readings'!AS22</f>
        <v>3361.679999999702</v>
      </c>
      <c r="V15" s="3">
        <f>'DJB Daily Readings'!AV23-'DJB Daily Readings'!AV22</f>
        <v>5115.5999999996275</v>
      </c>
      <c r="W15" s="3">
        <f>'DJB Daily Readings'!AZ23-'DJB Daily Readings'!AZ22</f>
        <v>57500</v>
      </c>
      <c r="X15" s="3">
        <f>'DJB Daily Readings'!BC23-'DJB Daily Readings'!BC22</f>
        <v>0</v>
      </c>
      <c r="Y15" s="3">
        <f>'DJB Daily Readings'!BF23-'DJB Daily Readings'!BF22</f>
        <v>31200</v>
      </c>
      <c r="Z15" s="3">
        <f>('DJB Daily Readings'!CK23-'DJB Daily Readings'!CK22)*1.89</f>
        <v>158.76</v>
      </c>
      <c r="AA15" s="3">
        <f>('DJB Daily Readings'!CN23-'DJB Daily Readings'!CN22)*1.89</f>
        <v>120.96</v>
      </c>
      <c r="AB15" s="3">
        <f>('DJB Daily Readings'!CQ23-'DJB Daily Readings'!CQ22)*1.89</f>
        <v>102.05999999999999</v>
      </c>
      <c r="AC15" s="3">
        <f>'DJB Daily Readings'!CT23-'DJB Daily Readings'!CT22</f>
        <v>192</v>
      </c>
      <c r="AD15" s="84">
        <f>('DJB Daily Readings'!BY23-'DJB Daily Readings'!BY22)*1.89</f>
        <v>37.799999999999997</v>
      </c>
      <c r="AE15" s="84">
        <f>('DJB Daily Readings'!CA23-'DJB Daily Readings'!CA22)*1.89</f>
        <v>37.799999999999997</v>
      </c>
      <c r="AF15" s="84">
        <f>('DJB Daily Readings'!CC23-'DJB Daily Readings'!CC22)*1.89</f>
        <v>15.12</v>
      </c>
      <c r="AG15" s="84">
        <f>('DJB Daily Readings'!CE23-'DJB Daily Readings'!CE22)*1.89</f>
        <v>22.68</v>
      </c>
      <c r="AH15" s="84">
        <f>('DJB Daily Readings'!CG23-'DJB Daily Readings'!CG22)*1.89</f>
        <v>22.68</v>
      </c>
      <c r="AI15" s="84">
        <f>('DJB Daily Readings'!CI23-'DJB Daily Readings'!CI22)*1.89</f>
        <v>47.25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12</v>
      </c>
      <c r="AM15" s="82">
        <f>'DJB Daily Readings'!DA23-'DJB Daily Readings'!DA22</f>
        <v>10</v>
      </c>
      <c r="AN15" s="82">
        <f>'DJB Daily Readings'!DG23-'DJB Daily Readings'!DG22</f>
        <v>6</v>
      </c>
      <c r="AO15" s="82">
        <f>'DJB Daily Readings'!DE23-'DJB Daily Readings'!DE22</f>
        <v>9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1</v>
      </c>
      <c r="AS15" s="82">
        <f>'DJB Daily Readings'!DM23-'DJB Daily Readings'!DM22</f>
        <v>6</v>
      </c>
      <c r="AT15" s="82">
        <f>'DJB Daily Readings'!DQ23-'DJB Daily Readings'!DQ22</f>
        <v>27</v>
      </c>
      <c r="AU15" s="82">
        <f>'DJB Daily Readings'!DT23-'DJB Daily Readings'!DT22</f>
        <v>1498</v>
      </c>
      <c r="AW15" s="82">
        <f>'DJB Daily Readings'!DX23-'DJB Daily Readings'!DX22</f>
        <v>1243</v>
      </c>
      <c r="AX15" s="82">
        <f>'DJB Daily Readings'!DZ23-'DJB Daily Readings'!DZ22</f>
        <v>133</v>
      </c>
      <c r="AY15" s="82">
        <f>'DJB Daily Readings'!EB23-'DJB Daily Readings'!EB22</f>
        <v>555</v>
      </c>
      <c r="AZ15" s="82">
        <f>'DJB Daily Readings'!ED23-'DJB Daily Readings'!ED22</f>
        <v>140</v>
      </c>
      <c r="BA15" s="82">
        <f>'DJB Daily Readings'!EG23-'DJB Daily Readings'!EG22</f>
        <v>7840</v>
      </c>
      <c r="BB15" s="82">
        <f>'DJB Daily Readings'!EI23-'DJB Daily Readings'!EI22</f>
        <v>450</v>
      </c>
      <c r="BC15" s="82">
        <f>'DJB Daily Readings'!EQ23-'DJB Daily Readings'!EQ22</f>
        <v>5600</v>
      </c>
      <c r="BD15" s="82">
        <f>'DJB Daily Readings'!EK23-'DJB Daily Readings'!EK22</f>
        <v>4000</v>
      </c>
      <c r="BE15" s="82">
        <f>'DJB Daily Readings'!EM23-'DJB Daily Readings'!EM22</f>
        <v>701</v>
      </c>
      <c r="BF15" s="82">
        <f>'DJB Daily Readings'!EO23-'DJB Daily Readings'!EO22</f>
        <v>180</v>
      </c>
      <c r="BG15" s="82">
        <f>('DJB Daily Readings'!ET23-'DJB Daily Readings'!ET22)*1.89</f>
        <v>30.24</v>
      </c>
      <c r="BH15" s="82">
        <f>('DJB Daily Readings'!EV23-'DJB Daily Readings'!EV22)*1.89</f>
        <v>30.24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49.14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2019</v>
      </c>
      <c r="E16" s="78">
        <f>237*0.63</f>
        <v>149.31</v>
      </c>
      <c r="F16" s="79">
        <f>251+43</f>
        <v>294</v>
      </c>
      <c r="G16" s="3">
        <f>'DJB Daily Readings'!C24-'DJB Daily Readings'!C23</f>
        <v>632</v>
      </c>
      <c r="H16" s="3">
        <f>'DJB Daily Readings'!F24-'DJB Daily Readings'!F23</f>
        <v>360</v>
      </c>
      <c r="I16" s="3">
        <f>'DJB Daily Readings'!K24-'DJB Daily Readings'!K23</f>
        <v>398</v>
      </c>
      <c r="J16" s="3">
        <f>'DJB Daily Readings'!K24-'DJB Daily Readings'!K23</f>
        <v>398</v>
      </c>
      <c r="K16" s="3">
        <f>'DJB Daily Readings'!O24-'DJB Daily Readings'!O23</f>
        <v>204</v>
      </c>
      <c r="L16" s="3">
        <f>'DJB Daily Readings'!R24-'DJB Daily Readings'!R23</f>
        <v>55</v>
      </c>
      <c r="M16" s="3">
        <f>'DJB Daily Readings'!U24-'DJB Daily Readings'!U23</f>
        <v>3166.7999999998137</v>
      </c>
      <c r="N16" s="3">
        <f>'DJB Daily Readings'!X24-'DJB Daily Readings'!X23</f>
        <v>4969.4399999994785</v>
      </c>
      <c r="O16" s="3">
        <f>'DJB Daily Readings'!AA24-'DJB Daily Readings'!AA23</f>
        <v>12033.839999997988</v>
      </c>
      <c r="P16" s="3">
        <f>'DJB Daily Readings'!AD24-'DJB Daily Readings'!AD23</f>
        <v>146.16000000014901</v>
      </c>
      <c r="Q16" s="3">
        <f>'DJB Daily Readings'!AG24-'DJB Daily Readings'!AG23</f>
        <v>7308</v>
      </c>
      <c r="R16" s="3">
        <f>'DJB Daily Readings'!AJ24-'DJB Daily Readings'!AJ23</f>
        <v>7843.9199999999255</v>
      </c>
      <c r="S16" s="3">
        <f>'DJB Daily Readings'!AM24-'DJB Daily Readings'!AM23</f>
        <v>4823.2799999993294</v>
      </c>
      <c r="T16" s="3">
        <f>'DJB Daily Readings'!AP24-'DJB Daily Readings'!AP23</f>
        <v>5115.5999999996275</v>
      </c>
      <c r="U16" s="3">
        <f>'DJB Daily Readings'!AS24-'DJB Daily Readings'!AS23</f>
        <v>3459.1200000010431</v>
      </c>
      <c r="V16" s="3">
        <f>'DJB Daily Readings'!AV24-'DJB Daily Readings'!AV23</f>
        <v>5359.1999999992549</v>
      </c>
      <c r="W16" s="3">
        <f>'DJB Daily Readings'!AZ24-'DJB Daily Readings'!AZ23</f>
        <v>56700</v>
      </c>
      <c r="X16" s="3">
        <f>'DJB Daily Readings'!BC24-'DJB Daily Readings'!BC23</f>
        <v>0</v>
      </c>
      <c r="Y16" s="3">
        <f>'DJB Daily Readings'!BF24-'DJB Daily Readings'!BF23</f>
        <v>32000</v>
      </c>
      <c r="Z16" s="3">
        <f>('DJB Daily Readings'!CK24-'DJB Daily Readings'!CK23)*1.89</f>
        <v>175.76999999999998</v>
      </c>
      <c r="AA16" s="3">
        <f>('DJB Daily Readings'!CN24-'DJB Daily Readings'!CN23)*1.89</f>
        <v>119.07</v>
      </c>
      <c r="AB16" s="3">
        <f>('DJB Daily Readings'!CQ24-'DJB Daily Readings'!CQ23)*1.89</f>
        <v>145.53</v>
      </c>
      <c r="AC16" s="3">
        <f>'DJB Daily Readings'!CT24-'DJB Daily Readings'!CT23</f>
        <v>189</v>
      </c>
      <c r="AD16" s="84">
        <f>('DJB Daily Readings'!BY24-'DJB Daily Readings'!BY23)*1.89</f>
        <v>30.24</v>
      </c>
      <c r="AE16" s="84">
        <f>('DJB Daily Readings'!CA24-'DJB Daily Readings'!CA23)*1.89</f>
        <v>7.56</v>
      </c>
      <c r="AF16" s="84">
        <f>('DJB Daily Readings'!CC24-'DJB Daily Readings'!CC23)*1.89</f>
        <v>11.34</v>
      </c>
      <c r="AG16" s="84">
        <f>('DJB Daily Readings'!CE24-'DJB Daily Readings'!CE23)*1.89</f>
        <v>11.34</v>
      </c>
      <c r="AH16" s="84">
        <f>('DJB Daily Readings'!CG24-'DJB Daily Readings'!CG23)*1.89</f>
        <v>18.899999999999999</v>
      </c>
      <c r="AI16" s="84">
        <f>('DJB Daily Readings'!CI24-'DJB Daily Readings'!CI23)*1.89</f>
        <v>45.36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0</v>
      </c>
      <c r="AM16" s="82">
        <f>'DJB Daily Readings'!DA24-'DJB Daily Readings'!DA23</f>
        <v>2</v>
      </c>
      <c r="AN16" s="82">
        <f>'DJB Daily Readings'!DG24-'DJB Daily Readings'!DG23</f>
        <v>7</v>
      </c>
      <c r="AO16" s="82">
        <f>'DJB Daily Readings'!DE24-'DJB Daily Readings'!DE23</f>
        <v>8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1</v>
      </c>
      <c r="AS16" s="82">
        <f>'DJB Daily Readings'!DM24-'DJB Daily Readings'!DM23</f>
        <v>5</v>
      </c>
      <c r="AT16" s="82">
        <f>'DJB Daily Readings'!DQ24-'DJB Daily Readings'!DQ23</f>
        <v>27</v>
      </c>
      <c r="AU16" s="82">
        <f>'DJB Daily Readings'!DT24-'DJB Daily Readings'!DT23</f>
        <v>1484</v>
      </c>
      <c r="AW16" s="82">
        <f>'DJB Daily Readings'!DX24-'DJB Daily Readings'!DX23</f>
        <v>1267</v>
      </c>
      <c r="AX16" s="82">
        <f>'DJB Daily Readings'!DZ24-'DJB Daily Readings'!DZ23</f>
        <v>133</v>
      </c>
      <c r="AY16" s="82">
        <f>'DJB Daily Readings'!EB24-'DJB Daily Readings'!EB23</f>
        <v>570</v>
      </c>
      <c r="AZ16" s="82">
        <f>'DJB Daily Readings'!ED24-'DJB Daily Readings'!ED23</f>
        <v>136</v>
      </c>
      <c r="BA16" s="82">
        <f>'DJB Daily Readings'!EG24-'DJB Daily Readings'!EG23</f>
        <v>7840</v>
      </c>
      <c r="BB16" s="82">
        <f>'DJB Daily Readings'!EI24-'DJB Daily Readings'!EI23</f>
        <v>450</v>
      </c>
      <c r="BC16" s="82">
        <f>'DJB Daily Readings'!EQ24-'DJB Daily Readings'!EQ23</f>
        <v>5600</v>
      </c>
      <c r="BD16" s="82">
        <f>'DJB Daily Readings'!EK24-'DJB Daily Readings'!EK23</f>
        <v>3700</v>
      </c>
      <c r="BE16" s="82">
        <f>'DJB Daily Readings'!EM24-'DJB Daily Readings'!EM23</f>
        <v>720</v>
      </c>
      <c r="BF16" s="82">
        <f>'DJB Daily Readings'!EO24-'DJB Daily Readings'!EO23</f>
        <v>180</v>
      </c>
      <c r="BG16" s="82">
        <f>('DJB Daily Readings'!ET24-'DJB Daily Readings'!ET23)*1.89</f>
        <v>35.909999999999997</v>
      </c>
      <c r="BH16" s="82">
        <f>('DJB Daily Readings'!EV24-'DJB Daily Readings'!EV23)*1.89</f>
        <v>30.24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54.809999999999995</v>
      </c>
    </row>
    <row r="17" spans="1:63" x14ac:dyDescent="0.25">
      <c r="A17" t="s">
        <v>59</v>
      </c>
      <c r="B17">
        <f t="shared" si="0"/>
        <v>16</v>
      </c>
      <c r="C17">
        <v>10</v>
      </c>
      <c r="D17">
        <v>2019</v>
      </c>
      <c r="E17" s="78">
        <f>237*0.61</f>
        <v>144.57</v>
      </c>
      <c r="F17" s="79">
        <f>249+42</f>
        <v>291</v>
      </c>
      <c r="G17" s="3">
        <f>'DJB Daily Readings'!C25-'DJB Daily Readings'!C24</f>
        <v>486</v>
      </c>
      <c r="H17" s="3">
        <f>'DJB Daily Readings'!F25-'DJB Daily Readings'!F24</f>
        <v>322</v>
      </c>
      <c r="I17" s="3">
        <f>'DJB Daily Readings'!K25-'DJB Daily Readings'!K24</f>
        <v>391</v>
      </c>
      <c r="J17" s="3">
        <f>'DJB Daily Readings'!K25-'DJB Daily Readings'!K24</f>
        <v>391</v>
      </c>
      <c r="K17" s="3">
        <f>'DJB Daily Readings'!O25-'DJB Daily Readings'!O24</f>
        <v>231</v>
      </c>
      <c r="L17" s="3">
        <f>'DJB Daily Readings'!R25-'DJB Daily Readings'!R24</f>
        <v>62</v>
      </c>
      <c r="M17" s="3">
        <f>'DJB Daily Readings'!U25-'DJB Daily Readings'!U24</f>
        <v>3020.640000000596</v>
      </c>
      <c r="N17" s="3">
        <f>'DJB Daily Readings'!X25-'DJB Daily Readings'!X24</f>
        <v>4774.5600000005215</v>
      </c>
      <c r="O17" s="3">
        <f>'DJB Daily Readings'!AA25-'DJB Daily Readings'!AA24</f>
        <v>12180</v>
      </c>
      <c r="P17" s="3">
        <f>'DJB Daily Readings'!AD25-'DJB Daily Readings'!AD24</f>
        <v>292.32000000029802</v>
      </c>
      <c r="Q17" s="3">
        <f>'DJB Daily Readings'!AG25-'DJB Daily Readings'!AG24</f>
        <v>6236.1599999982864</v>
      </c>
      <c r="R17" s="3">
        <f>'DJB Daily Readings'!AJ25-'DJB Daily Readings'!AJ24</f>
        <v>7649.0400000009686</v>
      </c>
      <c r="S17" s="3">
        <f>'DJB Daily Readings'!AM25-'DJB Daily Readings'!AM24</f>
        <v>4677.1200000010431</v>
      </c>
      <c r="T17" s="3">
        <f>'DJB Daily Readings'!AP25-'DJB Daily Readings'!AP24</f>
        <v>4872</v>
      </c>
      <c r="U17" s="3">
        <f>'DJB Daily Readings'!AS25-'DJB Daily Readings'!AS24</f>
        <v>3118.0799999991432</v>
      </c>
      <c r="V17" s="3">
        <f>'DJB Daily Readings'!AV25-'DJB Daily Readings'!AV24</f>
        <v>5066.8799999989569</v>
      </c>
      <c r="W17" s="3">
        <f>'DJB Daily Readings'!AZ25-'DJB Daily Readings'!AZ24</f>
        <v>62600</v>
      </c>
      <c r="X17" s="3">
        <f>'DJB Daily Readings'!BC25-'DJB Daily Readings'!BC24</f>
        <v>0</v>
      </c>
      <c r="Y17" s="3">
        <f>'DJB Daily Readings'!BF25-'DJB Daily Readings'!BF24</f>
        <v>33100</v>
      </c>
      <c r="Z17" s="3">
        <f>('DJB Daily Readings'!CK25-'DJB Daily Readings'!CK24)*1.89</f>
        <v>143.63999999999999</v>
      </c>
      <c r="AA17" s="3">
        <f>('DJB Daily Readings'!CN25-'DJB Daily Readings'!CN24)*1.89</f>
        <v>128.51999999999998</v>
      </c>
      <c r="AB17" s="3">
        <f>('DJB Daily Readings'!CQ25-'DJB Daily Readings'!CQ24)*1.89</f>
        <v>137.97</v>
      </c>
      <c r="AC17" s="3">
        <f>'DJB Daily Readings'!CT25-'DJB Daily Readings'!CT24</f>
        <v>192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18.899999999999999</v>
      </c>
      <c r="AH17" s="84">
        <f>('DJB Daily Readings'!CG25-'DJB Daily Readings'!CG24)*1.89</f>
        <v>18.899999999999999</v>
      </c>
      <c r="AI17" s="84">
        <f>('DJB Daily Readings'!CI25-'DJB Daily Readings'!CI24)*1.89</f>
        <v>47.25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12</v>
      </c>
      <c r="AM17" s="82">
        <f>'DJB Daily Readings'!DA25-'DJB Daily Readings'!DA24</f>
        <v>13</v>
      </c>
      <c r="AN17" s="82">
        <f>'DJB Daily Readings'!DG25-'DJB Daily Readings'!DG24</f>
        <v>3</v>
      </c>
      <c r="AO17" s="82">
        <f>'DJB Daily Readings'!DE25-'DJB Daily Readings'!DE24</f>
        <v>3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1</v>
      </c>
      <c r="AS17" s="82">
        <f>'DJB Daily Readings'!DM25-'DJB Daily Readings'!DM24</f>
        <v>5</v>
      </c>
      <c r="AT17" s="82">
        <f>'DJB Daily Readings'!DQ25-'DJB Daily Readings'!DQ24</f>
        <v>27</v>
      </c>
      <c r="AU17" s="82">
        <f>'DJB Daily Readings'!DT25-'DJB Daily Readings'!DT24</f>
        <v>1497</v>
      </c>
      <c r="AW17" s="82">
        <f>'DJB Daily Readings'!DX25-'DJB Daily Readings'!DX24</f>
        <v>1195</v>
      </c>
      <c r="AX17" s="82">
        <f>'DJB Daily Readings'!DZ25-'DJB Daily Readings'!DZ24</f>
        <v>132</v>
      </c>
      <c r="AY17" s="82">
        <f>'DJB Daily Readings'!EB25-'DJB Daily Readings'!EB24</f>
        <v>558</v>
      </c>
      <c r="AZ17" s="82">
        <f>'DJB Daily Readings'!ED25-'DJB Daily Readings'!ED24</f>
        <v>137</v>
      </c>
      <c r="BA17" s="82">
        <f>'DJB Daily Readings'!EG25-'DJB Daily Readings'!EG24</f>
        <v>6800</v>
      </c>
      <c r="BB17" s="82">
        <f>'DJB Daily Readings'!EI25-'DJB Daily Readings'!EI24</f>
        <v>410</v>
      </c>
      <c r="BC17" s="82">
        <f>'DJB Daily Readings'!EQ25-'DJB Daily Readings'!EQ24</f>
        <v>7500</v>
      </c>
      <c r="BD17" s="82">
        <f>'DJB Daily Readings'!EK25-'DJB Daily Readings'!EK24</f>
        <v>4000</v>
      </c>
      <c r="BE17" s="82">
        <f>'DJB Daily Readings'!EM25-'DJB Daily Readings'!EM24</f>
        <v>680</v>
      </c>
      <c r="BF17" s="82">
        <f>'DJB Daily Readings'!EO25-'DJB Daily Readings'!EO24</f>
        <v>180</v>
      </c>
      <c r="BG17" s="82">
        <f>('DJB Daily Readings'!ET25-'DJB Daily Readings'!ET24)*1.89</f>
        <v>32.129999999999995</v>
      </c>
      <c r="BH17" s="82">
        <f>('DJB Daily Readings'!EV25-'DJB Daily Readings'!EV24)*1.89</f>
        <v>30.24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54.809999999999995</v>
      </c>
    </row>
    <row r="18" spans="1:63" x14ac:dyDescent="0.25">
      <c r="A18" t="s">
        <v>59</v>
      </c>
      <c r="B18">
        <f t="shared" si="0"/>
        <v>17</v>
      </c>
      <c r="C18">
        <v>10</v>
      </c>
      <c r="D18">
        <v>2019</v>
      </c>
      <c r="E18" s="78">
        <f>237*0.62</f>
        <v>146.94</v>
      </c>
      <c r="F18" s="79">
        <f>263+46</f>
        <v>309</v>
      </c>
      <c r="G18" s="3">
        <f>'DJB Daily Readings'!C26-'DJB Daily Readings'!C25</f>
        <v>580</v>
      </c>
      <c r="H18" s="3">
        <f>'DJB Daily Readings'!F26-'DJB Daily Readings'!F25</f>
        <v>355</v>
      </c>
      <c r="I18" s="3">
        <f>'DJB Daily Readings'!K26-'DJB Daily Readings'!K25</f>
        <v>217</v>
      </c>
      <c r="J18" s="3">
        <f>'DJB Daily Readings'!K26-'DJB Daily Readings'!K25</f>
        <v>217</v>
      </c>
      <c r="K18" s="3">
        <f>'DJB Daily Readings'!O26-'DJB Daily Readings'!O25</f>
        <v>218</v>
      </c>
      <c r="L18" s="3">
        <f>'DJB Daily Readings'!R26-'DJB Daily Readings'!R25</f>
        <v>56</v>
      </c>
      <c r="M18" s="3">
        <f>'DJB Daily Readings'!U26-'DJB Daily Readings'!U25</f>
        <v>3166.7999999998137</v>
      </c>
      <c r="N18" s="3">
        <f>'DJB Daily Readings'!X26-'DJB Daily Readings'!X25</f>
        <v>4920.7200000006706</v>
      </c>
      <c r="O18" s="3">
        <f>'DJB Daily Readings'!AA26-'DJB Daily Readings'!AA25</f>
        <v>12082.560000002384</v>
      </c>
      <c r="P18" s="3">
        <f>'DJB Daily Readings'!AD26-'DJB Daily Readings'!AD25</f>
        <v>633.35999999940395</v>
      </c>
      <c r="Q18" s="3">
        <f>'DJB Daily Readings'!AG26-'DJB Daily Readings'!AG25</f>
        <v>7746.4799999985844</v>
      </c>
      <c r="R18" s="3">
        <f>'DJB Daily Readings'!AJ26-'DJB Daily Readings'!AJ25</f>
        <v>6723.359999999404</v>
      </c>
      <c r="S18" s="3">
        <f>'DJB Daily Readings'!AM26-'DJB Daily Readings'!AM25</f>
        <v>5018.160000000149</v>
      </c>
      <c r="T18" s="3">
        <f>'DJB Daily Readings'!AP26-'DJB Daily Readings'!AP25</f>
        <v>5018.160000000149</v>
      </c>
      <c r="U18" s="3">
        <f>'DJB Daily Readings'!AS26-'DJB Daily Readings'!AS25</f>
        <v>3507.839999999851</v>
      </c>
      <c r="V18" s="3">
        <f>'DJB Daily Readings'!AV26-'DJB Daily Readings'!AV25</f>
        <v>5407.9200000017881</v>
      </c>
      <c r="W18" s="3">
        <f>'DJB Daily Readings'!AZ26-'DJB Daily Readings'!AZ25</f>
        <v>59200</v>
      </c>
      <c r="X18" s="3">
        <f>'DJB Daily Readings'!BC26-'DJB Daily Readings'!BC25</f>
        <v>0</v>
      </c>
      <c r="Y18" s="3">
        <f>'DJB Daily Readings'!BF26-'DJB Daily Readings'!BF25</f>
        <v>37300</v>
      </c>
      <c r="Z18" s="3">
        <f>('DJB Daily Readings'!CK26-'DJB Daily Readings'!CK25)*1.89</f>
        <v>164.42999999999998</v>
      </c>
      <c r="AA18" s="3">
        <f>('DJB Daily Readings'!CN26-'DJB Daily Readings'!CN25)*1.89</f>
        <v>126.63</v>
      </c>
      <c r="AB18" s="3">
        <f>('DJB Daily Readings'!CQ26-'DJB Daily Readings'!CQ25)*1.89</f>
        <v>137.97</v>
      </c>
      <c r="AC18" s="3">
        <f>'DJB Daily Readings'!CT26-'DJB Daily Readings'!CT25</f>
        <v>197</v>
      </c>
      <c r="AD18" s="84">
        <f>('DJB Daily Readings'!BY26-'DJB Daily Readings'!BY25)*1.89</f>
        <v>43.47</v>
      </c>
      <c r="AE18" s="84">
        <f>('DJB Daily Readings'!CA26-'DJB Daily Readings'!CA25)*1.89</f>
        <v>37.799999999999997</v>
      </c>
      <c r="AF18" s="84">
        <f>('DJB Daily Readings'!CC26-'DJB Daily Readings'!CC25)*1.89</f>
        <v>15.12</v>
      </c>
      <c r="AG18" s="84">
        <f>('DJB Daily Readings'!CE26-'DJB Daily Readings'!CE25)*1.89</f>
        <v>20.79</v>
      </c>
      <c r="AH18" s="84">
        <f>('DJB Daily Readings'!CG26-'DJB Daily Readings'!CG25)*1.89</f>
        <v>24.57</v>
      </c>
      <c r="AI18" s="84">
        <f>('DJB Daily Readings'!CI26-'DJB Daily Readings'!CI25)*1.89</f>
        <v>52.919999999999995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15</v>
      </c>
      <c r="AM18" s="82">
        <f>'DJB Daily Readings'!DA26-'DJB Daily Readings'!DA25</f>
        <v>17</v>
      </c>
      <c r="AN18" s="82">
        <f>'DJB Daily Readings'!DG26-'DJB Daily Readings'!DG25</f>
        <v>8</v>
      </c>
      <c r="AO18" s="82">
        <f>'DJB Daily Readings'!DE26-'DJB Daily Readings'!DE25</f>
        <v>8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1</v>
      </c>
      <c r="AS18" s="82">
        <f>'DJB Daily Readings'!DM26-'DJB Daily Readings'!DM25</f>
        <v>4</v>
      </c>
      <c r="AT18" s="82">
        <f>'DJB Daily Readings'!DQ26-'DJB Daily Readings'!DQ25</f>
        <v>14</v>
      </c>
      <c r="AU18" s="82">
        <f>'DJB Daily Readings'!DT26-'DJB Daily Readings'!DT25</f>
        <v>1618</v>
      </c>
      <c r="AW18" s="82">
        <f>'DJB Daily Readings'!DX26-'DJB Daily Readings'!DX25</f>
        <v>1232</v>
      </c>
      <c r="AX18" s="82">
        <f>'DJB Daily Readings'!DZ26-'DJB Daily Readings'!DZ25</f>
        <v>133</v>
      </c>
      <c r="AY18" s="82">
        <f>'DJB Daily Readings'!EB26-'DJB Daily Readings'!EB25</f>
        <v>566</v>
      </c>
      <c r="AZ18" s="82">
        <f>'DJB Daily Readings'!ED26-'DJB Daily Readings'!ED25</f>
        <v>139</v>
      </c>
      <c r="BA18" s="82">
        <f>'DJB Daily Readings'!EG26-'DJB Daily Readings'!EG25</f>
        <v>7200</v>
      </c>
      <c r="BB18" s="82">
        <f>'DJB Daily Readings'!EI26-'DJB Daily Readings'!EI25</f>
        <v>450</v>
      </c>
      <c r="BC18" s="82">
        <f>'DJB Daily Readings'!EQ26-'DJB Daily Readings'!EQ25</f>
        <v>5600</v>
      </c>
      <c r="BD18" s="82">
        <f>'DJB Daily Readings'!EK26-'DJB Daily Readings'!EK25</f>
        <v>3100</v>
      </c>
      <c r="BE18" s="82">
        <f>'DJB Daily Readings'!EM26-'DJB Daily Readings'!EM25</f>
        <v>650</v>
      </c>
      <c r="BF18" s="82">
        <f>'DJB Daily Readings'!EO26-'DJB Daily Readings'!EO25</f>
        <v>180</v>
      </c>
      <c r="BG18" s="82">
        <f>('DJB Daily Readings'!ET26-'DJB Daily Readings'!ET25)*1.89</f>
        <v>37.799999999999997</v>
      </c>
      <c r="BH18" s="82">
        <f>('DJB Daily Readings'!EV26-'DJB Daily Readings'!EV25)*1.89</f>
        <v>30.24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54.809999999999995</v>
      </c>
    </row>
    <row r="19" spans="1:63" x14ac:dyDescent="0.25">
      <c r="A19" t="s">
        <v>59</v>
      </c>
      <c r="B19">
        <f t="shared" si="0"/>
        <v>18</v>
      </c>
      <c r="C19">
        <v>10</v>
      </c>
      <c r="D19">
        <v>2019</v>
      </c>
      <c r="E19" s="78">
        <f>237*0.73</f>
        <v>173.01</v>
      </c>
      <c r="F19" s="79">
        <f>319+63</f>
        <v>382</v>
      </c>
      <c r="G19" s="3">
        <f>'DJB Daily Readings'!C27-'DJB Daily Readings'!C26</f>
        <v>645</v>
      </c>
      <c r="H19" s="3">
        <f>'DJB Daily Readings'!F27-'DJB Daily Readings'!F26</f>
        <v>408</v>
      </c>
      <c r="I19" s="3">
        <f>'DJB Daily Readings'!K27-'DJB Daily Readings'!K26</f>
        <v>216</v>
      </c>
      <c r="J19" s="3">
        <f>'DJB Daily Readings'!K27-'DJB Daily Readings'!K26</f>
        <v>216</v>
      </c>
      <c r="K19" s="3">
        <f>'DJB Daily Readings'!O27-'DJB Daily Readings'!O26</f>
        <v>235</v>
      </c>
      <c r="L19" s="3">
        <f>'DJB Daily Readings'!R27-'DJB Daily Readings'!R26</f>
        <v>63</v>
      </c>
      <c r="M19" s="3">
        <f>'DJB Daily Readings'!U27-'DJB Daily Readings'!U26</f>
        <v>3264.2399999992922</v>
      </c>
      <c r="N19" s="3">
        <f>'DJB Daily Readings'!X27-'DJB Daily Readings'!X26</f>
        <v>4823.2799999993294</v>
      </c>
      <c r="O19" s="3">
        <f>'DJB Daily Readings'!AA27-'DJB Daily Readings'!AA26</f>
        <v>12423.599999999627</v>
      </c>
      <c r="P19" s="3">
        <f>'DJB Daily Readings'!AD27-'DJB Daily Readings'!AD26</f>
        <v>292.32000000029802</v>
      </c>
      <c r="Q19" s="3">
        <f>'DJB Daily Readings'!AG27-'DJB Daily Readings'!AG26</f>
        <v>8574.7200000025332</v>
      </c>
      <c r="R19" s="3">
        <f>'DJB Daily Readings'!AJ27-'DJB Daily Readings'!AJ26</f>
        <v>6869.5200000014156</v>
      </c>
      <c r="S19" s="3">
        <f>'DJB Daily Readings'!AM27-'DJB Daily Readings'!AM26</f>
        <v>4969.4399999994785</v>
      </c>
      <c r="T19" s="3">
        <f>'DJB Daily Readings'!AP27-'DJB Daily Readings'!AP26</f>
        <v>5018.160000000149</v>
      </c>
      <c r="U19" s="3">
        <f>'DJB Daily Readings'!AS27-'DJB Daily Readings'!AS26</f>
        <v>3507.839999999851</v>
      </c>
      <c r="V19" s="3">
        <f>'DJB Daily Readings'!AV27-'DJB Daily Readings'!AV26</f>
        <v>5310.4799999985844</v>
      </c>
      <c r="W19" s="3">
        <f>'DJB Daily Readings'!AZ27-'DJB Daily Readings'!AZ26</f>
        <v>61800</v>
      </c>
      <c r="X19" s="3">
        <f>'DJB Daily Readings'!BC27-'DJB Daily Readings'!BC26</f>
        <v>0</v>
      </c>
      <c r="Y19" s="3">
        <f>'DJB Daily Readings'!BF27-'DJB Daily Readings'!BF26</f>
        <v>40700</v>
      </c>
      <c r="Z19" s="3">
        <f>('DJB Daily Readings'!CK27-'DJB Daily Readings'!CK26)*1.89</f>
        <v>154.97999999999999</v>
      </c>
      <c r="AA19" s="3">
        <f>('DJB Daily Readings'!CN27-'DJB Daily Readings'!CN26)*1.89</f>
        <v>117.17999999999999</v>
      </c>
      <c r="AB19" s="3">
        <f>('DJB Daily Readings'!CQ27-'DJB Daily Readings'!CQ26)*1.89</f>
        <v>128.51999999999998</v>
      </c>
      <c r="AC19" s="3">
        <f>'DJB Daily Readings'!CT27-'DJB Daily Readings'!CT26</f>
        <v>186</v>
      </c>
      <c r="AD19" s="84">
        <f>('DJB Daily Readings'!BY27-'DJB Daily Readings'!BY26)*1.89</f>
        <v>37.799999999999997</v>
      </c>
      <c r="AE19" s="84">
        <f>('DJB Daily Readings'!CA27-'DJB Daily Readings'!CA26)*1.89</f>
        <v>32.129999999999995</v>
      </c>
      <c r="AF19" s="84">
        <f>('DJB Daily Readings'!CC27-'DJB Daily Readings'!CC26)*1.89</f>
        <v>13.229999999999999</v>
      </c>
      <c r="AG19" s="84">
        <f>('DJB Daily Readings'!CE27-'DJB Daily Readings'!CE26)*1.89</f>
        <v>17.009999999999998</v>
      </c>
      <c r="AH19" s="84">
        <f>('DJB Daily Readings'!CG27-'DJB Daily Readings'!CG26)*1.89</f>
        <v>17.009999999999998</v>
      </c>
      <c r="AI19" s="84">
        <f>('DJB Daily Readings'!CI27-'DJB Daily Readings'!CI26)*1.89</f>
        <v>51.029999999999994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19</v>
      </c>
      <c r="AM19" s="82">
        <f>'DJB Daily Readings'!DA27-'DJB Daily Readings'!DA26</f>
        <v>19</v>
      </c>
      <c r="AN19" s="82">
        <f>'DJB Daily Readings'!DG27-'DJB Daily Readings'!DG26</f>
        <v>7</v>
      </c>
      <c r="AO19" s="82">
        <f>'DJB Daily Readings'!DE27-'DJB Daily Readings'!DE26</f>
        <v>10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4</v>
      </c>
      <c r="AS19" s="82">
        <f>'DJB Daily Readings'!DM27-'DJB Daily Readings'!DM26</f>
        <v>5</v>
      </c>
      <c r="AT19" s="82">
        <f>'DJB Daily Readings'!DQ27-'DJB Daily Readings'!DQ26</f>
        <v>33</v>
      </c>
      <c r="AU19" s="82">
        <f>'DJB Daily Readings'!DT27-'DJB Daily Readings'!DT26</f>
        <v>1606</v>
      </c>
      <c r="AW19" s="82">
        <f>'DJB Daily Readings'!DX27-'DJB Daily Readings'!DX26</f>
        <v>1272</v>
      </c>
      <c r="AX19" s="82">
        <f>'DJB Daily Readings'!DZ27-'DJB Daily Readings'!DZ26</f>
        <v>133</v>
      </c>
      <c r="AY19" s="82">
        <f>'DJB Daily Readings'!EB27-'DJB Daily Readings'!EB26</f>
        <v>570</v>
      </c>
      <c r="AZ19" s="82">
        <f>'DJB Daily Readings'!ED27-'DJB Daily Readings'!ED26</f>
        <v>140</v>
      </c>
      <c r="BA19" s="82">
        <f>'DJB Daily Readings'!EG27-'DJB Daily Readings'!EG26</f>
        <v>7840</v>
      </c>
      <c r="BB19" s="82">
        <f>'DJB Daily Readings'!EI27-'DJB Daily Readings'!EI26</f>
        <v>450</v>
      </c>
      <c r="BC19" s="82">
        <f>'DJB Daily Readings'!EQ27-'DJB Daily Readings'!EQ26</f>
        <v>9000</v>
      </c>
      <c r="BD19" s="82">
        <f>'DJB Daily Readings'!EK27-'DJB Daily Readings'!EK26</f>
        <v>3100</v>
      </c>
      <c r="BE19" s="82">
        <f>'DJB Daily Readings'!EM27-'DJB Daily Readings'!EM26</f>
        <v>650</v>
      </c>
      <c r="BF19" s="82">
        <f>'DJB Daily Readings'!EO27-'DJB Daily Readings'!EO26</f>
        <v>180</v>
      </c>
      <c r="BG19" s="82">
        <f>('DJB Daily Readings'!ET27-'DJB Daily Readings'!ET26)*1.89</f>
        <v>39.69</v>
      </c>
      <c r="BH19" s="82">
        <f>('DJB Daily Readings'!EV27-'DJB Daily Readings'!EV26)*1.89</f>
        <v>34.019999999999996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10</v>
      </c>
      <c r="D20">
        <v>2019</v>
      </c>
      <c r="E20" s="78">
        <f>237*0.62</f>
        <v>146.94</v>
      </c>
      <c r="F20" s="79">
        <f>300+88</f>
        <v>388</v>
      </c>
      <c r="G20" s="3">
        <f>'DJB Daily Readings'!C28-'DJB Daily Readings'!C27</f>
        <v>546</v>
      </c>
      <c r="H20" s="3">
        <f>'DJB Daily Readings'!F28-'DJB Daily Readings'!F27</f>
        <v>341</v>
      </c>
      <c r="I20" s="3">
        <f>'DJB Daily Readings'!K28-'DJB Daily Readings'!K27</f>
        <v>401</v>
      </c>
      <c r="J20" s="3">
        <f>'DJB Daily Readings'!K28-'DJB Daily Readings'!K27</f>
        <v>401</v>
      </c>
      <c r="K20" s="3">
        <f>'DJB Daily Readings'!O28-'DJB Daily Readings'!O27</f>
        <v>215</v>
      </c>
      <c r="L20" s="3">
        <f>'DJB Daily Readings'!R28-'DJB Daily Readings'!R27</f>
        <v>53</v>
      </c>
      <c r="M20" s="3">
        <f>'DJB Daily Readings'!U28-'DJB Daily Readings'!U27</f>
        <v>2387.2800000002608</v>
      </c>
      <c r="N20" s="3">
        <f>'DJB Daily Readings'!X28-'DJB Daily Readings'!X27</f>
        <v>4872</v>
      </c>
      <c r="O20" s="3">
        <f>'DJB Daily Readings'!AA28-'DJB Daily Readings'!AA27</f>
        <v>10913.279999999329</v>
      </c>
      <c r="P20" s="3">
        <f>'DJB Daily Readings'!AD28-'DJB Daily Readings'!AD27</f>
        <v>8720.8800000008196</v>
      </c>
      <c r="Q20" s="3">
        <f>'DJB Daily Readings'!AG28-'DJB Daily Readings'!AG27</f>
        <v>974.40000000037253</v>
      </c>
      <c r="R20" s="3">
        <f>'DJB Daily Readings'!AJ28-'DJB Daily Readings'!AJ27</f>
        <v>7015.6799999978393</v>
      </c>
      <c r="S20" s="3">
        <f>'DJB Daily Readings'!AM28-'DJB Daily Readings'!AM27</f>
        <v>4774.5600000005215</v>
      </c>
      <c r="T20" s="3">
        <f>'DJB Daily Readings'!AP28-'DJB Daily Readings'!AP27</f>
        <v>4920.7199999988079</v>
      </c>
      <c r="U20" s="3">
        <f>'DJB Daily Readings'!AS28-'DJB Daily Readings'!AS27</f>
        <v>3215.5200000004843</v>
      </c>
      <c r="V20" s="3">
        <f>'DJB Daily Readings'!AV28-'DJB Daily Readings'!AV27</f>
        <v>5261.7599999997765</v>
      </c>
      <c r="W20" s="3">
        <f>'DJB Daily Readings'!AZ28-'DJB Daily Readings'!AZ27</f>
        <v>55900</v>
      </c>
      <c r="X20" s="3">
        <f>'DJB Daily Readings'!BC28-'DJB Daily Readings'!BC27</f>
        <v>39700</v>
      </c>
      <c r="Y20" s="3">
        <f>'DJB Daily Readings'!BF28-'DJB Daily Readings'!BF27</f>
        <v>0</v>
      </c>
      <c r="Z20" s="3">
        <f>('DJB Daily Readings'!CK28-'DJB Daily Readings'!CK27)*1.89</f>
        <v>164.42999999999998</v>
      </c>
      <c r="AA20" s="3">
        <f>('DJB Daily Readings'!CN28-'DJB Daily Readings'!CN27)*1.89</f>
        <v>136.07999999999998</v>
      </c>
      <c r="AB20" s="3">
        <f>('DJB Daily Readings'!CQ28-'DJB Daily Readings'!CQ27)*1.89</f>
        <v>137.97</v>
      </c>
      <c r="AC20" s="3">
        <f>'DJB Daily Readings'!CT28-'DJB Daily Readings'!CT27</f>
        <v>195</v>
      </c>
      <c r="AD20" s="84">
        <f>('DJB Daily Readings'!BY28-'DJB Daily Readings'!BY27)*1.89</f>
        <v>35.909999999999997</v>
      </c>
      <c r="AE20" s="84">
        <f>('DJB Daily Readings'!CA28-'DJB Daily Readings'!CA27)*1.89</f>
        <v>26.459999999999997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7.56</v>
      </c>
      <c r="AI20" s="84">
        <f>('DJB Daily Readings'!CI28-'DJB Daily Readings'!CI27)*1.89</f>
        <v>51.029999999999994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15</v>
      </c>
      <c r="AM20" s="82">
        <f>'DJB Daily Readings'!DA28-'DJB Daily Readings'!DA27</f>
        <v>18</v>
      </c>
      <c r="AN20" s="82">
        <f>'DJB Daily Readings'!DG28-'DJB Daily Readings'!DG27</f>
        <v>7</v>
      </c>
      <c r="AO20" s="82">
        <f>'DJB Daily Readings'!DE28-'DJB Daily Readings'!DE27</f>
        <v>8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2</v>
      </c>
      <c r="AS20" s="82">
        <f>'DJB Daily Readings'!DM28-'DJB Daily Readings'!DM27</f>
        <v>5</v>
      </c>
      <c r="AT20" s="82">
        <f>'DJB Daily Readings'!DQ28-'DJB Daily Readings'!DQ27</f>
        <v>18</v>
      </c>
      <c r="AU20" s="82">
        <f>'DJB Daily Readings'!DT28-'DJB Daily Readings'!DT27</f>
        <v>1500</v>
      </c>
      <c r="AW20" s="82">
        <f>'DJB Daily Readings'!DX28-'DJB Daily Readings'!DX27</f>
        <v>1250</v>
      </c>
      <c r="AX20" s="82">
        <f>'DJB Daily Readings'!DZ28-'DJB Daily Readings'!DZ27</f>
        <v>120</v>
      </c>
      <c r="AY20" s="82">
        <f>'DJB Daily Readings'!EB28-'DJB Daily Readings'!EB27</f>
        <v>560</v>
      </c>
      <c r="AZ20" s="82">
        <f>'DJB Daily Readings'!ED28-'DJB Daily Readings'!ED27</f>
        <v>150</v>
      </c>
      <c r="BA20" s="82">
        <f>'DJB Daily Readings'!EG28-'DJB Daily Readings'!EG27</f>
        <v>7100</v>
      </c>
      <c r="BB20" s="82">
        <f>'DJB Daily Readings'!EI28-'DJB Daily Readings'!EI27</f>
        <v>420</v>
      </c>
      <c r="BC20" s="82">
        <f>'DJB Daily Readings'!EQ28-'DJB Daily Readings'!EQ27</f>
        <v>7000</v>
      </c>
      <c r="BD20" s="82">
        <f>'DJB Daily Readings'!EK28-'DJB Daily Readings'!EK27</f>
        <v>3700</v>
      </c>
      <c r="BE20" s="82">
        <f>'DJB Daily Readings'!EM28-'DJB Daily Readings'!EM27</f>
        <v>620</v>
      </c>
      <c r="BF20" s="82">
        <f>'DJB Daily Readings'!EO28-'DJB Daily Readings'!EO27</f>
        <v>180</v>
      </c>
      <c r="BG20" s="82">
        <f>('DJB Daily Readings'!ET28-'DJB Daily Readings'!ET27)*1.89</f>
        <v>37.799999999999997</v>
      </c>
      <c r="BH20" s="82">
        <f>('DJB Daily Readings'!EV28-'DJB Daily Readings'!EV27)*1.89</f>
        <v>34.019999999999996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10</v>
      </c>
      <c r="D21">
        <v>2019</v>
      </c>
      <c r="E21" s="78">
        <f>237*0.65</f>
        <v>154.05000000000001</v>
      </c>
      <c r="F21" s="79">
        <f>270+84</f>
        <v>354</v>
      </c>
      <c r="G21" s="3">
        <f>'DJB Daily Readings'!C29-'DJB Daily Readings'!C28</f>
        <v>595</v>
      </c>
      <c r="H21" s="3">
        <f>'DJB Daily Readings'!F29-'DJB Daily Readings'!F28</f>
        <v>362</v>
      </c>
      <c r="I21" s="3">
        <f>'DJB Daily Readings'!K29-'DJB Daily Readings'!K28</f>
        <v>364</v>
      </c>
      <c r="J21" s="3">
        <f>'DJB Daily Readings'!K29-'DJB Daily Readings'!K28</f>
        <v>364</v>
      </c>
      <c r="K21" s="3">
        <f>'DJB Daily Readings'!O29-'DJB Daily Readings'!O28</f>
        <v>218</v>
      </c>
      <c r="L21" s="3">
        <f>'DJB Daily Readings'!R29-'DJB Daily Readings'!R28</f>
        <v>58</v>
      </c>
      <c r="M21" s="3">
        <f>'DJB Daily Readings'!U29-'DJB Daily Readings'!U28</f>
        <v>2387.2800000002608</v>
      </c>
      <c r="N21" s="3">
        <f>'DJB Daily Readings'!X29-'DJB Daily Readings'!X28</f>
        <v>4920.7200000006706</v>
      </c>
      <c r="O21" s="3">
        <f>'DJB Daily Readings'!AA29-'DJB Daily Readings'!AA28</f>
        <v>7843.9199999999255</v>
      </c>
      <c r="P21" s="3">
        <f>'DJB Daily Readings'!AD29-'DJB Daily Readings'!AD28</f>
        <v>10815.839999999851</v>
      </c>
      <c r="Q21" s="3">
        <f>'DJB Daily Readings'!AG29-'DJB Daily Readings'!AG28</f>
        <v>1218</v>
      </c>
      <c r="R21" s="3">
        <f>'DJB Daily Readings'!AJ29-'DJB Daily Readings'!AJ28</f>
        <v>6772.0800000000745</v>
      </c>
      <c r="S21" s="3">
        <f>'DJB Daily Readings'!AM29-'DJB Daily Readings'!AM28</f>
        <v>4677.1199999991804</v>
      </c>
      <c r="T21" s="3">
        <f>'DJB Daily Readings'!AP29-'DJB Daily Readings'!AP28</f>
        <v>4969.4399999994785</v>
      </c>
      <c r="U21" s="3">
        <f>'DJB Daily Readings'!AS29-'DJB Daily Readings'!AS28</f>
        <v>3166.7999999998137</v>
      </c>
      <c r="V21" s="3">
        <f>'DJB Daily Readings'!AV29-'DJB Daily Readings'!AV28</f>
        <v>5261.7600000016391</v>
      </c>
      <c r="W21" s="3">
        <f>'DJB Daily Readings'!AZ29-'DJB Daily Readings'!AZ28</f>
        <v>42500</v>
      </c>
      <c r="X21" s="3">
        <f>'DJB Daily Readings'!BC29-'DJB Daily Readings'!BC28</f>
        <v>53600</v>
      </c>
      <c r="Y21" s="3">
        <f>'DJB Daily Readings'!BF29-'DJB Daily Readings'!BF28</f>
        <v>0</v>
      </c>
      <c r="Z21" s="3">
        <f>('DJB Daily Readings'!CK29-'DJB Daily Readings'!CK28)*1.89</f>
        <v>158.76</v>
      </c>
      <c r="AA21" s="3">
        <f>('DJB Daily Readings'!CN29-'DJB Daily Readings'!CN28)*1.89</f>
        <v>117.17999999999999</v>
      </c>
      <c r="AB21" s="3">
        <f>('DJB Daily Readings'!CQ29-'DJB Daily Readings'!CQ28)*1.89</f>
        <v>126.63</v>
      </c>
      <c r="AC21" s="3">
        <f>'DJB Daily Readings'!CT29-'DJB Daily Readings'!CT28</f>
        <v>190</v>
      </c>
      <c r="AD21" s="84">
        <f>('DJB Daily Readings'!BY29-'DJB Daily Readings'!BY28)*1.89</f>
        <v>37.799999999999997</v>
      </c>
      <c r="AE21" s="84">
        <f>('DJB Daily Readings'!CA29-'DJB Daily Readings'!CA28)*1.89</f>
        <v>32.129999999999995</v>
      </c>
      <c r="AF21" s="84">
        <f>('DJB Daily Readings'!CC29-'DJB Daily Readings'!CC28)*1.89</f>
        <v>13.229999999999999</v>
      </c>
      <c r="AG21" s="84">
        <f>('DJB Daily Readings'!CE29-'DJB Daily Readings'!CE28)*1.89</f>
        <v>22.68</v>
      </c>
      <c r="AH21" s="84">
        <f>('DJB Daily Readings'!CG29-'DJB Daily Readings'!CG28)*1.89</f>
        <v>17.009999999999998</v>
      </c>
      <c r="AI21" s="84">
        <f>('DJB Daily Readings'!CI29-'DJB Daily Readings'!CI28)*1.89</f>
        <v>51.029999999999994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7</v>
      </c>
      <c r="AM21" s="82">
        <f>'DJB Daily Readings'!DA29-'DJB Daily Readings'!DA28</f>
        <v>9</v>
      </c>
      <c r="AN21" s="82">
        <f>'DJB Daily Readings'!DG29-'DJB Daily Readings'!DG28</f>
        <v>11</v>
      </c>
      <c r="AO21" s="82">
        <f>'DJB Daily Readings'!DE29-'DJB Daily Readings'!DE28</f>
        <v>9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4</v>
      </c>
      <c r="AS21" s="82">
        <f>'DJB Daily Readings'!DM29-'DJB Daily Readings'!DM28</f>
        <v>16</v>
      </c>
      <c r="AT21" s="82">
        <f>'DJB Daily Readings'!DQ29-'DJB Daily Readings'!DQ28</f>
        <v>16</v>
      </c>
      <c r="AU21" s="82">
        <f>'DJB Daily Readings'!DT29-'DJB Daily Readings'!DT28</f>
        <v>1546</v>
      </c>
      <c r="AW21" s="82">
        <f>'DJB Daily Readings'!DX29-'DJB Daily Readings'!DX28</f>
        <v>1248</v>
      </c>
      <c r="AX21" s="82">
        <f>'DJB Daily Readings'!DZ29-'DJB Daily Readings'!DZ28</f>
        <v>146</v>
      </c>
      <c r="AY21" s="82">
        <f>'DJB Daily Readings'!EB29-'DJB Daily Readings'!EB28</f>
        <v>576</v>
      </c>
      <c r="AZ21" s="82">
        <f>'DJB Daily Readings'!ED29-'DJB Daily Readings'!ED28</f>
        <v>122</v>
      </c>
      <c r="BA21" s="82">
        <f>'DJB Daily Readings'!EG29-'DJB Daily Readings'!EG28</f>
        <v>6900</v>
      </c>
      <c r="BB21" s="82">
        <f>'DJB Daily Readings'!EI29-'DJB Daily Readings'!EI28</f>
        <v>450</v>
      </c>
      <c r="BC21" s="82">
        <f>'DJB Daily Readings'!EQ29-'DJB Daily Readings'!EQ28</f>
        <v>5600</v>
      </c>
      <c r="BD21" s="82">
        <f>'DJB Daily Readings'!EK29-'DJB Daily Readings'!EK28</f>
        <v>3100</v>
      </c>
      <c r="BE21" s="82">
        <f>'DJB Daily Readings'!EM29-'DJB Daily Readings'!EM28</f>
        <v>620</v>
      </c>
      <c r="BF21" s="82">
        <f>'DJB Daily Readings'!EO29-'DJB Daily Readings'!EO28</f>
        <v>180</v>
      </c>
      <c r="BG21" s="82">
        <f>('DJB Daily Readings'!ET29-'DJB Daily Readings'!ET28)*1.89</f>
        <v>37.799999999999997</v>
      </c>
      <c r="BH21" s="82">
        <f>('DJB Daily Readings'!EV29-'DJB Daily Readings'!EV28)*1.89</f>
        <v>28.349999999999998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10</v>
      </c>
      <c r="D22">
        <v>2019</v>
      </c>
      <c r="E22" s="78">
        <f>237*0.71</f>
        <v>168.26999999999998</v>
      </c>
      <c r="F22" s="79">
        <f>284+92</f>
        <v>376</v>
      </c>
      <c r="G22" s="3">
        <f>'DJB Daily Readings'!C30-'DJB Daily Readings'!C29</f>
        <v>484</v>
      </c>
      <c r="H22" s="3">
        <f>'DJB Daily Readings'!F30-'DJB Daily Readings'!F29</f>
        <v>280</v>
      </c>
      <c r="I22" s="3">
        <f>'DJB Daily Readings'!K30-'DJB Daily Readings'!K29</f>
        <v>467</v>
      </c>
      <c r="J22" s="3">
        <f>'DJB Daily Readings'!K30-'DJB Daily Readings'!K29</f>
        <v>467</v>
      </c>
      <c r="K22" s="3">
        <f>'DJB Daily Readings'!O30-'DJB Daily Readings'!O29</f>
        <v>201</v>
      </c>
      <c r="L22" s="3">
        <f>'DJB Daily Readings'!R30-'DJB Daily Readings'!R29</f>
        <v>44</v>
      </c>
      <c r="M22" s="3">
        <f>'DJB Daily Readings'!U30-'DJB Daily Readings'!U29</f>
        <v>2387.2800000002608</v>
      </c>
      <c r="N22" s="3">
        <f>'DJB Daily Readings'!X30-'DJB Daily Readings'!X29</f>
        <v>4872</v>
      </c>
      <c r="O22" s="3">
        <f>'DJB Daily Readings'!AA30-'DJB Daily Readings'!AA29</f>
        <v>7308</v>
      </c>
      <c r="P22" s="3">
        <f>'DJB Daily Readings'!AD30-'DJB Daily Readings'!AD29</f>
        <v>11108.160000000149</v>
      </c>
      <c r="Q22" s="3">
        <f>'DJB Daily Readings'!AG30-'DJB Daily Readings'!AG29</f>
        <v>779.51999999769032</v>
      </c>
      <c r="R22" s="3">
        <f>'DJB Daily Readings'!AJ30-'DJB Daily Readings'!AJ29</f>
        <v>7064.4000000003725</v>
      </c>
      <c r="S22" s="3">
        <f>'DJB Daily Readings'!AM30-'DJB Daily Readings'!AM29</f>
        <v>4482.2400000002235</v>
      </c>
      <c r="T22" s="3">
        <f>'DJB Daily Readings'!AP30-'DJB Daily Readings'!AP29</f>
        <v>4823.2800000011921</v>
      </c>
      <c r="U22" s="3">
        <f>'DJB Daily Readings'!AS30-'DJB Daily Readings'!AS29</f>
        <v>3459.1200000001118</v>
      </c>
      <c r="V22" s="3">
        <f>'DJB Daily Readings'!AV30-'DJB Daily Readings'!AV29</f>
        <v>5261.7599999997765</v>
      </c>
      <c r="W22" s="3">
        <f>'DJB Daily Readings'!AZ30-'DJB Daily Readings'!AZ29</f>
        <v>37300</v>
      </c>
      <c r="X22" s="3">
        <f>'DJB Daily Readings'!BC30-'DJB Daily Readings'!BC29</f>
        <v>55400</v>
      </c>
      <c r="Y22" s="3">
        <f>'DJB Daily Readings'!BF30-'DJB Daily Readings'!BF29</f>
        <v>0</v>
      </c>
      <c r="Z22" s="3">
        <f>('DJB Daily Readings'!CK30-'DJB Daily Readings'!CK29)*1.89</f>
        <v>162.54</v>
      </c>
      <c r="AA22" s="3">
        <f>('DJB Daily Readings'!CN30-'DJB Daily Readings'!CN29)*1.89</f>
        <v>137.97</v>
      </c>
      <c r="AB22" s="3">
        <f>('DJB Daily Readings'!CQ30-'DJB Daily Readings'!CQ29)*1.89</f>
        <v>134.19</v>
      </c>
      <c r="AC22" s="3">
        <f>'DJB Daily Readings'!CT30-'DJB Daily Readings'!CT29</f>
        <v>193</v>
      </c>
      <c r="AD22" s="84">
        <f>('DJB Daily Readings'!BY30-'DJB Daily Readings'!BY29)*1.89</f>
        <v>37.799999999999997</v>
      </c>
      <c r="AE22" s="84">
        <f>('DJB Daily Readings'!CA30-'DJB Daily Readings'!CA29)*1.89</f>
        <v>28.349999999999998</v>
      </c>
      <c r="AF22" s="84">
        <f>('DJB Daily Readings'!CC30-'DJB Daily Readings'!CC29)*1.89</f>
        <v>13.229999999999999</v>
      </c>
      <c r="AG22" s="84">
        <f>('DJB Daily Readings'!CE30-'DJB Daily Readings'!CE29)*1.89</f>
        <v>20.79</v>
      </c>
      <c r="AH22" s="84">
        <f>('DJB Daily Readings'!CG30-'DJB Daily Readings'!CG29)*1.89</f>
        <v>18.899999999999999</v>
      </c>
      <c r="AI22" s="84">
        <f>('DJB Daily Readings'!CI30-'DJB Daily Readings'!CI29)*1.89</f>
        <v>49.14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12</v>
      </c>
      <c r="AM22" s="82">
        <f>'DJB Daily Readings'!DA30-'DJB Daily Readings'!DA29</f>
        <v>13</v>
      </c>
      <c r="AN22" s="82">
        <f>'DJB Daily Readings'!DG30-'DJB Daily Readings'!DG29</f>
        <v>7</v>
      </c>
      <c r="AO22" s="82">
        <f>'DJB Daily Readings'!DE30-'DJB Daily Readings'!DE29</f>
        <v>9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3</v>
      </c>
      <c r="AS22" s="82">
        <f>'DJB Daily Readings'!DM30-'DJB Daily Readings'!DM29</f>
        <v>5</v>
      </c>
      <c r="AT22" s="82">
        <f>'DJB Daily Readings'!DQ30-'DJB Daily Readings'!DQ29</f>
        <v>27</v>
      </c>
      <c r="AU22" s="82">
        <f>'DJB Daily Readings'!DT30-'DJB Daily Readings'!DT29</f>
        <v>1515</v>
      </c>
      <c r="AW22" s="82">
        <f>'DJB Daily Readings'!DX30-'DJB Daily Readings'!DX29</f>
        <v>1274</v>
      </c>
      <c r="AX22" s="82">
        <f>'DJB Daily Readings'!DZ30-'DJB Daily Readings'!DZ29</f>
        <v>134</v>
      </c>
      <c r="AY22" s="82">
        <f>'DJB Daily Readings'!EB30-'DJB Daily Readings'!EB29</f>
        <v>591</v>
      </c>
      <c r="AZ22" s="82">
        <f>'DJB Daily Readings'!ED30-'DJB Daily Readings'!ED29</f>
        <v>141</v>
      </c>
      <c r="BA22" s="82">
        <f>'DJB Daily Readings'!EG30-'DJB Daily Readings'!EG29</f>
        <v>7500</v>
      </c>
      <c r="BB22" s="82">
        <f>'DJB Daily Readings'!EI30-'DJB Daily Readings'!EI29</f>
        <v>450</v>
      </c>
      <c r="BC22" s="82">
        <f>'DJB Daily Readings'!EQ30-'DJB Daily Readings'!EQ29</f>
        <v>5600</v>
      </c>
      <c r="BD22" s="82">
        <f>'DJB Daily Readings'!EK30-'DJB Daily Readings'!EK29</f>
        <v>3500</v>
      </c>
      <c r="BE22" s="82">
        <f>'DJB Daily Readings'!EM30-'DJB Daily Readings'!EM29</f>
        <v>790</v>
      </c>
      <c r="BF22" s="82">
        <f>'DJB Daily Readings'!EO30-'DJB Daily Readings'!EO29</f>
        <v>180</v>
      </c>
      <c r="BG22" s="82">
        <f>('DJB Daily Readings'!ET30-'DJB Daily Readings'!ET29)*1.89</f>
        <v>30.24</v>
      </c>
      <c r="BH22" s="82">
        <f>('DJB Daily Readings'!EV30-'DJB Daily Readings'!EV29)*1.89</f>
        <v>32.129999999999995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54.809999999999995</v>
      </c>
    </row>
    <row r="23" spans="1:63" x14ac:dyDescent="0.25">
      <c r="A23" t="s">
        <v>59</v>
      </c>
      <c r="B23">
        <f t="shared" si="0"/>
        <v>22</v>
      </c>
      <c r="C23">
        <v>10</v>
      </c>
      <c r="D23">
        <v>2019</v>
      </c>
      <c r="E23" s="78">
        <f>237*0.74</f>
        <v>175.38</v>
      </c>
      <c r="F23" s="79">
        <f>300+99</f>
        <v>399</v>
      </c>
      <c r="G23" s="3">
        <f>'DJB Daily Readings'!C31-'DJB Daily Readings'!C30</f>
        <v>542</v>
      </c>
      <c r="H23" s="3">
        <f>'DJB Daily Readings'!F31-'DJB Daily Readings'!F30</f>
        <v>294</v>
      </c>
      <c r="I23" s="3">
        <f>'DJB Daily Readings'!K31-'DJB Daily Readings'!K30</f>
        <v>391</v>
      </c>
      <c r="J23" s="3">
        <f>'DJB Daily Readings'!K31-'DJB Daily Readings'!K30</f>
        <v>391</v>
      </c>
      <c r="K23" s="3">
        <f>'DJB Daily Readings'!O31-'DJB Daily Readings'!O30</f>
        <v>219</v>
      </c>
      <c r="L23" s="3">
        <f>'DJB Daily Readings'!R31-'DJB Daily Readings'!R30</f>
        <v>59</v>
      </c>
      <c r="M23" s="3">
        <f>'DJB Daily Readings'!U31-'DJB Daily Readings'!U30</f>
        <v>2484.7199999997392</v>
      </c>
      <c r="N23" s="3">
        <f>'DJB Daily Readings'!X31-'DJB Daily Readings'!X30</f>
        <v>5018.1599999982864</v>
      </c>
      <c r="O23" s="3">
        <f>'DJB Daily Readings'!AA31-'DJB Daily Readings'!AA30</f>
        <v>8136.2399999983609</v>
      </c>
      <c r="P23" s="3">
        <f>'DJB Daily Readings'!AD31-'DJB Daily Readings'!AD30</f>
        <v>13008.240000000224</v>
      </c>
      <c r="Q23" s="3">
        <f>'DJB Daily Readings'!AG31-'DJB Daily Readings'!AG30</f>
        <v>1364.160000000149</v>
      </c>
      <c r="R23" s="3">
        <f>'DJB Daily Readings'!AJ31-'DJB Daily Readings'!AJ30</f>
        <v>7259.2800000011921</v>
      </c>
      <c r="S23" s="3">
        <f>'DJB Daily Readings'!AM31-'DJB Daily Readings'!AM30</f>
        <v>4677.1199999991804</v>
      </c>
      <c r="T23" s="3">
        <f>'DJB Daily Readings'!AP31-'DJB Daily Readings'!AP30</f>
        <v>5213.0400000009686</v>
      </c>
      <c r="U23" s="3">
        <f>'DJB Daily Readings'!AS31-'DJB Daily Readings'!AS30</f>
        <v>3410.4000000003725</v>
      </c>
      <c r="V23" s="3">
        <f>'DJB Daily Readings'!AV31-'DJB Daily Readings'!AV30</f>
        <v>5505.359999999404</v>
      </c>
      <c r="W23" s="3">
        <f>'DJB Daily Readings'!AZ31-'DJB Daily Readings'!AZ30</f>
        <v>41900</v>
      </c>
      <c r="X23" s="3">
        <f>'DJB Daily Readings'!BC31-'DJB Daily Readings'!BC30</f>
        <v>57700</v>
      </c>
      <c r="Y23" s="3">
        <f>'DJB Daily Readings'!BF31-'DJB Daily Readings'!BF30</f>
        <v>0</v>
      </c>
      <c r="Z23" s="3">
        <f>('DJB Daily Readings'!CK31-'DJB Daily Readings'!CK30)*1.89</f>
        <v>156.87</v>
      </c>
      <c r="AA23" s="3">
        <f>('DJB Daily Readings'!CN31-'DJB Daily Readings'!CN30)*1.89</f>
        <v>136.07999999999998</v>
      </c>
      <c r="AB23" s="3">
        <f>('DJB Daily Readings'!CQ31-'DJB Daily Readings'!CQ30)*1.89</f>
        <v>128.51999999999998</v>
      </c>
      <c r="AC23" s="3">
        <f>'DJB Daily Readings'!CT31-'DJB Daily Readings'!CT30</f>
        <v>188</v>
      </c>
      <c r="AD23" s="84">
        <f>('DJB Daily Readings'!BY31-'DJB Daily Readings'!BY30)*1.89</f>
        <v>37.799999999999997</v>
      </c>
      <c r="AE23" s="84">
        <f>('DJB Daily Readings'!CA31-'DJB Daily Readings'!CA30)*1.89</f>
        <v>28.349999999999998</v>
      </c>
      <c r="AF23" s="84">
        <f>('DJB Daily Readings'!CC31-'DJB Daily Readings'!CC30)*1.89</f>
        <v>13.229999999999999</v>
      </c>
      <c r="AG23" s="84">
        <f>('DJB Daily Readings'!CE31-'DJB Daily Readings'!CE30)*1.89</f>
        <v>20.79</v>
      </c>
      <c r="AH23" s="84">
        <f>('DJB Daily Readings'!CG31-'DJB Daily Readings'!CG30)*1.89</f>
        <v>18.899999999999999</v>
      </c>
      <c r="AI23" s="84">
        <f>('DJB Daily Readings'!CI31-'DJB Daily Readings'!CI30)*1.89</f>
        <v>49.14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12</v>
      </c>
      <c r="AM23" s="82">
        <f>'DJB Daily Readings'!DA31-'DJB Daily Readings'!DA30</f>
        <v>11</v>
      </c>
      <c r="AN23" s="82">
        <f>'DJB Daily Readings'!DG31-'DJB Daily Readings'!DG30</f>
        <v>3</v>
      </c>
      <c r="AO23" s="82">
        <f>'DJB Daily Readings'!DE31-'DJB Daily Readings'!DE30</f>
        <v>2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1</v>
      </c>
      <c r="AS23" s="82">
        <f>'DJB Daily Readings'!DM31-'DJB Daily Readings'!DM30</f>
        <v>7</v>
      </c>
      <c r="AT23" s="82">
        <f>'DJB Daily Readings'!DQ31-'DJB Daily Readings'!DQ30</f>
        <v>27</v>
      </c>
      <c r="AU23" s="82">
        <f>'DJB Daily Readings'!DT31-'DJB Daily Readings'!DT30</f>
        <v>1501</v>
      </c>
      <c r="AW23" s="82">
        <f>'DJB Daily Readings'!DX31-'DJB Daily Readings'!DX30</f>
        <v>1248</v>
      </c>
      <c r="AX23" s="82">
        <f>'DJB Daily Readings'!DZ31-'DJB Daily Readings'!DZ30</f>
        <v>126</v>
      </c>
      <c r="AY23" s="82">
        <f>'DJB Daily Readings'!EB31-'DJB Daily Readings'!EB30</f>
        <v>566</v>
      </c>
      <c r="AZ23" s="82">
        <f>'DJB Daily Readings'!ED31-'DJB Daily Readings'!ED30</f>
        <v>136</v>
      </c>
      <c r="BA23" s="82">
        <f>'DJB Daily Readings'!EG31-'DJB Daily Readings'!EG30</f>
        <v>7840</v>
      </c>
      <c r="BB23" s="82">
        <f>'DJB Daily Readings'!EI31-'DJB Daily Readings'!EI30</f>
        <v>450</v>
      </c>
      <c r="BC23" s="82">
        <f>'DJB Daily Readings'!EQ31-'DJB Daily Readings'!EQ30</f>
        <v>5600</v>
      </c>
      <c r="BD23" s="82">
        <f>'DJB Daily Readings'!EK31-'DJB Daily Readings'!EK30</f>
        <v>3100</v>
      </c>
      <c r="BE23" s="82">
        <f>'DJB Daily Readings'!EM31-'DJB Daily Readings'!EM30</f>
        <v>790</v>
      </c>
      <c r="BF23" s="82">
        <f>'DJB Daily Readings'!EO31-'DJB Daily Readings'!EO30</f>
        <v>180</v>
      </c>
      <c r="BG23" s="82">
        <f>('DJB Daily Readings'!ET31-'DJB Daily Readings'!ET30)*1.89</f>
        <v>32.129999999999995</v>
      </c>
      <c r="BH23" s="82">
        <f>('DJB Daily Readings'!EV31-'DJB Daily Readings'!EV30)*1.89</f>
        <v>30.24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49.14</v>
      </c>
    </row>
    <row r="24" spans="1:63" x14ac:dyDescent="0.25">
      <c r="A24" t="s">
        <v>59</v>
      </c>
      <c r="B24">
        <f t="shared" si="0"/>
        <v>23</v>
      </c>
      <c r="C24">
        <v>10</v>
      </c>
      <c r="D24">
        <v>2019</v>
      </c>
      <c r="E24" s="78">
        <f>237*0.73</f>
        <v>173.01</v>
      </c>
      <c r="F24" s="79">
        <f>289+107</f>
        <v>396</v>
      </c>
      <c r="G24" s="3">
        <f>'DJB Daily Readings'!C32-'DJB Daily Readings'!C31</f>
        <v>556</v>
      </c>
      <c r="H24" s="3">
        <f>'DJB Daily Readings'!F32-'DJB Daily Readings'!F31</f>
        <v>326</v>
      </c>
      <c r="I24" s="3">
        <f>'DJB Daily Readings'!K32-'DJB Daily Readings'!K31</f>
        <v>406</v>
      </c>
      <c r="J24" s="3">
        <f>'DJB Daily Readings'!K32-'DJB Daily Readings'!K31</f>
        <v>406</v>
      </c>
      <c r="K24" s="3">
        <f>'DJB Daily Readings'!O32-'DJB Daily Readings'!O31</f>
        <v>233</v>
      </c>
      <c r="L24" s="3">
        <f>'DJB Daily Readings'!R32-'DJB Daily Readings'!R31</f>
        <v>60</v>
      </c>
      <c r="M24" s="3">
        <f>'DJB Daily Readings'!U32-'DJB Daily Readings'!U31</f>
        <v>2387.2800000002608</v>
      </c>
      <c r="N24" s="3">
        <f>'DJB Daily Readings'!X32-'DJB Daily Readings'!X31</f>
        <v>4823.2800000011921</v>
      </c>
      <c r="O24" s="3">
        <f>'DJB Daily Readings'!AA32-'DJB Daily Readings'!AA31</f>
        <v>7941.3600000012666</v>
      </c>
      <c r="P24" s="3">
        <f>'DJB Daily Readings'!AD32-'DJB Daily Readings'!AD31</f>
        <v>11741.519999999553</v>
      </c>
      <c r="Q24" s="3">
        <f>'DJB Daily Readings'!AG32-'DJB Daily Readings'!AG31</f>
        <v>1461.5999999996275</v>
      </c>
      <c r="R24" s="3">
        <f>'DJB Daily Readings'!AJ32-'DJB Daily Readings'!AJ31</f>
        <v>6918.2399999983609</v>
      </c>
      <c r="S24" s="3">
        <f>'DJB Daily Readings'!AM32-'DJB Daily Readings'!AM31</f>
        <v>4725.839999999851</v>
      </c>
      <c r="T24" s="3">
        <f>'DJB Daily Readings'!AP32-'DJB Daily Readings'!AP31</f>
        <v>4872</v>
      </c>
      <c r="U24" s="3">
        <f>'DJB Daily Readings'!AS32-'DJB Daily Readings'!AS31</f>
        <v>3556.5599999995902</v>
      </c>
      <c r="V24" s="3">
        <f>'DJB Daily Readings'!AV32-'DJB Daily Readings'!AV31</f>
        <v>5261.7599999997765</v>
      </c>
      <c r="W24" s="3">
        <f>'DJB Daily Readings'!AZ32-'DJB Daily Readings'!AZ31</f>
        <v>44100</v>
      </c>
      <c r="X24" s="3">
        <f>'DJB Daily Readings'!BC32-'DJB Daily Readings'!BC31</f>
        <v>59200</v>
      </c>
      <c r="Y24" s="3">
        <f>'DJB Daily Readings'!BF32-'DJB Daily Readings'!BF31</f>
        <v>0</v>
      </c>
      <c r="Z24" s="3">
        <f>('DJB Daily Readings'!CK32-'DJB Daily Readings'!CK31)*1.89</f>
        <v>166.32</v>
      </c>
      <c r="AA24" s="3">
        <f>('DJB Daily Readings'!CN32-'DJB Daily Readings'!CN31)*1.89</f>
        <v>145.53</v>
      </c>
      <c r="AB24" s="3">
        <f>('DJB Daily Readings'!CQ32-'DJB Daily Readings'!CQ31)*1.89</f>
        <v>168.20999999999998</v>
      </c>
      <c r="AC24" s="3">
        <f>'DJB Daily Readings'!CT32-'DJB Daily Readings'!CT31</f>
        <v>198</v>
      </c>
      <c r="AD24" s="84">
        <f>('DJB Daily Readings'!BY32-'DJB Daily Readings'!BY31)*1.89</f>
        <v>37.799999999999997</v>
      </c>
      <c r="AE24" s="84">
        <f>('DJB Daily Readings'!CA32-'DJB Daily Readings'!CA31)*1.89</f>
        <v>28.349999999999998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18.899999999999999</v>
      </c>
      <c r="AI24" s="84">
        <f>('DJB Daily Readings'!CI32-'DJB Daily Readings'!CI31)*1.89</f>
        <v>49.14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12</v>
      </c>
      <c r="AM24" s="82">
        <f>'DJB Daily Readings'!DA32-'DJB Daily Readings'!DA31</f>
        <v>14</v>
      </c>
      <c r="AN24" s="82">
        <f>'DJB Daily Readings'!DG32-'DJB Daily Readings'!DG31</f>
        <v>12</v>
      </c>
      <c r="AO24" s="82">
        <f>'DJB Daily Readings'!DE32-'DJB Daily Readings'!DE31</f>
        <v>10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3</v>
      </c>
      <c r="AS24" s="82">
        <f>'DJB Daily Readings'!DM32-'DJB Daily Readings'!DM31</f>
        <v>6</v>
      </c>
      <c r="AT24" s="82">
        <f>'DJB Daily Readings'!DQ32-'DJB Daily Readings'!DQ31</f>
        <v>27</v>
      </c>
      <c r="AU24" s="82">
        <f>'DJB Daily Readings'!DT32-'DJB Daily Readings'!DT31</f>
        <v>1586</v>
      </c>
      <c r="AW24" s="82">
        <f>'DJB Daily Readings'!DX32-'DJB Daily Readings'!DX31</f>
        <v>1286</v>
      </c>
      <c r="AX24" s="82">
        <f>'DJB Daily Readings'!DZ32-'DJB Daily Readings'!DZ31</f>
        <v>126</v>
      </c>
      <c r="AY24" s="82">
        <f>'DJB Daily Readings'!EB32-'DJB Daily Readings'!EB31</f>
        <v>577</v>
      </c>
      <c r="AZ24" s="82">
        <f>'DJB Daily Readings'!ED32-'DJB Daily Readings'!ED31</f>
        <v>140</v>
      </c>
      <c r="BA24" s="82">
        <f>'DJB Daily Readings'!EG32-'DJB Daily Readings'!EG31</f>
        <v>7600</v>
      </c>
      <c r="BB24" s="82">
        <f>'DJB Daily Readings'!EI32-'DJB Daily Readings'!EI31</f>
        <v>450</v>
      </c>
      <c r="BC24" s="82">
        <f>'DJB Daily Readings'!EQ32-'DJB Daily Readings'!EQ31</f>
        <v>5600</v>
      </c>
      <c r="BD24" s="82">
        <f>'DJB Daily Readings'!EK32-'DJB Daily Readings'!EK31</f>
        <v>4000</v>
      </c>
      <c r="BE24" s="82">
        <f>'DJB Daily Readings'!EM32-'DJB Daily Readings'!EM31</f>
        <v>790</v>
      </c>
      <c r="BF24" s="82">
        <f>'DJB Daily Readings'!EO32-'DJB Daily Readings'!EO31</f>
        <v>180</v>
      </c>
      <c r="BG24" s="82">
        <f>('DJB Daily Readings'!ET32-'DJB Daily Readings'!ET31)*1.89</f>
        <v>30.24</v>
      </c>
      <c r="BH24" s="82">
        <f>('DJB Daily Readings'!EV32-'DJB Daily Readings'!EV31)*1.89</f>
        <v>30.24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62.37</v>
      </c>
    </row>
    <row r="25" spans="1:63" x14ac:dyDescent="0.25">
      <c r="A25" t="s">
        <v>59</v>
      </c>
      <c r="B25">
        <f t="shared" si="0"/>
        <v>24</v>
      </c>
      <c r="C25">
        <v>10</v>
      </c>
      <c r="D25">
        <v>2019</v>
      </c>
      <c r="E25" s="78">
        <f>237*0.81</f>
        <v>191.97</v>
      </c>
      <c r="F25" s="79">
        <f>304+119</f>
        <v>423</v>
      </c>
      <c r="G25" s="3">
        <f>'DJB Daily Readings'!C33-'DJB Daily Readings'!C32</f>
        <v>583</v>
      </c>
      <c r="H25" s="3">
        <f>'DJB Daily Readings'!F33-'DJB Daily Readings'!F32</f>
        <v>336</v>
      </c>
      <c r="I25" s="3">
        <f>'DJB Daily Readings'!K33-'DJB Daily Readings'!K32</f>
        <v>388</v>
      </c>
      <c r="J25" s="3">
        <f>'DJB Daily Readings'!K33-'DJB Daily Readings'!K32</f>
        <v>388</v>
      </c>
      <c r="K25" s="3">
        <f>'DJB Daily Readings'!O33-'DJB Daily Readings'!O32</f>
        <v>232</v>
      </c>
      <c r="L25" s="3">
        <f>'DJB Daily Readings'!R33-'DJB Daily Readings'!R32</f>
        <v>65</v>
      </c>
      <c r="M25" s="3">
        <f>'DJB Daily Readings'!U33-'DJB Daily Readings'!U32</f>
        <v>2484.7199999997392</v>
      </c>
      <c r="N25" s="3">
        <f>'DJB Daily Readings'!X33-'DJB Daily Readings'!X32</f>
        <v>5018.160000000149</v>
      </c>
      <c r="O25" s="3">
        <f>'DJB Daily Readings'!AA33-'DJB Daily Readings'!AA32</f>
        <v>8477.2799999993294</v>
      </c>
      <c r="P25" s="3">
        <f>'DJB Daily Readings'!AD33-'DJB Daily Readings'!AD32</f>
        <v>11741.520000001416</v>
      </c>
      <c r="Q25" s="3">
        <f>'DJB Daily Readings'!AG33-'DJB Daily Readings'!AG32</f>
        <v>1510.3200000021607</v>
      </c>
      <c r="R25" s="3">
        <f>'DJB Daily Readings'!AJ33-'DJB Daily Readings'!AJ32</f>
        <v>6869.5200000014156</v>
      </c>
      <c r="S25" s="3">
        <f>'DJB Daily Readings'!AM33-'DJB Daily Readings'!AM32</f>
        <v>5066.8800000008196</v>
      </c>
      <c r="T25" s="3">
        <f>'DJB Daily Readings'!AP33-'DJB Daily Readings'!AP32</f>
        <v>4920.7199999988079</v>
      </c>
      <c r="U25" s="3">
        <f>'DJB Daily Readings'!AS33-'DJB Daily Readings'!AS32</f>
        <v>3556.5599999995902</v>
      </c>
      <c r="V25" s="3">
        <f>'DJB Daily Readings'!AV33-'DJB Daily Readings'!AV32</f>
        <v>5505.359999999404</v>
      </c>
      <c r="W25" s="3">
        <f>'DJB Daily Readings'!AZ33-'DJB Daily Readings'!AZ32</f>
        <v>43400</v>
      </c>
      <c r="X25" s="3">
        <f>'DJB Daily Readings'!BC33-'DJB Daily Readings'!BC32</f>
        <v>59900</v>
      </c>
      <c r="Y25" s="3">
        <f>'DJB Daily Readings'!BF33-'DJB Daily Readings'!BF32</f>
        <v>0</v>
      </c>
      <c r="Z25" s="3">
        <f>('DJB Daily Readings'!CK33-'DJB Daily Readings'!CK32)*1.89</f>
        <v>160.65</v>
      </c>
      <c r="AA25" s="3">
        <f>('DJB Daily Readings'!CN33-'DJB Daily Readings'!CN32)*1.89</f>
        <v>139.85999999999999</v>
      </c>
      <c r="AB25" s="3">
        <f>('DJB Daily Readings'!CQ33-'DJB Daily Readings'!CQ32)*1.89</f>
        <v>156.87</v>
      </c>
      <c r="AC25" s="3">
        <f>'DJB Daily Readings'!CT33-'DJB Daily Readings'!CT32</f>
        <v>190</v>
      </c>
      <c r="AD25" s="84">
        <f>('DJB Daily Readings'!BY33-'DJB Daily Readings'!BY32)*1.89</f>
        <v>37.799999999999997</v>
      </c>
      <c r="AE25" s="84">
        <f>('DJB Daily Readings'!CA33-'DJB Daily Readings'!CA32)*1.89</f>
        <v>28.349999999999998</v>
      </c>
      <c r="AF25" s="84">
        <f>('DJB Daily Readings'!CC33-'DJB Daily Readings'!CC32)*1.89</f>
        <v>13.229999999999999</v>
      </c>
      <c r="AG25" s="84">
        <f>('DJB Daily Readings'!CE33-'DJB Daily Readings'!CE32)*1.89</f>
        <v>20.79</v>
      </c>
      <c r="AH25" s="84">
        <f>('DJB Daily Readings'!CG33-'DJB Daily Readings'!CG32)*1.89</f>
        <v>18.899999999999999</v>
      </c>
      <c r="AI25" s="84">
        <f>('DJB Daily Readings'!CI33-'DJB Daily Readings'!CI32)*1.89</f>
        <v>49.14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13</v>
      </c>
      <c r="AM25" s="82">
        <f>'DJB Daily Readings'!DA33-'DJB Daily Readings'!DA32</f>
        <v>18</v>
      </c>
      <c r="AN25" s="82">
        <f>'DJB Daily Readings'!DG33-'DJB Daily Readings'!DG32</f>
        <v>7</v>
      </c>
      <c r="AO25" s="82">
        <f>'DJB Daily Readings'!DE33-'DJB Daily Readings'!DE32</f>
        <v>10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2</v>
      </c>
      <c r="AS25" s="82">
        <f>'DJB Daily Readings'!DM33-'DJB Daily Readings'!DM32</f>
        <v>7</v>
      </c>
      <c r="AT25" s="82">
        <f>'DJB Daily Readings'!DQ33-'DJB Daily Readings'!DQ32</f>
        <v>25</v>
      </c>
      <c r="AU25" s="82">
        <f>'DJB Daily Readings'!DT33-'DJB Daily Readings'!DT32</f>
        <v>1607</v>
      </c>
      <c r="AW25" s="82">
        <f>'DJB Daily Readings'!DX33-'DJB Daily Readings'!DX32</f>
        <v>1243</v>
      </c>
      <c r="AX25" s="82">
        <f>'DJB Daily Readings'!DZ33-'DJB Daily Readings'!DZ32</f>
        <v>125</v>
      </c>
      <c r="AY25" s="82">
        <f>'DJB Daily Readings'!EB33-'DJB Daily Readings'!EB32</f>
        <v>561</v>
      </c>
      <c r="AZ25" s="82">
        <f>'DJB Daily Readings'!ED33-'DJB Daily Readings'!ED32</f>
        <v>139</v>
      </c>
      <c r="BA25" s="82">
        <f>'DJB Daily Readings'!EG33-'DJB Daily Readings'!EG32</f>
        <v>6573</v>
      </c>
      <c r="BB25" s="82">
        <f>'DJB Daily Readings'!EI33-'DJB Daily Readings'!EI32</f>
        <v>270</v>
      </c>
      <c r="BC25" s="82">
        <f>'DJB Daily Readings'!EQ33-'DJB Daily Readings'!EQ32</f>
        <v>4400</v>
      </c>
      <c r="BD25" s="82">
        <f>'DJB Daily Readings'!EK33-'DJB Daily Readings'!EK32</f>
        <v>4100</v>
      </c>
      <c r="BE25" s="82">
        <f>'DJB Daily Readings'!EM33-'DJB Daily Readings'!EM32</f>
        <v>759</v>
      </c>
      <c r="BF25" s="82">
        <f>'DJB Daily Readings'!EO33-'DJB Daily Readings'!EO32</f>
        <v>140</v>
      </c>
      <c r="BG25" s="82">
        <f>('DJB Daily Readings'!ET33-'DJB Daily Readings'!ET32)*1.89</f>
        <v>35.909999999999997</v>
      </c>
      <c r="BH25" s="82">
        <f>('DJB Daily Readings'!EV33-'DJB Daily Readings'!EV32)*1.89</f>
        <v>34.019999999999996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10</v>
      </c>
      <c r="D26">
        <v>2019</v>
      </c>
      <c r="E26" s="78">
        <f>237*0.97</f>
        <v>229.89</v>
      </c>
      <c r="F26" s="79">
        <f>364+138</f>
        <v>502</v>
      </c>
      <c r="G26" s="3">
        <f>'DJB Daily Readings'!C34-'DJB Daily Readings'!C33</f>
        <v>579</v>
      </c>
      <c r="H26" s="3">
        <f>'DJB Daily Readings'!F34-'DJB Daily Readings'!F33</f>
        <v>379</v>
      </c>
      <c r="I26" s="3">
        <f>'DJB Daily Readings'!K34-'DJB Daily Readings'!K33</f>
        <v>394</v>
      </c>
      <c r="J26" s="3">
        <f>'DJB Daily Readings'!K34-'DJB Daily Readings'!K33</f>
        <v>394</v>
      </c>
      <c r="K26" s="3">
        <f>'DJB Daily Readings'!O34-'DJB Daily Readings'!O33</f>
        <v>204</v>
      </c>
      <c r="L26" s="3">
        <f>'DJB Daily Readings'!R34-'DJB Daily Readings'!R33</f>
        <v>50</v>
      </c>
      <c r="M26" s="3">
        <f>'DJB Daily Readings'!U34-'DJB Daily Readings'!U33</f>
        <v>3020.6399999996647</v>
      </c>
      <c r="N26" s="3">
        <f>'DJB Daily Readings'!X34-'DJB Daily Readings'!X33</f>
        <v>4384.7999999988824</v>
      </c>
      <c r="O26" s="3">
        <f>'DJB Daily Readings'!AA34-'DJB Daily Readings'!AA33</f>
        <v>6333.5999999996275</v>
      </c>
      <c r="P26" s="3">
        <f>'DJB Daily Readings'!AD34-'DJB Daily Readings'!AD33</f>
        <v>9938.8799999989569</v>
      </c>
      <c r="Q26" s="3">
        <f>'DJB Daily Readings'!AG34-'DJB Daily Readings'!AG33</f>
        <v>974.40000000037253</v>
      </c>
      <c r="R26" s="3">
        <f>'DJB Daily Readings'!AJ34-'DJB Daily Readings'!AJ33</f>
        <v>6333.5999999996275</v>
      </c>
      <c r="S26" s="3">
        <f>'DJB Daily Readings'!AM34-'DJB Daily Readings'!AM33</f>
        <v>4433.519999999553</v>
      </c>
      <c r="T26" s="3">
        <f>'DJB Daily Readings'!AP34-'DJB Daily Readings'!AP33</f>
        <v>4482.2400000002235</v>
      </c>
      <c r="U26" s="3">
        <f>'DJB Daily Readings'!AS34-'DJB Daily Readings'!AS33</f>
        <v>3264.2400000002235</v>
      </c>
      <c r="V26" s="3">
        <f>'DJB Daily Readings'!AV34-'DJB Daily Readings'!AV33</f>
        <v>5018.1600000020117</v>
      </c>
      <c r="W26" s="3">
        <f>'DJB Daily Readings'!AZ34-'DJB Daily Readings'!AZ33</f>
        <v>37400</v>
      </c>
      <c r="X26" s="3">
        <f>'DJB Daily Readings'!BC34-'DJB Daily Readings'!BC33</f>
        <v>51500</v>
      </c>
      <c r="Y26" s="3">
        <f>'DJB Daily Readings'!BF34-'DJB Daily Readings'!BF33</f>
        <v>0</v>
      </c>
      <c r="Z26" s="3">
        <f>('DJB Daily Readings'!CK34-'DJB Daily Readings'!CK33)*1.89</f>
        <v>160.65</v>
      </c>
      <c r="AA26" s="3">
        <f>('DJB Daily Readings'!CN34-'DJB Daily Readings'!CN33)*1.89</f>
        <v>145.53</v>
      </c>
      <c r="AB26" s="3">
        <f>('DJB Daily Readings'!CQ34-'DJB Daily Readings'!CQ33)*1.89</f>
        <v>196.56</v>
      </c>
      <c r="AC26" s="3">
        <f>'DJB Daily Readings'!CT34-'DJB Daily Readings'!CT33</f>
        <v>180</v>
      </c>
      <c r="AD26" s="84">
        <f>('DJB Daily Readings'!BY34-'DJB Daily Readings'!BY33)*1.89</f>
        <v>37.799999999999997</v>
      </c>
      <c r="AE26" s="84">
        <f>('DJB Daily Readings'!CA34-'DJB Daily Readings'!CA33)*1.89</f>
        <v>28.349999999999998</v>
      </c>
      <c r="AF26" s="84">
        <f>('DJB Daily Readings'!CC34-'DJB Daily Readings'!CC33)*1.89</f>
        <v>13.229999999999999</v>
      </c>
      <c r="AG26" s="84">
        <f>('DJB Daily Readings'!CE34-'DJB Daily Readings'!CE33)*1.89</f>
        <v>20.79</v>
      </c>
      <c r="AH26" s="84">
        <f>('DJB Daily Readings'!CG34-'DJB Daily Readings'!CG33)*1.89</f>
        <v>18.899999999999999</v>
      </c>
      <c r="AI26" s="84">
        <f>('DJB Daily Readings'!CI34-'DJB Daily Readings'!CI33)*1.89</f>
        <v>49.14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12</v>
      </c>
      <c r="AM26" s="82">
        <f>'DJB Daily Readings'!DA34-'DJB Daily Readings'!DA33</f>
        <v>19</v>
      </c>
      <c r="AN26" s="82">
        <f>'DJB Daily Readings'!DG34-'DJB Daily Readings'!DG33</f>
        <v>6</v>
      </c>
      <c r="AO26" s="82">
        <f>'DJB Daily Readings'!DE34-'DJB Daily Readings'!DE33</f>
        <v>10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1</v>
      </c>
      <c r="AS26" s="82">
        <f>'DJB Daily Readings'!DM34-'DJB Daily Readings'!DM33</f>
        <v>6</v>
      </c>
      <c r="AT26" s="82">
        <f>'DJB Daily Readings'!DQ34-'DJB Daily Readings'!DQ33</f>
        <v>27</v>
      </c>
      <c r="AU26" s="82">
        <f>'DJB Daily Readings'!DT34-'DJB Daily Readings'!DT33</f>
        <v>1610</v>
      </c>
      <c r="AW26" s="82">
        <f>'DJB Daily Readings'!DX34-'DJB Daily Readings'!DX33</f>
        <v>1263</v>
      </c>
      <c r="AX26" s="82">
        <f>'DJB Daily Readings'!DZ34-'DJB Daily Readings'!DZ33</f>
        <v>125</v>
      </c>
      <c r="AY26" s="82">
        <f>'DJB Daily Readings'!EB34-'DJB Daily Readings'!EB33</f>
        <v>557</v>
      </c>
      <c r="AZ26" s="82">
        <f>'DJB Daily Readings'!ED34-'DJB Daily Readings'!ED33</f>
        <v>137</v>
      </c>
      <c r="BA26" s="82">
        <f>'DJB Daily Readings'!EG34-'DJB Daily Readings'!EG33</f>
        <v>7500</v>
      </c>
      <c r="BB26" s="82">
        <f>'DJB Daily Readings'!EI34-'DJB Daily Readings'!EI33</f>
        <v>430</v>
      </c>
      <c r="BC26" s="82">
        <f>'DJB Daily Readings'!EQ34-'DJB Daily Readings'!EQ33</f>
        <v>6800</v>
      </c>
      <c r="BD26" s="82">
        <f>'DJB Daily Readings'!EK34-'DJB Daily Readings'!EK33</f>
        <v>3600</v>
      </c>
      <c r="BE26" s="82">
        <f>'DJB Daily Readings'!EM34-'DJB Daily Readings'!EM33</f>
        <v>700</v>
      </c>
      <c r="BF26" s="82">
        <f>'DJB Daily Readings'!EO34-'DJB Daily Readings'!EO33</f>
        <v>210</v>
      </c>
      <c r="BG26" s="82">
        <f>('DJB Daily Readings'!ET34-'DJB Daily Readings'!ET33)*1.89</f>
        <v>34.019999999999996</v>
      </c>
      <c r="BH26" s="82">
        <f>('DJB Daily Readings'!EV34-'DJB Daily Readings'!EV33)*1.89</f>
        <v>32.129999999999995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58.589999999999996</v>
      </c>
    </row>
    <row r="27" spans="1:63" x14ac:dyDescent="0.25">
      <c r="A27" t="s">
        <v>59</v>
      </c>
      <c r="B27">
        <f t="shared" si="0"/>
        <v>26</v>
      </c>
      <c r="C27">
        <v>10</v>
      </c>
      <c r="D27">
        <v>2019</v>
      </c>
      <c r="E27" s="78">
        <f>237*0.92</f>
        <v>218.04000000000002</v>
      </c>
      <c r="F27" s="79">
        <f>351+126</f>
        <v>477</v>
      </c>
      <c r="G27" s="3">
        <f>'DJB Daily Readings'!C35-'DJB Daily Readings'!C34</f>
        <v>553</v>
      </c>
      <c r="H27" s="3">
        <f>'DJB Daily Readings'!F35-'DJB Daily Readings'!F34</f>
        <v>338</v>
      </c>
      <c r="I27" s="3">
        <f>'DJB Daily Readings'!K35-'DJB Daily Readings'!K34</f>
        <v>387</v>
      </c>
      <c r="J27" s="3">
        <f>'DJB Daily Readings'!K35-'DJB Daily Readings'!K34</f>
        <v>387</v>
      </c>
      <c r="K27" s="3">
        <f>'DJB Daily Readings'!O35-'DJB Daily Readings'!O34</f>
        <v>200</v>
      </c>
      <c r="L27" s="3">
        <f>'DJB Daily Readings'!R35-'DJB Daily Readings'!R34</f>
        <v>52</v>
      </c>
      <c r="M27" s="3">
        <f>'DJB Daily Readings'!U35-'DJB Daily Readings'!U34</f>
        <v>3507.8400000007823</v>
      </c>
      <c r="N27" s="3">
        <f>'DJB Daily Readings'!X35-'DJB Daily Readings'!X34</f>
        <v>4969.4400000013411</v>
      </c>
      <c r="O27" s="3">
        <f>'DJB Daily Readings'!AA35-'DJB Daily Readings'!AA34</f>
        <v>3800.160000000149</v>
      </c>
      <c r="P27" s="3">
        <f>'DJB Daily Readings'!AD35-'DJB Daily Readings'!AD34</f>
        <v>11351.759999997914</v>
      </c>
      <c r="Q27" s="3">
        <f>'DJB Daily Readings'!AG35-'DJB Daily Readings'!AG34</f>
        <v>2971.9199999980628</v>
      </c>
      <c r="R27" s="3">
        <f>'DJB Daily Readings'!AJ35-'DJB Daily Readings'!AJ34</f>
        <v>7015.679999999702</v>
      </c>
      <c r="S27" s="3">
        <f>'DJB Daily Readings'!AM35-'DJB Daily Readings'!AM34</f>
        <v>4482.2400000002235</v>
      </c>
      <c r="T27" s="3">
        <f>'DJB Daily Readings'!AP35-'DJB Daily Readings'!AP34</f>
        <v>5456.640000000596</v>
      </c>
      <c r="U27" s="3">
        <f>'DJB Daily Readings'!AS35-'DJB Daily Readings'!AS34</f>
        <v>3556.5599999995902</v>
      </c>
      <c r="V27" s="3">
        <f>'DJB Daily Readings'!AV35-'DJB Daily Readings'!AV34</f>
        <v>5310.4799999985844</v>
      </c>
      <c r="W27" s="3">
        <f>'DJB Daily Readings'!AZ35-'DJB Daily Readings'!AZ34</f>
        <v>13800</v>
      </c>
      <c r="X27" s="3">
        <f>'DJB Daily Readings'!BC35-'DJB Daily Readings'!BC34</f>
        <v>57100</v>
      </c>
      <c r="Y27" s="3">
        <f>'DJB Daily Readings'!BF35-'DJB Daily Readings'!BF34</f>
        <v>16000</v>
      </c>
      <c r="Z27" s="3">
        <f>('DJB Daily Readings'!CK35-'DJB Daily Readings'!CK34)*1.89</f>
        <v>162.54</v>
      </c>
      <c r="AA27" s="3">
        <f>('DJB Daily Readings'!CN35-'DJB Daily Readings'!CN34)*1.89</f>
        <v>147.41999999999999</v>
      </c>
      <c r="AB27" s="3">
        <f>('DJB Daily Readings'!CQ35-'DJB Daily Readings'!CQ34)*1.89</f>
        <v>204.11999999999998</v>
      </c>
      <c r="AC27" s="3">
        <f>'DJB Daily Readings'!CT35-'DJB Daily Readings'!CT34</f>
        <v>205</v>
      </c>
      <c r="AD27" s="84">
        <f>('DJB Daily Readings'!BY35-'DJB Daily Readings'!BY34)*1.89</f>
        <v>58.589999999999996</v>
      </c>
      <c r="AE27" s="84">
        <f>('DJB Daily Readings'!CA35-'DJB Daily Readings'!CA34)*1.89</f>
        <v>41.58</v>
      </c>
      <c r="AF27" s="84">
        <f>('DJB Daily Readings'!CC35-'DJB Daily Readings'!CC34)*1.89</f>
        <v>13.229999999999999</v>
      </c>
      <c r="AG27" s="84">
        <f>('DJB Daily Readings'!CE35-'DJB Daily Readings'!CE34)*1.89</f>
        <v>9.4499999999999993</v>
      </c>
      <c r="AH27" s="84">
        <f>('DJB Daily Readings'!CG35-'DJB Daily Readings'!CG34)*1.89</f>
        <v>0</v>
      </c>
      <c r="AI27" s="84">
        <f>('DJB Daily Readings'!CI35-'DJB Daily Readings'!CI34)*1.89</f>
        <v>68.039999999999992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11</v>
      </c>
      <c r="AM27" s="82">
        <f>'DJB Daily Readings'!DA35-'DJB Daily Readings'!DA34</f>
        <v>15</v>
      </c>
      <c r="AN27" s="82">
        <f>'DJB Daily Readings'!DG35-'DJB Daily Readings'!DG34</f>
        <v>10</v>
      </c>
      <c r="AO27" s="82">
        <f>'DJB Daily Readings'!DE35-'DJB Daily Readings'!DE34</f>
        <v>8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1</v>
      </c>
      <c r="AS27" s="82">
        <f>'DJB Daily Readings'!DM35-'DJB Daily Readings'!DM34</f>
        <v>8</v>
      </c>
      <c r="AT27" s="82">
        <f>'DJB Daily Readings'!DQ35-'DJB Daily Readings'!DQ34</f>
        <v>26</v>
      </c>
      <c r="AU27" s="82">
        <f>'DJB Daily Readings'!DT35-'DJB Daily Readings'!DT34</f>
        <v>1500</v>
      </c>
      <c r="AW27" s="82">
        <f>'DJB Daily Readings'!DX35-'DJB Daily Readings'!DX34</f>
        <v>1240</v>
      </c>
      <c r="AX27" s="82">
        <f>'DJB Daily Readings'!DZ35-'DJB Daily Readings'!DZ34</f>
        <v>125</v>
      </c>
      <c r="AY27" s="82">
        <f>'DJB Daily Readings'!EB35-'DJB Daily Readings'!EB34</f>
        <v>560</v>
      </c>
      <c r="AZ27" s="82">
        <f>'DJB Daily Readings'!ED35-'DJB Daily Readings'!ED34</f>
        <v>140</v>
      </c>
      <c r="BA27" s="82">
        <f>'DJB Daily Readings'!EG35-'DJB Daily Readings'!EG34</f>
        <v>6200</v>
      </c>
      <c r="BB27" s="82">
        <f>'DJB Daily Readings'!EI35-'DJB Daily Readings'!EI34</f>
        <v>380</v>
      </c>
      <c r="BC27" s="82">
        <f>'DJB Daily Readings'!EQ35-'DJB Daily Readings'!EQ34</f>
        <v>5000</v>
      </c>
      <c r="BD27" s="82">
        <f>'DJB Daily Readings'!EK35-'DJB Daily Readings'!EK34</f>
        <v>2800</v>
      </c>
      <c r="BE27" s="82">
        <f>'DJB Daily Readings'!EM35-'DJB Daily Readings'!EM34</f>
        <v>600</v>
      </c>
      <c r="BF27" s="82">
        <f>'DJB Daily Readings'!EO35-'DJB Daily Readings'!EO34</f>
        <v>170</v>
      </c>
      <c r="BG27" s="82">
        <f>('DJB Daily Readings'!ET35-'DJB Daily Readings'!ET34)*1.89</f>
        <v>35.909999999999997</v>
      </c>
      <c r="BH27" s="82">
        <f>('DJB Daily Readings'!EV35-'DJB Daily Readings'!EV34)*1.89</f>
        <v>34.019999999999996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56.699999999999996</v>
      </c>
    </row>
    <row r="28" spans="1:63" x14ac:dyDescent="0.25">
      <c r="A28" t="s">
        <v>59</v>
      </c>
      <c r="B28">
        <f t="shared" si="0"/>
        <v>27</v>
      </c>
      <c r="C28">
        <v>10</v>
      </c>
      <c r="D28">
        <v>2019</v>
      </c>
      <c r="E28" s="78">
        <f>237*0.94</f>
        <v>222.78</v>
      </c>
      <c r="F28" s="79">
        <f>365+138</f>
        <v>503</v>
      </c>
      <c r="G28" s="3">
        <f>'DJB Daily Readings'!C36-'DJB Daily Readings'!C35</f>
        <v>536</v>
      </c>
      <c r="H28" s="3">
        <f>'DJB Daily Readings'!F36-'DJB Daily Readings'!F35</f>
        <v>357</v>
      </c>
      <c r="I28" s="3">
        <f>'DJB Daily Readings'!K36-'DJB Daily Readings'!K35</f>
        <v>409</v>
      </c>
      <c r="J28" s="3">
        <f>'DJB Daily Readings'!K36-'DJB Daily Readings'!K35</f>
        <v>409</v>
      </c>
      <c r="K28" s="3">
        <f>'DJB Daily Readings'!O36-'DJB Daily Readings'!O35</f>
        <v>186</v>
      </c>
      <c r="L28" s="3">
        <f>'DJB Daily Readings'!R36-'DJB Daily Readings'!R35</f>
        <v>52</v>
      </c>
      <c r="M28" s="3">
        <f>'DJB Daily Readings'!U36-'DJB Daily Readings'!U35</f>
        <v>2923.1999999992549</v>
      </c>
      <c r="N28" s="3">
        <f>'DJB Daily Readings'!X36-'DJB Daily Readings'!X35</f>
        <v>4823.2799999993294</v>
      </c>
      <c r="O28" s="3">
        <f>'DJB Daily Readings'!AA36-'DJB Daily Readings'!AA35</f>
        <v>1997.5200000014156</v>
      </c>
      <c r="P28" s="3">
        <f>'DJB Daily Readings'!AD36-'DJB Daily Readings'!AD35</f>
        <v>6236.1600000020117</v>
      </c>
      <c r="Q28" s="3">
        <f>'DJB Daily Readings'!AG36-'DJB Daily Readings'!AG35</f>
        <v>7502.8800000008196</v>
      </c>
      <c r="R28" s="3">
        <f>'DJB Daily Readings'!AJ36-'DJB Daily Readings'!AJ35</f>
        <v>6041.2799999993294</v>
      </c>
      <c r="S28" s="3">
        <f>'DJB Daily Readings'!AM36-'DJB Daily Readings'!AM35</f>
        <v>4677.1199999991804</v>
      </c>
      <c r="T28" s="3">
        <f>'DJB Daily Readings'!AP36-'DJB Daily Readings'!AP35</f>
        <v>4969.4399999994785</v>
      </c>
      <c r="U28" s="3">
        <f>'DJB Daily Readings'!AS36-'DJB Daily Readings'!AS35</f>
        <v>3312.9600000008941</v>
      </c>
      <c r="V28" s="3">
        <f>'DJB Daily Readings'!AV36-'DJB Daily Readings'!AV35</f>
        <v>5018.160000000149</v>
      </c>
      <c r="W28" s="3">
        <f>'DJB Daily Readings'!AZ36-'DJB Daily Readings'!AZ35</f>
        <v>5500</v>
      </c>
      <c r="X28" s="3">
        <f>'DJB Daily Readings'!BC36-'DJB Daily Readings'!BC35</f>
        <v>32500</v>
      </c>
      <c r="Y28" s="3">
        <f>'DJB Daily Readings'!BF36-'DJB Daily Readings'!BF35</f>
        <v>34800</v>
      </c>
      <c r="Z28" s="3">
        <f>('DJB Daily Readings'!CK36-'DJB Daily Readings'!CK35)*1.89</f>
        <v>166.32</v>
      </c>
      <c r="AA28" s="3">
        <f>('DJB Daily Readings'!CN36-'DJB Daily Readings'!CN35)*1.89</f>
        <v>145.53</v>
      </c>
      <c r="AB28" s="3">
        <f>('DJB Daily Readings'!CQ36-'DJB Daily Readings'!CQ35)*1.89</f>
        <v>258.93</v>
      </c>
      <c r="AC28" s="3">
        <f>'DJB Daily Readings'!CT36-'DJB Daily Readings'!CT35</f>
        <v>198</v>
      </c>
      <c r="AD28" s="84">
        <f>('DJB Daily Readings'!BY36-'DJB Daily Readings'!BY35)*1.89</f>
        <v>32.129999999999995</v>
      </c>
      <c r="AE28" s="84">
        <f>('DJB Daily Readings'!CA36-'DJB Daily Readings'!CA35)*1.89</f>
        <v>26.459999999999997</v>
      </c>
      <c r="AF28" s="84">
        <f>('DJB Daily Readings'!CC36-'DJB Daily Readings'!CC35)*1.89</f>
        <v>13.229999999999999</v>
      </c>
      <c r="AG28" s="84">
        <f>('DJB Daily Readings'!CE36-'DJB Daily Readings'!CE35)*1.89</f>
        <v>18.899999999999999</v>
      </c>
      <c r="AH28" s="84">
        <f>('DJB Daily Readings'!CG36-'DJB Daily Readings'!CG35)*1.89</f>
        <v>26.459999999999997</v>
      </c>
      <c r="AI28" s="84">
        <f>('DJB Daily Readings'!CI36-'DJB Daily Readings'!CI35)*1.89</f>
        <v>43.47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21</v>
      </c>
      <c r="AM28" s="82">
        <f>'DJB Daily Readings'!DA36-'DJB Daily Readings'!DA35</f>
        <v>17</v>
      </c>
      <c r="AN28" s="82">
        <f>'DJB Daily Readings'!DG36-'DJB Daily Readings'!DG35</f>
        <v>11</v>
      </c>
      <c r="AO28" s="82">
        <f>'DJB Daily Readings'!DE36-'DJB Daily Readings'!DE35</f>
        <v>10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1</v>
      </c>
      <c r="AS28" s="82">
        <f>'DJB Daily Readings'!DM36-'DJB Daily Readings'!DM35</f>
        <v>11</v>
      </c>
      <c r="AT28" s="82">
        <f>'DJB Daily Readings'!DQ36-'DJB Daily Readings'!DQ35</f>
        <v>31</v>
      </c>
      <c r="AU28" s="82">
        <f>'DJB Daily Readings'!DT36-'DJB Daily Readings'!DT35</f>
        <v>1615</v>
      </c>
      <c r="AW28" s="82">
        <f>'DJB Daily Readings'!DX36-'DJB Daily Readings'!DX35</f>
        <v>1288</v>
      </c>
      <c r="AX28" s="82">
        <f>'DJB Daily Readings'!DZ36-'DJB Daily Readings'!DZ35</f>
        <v>126</v>
      </c>
      <c r="AY28" s="82">
        <f>'DJB Daily Readings'!EB36-'DJB Daily Readings'!EB35</f>
        <v>584</v>
      </c>
      <c r="AZ28" s="82">
        <f>'DJB Daily Readings'!ED36-'DJB Daily Readings'!ED35</f>
        <v>134</v>
      </c>
      <c r="BA28" s="82">
        <f>'DJB Daily Readings'!EG36-'DJB Daily Readings'!EG35</f>
        <v>5700</v>
      </c>
      <c r="BB28" s="82">
        <f>'DJB Daily Readings'!EI36-'DJB Daily Readings'!EI35</f>
        <v>410</v>
      </c>
      <c r="BC28" s="82">
        <f>'DJB Daily Readings'!EQ36-'DJB Daily Readings'!EQ35</f>
        <v>3400</v>
      </c>
      <c r="BD28" s="82">
        <f>'DJB Daily Readings'!EK36-'DJB Daily Readings'!EK35</f>
        <v>2900</v>
      </c>
      <c r="BE28" s="82">
        <f>'DJB Daily Readings'!EM36-'DJB Daily Readings'!EM35</f>
        <v>600</v>
      </c>
      <c r="BF28" s="82">
        <f>'DJB Daily Readings'!EO36-'DJB Daily Readings'!EO35</f>
        <v>180</v>
      </c>
      <c r="BG28" s="82">
        <f>('DJB Daily Readings'!ET36-'DJB Daily Readings'!ET35)*1.89</f>
        <v>30.24</v>
      </c>
      <c r="BH28" s="82">
        <f>('DJB Daily Readings'!EV36-'DJB Daily Readings'!EV35)*1.89</f>
        <v>34.019999999999996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52.919999999999995</v>
      </c>
    </row>
    <row r="29" spans="1:63" x14ac:dyDescent="0.25">
      <c r="A29" t="s">
        <v>59</v>
      </c>
      <c r="B29">
        <f t="shared" si="0"/>
        <v>28</v>
      </c>
      <c r="C29">
        <v>10</v>
      </c>
      <c r="D29">
        <v>2019</v>
      </c>
      <c r="E29" s="78">
        <f>237*0.94</f>
        <v>222.78</v>
      </c>
      <c r="F29" s="79">
        <f>232+114</f>
        <v>346</v>
      </c>
      <c r="G29" s="3">
        <f>'DJB Daily Readings'!C37-'DJB Daily Readings'!C36</f>
        <v>515</v>
      </c>
      <c r="H29" s="3">
        <f>'DJB Daily Readings'!F37-'DJB Daily Readings'!F36</f>
        <v>321</v>
      </c>
      <c r="I29" s="3">
        <f>'DJB Daily Readings'!K37-'DJB Daily Readings'!K36</f>
        <v>398</v>
      </c>
      <c r="J29" s="3">
        <f>'DJB Daily Readings'!K37-'DJB Daily Readings'!K36</f>
        <v>398</v>
      </c>
      <c r="K29" s="3">
        <f>'DJB Daily Readings'!O37-'DJB Daily Readings'!O36</f>
        <v>165</v>
      </c>
      <c r="L29" s="3">
        <f>'DJB Daily Readings'!R37-'DJB Daily Readings'!R36</f>
        <v>44</v>
      </c>
      <c r="M29" s="3">
        <f>'DJB Daily Readings'!U37-'DJB Daily Readings'!U36</f>
        <v>3118.0800000000745</v>
      </c>
      <c r="N29" s="3">
        <f>'DJB Daily Readings'!X37-'DJB Daily Readings'!X36</f>
        <v>5115.5999999996275</v>
      </c>
      <c r="O29" s="3">
        <f>'DJB Daily Readings'!AA37-'DJB Daily Readings'!AA36</f>
        <v>925.67999999970198</v>
      </c>
      <c r="P29" s="3">
        <f>'DJB Daily Readings'!AD37-'DJB Daily Readings'!AD36</f>
        <v>1802.6399999987334</v>
      </c>
      <c r="Q29" s="3">
        <f>'DJB Daily Readings'!AG37-'DJB Daily Readings'!AG36</f>
        <v>12326.160000000149</v>
      </c>
      <c r="R29" s="3">
        <f>'DJB Daily Readings'!AJ37-'DJB Daily Readings'!AJ36</f>
        <v>6820.8000000007451</v>
      </c>
      <c r="S29" s="3">
        <f>'DJB Daily Readings'!AM37-'DJB Daily Readings'!AM36</f>
        <v>4823.2800000011921</v>
      </c>
      <c r="T29" s="3">
        <f>'DJB Daily Readings'!AP37-'DJB Daily Readings'!AP36</f>
        <v>5018.160000000149</v>
      </c>
      <c r="U29" s="3">
        <f>'DJB Daily Readings'!AS37-'DJB Daily Readings'!AS36</f>
        <v>2923.2000000001863</v>
      </c>
      <c r="V29" s="3">
        <f>'DJB Daily Readings'!AV37-'DJB Daily Readings'!AV36</f>
        <v>5651.5200000014156</v>
      </c>
      <c r="W29" s="3">
        <f>'DJB Daily Readings'!AZ37-'DJB Daily Readings'!AZ36</f>
        <v>0</v>
      </c>
      <c r="X29" s="3">
        <f>'DJB Daily Readings'!BC37-'DJB Daily Readings'!BC36</f>
        <v>9000</v>
      </c>
      <c r="Y29" s="3">
        <f>'DJB Daily Readings'!BF37-'DJB Daily Readings'!BF36</f>
        <v>56100</v>
      </c>
      <c r="Z29" s="3">
        <f>('DJB Daily Readings'!CK37-'DJB Daily Readings'!CK36)*1.89</f>
        <v>156.87</v>
      </c>
      <c r="AA29" s="3">
        <f>('DJB Daily Readings'!CN37-'DJB Daily Readings'!CN36)*1.89</f>
        <v>156.87</v>
      </c>
      <c r="AB29" s="3">
        <f>('DJB Daily Readings'!CQ37-'DJB Daily Readings'!CQ36)*1.89</f>
        <v>275.94</v>
      </c>
      <c r="AC29" s="3">
        <f>'DJB Daily Readings'!CT37-'DJB Daily Readings'!CT36</f>
        <v>187</v>
      </c>
      <c r="AD29" s="84">
        <f>('DJB Daily Readings'!BY37-'DJB Daily Readings'!BY36)*1.89</f>
        <v>41.58</v>
      </c>
      <c r="AE29" s="84">
        <f>('DJB Daily Readings'!CA37-'DJB Daily Readings'!CA36)*1.89</f>
        <v>24.57</v>
      </c>
      <c r="AF29" s="84">
        <f>('DJB Daily Readings'!CC37-'DJB Daily Readings'!CC36)*1.89</f>
        <v>13.229999999999999</v>
      </c>
      <c r="AG29" s="84">
        <f>('DJB Daily Readings'!CE37-'DJB Daily Readings'!CE36)*1.89</f>
        <v>18.899999999999999</v>
      </c>
      <c r="AH29" s="84">
        <f>('DJB Daily Readings'!CG37-'DJB Daily Readings'!CG36)*1.89</f>
        <v>17.009999999999998</v>
      </c>
      <c r="AI29" s="84">
        <f>('DJB Daily Readings'!CI37-'DJB Daily Readings'!CI36)*1.89</f>
        <v>52.919999999999995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11</v>
      </c>
      <c r="AM29" s="82">
        <f>'DJB Daily Readings'!DA37-'DJB Daily Readings'!DA36</f>
        <v>13</v>
      </c>
      <c r="AN29" s="82">
        <f>'DJB Daily Readings'!DG37-'DJB Daily Readings'!DG36</f>
        <v>8</v>
      </c>
      <c r="AO29" s="82">
        <f>'DJB Daily Readings'!DE37-'DJB Daily Readings'!DE36</f>
        <v>3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1</v>
      </c>
      <c r="AS29" s="82">
        <f>'DJB Daily Readings'!DM37-'DJB Daily Readings'!DM36</f>
        <v>8</v>
      </c>
      <c r="AT29" s="82">
        <f>'DJB Daily Readings'!DQ37-'DJB Daily Readings'!DQ36</f>
        <v>27</v>
      </c>
      <c r="AU29" s="82">
        <f>'DJB Daily Readings'!DT37-'DJB Daily Readings'!DT36</f>
        <v>1526</v>
      </c>
      <c r="AW29" s="82">
        <f>'DJB Daily Readings'!DX37-'DJB Daily Readings'!DX36</f>
        <v>1234</v>
      </c>
      <c r="AX29" s="82">
        <f>'DJB Daily Readings'!DZ37-'DJB Daily Readings'!DZ36</f>
        <v>124</v>
      </c>
      <c r="AY29" s="82">
        <f>'DJB Daily Readings'!EB37-'DJB Daily Readings'!EB36</f>
        <v>576</v>
      </c>
      <c r="AZ29" s="82">
        <f>'DJB Daily Readings'!ED37-'DJB Daily Readings'!ED36</f>
        <v>137</v>
      </c>
      <c r="BA29" s="82">
        <f>'DJB Daily Readings'!EG37-'DJB Daily Readings'!EG36</f>
        <v>3100</v>
      </c>
      <c r="BB29" s="82">
        <f>'DJB Daily Readings'!EI37-'DJB Daily Readings'!EI36</f>
        <v>270</v>
      </c>
      <c r="BC29" s="82">
        <f>'DJB Daily Readings'!EQ37-'DJB Daily Readings'!EQ36</f>
        <v>2070</v>
      </c>
      <c r="BD29" s="82">
        <f>'DJB Daily Readings'!EK37-'DJB Daily Readings'!EK36</f>
        <v>1600</v>
      </c>
      <c r="BE29" s="82">
        <f>'DJB Daily Readings'!EM37-'DJB Daily Readings'!EM36</f>
        <v>400</v>
      </c>
      <c r="BF29" s="82">
        <f>'DJB Daily Readings'!EO37-'DJB Daily Readings'!EO36</f>
        <v>120</v>
      </c>
      <c r="BG29" s="82">
        <f>('DJB Daily Readings'!ET37-'DJB Daily Readings'!ET36)*1.89</f>
        <v>34.019999999999996</v>
      </c>
      <c r="BH29" s="82">
        <f>('DJB Daily Readings'!EV37-'DJB Daily Readings'!EV36)*1.89</f>
        <v>26.459999999999997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60.48</v>
      </c>
    </row>
    <row r="30" spans="1:63" x14ac:dyDescent="0.25">
      <c r="A30" t="s">
        <v>59</v>
      </c>
      <c r="B30">
        <f t="shared" si="0"/>
        <v>29</v>
      </c>
      <c r="C30">
        <v>10</v>
      </c>
      <c r="D30">
        <v>2019</v>
      </c>
      <c r="E30" s="78">
        <f>237*0.94</f>
        <v>222.78</v>
      </c>
      <c r="F30" s="79">
        <f>232+114</f>
        <v>346</v>
      </c>
      <c r="G30" s="3">
        <f>'DJB Daily Readings'!C38-'DJB Daily Readings'!C37</f>
        <v>540</v>
      </c>
      <c r="H30" s="3">
        <f>'DJB Daily Readings'!F38-'DJB Daily Readings'!F37</f>
        <v>384</v>
      </c>
      <c r="I30" s="3">
        <f>'DJB Daily Readings'!K38-'DJB Daily Readings'!K37</f>
        <v>432</v>
      </c>
      <c r="J30" s="3">
        <f>'DJB Daily Readings'!K38-'DJB Daily Readings'!K37</f>
        <v>432</v>
      </c>
      <c r="K30" s="3">
        <f>'DJB Daily Readings'!O38-'DJB Daily Readings'!O37</f>
        <v>183</v>
      </c>
      <c r="L30" s="3">
        <f>'DJB Daily Readings'!R38-'DJB Daily Readings'!R37</f>
        <v>49</v>
      </c>
      <c r="M30" s="3">
        <f>'DJB Daily Readings'!U38-'DJB Daily Readings'!U37</f>
        <v>2874.4799999995157</v>
      </c>
      <c r="N30" s="3">
        <f>'DJB Daily Readings'!X38-'DJB Daily Readings'!X37</f>
        <v>4872</v>
      </c>
      <c r="O30" s="3">
        <f>'DJB Daily Readings'!AA38-'DJB Daily Readings'!AA37</f>
        <v>974.39999999850988</v>
      </c>
      <c r="P30" s="3">
        <f>'DJB Daily Readings'!AD38-'DJB Daily Readings'!AD37</f>
        <v>4336.0800000000745</v>
      </c>
      <c r="Q30" s="3">
        <f>'DJB Daily Readings'!AG38-'DJB Daily Readings'!AG37</f>
        <v>10328.640000000596</v>
      </c>
      <c r="R30" s="3">
        <f>'DJB Daily Readings'!AJ38-'DJB Daily Readings'!AJ37</f>
        <v>6284.8800000008196</v>
      </c>
      <c r="S30" s="3">
        <f>'DJB Daily Readings'!AM38-'DJB Daily Readings'!AM37</f>
        <v>4530.9599999990314</v>
      </c>
      <c r="T30" s="3">
        <f>'DJB Daily Readings'!AP38-'DJB Daily Readings'!AP37</f>
        <v>4774.5600000005215</v>
      </c>
      <c r="U30" s="3">
        <f>'DJB Daily Readings'!AS38-'DJB Daily Readings'!AS37</f>
        <v>3361.679999999702</v>
      </c>
      <c r="V30" s="3">
        <f>'DJB Daily Readings'!AV38-'DJB Daily Readings'!AV37</f>
        <v>5164.3199999984354</v>
      </c>
      <c r="W30" s="3">
        <f>'DJB Daily Readings'!AZ38-'DJB Daily Readings'!AZ37</f>
        <v>0</v>
      </c>
      <c r="X30" s="3">
        <f>'DJB Daily Readings'!BC38-'DJB Daily Readings'!BC37</f>
        <v>22500</v>
      </c>
      <c r="Y30" s="3">
        <f>'DJB Daily Readings'!BF38-'DJB Daily Readings'!BF37</f>
        <v>52600</v>
      </c>
      <c r="Z30" s="3">
        <f>('DJB Daily Readings'!CK38-'DJB Daily Readings'!CK37)*1.89</f>
        <v>173.88</v>
      </c>
      <c r="AA30" s="3">
        <f>('DJB Daily Readings'!CN38-'DJB Daily Readings'!CN37)*1.89</f>
        <v>141.75</v>
      </c>
      <c r="AB30" s="3">
        <f>('DJB Daily Readings'!CQ38-'DJB Daily Readings'!CQ37)*1.89</f>
        <v>257.03999999999996</v>
      </c>
      <c r="AC30" s="3">
        <f>'DJB Daily Readings'!CT38-'DJB Daily Readings'!CT37</f>
        <v>204</v>
      </c>
      <c r="AD30" s="84">
        <f>('DJB Daily Readings'!BY38-'DJB Daily Readings'!BY37)*1.89</f>
        <v>52.919999999999995</v>
      </c>
      <c r="AE30" s="84">
        <f>('DJB Daily Readings'!CA38-'DJB Daily Readings'!CA37)*1.89</f>
        <v>35.909999999999997</v>
      </c>
      <c r="AF30" s="84">
        <f>('DJB Daily Readings'!CC38-'DJB Daily Readings'!CC37)*1.89</f>
        <v>17.009999999999998</v>
      </c>
      <c r="AG30" s="84">
        <f>('DJB Daily Readings'!CE38-'DJB Daily Readings'!CE37)*1.89</f>
        <v>20.79</v>
      </c>
      <c r="AH30" s="84">
        <f>('DJB Daily Readings'!CG38-'DJB Daily Readings'!CG37)*1.89</f>
        <v>26.459999999999997</v>
      </c>
      <c r="AI30" s="84">
        <f>('DJB Daily Readings'!CI38-'DJB Daily Readings'!CI37)*1.89</f>
        <v>64.259999999999991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14</v>
      </c>
      <c r="AM30" s="82">
        <f>'DJB Daily Readings'!DA38-'DJB Daily Readings'!DA37</f>
        <v>14</v>
      </c>
      <c r="AN30" s="82">
        <f>'DJB Daily Readings'!DG38-'DJB Daily Readings'!DG37</f>
        <v>7</v>
      </c>
      <c r="AO30" s="82">
        <f>'DJB Daily Readings'!DE38-'DJB Daily Readings'!DE37</f>
        <v>12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1</v>
      </c>
      <c r="AS30" s="82">
        <f>'DJB Daily Readings'!DM38-'DJB Daily Readings'!DM37</f>
        <v>8</v>
      </c>
      <c r="AT30" s="82">
        <f>'DJB Daily Readings'!DQ38-'DJB Daily Readings'!DQ37</f>
        <v>27</v>
      </c>
      <c r="AU30" s="82">
        <f>'DJB Daily Readings'!DT38-'DJB Daily Readings'!DT37</f>
        <v>1534</v>
      </c>
      <c r="AW30" s="82">
        <f>'DJB Daily Readings'!DX38-'DJB Daily Readings'!DX37</f>
        <v>1216</v>
      </c>
      <c r="AX30" s="82">
        <f>'DJB Daily Readings'!DZ38-'DJB Daily Readings'!DZ37</f>
        <v>139</v>
      </c>
      <c r="AY30" s="82">
        <f>'DJB Daily Readings'!EB38-'DJB Daily Readings'!EB37</f>
        <v>600</v>
      </c>
      <c r="AZ30" s="82">
        <f>'DJB Daily Readings'!ED38-'DJB Daily Readings'!ED37</f>
        <v>141</v>
      </c>
      <c r="BA30" s="82">
        <f>'DJB Daily Readings'!EG38-'DJB Daily Readings'!EG37</f>
        <v>5300</v>
      </c>
      <c r="BB30" s="82">
        <f>'DJB Daily Readings'!EI38-'DJB Daily Readings'!EI37</f>
        <v>380</v>
      </c>
      <c r="BC30" s="82">
        <f>'DJB Daily Readings'!EQ38-'DJB Daily Readings'!EQ37</f>
        <v>4730</v>
      </c>
      <c r="BD30" s="82">
        <f>'DJB Daily Readings'!EK38-'DJB Daily Readings'!EK37</f>
        <v>2800</v>
      </c>
      <c r="BE30" s="82">
        <f>'DJB Daily Readings'!EM38-'DJB Daily Readings'!EM37</f>
        <v>500</v>
      </c>
      <c r="BF30" s="82">
        <f>'DJB Daily Readings'!EO38-'DJB Daily Readings'!EO37</f>
        <v>170</v>
      </c>
      <c r="BG30" s="82">
        <f>('DJB Daily Readings'!ET38-'DJB Daily Readings'!ET37)*1.89</f>
        <v>34.019999999999996</v>
      </c>
      <c r="BH30" s="82">
        <f>('DJB Daily Readings'!EV38-'DJB Daily Readings'!EV37)*1.89</f>
        <v>39.69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54.809999999999995</v>
      </c>
    </row>
    <row r="31" spans="1:63" x14ac:dyDescent="0.25">
      <c r="A31" t="s">
        <v>59</v>
      </c>
      <c r="B31">
        <f t="shared" si="0"/>
        <v>30</v>
      </c>
      <c r="C31">
        <v>10</v>
      </c>
      <c r="D31">
        <v>2019</v>
      </c>
      <c r="E31" s="78">
        <f>237*0.91</f>
        <v>215.67000000000002</v>
      </c>
      <c r="F31" s="79">
        <f>232+114</f>
        <v>346</v>
      </c>
      <c r="G31" s="3">
        <f>'DJB Daily Readings'!C39-'DJB Daily Readings'!C38</f>
        <v>595</v>
      </c>
      <c r="H31" s="3">
        <f>'DJB Daily Readings'!F39-'DJB Daily Readings'!F38</f>
        <v>380</v>
      </c>
      <c r="I31" s="3">
        <f>'DJB Daily Readings'!K39-'DJB Daily Readings'!K38</f>
        <v>403</v>
      </c>
      <c r="J31" s="3">
        <f>'DJB Daily Readings'!K39-'DJB Daily Readings'!K38</f>
        <v>403</v>
      </c>
      <c r="K31" s="3">
        <f>'DJB Daily Readings'!O39-'DJB Daily Readings'!O38</f>
        <v>188</v>
      </c>
      <c r="L31" s="3">
        <f>'DJB Daily Readings'!R39-'DJB Daily Readings'!R38</f>
        <v>44</v>
      </c>
      <c r="M31" s="3">
        <f>'DJB Daily Readings'!U39-'DJB Daily Readings'!U38</f>
        <v>3020.640000000596</v>
      </c>
      <c r="N31" s="3">
        <f>'DJB Daily Readings'!X39-'DJB Daily Readings'!X38</f>
        <v>4823.2800000011921</v>
      </c>
      <c r="O31" s="3">
        <f>'DJB Daily Readings'!AA39-'DJB Daily Readings'!AA38</f>
        <v>1023.1200000010431</v>
      </c>
      <c r="P31" s="3">
        <f>'DJB Daily Readings'!AD39-'DJB Daily Readings'!AD38</f>
        <v>5018.160000000149</v>
      </c>
      <c r="Q31" s="3">
        <f>'DJB Daily Readings'!AG39-'DJB Daily Readings'!AG38</f>
        <v>11108.159999998286</v>
      </c>
      <c r="R31" s="3">
        <f>'DJB Daily Readings'!AJ39-'DJB Daily Readings'!AJ38</f>
        <v>6528.4799999985844</v>
      </c>
      <c r="S31" s="3">
        <f>'DJB Daily Readings'!AM39-'DJB Daily Readings'!AM38</f>
        <v>5164.3200000021607</v>
      </c>
      <c r="T31" s="3">
        <f>'DJB Daily Readings'!AP39-'DJB Daily Readings'!AP38</f>
        <v>4969.4399999994785</v>
      </c>
      <c r="U31" s="3">
        <f>'DJB Daily Readings'!AS39-'DJB Daily Readings'!AS38</f>
        <v>3264.2400000002235</v>
      </c>
      <c r="V31" s="3">
        <f>'DJB Daily Readings'!AV39-'DJB Daily Readings'!AV38</f>
        <v>5505.359999999404</v>
      </c>
      <c r="W31" s="3">
        <f>'DJB Daily Readings'!AZ39-'DJB Daily Readings'!AZ38</f>
        <v>0</v>
      </c>
      <c r="X31" s="3">
        <f>'DJB Daily Readings'!BC39-'DJB Daily Readings'!BC38</f>
        <v>25800</v>
      </c>
      <c r="Y31" s="3">
        <f>'DJB Daily Readings'!BF39-'DJB Daily Readings'!BF38</f>
        <v>54600</v>
      </c>
      <c r="Z31" s="3">
        <f>('DJB Daily Readings'!CK39-'DJB Daily Readings'!CK38)*1.89</f>
        <v>156.87</v>
      </c>
      <c r="AA31" s="3">
        <f>('DJB Daily Readings'!CN39-'DJB Daily Readings'!CN38)*1.89</f>
        <v>149.31</v>
      </c>
      <c r="AB31" s="3">
        <f>('DJB Daily Readings'!CQ39-'DJB Daily Readings'!CQ38)*1.89</f>
        <v>215.45999999999998</v>
      </c>
      <c r="AC31" s="3">
        <f>'DJB Daily Readings'!CT39-'DJB Daily Readings'!CT38</f>
        <v>187</v>
      </c>
      <c r="AD31" s="84">
        <f>('DJB Daily Readings'!BY39-'DJB Daily Readings'!BY38)*1.89</f>
        <v>35.909999999999997</v>
      </c>
      <c r="AE31" s="84">
        <f>('DJB Daily Readings'!CA39-'DJB Daily Readings'!CA38)*1.89</f>
        <v>28.349999999999998</v>
      </c>
      <c r="AF31" s="84">
        <f>('DJB Daily Readings'!CC39-'DJB Daily Readings'!CC38)*1.89</f>
        <v>13.229999999999999</v>
      </c>
      <c r="AG31" s="84">
        <f>('DJB Daily Readings'!CE39-'DJB Daily Readings'!CE38)*1.89</f>
        <v>18.899999999999999</v>
      </c>
      <c r="AH31" s="84">
        <f>('DJB Daily Readings'!CG39-'DJB Daily Readings'!CG38)*1.89</f>
        <v>28.349999999999998</v>
      </c>
      <c r="AI31" s="84">
        <f>('DJB Daily Readings'!CI39-'DJB Daily Readings'!CI38)*1.89</f>
        <v>52.919999999999995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18</v>
      </c>
      <c r="AM31" s="82">
        <f>'DJB Daily Readings'!DA39-'DJB Daily Readings'!DA38</f>
        <v>17</v>
      </c>
      <c r="AN31" s="82">
        <f>'DJB Daily Readings'!DG39-'DJB Daily Readings'!DG38</f>
        <v>7</v>
      </c>
      <c r="AO31" s="82">
        <f>'DJB Daily Readings'!DE39-'DJB Daily Readings'!DE38</f>
        <v>11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3</v>
      </c>
      <c r="AS31" s="82">
        <f>'DJB Daily Readings'!DM39-'DJB Daily Readings'!DM38</f>
        <v>7</v>
      </c>
      <c r="AT31" s="82">
        <f>'DJB Daily Readings'!DQ39-'DJB Daily Readings'!DQ38</f>
        <v>27</v>
      </c>
      <c r="AU31" s="82">
        <f>'DJB Daily Readings'!DT39-'DJB Daily Readings'!DT38</f>
        <v>1557</v>
      </c>
      <c r="AW31" s="82">
        <f>'DJB Daily Readings'!DX39-'DJB Daily Readings'!DX38</f>
        <v>1242</v>
      </c>
      <c r="AX31" s="82">
        <f>'DJB Daily Readings'!DZ39-'DJB Daily Readings'!DZ38</f>
        <v>144</v>
      </c>
      <c r="AY31" s="82">
        <f>'DJB Daily Readings'!EB39-'DJB Daily Readings'!EB38</f>
        <v>568</v>
      </c>
      <c r="AZ31" s="82">
        <f>'DJB Daily Readings'!ED39-'DJB Daily Readings'!ED38</f>
        <v>140</v>
      </c>
      <c r="BA31" s="82">
        <f>'DJB Daily Readings'!EG39-'DJB Daily Readings'!EG38</f>
        <v>5600</v>
      </c>
      <c r="BB31" s="82">
        <f>'DJB Daily Readings'!EI39-'DJB Daily Readings'!EI38</f>
        <v>350</v>
      </c>
      <c r="BC31" s="82">
        <f>'DJB Daily Readings'!EQ39-'DJB Daily Readings'!EQ38</f>
        <v>5200</v>
      </c>
      <c r="BD31" s="82">
        <f>'DJB Daily Readings'!EK39-'DJB Daily Readings'!EK38</f>
        <v>2900</v>
      </c>
      <c r="BE31" s="82">
        <f>'DJB Daily Readings'!EM39-'DJB Daily Readings'!EM38</f>
        <v>600</v>
      </c>
      <c r="BF31" s="82">
        <f>'DJB Daily Readings'!EO39-'DJB Daily Readings'!EO38</f>
        <v>180</v>
      </c>
      <c r="BG31" s="82">
        <f>('DJB Daily Readings'!ET39-'DJB Daily Readings'!ET38)*1.89</f>
        <v>37.799999999999997</v>
      </c>
      <c r="BH31" s="82">
        <f>('DJB Daily Readings'!EV39-'DJB Daily Readings'!EV38)*1.89</f>
        <v>32.129999999999995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52.919999999999995</v>
      </c>
    </row>
    <row r="32" spans="1:63" x14ac:dyDescent="0.25">
      <c r="A32" t="s">
        <v>59</v>
      </c>
      <c r="B32">
        <f t="shared" si="0"/>
        <v>31</v>
      </c>
      <c r="C32">
        <v>10</v>
      </c>
      <c r="D32">
        <v>2019</v>
      </c>
      <c r="E32" s="78">
        <f>237*0.91</f>
        <v>215.67000000000002</v>
      </c>
      <c r="F32" s="79">
        <f>304+119</f>
        <v>423</v>
      </c>
      <c r="G32" s="3">
        <f>'DJB Daily Readings'!C40-'DJB Daily Readings'!C39</f>
        <v>543</v>
      </c>
      <c r="H32" s="3">
        <f>'DJB Daily Readings'!F40-'DJB Daily Readings'!F39</f>
        <v>376</v>
      </c>
      <c r="I32" s="3">
        <f>'DJB Daily Readings'!K40-'DJB Daily Readings'!K39</f>
        <v>385</v>
      </c>
      <c r="J32" s="3">
        <f>'DJB Daily Readings'!K40-'DJB Daily Readings'!K39</f>
        <v>385</v>
      </c>
      <c r="K32" s="3">
        <f>'DJB Daily Readings'!O40-'DJB Daily Readings'!O39</f>
        <v>164</v>
      </c>
      <c r="L32" s="3">
        <f>'DJB Daily Readings'!R40-'DJB Daily Readings'!R39</f>
        <v>13</v>
      </c>
      <c r="M32" s="3">
        <f>'DJB Daily Readings'!U40-'DJB Daily Readings'!U39</f>
        <v>2971.9199999999255</v>
      </c>
      <c r="N32" s="3">
        <f>'DJB Daily Readings'!X40-'DJB Daily Readings'!X39</f>
        <v>4920.7199999988079</v>
      </c>
      <c r="O32" s="3">
        <f>'DJB Daily Readings'!AA40-'DJB Daily Readings'!AA39</f>
        <v>7600.320000000298</v>
      </c>
      <c r="P32" s="3">
        <f>'DJB Daily Readings'!AD40-'DJB Daily Readings'!AD39</f>
        <v>974.40000000037253</v>
      </c>
      <c r="Q32" s="3">
        <f>'DJB Daily Readings'!AG40-'DJB Daily Readings'!AG39</f>
        <v>11010.720000000671</v>
      </c>
      <c r="R32" s="3">
        <f>'DJB Daily Readings'!AJ40-'DJB Daily Readings'!AJ39</f>
        <v>6869.5200000014156</v>
      </c>
      <c r="S32" s="3">
        <f>'DJB Daily Readings'!AM40-'DJB Daily Readings'!AM39</f>
        <v>4872</v>
      </c>
      <c r="T32" s="3">
        <f>'DJB Daily Readings'!AP40-'DJB Daily Readings'!AP39</f>
        <v>4823.2799999993294</v>
      </c>
      <c r="U32" s="3">
        <f>'DJB Daily Readings'!AS40-'DJB Daily Readings'!AS39</f>
        <v>3264.2399999992922</v>
      </c>
      <c r="V32" s="3">
        <f>'DJB Daily Readings'!AV40-'DJB Daily Readings'!AV39</f>
        <v>5797.6800000015646</v>
      </c>
      <c r="W32" s="3">
        <f>'DJB Daily Readings'!AZ40-'DJB Daily Readings'!AZ39</f>
        <v>0</v>
      </c>
      <c r="X32" s="3">
        <f>'DJB Daily Readings'!BC40-'DJB Daily Readings'!BC39</f>
        <v>2500</v>
      </c>
      <c r="Y32" s="3">
        <f>'DJB Daily Readings'!BF40-'DJB Daily Readings'!BF39</f>
        <v>51400</v>
      </c>
      <c r="Z32" s="3">
        <f>('DJB Daily Readings'!CK40-'DJB Daily Readings'!CK39)*1.89</f>
        <v>168.20999999999998</v>
      </c>
      <c r="AA32" s="3">
        <f>('DJB Daily Readings'!CN40-'DJB Daily Readings'!CN39)*1.89</f>
        <v>145.53</v>
      </c>
      <c r="AB32" s="3">
        <f>('DJB Daily Readings'!CQ40-'DJB Daily Readings'!CQ39)*1.89</f>
        <v>158.76</v>
      </c>
      <c r="AC32" s="3">
        <f>'DJB Daily Readings'!CT40-'DJB Daily Readings'!CT39</f>
        <v>202</v>
      </c>
      <c r="AD32" s="84">
        <f>('DJB Daily Readings'!BY40-'DJB Daily Readings'!BY39)*1.89</f>
        <v>41.58</v>
      </c>
      <c r="AE32" s="84">
        <f>('DJB Daily Readings'!CA40-'DJB Daily Readings'!CA39)*1.89</f>
        <v>30.24</v>
      </c>
      <c r="AF32" s="84">
        <f>('DJB Daily Readings'!CC40-'DJB Daily Readings'!CC39)*1.89</f>
        <v>15.12</v>
      </c>
      <c r="AG32" s="84">
        <f>('DJB Daily Readings'!CE40-'DJB Daily Readings'!CE39)*1.89</f>
        <v>18.899999999999999</v>
      </c>
      <c r="AH32" s="84">
        <f>('DJB Daily Readings'!CG40-'DJB Daily Readings'!CG39)*1.89</f>
        <v>22.68</v>
      </c>
      <c r="AI32" s="84">
        <f>('DJB Daily Readings'!CI40-'DJB Daily Readings'!CI39)*1.89</f>
        <v>62.37</v>
      </c>
      <c r="AJ32" s="81">
        <f>'DJB Daily Readings'!CY40-'DJB Daily Readings'!CY39</f>
        <v>0</v>
      </c>
      <c r="AK32" s="81">
        <f>'DJB Daily Readings'!CW40-'DJB Daily Readings'!CW39</f>
        <v>0</v>
      </c>
      <c r="AL32" s="82">
        <f>'DJB Daily Readings'!DC40-'DJB Daily Readings'!DC39</f>
        <v>18</v>
      </c>
      <c r="AM32" s="82">
        <f>'DJB Daily Readings'!DA40-'DJB Daily Readings'!DA39</f>
        <v>19</v>
      </c>
      <c r="AN32" s="82">
        <f>'DJB Daily Readings'!DG40-'DJB Daily Readings'!DG39</f>
        <v>6</v>
      </c>
      <c r="AO32" s="82">
        <f>'DJB Daily Readings'!DE40-'DJB Daily Readings'!DE39</f>
        <v>12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5</v>
      </c>
      <c r="AS32" s="82">
        <f>'DJB Daily Readings'!DM40-'DJB Daily Readings'!DM39</f>
        <v>4</v>
      </c>
      <c r="AT32" s="82">
        <f>'DJB Daily Readings'!DQ40-'DJB Daily Readings'!DQ39</f>
        <v>27</v>
      </c>
      <c r="AU32" s="82">
        <f>'DJB Daily Readings'!DT40-'DJB Daily Readings'!DT39</f>
        <v>1644</v>
      </c>
      <c r="AW32" s="82">
        <f>'DJB Daily Readings'!DX40-'DJB Daily Readings'!DX39</f>
        <v>1249</v>
      </c>
      <c r="AX32" s="82">
        <f>'DJB Daily Readings'!DZ40-'DJB Daily Readings'!DZ39</f>
        <v>141</v>
      </c>
      <c r="AY32" s="82">
        <f>'DJB Daily Readings'!EB40-'DJB Daily Readings'!EB39</f>
        <v>571</v>
      </c>
      <c r="AZ32" s="82">
        <f>'DJB Daily Readings'!ED40-'DJB Daily Readings'!ED39</f>
        <v>142</v>
      </c>
      <c r="BA32" s="82">
        <f>'DJB Daily Readings'!EG40-'DJB Daily Readings'!EG39</f>
        <v>7400</v>
      </c>
      <c r="BB32" s="82">
        <f>'DJB Daily Readings'!EI40-'DJB Daily Readings'!EI39</f>
        <v>440</v>
      </c>
      <c r="BC32" s="82">
        <f>'DJB Daily Readings'!EQ40-'DJB Daily Readings'!EQ39</f>
        <v>6800</v>
      </c>
      <c r="BD32" s="82">
        <f>'DJB Daily Readings'!EK40-'DJB Daily Readings'!EK39</f>
        <v>3500</v>
      </c>
      <c r="BE32" s="82">
        <f>'DJB Daily Readings'!EM40-'DJB Daily Readings'!EM39</f>
        <v>300</v>
      </c>
      <c r="BF32" s="82">
        <f>'DJB Daily Readings'!EO40-'DJB Daily Readings'!EO39</f>
        <v>100</v>
      </c>
      <c r="BG32" s="82">
        <f>('DJB Daily Readings'!ET40-'DJB Daily Readings'!ET39)*1.89</f>
        <v>35.909999999999997</v>
      </c>
      <c r="BH32" s="82">
        <f>('DJB Daily Readings'!EV40-'DJB Daily Readings'!EV39)*1.89</f>
        <v>34.019999999999996</v>
      </c>
      <c r="BI32" s="82">
        <f>('DJB Daily Readings'!EZ40-'DJB Daily Readings'!EZ39)*1.89</f>
        <v>0</v>
      </c>
      <c r="BJ32" s="82">
        <f>('DJB Daily Readings'!EX40-'DJB Daily Readings'!EX39)*1.89</f>
        <v>0</v>
      </c>
      <c r="BK32" s="82">
        <f>('DJB Daily Readings'!FB40-'DJB Daily Readings'!FB39)*1.89</f>
        <v>60.48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6" activePane="bottomRight" state="frozen"/>
      <selection pane="topRight" activeCell="B1" sqref="B1"/>
      <selection pane="bottomLeft" activeCell="A9" sqref="A9"/>
      <selection pane="bottomRight" activeCell="D35" sqref="D35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3" t="s">
        <v>109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3"/>
      <c r="AU1" s="443"/>
      <c r="AV1" s="443"/>
      <c r="AW1" s="443"/>
      <c r="AX1" s="443"/>
      <c r="AY1" s="443"/>
      <c r="AZ1" s="443"/>
      <c r="BA1" s="443"/>
      <c r="BB1" s="443"/>
      <c r="BC1" s="443"/>
      <c r="BD1" s="443"/>
      <c r="BE1" s="443"/>
      <c r="BF1" s="443"/>
      <c r="BG1" s="443"/>
      <c r="BH1" s="443"/>
      <c r="BI1" s="443"/>
      <c r="BJ1" s="443"/>
      <c r="BK1" s="443"/>
      <c r="BL1" s="443"/>
      <c r="BM1" s="443"/>
      <c r="BN1" s="443"/>
      <c r="BO1" s="443"/>
      <c r="BP1" s="443"/>
      <c r="BQ1" s="443"/>
      <c r="BR1" s="443"/>
      <c r="BS1" s="443"/>
      <c r="BT1" s="443"/>
      <c r="BU1" s="443"/>
      <c r="BV1" s="443"/>
      <c r="BW1" s="443"/>
      <c r="BX1" s="443"/>
      <c r="BY1" s="443"/>
      <c r="BZ1" s="443"/>
      <c r="CA1" s="443"/>
      <c r="CB1" s="443"/>
      <c r="CC1" s="443"/>
      <c r="CD1" s="443"/>
      <c r="CE1" s="443"/>
      <c r="CF1" s="443"/>
      <c r="CG1" s="443"/>
      <c r="CH1" s="443"/>
      <c r="CI1" s="443"/>
      <c r="CJ1" s="443"/>
      <c r="CK1" s="443"/>
      <c r="CL1" s="443"/>
      <c r="CM1" s="443"/>
      <c r="CN1" s="443"/>
      <c r="CO1" s="443"/>
      <c r="CP1" s="443"/>
      <c r="CQ1" s="443"/>
      <c r="CR1" s="443"/>
      <c r="CS1" s="443"/>
      <c r="CT1" s="443"/>
      <c r="CU1" s="443"/>
      <c r="CV1" s="443"/>
      <c r="CW1" s="443"/>
      <c r="CX1" s="443"/>
      <c r="CY1" s="443"/>
      <c r="CZ1" s="443"/>
      <c r="DA1" s="443"/>
      <c r="DB1" s="443"/>
      <c r="DC1" s="443"/>
      <c r="DD1" s="443"/>
      <c r="DE1" s="443"/>
      <c r="DF1" s="443"/>
      <c r="DG1" s="443"/>
      <c r="DH1" s="443"/>
      <c r="DI1" s="443"/>
      <c r="DJ1" s="443"/>
      <c r="DK1" s="443"/>
      <c r="DL1" s="443"/>
      <c r="DM1" s="443"/>
      <c r="DN1" s="443"/>
      <c r="DO1" s="443"/>
      <c r="DP1" s="443"/>
      <c r="DQ1" s="443"/>
      <c r="DR1" s="443"/>
      <c r="DS1" s="443"/>
      <c r="DT1" s="443"/>
      <c r="DU1" s="443"/>
      <c r="DV1" s="443"/>
      <c r="DW1" s="443"/>
      <c r="DX1" s="443"/>
      <c r="DY1" s="443"/>
      <c r="DZ1" s="443"/>
      <c r="EA1" s="443"/>
      <c r="EB1" s="443"/>
      <c r="EC1" s="443"/>
      <c r="ED1" s="443"/>
      <c r="EE1" s="443"/>
      <c r="EF1" s="443"/>
      <c r="EG1" s="443"/>
      <c r="EH1" s="443"/>
      <c r="EI1" s="443"/>
      <c r="EJ1" s="443"/>
      <c r="EK1" s="443"/>
      <c r="EL1" s="443"/>
      <c r="EM1" s="443"/>
      <c r="EN1" s="443"/>
      <c r="EO1" s="443"/>
      <c r="EP1" s="443"/>
      <c r="EQ1" s="443"/>
      <c r="ER1" s="443"/>
      <c r="ES1" s="443"/>
      <c r="ET1" s="443"/>
      <c r="EU1" s="443"/>
      <c r="EV1" s="443"/>
      <c r="EW1" s="443"/>
      <c r="EX1" s="443"/>
      <c r="EY1" s="443"/>
      <c r="EZ1" s="443"/>
      <c r="FA1" s="443"/>
      <c r="FB1" s="443"/>
      <c r="FC1" s="443"/>
    </row>
    <row r="2" spans="1:159" ht="16.5" customHeight="1" x14ac:dyDescent="0.25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  <c r="AH2" s="443"/>
      <c r="AI2" s="443"/>
      <c r="AJ2" s="443"/>
      <c r="AK2" s="443"/>
      <c r="AL2" s="443"/>
      <c r="AM2" s="443"/>
      <c r="AN2" s="443"/>
      <c r="AO2" s="443"/>
      <c r="AP2" s="443"/>
      <c r="AQ2" s="443"/>
      <c r="AR2" s="443"/>
      <c r="AS2" s="443"/>
      <c r="AT2" s="443"/>
      <c r="AU2" s="443"/>
      <c r="AV2" s="443"/>
      <c r="AW2" s="443"/>
      <c r="AX2" s="443"/>
      <c r="AY2" s="443"/>
      <c r="AZ2" s="443"/>
      <c r="BA2" s="443"/>
      <c r="BB2" s="443"/>
      <c r="BC2" s="443"/>
      <c r="BD2" s="443"/>
      <c r="BE2" s="443"/>
      <c r="BF2" s="443"/>
      <c r="BG2" s="443"/>
      <c r="BH2" s="443"/>
      <c r="BI2" s="443"/>
      <c r="BJ2" s="443"/>
      <c r="BK2" s="443"/>
      <c r="BL2" s="443"/>
      <c r="BM2" s="443"/>
      <c r="BN2" s="443"/>
      <c r="BO2" s="443"/>
      <c r="BP2" s="443"/>
      <c r="BQ2" s="443"/>
      <c r="BR2" s="443"/>
      <c r="BS2" s="443"/>
      <c r="BT2" s="443"/>
      <c r="BU2" s="443"/>
      <c r="BV2" s="443"/>
      <c r="BW2" s="443"/>
      <c r="BX2" s="443"/>
      <c r="BY2" s="443"/>
      <c r="BZ2" s="443"/>
      <c r="CA2" s="443"/>
      <c r="CB2" s="443"/>
      <c r="CC2" s="443"/>
      <c r="CD2" s="443"/>
      <c r="CE2" s="443"/>
      <c r="CF2" s="443"/>
      <c r="CG2" s="443"/>
      <c r="CH2" s="443"/>
      <c r="CI2" s="443"/>
      <c r="CJ2" s="443"/>
      <c r="CK2" s="443"/>
      <c r="CL2" s="443"/>
      <c r="CM2" s="443"/>
      <c r="CN2" s="443"/>
      <c r="CO2" s="443"/>
      <c r="CP2" s="443"/>
      <c r="CQ2" s="443"/>
      <c r="CR2" s="443"/>
      <c r="CS2" s="443"/>
      <c r="CT2" s="443"/>
      <c r="CU2" s="443"/>
      <c r="CV2" s="443"/>
      <c r="CW2" s="443"/>
      <c r="CX2" s="443"/>
      <c r="CY2" s="443"/>
      <c r="CZ2" s="443"/>
      <c r="DA2" s="443"/>
      <c r="DB2" s="443"/>
      <c r="DC2" s="443"/>
      <c r="DD2" s="443"/>
      <c r="DE2" s="443"/>
      <c r="DF2" s="443"/>
      <c r="DG2" s="443"/>
      <c r="DH2" s="443"/>
      <c r="DI2" s="443"/>
      <c r="DJ2" s="443"/>
      <c r="DK2" s="443"/>
      <c r="DL2" s="443"/>
      <c r="DM2" s="443"/>
      <c r="DN2" s="443"/>
      <c r="DO2" s="443"/>
      <c r="DP2" s="443"/>
      <c r="DQ2" s="443"/>
      <c r="DR2" s="443"/>
      <c r="DS2" s="443"/>
      <c r="DT2" s="443"/>
      <c r="DU2" s="443"/>
      <c r="DV2" s="443"/>
      <c r="DW2" s="443"/>
      <c r="DX2" s="443"/>
      <c r="DY2" s="443"/>
      <c r="DZ2" s="443"/>
      <c r="EA2" s="443"/>
      <c r="EB2" s="443"/>
      <c r="EC2" s="443"/>
      <c r="ED2" s="443"/>
      <c r="EE2" s="443"/>
      <c r="EF2" s="443"/>
      <c r="EG2" s="443"/>
      <c r="EH2" s="443"/>
      <c r="EI2" s="443"/>
      <c r="EJ2" s="443"/>
      <c r="EK2" s="443"/>
      <c r="EL2" s="443"/>
      <c r="EM2" s="443"/>
      <c r="EN2" s="443"/>
      <c r="EO2" s="443"/>
      <c r="EP2" s="443"/>
      <c r="EQ2" s="443"/>
      <c r="ER2" s="443"/>
      <c r="ES2" s="443"/>
      <c r="ET2" s="443"/>
      <c r="EU2" s="443"/>
      <c r="EV2" s="443"/>
      <c r="EW2" s="443"/>
      <c r="EX2" s="443"/>
      <c r="EY2" s="443"/>
      <c r="EZ2" s="443"/>
      <c r="FA2" s="443"/>
      <c r="FB2" s="443"/>
      <c r="FC2" s="443"/>
    </row>
    <row r="3" spans="1:159" ht="45" customHeight="1" x14ac:dyDescent="0.25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3"/>
      <c r="AV3" s="443"/>
      <c r="AW3" s="443"/>
      <c r="AX3" s="443"/>
      <c r="AY3" s="443"/>
      <c r="AZ3" s="443"/>
      <c r="BA3" s="443"/>
      <c r="BB3" s="443"/>
      <c r="BC3" s="443"/>
      <c r="BD3" s="443"/>
      <c r="BE3" s="443"/>
      <c r="BF3" s="443"/>
      <c r="BG3" s="443"/>
      <c r="BH3" s="443"/>
      <c r="BI3" s="443"/>
      <c r="BJ3" s="443"/>
      <c r="BK3" s="443"/>
      <c r="BL3" s="443"/>
      <c r="BM3" s="443"/>
      <c r="BN3" s="443"/>
      <c r="BO3" s="443"/>
      <c r="BP3" s="443"/>
      <c r="BQ3" s="443"/>
      <c r="BR3" s="443"/>
      <c r="BS3" s="443"/>
      <c r="BT3" s="443"/>
      <c r="BU3" s="443"/>
      <c r="BV3" s="443"/>
      <c r="BW3" s="443"/>
      <c r="BX3" s="443"/>
      <c r="BY3" s="443"/>
      <c r="BZ3" s="443"/>
      <c r="CA3" s="443"/>
      <c r="CB3" s="443"/>
      <c r="CC3" s="443"/>
      <c r="CD3" s="443"/>
      <c r="CE3" s="443"/>
      <c r="CF3" s="443"/>
      <c r="CG3" s="443"/>
      <c r="CH3" s="443"/>
      <c r="CI3" s="443"/>
      <c r="CJ3" s="443"/>
      <c r="CK3" s="443"/>
      <c r="CL3" s="443"/>
      <c r="CM3" s="443"/>
      <c r="CN3" s="443"/>
      <c r="CO3" s="443"/>
      <c r="CP3" s="443"/>
      <c r="CQ3" s="443"/>
      <c r="CR3" s="443"/>
      <c r="CS3" s="443"/>
      <c r="CT3" s="443"/>
      <c r="CU3" s="443"/>
      <c r="CV3" s="443"/>
      <c r="CW3" s="443"/>
      <c r="CX3" s="443"/>
      <c r="CY3" s="443"/>
      <c r="CZ3" s="443"/>
      <c r="DA3" s="443"/>
      <c r="DB3" s="443"/>
      <c r="DC3" s="443"/>
      <c r="DD3" s="443"/>
      <c r="DE3" s="443"/>
      <c r="DF3" s="443"/>
      <c r="DG3" s="443"/>
      <c r="DH3" s="443"/>
      <c r="DI3" s="443"/>
      <c r="DJ3" s="443"/>
      <c r="DK3" s="443"/>
      <c r="DL3" s="443"/>
      <c r="DM3" s="443"/>
      <c r="DN3" s="443"/>
      <c r="DO3" s="443"/>
      <c r="DP3" s="443"/>
      <c r="DQ3" s="443"/>
      <c r="DR3" s="443"/>
      <c r="DS3" s="443"/>
      <c r="DT3" s="443"/>
      <c r="DU3" s="443"/>
      <c r="DV3" s="443"/>
      <c r="DW3" s="443"/>
      <c r="DX3" s="443"/>
      <c r="DY3" s="443"/>
      <c r="DZ3" s="443"/>
      <c r="EA3" s="443"/>
      <c r="EB3" s="443"/>
      <c r="EC3" s="443"/>
      <c r="ED3" s="443"/>
      <c r="EE3" s="443"/>
      <c r="EF3" s="443"/>
      <c r="EG3" s="443"/>
      <c r="EH3" s="443"/>
      <c r="EI3" s="443"/>
      <c r="EJ3" s="443"/>
      <c r="EK3" s="443"/>
      <c r="EL3" s="443"/>
      <c r="EM3" s="443"/>
      <c r="EN3" s="443"/>
      <c r="EO3" s="443"/>
      <c r="EP3" s="443"/>
      <c r="EQ3" s="443"/>
      <c r="ER3" s="443"/>
      <c r="ES3" s="443"/>
      <c r="ET3" s="443"/>
      <c r="EU3" s="443"/>
      <c r="EV3" s="443"/>
      <c r="EW3" s="443"/>
      <c r="EX3" s="443"/>
      <c r="EY3" s="443"/>
      <c r="EZ3" s="443"/>
      <c r="FA3" s="443"/>
      <c r="FB3" s="443"/>
      <c r="FC3" s="443"/>
    </row>
    <row r="4" spans="1:159" ht="16.5" customHeight="1" x14ac:dyDescent="0.25">
      <c r="A4" s="443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3"/>
      <c r="AM4" s="443"/>
      <c r="AN4" s="443"/>
      <c r="AO4" s="443"/>
      <c r="AP4" s="443"/>
      <c r="AQ4" s="443"/>
      <c r="AR4" s="443"/>
      <c r="AS4" s="443"/>
      <c r="AT4" s="443"/>
      <c r="AU4" s="443"/>
      <c r="AV4" s="443"/>
      <c r="AW4" s="443"/>
      <c r="AX4" s="443"/>
      <c r="AY4" s="443"/>
      <c r="AZ4" s="443"/>
      <c r="BA4" s="443"/>
      <c r="BB4" s="443"/>
      <c r="BC4" s="443"/>
      <c r="BD4" s="443"/>
      <c r="BE4" s="443"/>
      <c r="BF4" s="443"/>
      <c r="BG4" s="443"/>
      <c r="BH4" s="443"/>
      <c r="BI4" s="443"/>
      <c r="BJ4" s="443"/>
      <c r="BK4" s="443"/>
      <c r="BL4" s="443"/>
      <c r="BM4" s="443"/>
      <c r="BN4" s="443"/>
      <c r="BO4" s="443"/>
      <c r="BP4" s="443"/>
      <c r="BQ4" s="443"/>
      <c r="BR4" s="443"/>
      <c r="BS4" s="443"/>
      <c r="BT4" s="443"/>
      <c r="BU4" s="443"/>
      <c r="BV4" s="443"/>
      <c r="BW4" s="443"/>
      <c r="BX4" s="443"/>
      <c r="BY4" s="443"/>
      <c r="BZ4" s="443"/>
      <c r="CA4" s="443"/>
      <c r="CB4" s="443"/>
      <c r="CC4" s="443"/>
      <c r="CD4" s="443"/>
      <c r="CE4" s="443"/>
      <c r="CF4" s="443"/>
      <c r="CG4" s="443"/>
      <c r="CH4" s="443"/>
      <c r="CI4" s="443"/>
      <c r="CJ4" s="443"/>
      <c r="CK4" s="443"/>
      <c r="CL4" s="443"/>
      <c r="CM4" s="443"/>
      <c r="CN4" s="443"/>
      <c r="CO4" s="443"/>
      <c r="CP4" s="443"/>
      <c r="CQ4" s="443"/>
      <c r="CR4" s="443"/>
      <c r="CS4" s="443"/>
      <c r="CT4" s="443"/>
      <c r="CU4" s="443"/>
      <c r="CV4" s="443"/>
      <c r="CW4" s="443"/>
      <c r="CX4" s="443"/>
      <c r="CY4" s="443"/>
      <c r="CZ4" s="443"/>
      <c r="DA4" s="443"/>
      <c r="DB4" s="443"/>
      <c r="DC4" s="443"/>
      <c r="DD4" s="443"/>
      <c r="DE4" s="443"/>
      <c r="DF4" s="443"/>
      <c r="DG4" s="443"/>
      <c r="DH4" s="443"/>
      <c r="DI4" s="443"/>
      <c r="DJ4" s="443"/>
      <c r="DK4" s="443"/>
      <c r="DL4" s="443"/>
      <c r="DM4" s="443"/>
      <c r="DN4" s="443"/>
      <c r="DO4" s="443"/>
      <c r="DP4" s="443"/>
      <c r="DQ4" s="443"/>
      <c r="DR4" s="443"/>
      <c r="DS4" s="443"/>
      <c r="DT4" s="443"/>
      <c r="DU4" s="443"/>
      <c r="DV4" s="443"/>
      <c r="DW4" s="443"/>
      <c r="DX4" s="443"/>
      <c r="DY4" s="443"/>
      <c r="DZ4" s="443"/>
      <c r="EA4" s="443"/>
      <c r="EB4" s="443"/>
      <c r="EC4" s="443"/>
      <c r="ED4" s="443"/>
      <c r="EE4" s="443"/>
      <c r="EF4" s="443"/>
      <c r="EG4" s="443"/>
      <c r="EH4" s="443"/>
      <c r="EI4" s="443"/>
      <c r="EJ4" s="443"/>
      <c r="EK4" s="443"/>
      <c r="EL4" s="443"/>
      <c r="EM4" s="443"/>
      <c r="EN4" s="443"/>
      <c r="EO4" s="443"/>
      <c r="EP4" s="443"/>
      <c r="EQ4" s="443"/>
      <c r="ER4" s="443"/>
      <c r="ES4" s="443"/>
      <c r="ET4" s="443"/>
      <c r="EU4" s="443"/>
      <c r="EV4" s="443"/>
      <c r="EW4" s="443"/>
      <c r="EX4" s="443"/>
      <c r="EY4" s="443"/>
      <c r="EZ4" s="443"/>
      <c r="FA4" s="443"/>
      <c r="FB4" s="443"/>
      <c r="FC4" s="443"/>
    </row>
    <row r="5" spans="1:159" ht="10.5" customHeight="1" thickBot="1" x14ac:dyDescent="0.3">
      <c r="A5" s="444"/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3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  <c r="AF5" s="444"/>
      <c r="AG5" s="444"/>
      <c r="AH5" s="444"/>
      <c r="AI5" s="444"/>
      <c r="AJ5" s="444"/>
      <c r="AK5" s="444"/>
      <c r="AL5" s="444"/>
      <c r="AM5" s="444"/>
      <c r="AN5" s="444"/>
      <c r="AO5" s="444"/>
      <c r="AP5" s="444"/>
      <c r="AQ5" s="444"/>
      <c r="AR5" s="444"/>
      <c r="AS5" s="444"/>
      <c r="AT5" s="444"/>
      <c r="AU5" s="444"/>
      <c r="AV5" s="444"/>
      <c r="AW5" s="444"/>
      <c r="AX5" s="444"/>
      <c r="AY5" s="443"/>
      <c r="AZ5" s="444"/>
      <c r="BA5" s="444"/>
      <c r="BB5" s="444"/>
      <c r="BC5" s="444"/>
      <c r="BD5" s="444"/>
      <c r="BE5" s="444"/>
      <c r="BF5" s="444"/>
      <c r="BG5" s="444"/>
      <c r="BH5" s="444"/>
      <c r="BI5" s="444"/>
      <c r="BJ5" s="444"/>
      <c r="BK5" s="444"/>
      <c r="BL5" s="444"/>
      <c r="BM5" s="444"/>
      <c r="BN5" s="444"/>
      <c r="BO5" s="444"/>
      <c r="BP5" s="444"/>
      <c r="BQ5" s="444"/>
      <c r="BR5" s="444"/>
      <c r="BS5" s="444"/>
      <c r="BT5" s="444"/>
      <c r="BU5" s="443"/>
      <c r="BV5" s="444"/>
      <c r="BW5" s="444"/>
      <c r="BX5" s="444"/>
      <c r="BY5" s="444"/>
      <c r="BZ5" s="444"/>
      <c r="CA5" s="444"/>
      <c r="CB5" s="444"/>
      <c r="CC5" s="444"/>
      <c r="CD5" s="444"/>
      <c r="CE5" s="444"/>
      <c r="CF5" s="444"/>
      <c r="CG5" s="444"/>
      <c r="CH5" s="444"/>
      <c r="CI5" s="444"/>
      <c r="CJ5" s="444"/>
      <c r="CK5" s="444"/>
      <c r="CL5" s="444"/>
      <c r="CM5" s="444"/>
      <c r="CN5" s="444"/>
      <c r="CO5" s="444"/>
      <c r="CP5" s="444"/>
      <c r="CQ5" s="444"/>
      <c r="CR5" s="444"/>
      <c r="CS5" s="444"/>
      <c r="CT5" s="444"/>
      <c r="CU5" s="444"/>
      <c r="CV5" s="444"/>
      <c r="CW5" s="444"/>
      <c r="CX5" s="444"/>
      <c r="CY5" s="444"/>
      <c r="CZ5" s="444"/>
      <c r="DA5" s="444"/>
      <c r="DB5" s="444"/>
      <c r="DC5" s="444"/>
      <c r="DD5" s="444"/>
      <c r="DE5" s="444"/>
      <c r="DF5" s="444"/>
      <c r="DG5" s="444"/>
      <c r="DH5" s="444"/>
      <c r="DI5" s="444"/>
      <c r="DJ5" s="444"/>
      <c r="DK5" s="444"/>
      <c r="DL5" s="444"/>
      <c r="DM5" s="444"/>
      <c r="DN5" s="444"/>
      <c r="DO5" s="444"/>
      <c r="DP5" s="444"/>
      <c r="DQ5" s="444"/>
      <c r="DR5" s="444"/>
      <c r="DS5" s="443"/>
      <c r="DT5" s="444"/>
      <c r="DU5" s="444"/>
      <c r="DV5" s="444"/>
      <c r="DW5" s="444"/>
      <c r="DX5" s="444"/>
      <c r="DY5" s="444"/>
      <c r="DZ5" s="444"/>
      <c r="EA5" s="444"/>
      <c r="EB5" s="444"/>
      <c r="EC5" s="444"/>
      <c r="ED5" s="444"/>
      <c r="EE5" s="444"/>
      <c r="EF5" s="443"/>
      <c r="EG5" s="444"/>
      <c r="EH5" s="444"/>
      <c r="EI5" s="444"/>
      <c r="EJ5" s="444"/>
      <c r="EK5" s="444"/>
      <c r="EL5" s="444"/>
      <c r="EM5" s="444"/>
      <c r="EN5" s="444"/>
      <c r="EO5" s="444"/>
      <c r="EP5" s="444"/>
      <c r="EQ5" s="444"/>
      <c r="ER5" s="444"/>
      <c r="ES5" s="443"/>
      <c r="ET5" s="444"/>
      <c r="EU5" s="444"/>
      <c r="EV5" s="444"/>
      <c r="EW5" s="444"/>
      <c r="EX5" s="444"/>
      <c r="EY5" s="444"/>
      <c r="EZ5" s="444"/>
      <c r="FA5" s="444"/>
      <c r="FB5" s="444"/>
      <c r="FC5" s="444"/>
    </row>
    <row r="6" spans="1:159" ht="24.75" customHeight="1" thickBot="1" x14ac:dyDescent="0.3">
      <c r="A6" s="445" t="s">
        <v>195</v>
      </c>
      <c r="B6" s="446"/>
      <c r="C6" s="446"/>
      <c r="D6" s="446"/>
      <c r="E6" s="446"/>
      <c r="F6" s="446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7"/>
      <c r="T6" s="474"/>
      <c r="U6" s="448" t="s">
        <v>196</v>
      </c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49"/>
      <c r="AN6" s="449"/>
      <c r="AO6" s="449"/>
      <c r="AP6" s="449"/>
      <c r="AQ6" s="449"/>
      <c r="AR6" s="449"/>
      <c r="AS6" s="449"/>
      <c r="AT6" s="449"/>
      <c r="AU6" s="449"/>
      <c r="AV6" s="449"/>
      <c r="AW6" s="449"/>
      <c r="AX6" s="450"/>
      <c r="AY6" s="491"/>
      <c r="AZ6" s="448" t="s">
        <v>197</v>
      </c>
      <c r="BA6" s="449"/>
      <c r="BB6" s="449"/>
      <c r="BC6" s="449"/>
      <c r="BD6" s="449"/>
      <c r="BE6" s="449"/>
      <c r="BF6" s="449"/>
      <c r="BG6" s="449"/>
      <c r="BH6" s="449"/>
      <c r="BI6" s="449"/>
      <c r="BJ6" s="449"/>
      <c r="BK6" s="449"/>
      <c r="BL6" s="449"/>
      <c r="BM6" s="449"/>
      <c r="BN6" s="449"/>
      <c r="BO6" s="449"/>
      <c r="BP6" s="449"/>
      <c r="BQ6" s="449"/>
      <c r="BR6" s="449"/>
      <c r="BS6" s="449"/>
      <c r="BT6" s="450"/>
      <c r="BU6" s="587"/>
      <c r="BV6" s="451" t="s">
        <v>198</v>
      </c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3"/>
      <c r="CV6" s="515"/>
      <c r="CW6" s="464" t="s">
        <v>199</v>
      </c>
      <c r="CX6" s="464"/>
      <c r="CY6" s="464"/>
      <c r="CZ6" s="464"/>
      <c r="DA6" s="464"/>
      <c r="DB6" s="464"/>
      <c r="DC6" s="464"/>
      <c r="DD6" s="464"/>
      <c r="DE6" s="464"/>
      <c r="DF6" s="464"/>
      <c r="DG6" s="464"/>
      <c r="DH6" s="464"/>
      <c r="DI6" s="464"/>
      <c r="DJ6" s="464"/>
      <c r="DK6" s="464"/>
      <c r="DL6" s="464"/>
      <c r="DM6" s="464"/>
      <c r="DN6" s="464"/>
      <c r="DO6" s="464"/>
      <c r="DP6" s="464"/>
      <c r="DQ6" s="464"/>
      <c r="DR6" s="465"/>
      <c r="DS6" s="531"/>
      <c r="DT6" s="539" t="s">
        <v>200</v>
      </c>
      <c r="DU6" s="540"/>
      <c r="DV6" s="540"/>
      <c r="DW6" s="540"/>
      <c r="DX6" s="540"/>
      <c r="DY6" s="540"/>
      <c r="DZ6" s="540"/>
      <c r="EA6" s="540"/>
      <c r="EB6" s="540"/>
      <c r="EC6" s="540"/>
      <c r="ED6" s="540"/>
      <c r="EE6" s="541"/>
      <c r="EF6" s="578"/>
      <c r="EG6" s="539" t="s">
        <v>201</v>
      </c>
      <c r="EH6" s="540"/>
      <c r="EI6" s="540"/>
      <c r="EJ6" s="540"/>
      <c r="EK6" s="540"/>
      <c r="EL6" s="540"/>
      <c r="EM6" s="540"/>
      <c r="EN6" s="540"/>
      <c r="EO6" s="540"/>
      <c r="EP6" s="540"/>
      <c r="EQ6" s="540"/>
      <c r="ER6" s="541"/>
      <c r="ES6" s="554"/>
      <c r="ET6" s="551" t="s">
        <v>202</v>
      </c>
      <c r="EU6" s="552"/>
      <c r="EV6" s="552"/>
      <c r="EW6" s="552"/>
      <c r="EX6" s="552"/>
      <c r="EY6" s="552"/>
      <c r="EZ6" s="552"/>
      <c r="FA6" s="552"/>
      <c r="FB6" s="552"/>
      <c r="FC6" s="553"/>
    </row>
    <row r="7" spans="1:159" ht="45" customHeight="1" thickBot="1" x14ac:dyDescent="0.3">
      <c r="A7" s="454" t="s">
        <v>18</v>
      </c>
      <c r="B7" s="456" t="s">
        <v>112</v>
      </c>
      <c r="C7" s="458" t="s">
        <v>113</v>
      </c>
      <c r="D7" s="459"/>
      <c r="E7" s="460"/>
      <c r="F7" s="461" t="s">
        <v>0</v>
      </c>
      <c r="G7" s="462"/>
      <c r="H7" s="463"/>
      <c r="I7" s="466" t="s">
        <v>1</v>
      </c>
      <c r="J7" s="466"/>
      <c r="K7" s="467" t="s">
        <v>114</v>
      </c>
      <c r="L7" s="468"/>
      <c r="M7" s="469" t="s">
        <v>115</v>
      </c>
      <c r="N7" s="463"/>
      <c r="O7" s="469" t="s">
        <v>2</v>
      </c>
      <c r="P7" s="462"/>
      <c r="Q7" s="463"/>
      <c r="R7" s="467" t="s">
        <v>116</v>
      </c>
      <c r="S7" s="470"/>
      <c r="T7" s="474"/>
      <c r="U7" s="471" t="s">
        <v>3</v>
      </c>
      <c r="V7" s="472"/>
      <c r="W7" s="473"/>
      <c r="X7" s="481" t="s">
        <v>4</v>
      </c>
      <c r="Y7" s="472"/>
      <c r="Z7" s="473"/>
      <c r="AA7" s="481" t="s">
        <v>5</v>
      </c>
      <c r="AB7" s="472"/>
      <c r="AC7" s="473"/>
      <c r="AD7" s="481" t="s">
        <v>6</v>
      </c>
      <c r="AE7" s="472"/>
      <c r="AF7" s="473"/>
      <c r="AG7" s="481" t="s">
        <v>7</v>
      </c>
      <c r="AH7" s="472"/>
      <c r="AI7" s="473"/>
      <c r="AJ7" s="482" t="s">
        <v>117</v>
      </c>
      <c r="AK7" s="483"/>
      <c r="AL7" s="484"/>
      <c r="AM7" s="482" t="s">
        <v>118</v>
      </c>
      <c r="AN7" s="483"/>
      <c r="AO7" s="484"/>
      <c r="AP7" s="481" t="s">
        <v>8</v>
      </c>
      <c r="AQ7" s="472"/>
      <c r="AR7" s="473"/>
      <c r="AS7" s="482" t="s">
        <v>119</v>
      </c>
      <c r="AT7" s="483"/>
      <c r="AU7" s="484"/>
      <c r="AV7" s="485" t="s">
        <v>9</v>
      </c>
      <c r="AW7" s="486"/>
      <c r="AX7" s="487"/>
      <c r="AY7" s="491"/>
      <c r="AZ7" s="488" t="s">
        <v>10</v>
      </c>
      <c r="BA7" s="486"/>
      <c r="BB7" s="489"/>
      <c r="BC7" s="490" t="s">
        <v>11</v>
      </c>
      <c r="BD7" s="490"/>
      <c r="BE7" s="490"/>
      <c r="BF7" s="490" t="s">
        <v>12</v>
      </c>
      <c r="BG7" s="490"/>
      <c r="BH7" s="490"/>
      <c r="BI7" s="503" t="s">
        <v>120</v>
      </c>
      <c r="BJ7" s="503"/>
      <c r="BK7" s="503" t="s">
        <v>121</v>
      </c>
      <c r="BL7" s="503"/>
      <c r="BM7" s="503" t="s">
        <v>122</v>
      </c>
      <c r="BN7" s="503"/>
      <c r="BO7" s="503" t="s">
        <v>123</v>
      </c>
      <c r="BP7" s="503"/>
      <c r="BQ7" s="504" t="s">
        <v>124</v>
      </c>
      <c r="BR7" s="505"/>
      <c r="BS7" s="506" t="s">
        <v>125</v>
      </c>
      <c r="BT7" s="507"/>
      <c r="BU7" s="588"/>
      <c r="BV7" s="590" t="s">
        <v>13</v>
      </c>
      <c r="BW7" s="509"/>
      <c r="BX7" s="510"/>
      <c r="BY7" s="591" t="s">
        <v>126</v>
      </c>
      <c r="BZ7" s="591"/>
      <c r="CA7" s="501" t="s">
        <v>127</v>
      </c>
      <c r="CB7" s="502"/>
      <c r="CC7" s="501" t="s">
        <v>128</v>
      </c>
      <c r="CD7" s="502"/>
      <c r="CE7" s="501" t="s">
        <v>129</v>
      </c>
      <c r="CF7" s="502"/>
      <c r="CG7" s="501" t="s">
        <v>130</v>
      </c>
      <c r="CH7" s="502"/>
      <c r="CI7" s="501" t="s">
        <v>131</v>
      </c>
      <c r="CJ7" s="502"/>
      <c r="CK7" s="508" t="s">
        <v>14</v>
      </c>
      <c r="CL7" s="509"/>
      <c r="CM7" s="510"/>
      <c r="CN7" s="508" t="s">
        <v>15</v>
      </c>
      <c r="CO7" s="509"/>
      <c r="CP7" s="510"/>
      <c r="CQ7" s="508" t="s">
        <v>16</v>
      </c>
      <c r="CR7" s="509"/>
      <c r="CS7" s="510"/>
      <c r="CT7" s="511" t="s">
        <v>17</v>
      </c>
      <c r="CU7" s="512"/>
      <c r="CV7" s="516"/>
      <c r="CW7" s="513" t="s">
        <v>82</v>
      </c>
      <c r="CX7" s="514"/>
      <c r="CY7" s="514"/>
      <c r="CZ7" s="514"/>
      <c r="DA7" s="520" t="s">
        <v>191</v>
      </c>
      <c r="DB7" s="459"/>
      <c r="DC7" s="459"/>
      <c r="DD7" s="521"/>
      <c r="DE7" s="520" t="s">
        <v>83</v>
      </c>
      <c r="DF7" s="459"/>
      <c r="DG7" s="459"/>
      <c r="DH7" s="459"/>
      <c r="DI7" s="513" t="s">
        <v>84</v>
      </c>
      <c r="DJ7" s="520"/>
      <c r="DK7" s="520"/>
      <c r="DL7" s="522"/>
      <c r="DM7" s="458" t="s">
        <v>85</v>
      </c>
      <c r="DN7" s="459"/>
      <c r="DO7" s="459"/>
      <c r="DP7" s="460"/>
      <c r="DQ7" s="458" t="s">
        <v>86</v>
      </c>
      <c r="DR7" s="460"/>
      <c r="DS7" s="532"/>
      <c r="DT7" s="529" t="s">
        <v>87</v>
      </c>
      <c r="DU7" s="530"/>
      <c r="DV7" s="537" t="s">
        <v>88</v>
      </c>
      <c r="DW7" s="530"/>
      <c r="DX7" s="538" t="s">
        <v>89</v>
      </c>
      <c r="DY7" s="537"/>
      <c r="DZ7" s="537" t="s">
        <v>90</v>
      </c>
      <c r="EA7" s="530"/>
      <c r="EB7" s="537" t="s">
        <v>91</v>
      </c>
      <c r="EC7" s="530"/>
      <c r="ED7" s="537" t="s">
        <v>92</v>
      </c>
      <c r="EE7" s="542"/>
      <c r="EF7" s="579"/>
      <c r="EG7" s="549" t="s">
        <v>93</v>
      </c>
      <c r="EH7" s="538"/>
      <c r="EI7" s="538" t="s">
        <v>94</v>
      </c>
      <c r="EJ7" s="538"/>
      <c r="EK7" s="538" t="s">
        <v>95</v>
      </c>
      <c r="EL7" s="538"/>
      <c r="EM7" s="538" t="s">
        <v>96</v>
      </c>
      <c r="EN7" s="538"/>
      <c r="EO7" s="538" t="s">
        <v>97</v>
      </c>
      <c r="EP7" s="538"/>
      <c r="EQ7" s="538" t="s">
        <v>98</v>
      </c>
      <c r="ER7" s="550"/>
      <c r="ES7" s="554"/>
      <c r="ET7" s="513" t="s">
        <v>99</v>
      </c>
      <c r="EU7" s="514"/>
      <c r="EV7" s="514" t="s">
        <v>100</v>
      </c>
      <c r="EW7" s="514"/>
      <c r="EX7" s="514" t="s">
        <v>101</v>
      </c>
      <c r="EY7" s="514"/>
      <c r="EZ7" s="514" t="s">
        <v>102</v>
      </c>
      <c r="FA7" s="514"/>
      <c r="FB7" s="514" t="s">
        <v>103</v>
      </c>
      <c r="FC7" s="522"/>
    </row>
    <row r="8" spans="1:159" s="4" customFormat="1" ht="44.25" customHeight="1" thickBot="1" x14ac:dyDescent="0.3">
      <c r="A8" s="455"/>
      <c r="B8" s="457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474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91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588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516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532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79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91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43738</v>
      </c>
      <c r="B9" s="212">
        <f>'[1]October - 19'!B9</f>
        <v>0.76</v>
      </c>
      <c r="C9" s="266">
        <f>'[1]October - 19'!E9</f>
        <v>463946</v>
      </c>
      <c r="D9" s="565">
        <f>C10-C9</f>
        <v>558</v>
      </c>
      <c r="E9" s="479">
        <f>'[1]October - 19'!G9</f>
        <v>528</v>
      </c>
      <c r="F9" s="170">
        <f>'[1]October - 19'!H9</f>
        <v>650574</v>
      </c>
      <c r="G9" s="477">
        <f>F10-F9</f>
        <v>295</v>
      </c>
      <c r="H9" s="479">
        <f>'[1]October - 19'!J9</f>
        <v>341</v>
      </c>
      <c r="I9" s="267">
        <f>'[1]October - 19'!K9</f>
        <v>58544</v>
      </c>
      <c r="J9" s="477">
        <f>I10-I9</f>
        <v>0</v>
      </c>
      <c r="K9" s="267">
        <f>'[1]October - 19'!N9</f>
        <v>586420</v>
      </c>
      <c r="L9" s="476">
        <f>K10-K9</f>
        <v>397</v>
      </c>
      <c r="M9" s="267">
        <f>'[1]October - 19'!Q9</f>
        <v>156650</v>
      </c>
      <c r="N9" s="476">
        <f>M10-M9</f>
        <v>29</v>
      </c>
      <c r="O9" s="267">
        <f>'[1]October - 19'!S9</f>
        <v>80546</v>
      </c>
      <c r="P9" s="477">
        <f>O10-O9</f>
        <v>260</v>
      </c>
      <c r="Q9" s="479">
        <f>'[1]October - 19'!U9</f>
        <v>230</v>
      </c>
      <c r="R9" s="267">
        <f>'[1]October - 19'!V9</f>
        <v>3902</v>
      </c>
      <c r="S9" s="567">
        <f>R10-R9</f>
        <v>66</v>
      </c>
      <c r="T9" s="475"/>
      <c r="U9" s="272">
        <f>'[1]October - 19'!AB9</f>
        <v>5209970.6400000006</v>
      </c>
      <c r="V9" s="569">
        <f>U10-U9</f>
        <v>3069.359999999404</v>
      </c>
      <c r="W9" s="495">
        <f>'[1]October - 19'!AD9</f>
        <v>2971.9</v>
      </c>
      <c r="X9" s="258">
        <f>'[1]October - 19'!AE9</f>
        <v>10182090.24</v>
      </c>
      <c r="Y9" s="477">
        <f>X10-X9</f>
        <v>4969.4399999994785</v>
      </c>
      <c r="Z9" s="495">
        <f>'[1]October - 19'!AG9</f>
        <v>5213</v>
      </c>
      <c r="AA9" s="258">
        <f>'[1]October - 19'!AH9</f>
        <v>9324715.6799999997</v>
      </c>
      <c r="AB9" s="477">
        <f>AA10-AA9</f>
        <v>10036.320000000298</v>
      </c>
      <c r="AC9" s="495">
        <f>'[1]October - 19'!AJ9</f>
        <v>12813.4</v>
      </c>
      <c r="AD9" s="258">
        <f>'[1]October - 19'!AK9</f>
        <v>12714312.24</v>
      </c>
      <c r="AE9" s="477">
        <f>AD10-AD9</f>
        <v>12569.759999999776</v>
      </c>
      <c r="AF9" s="495">
        <f>'[1]October - 19'!AM9</f>
        <v>438.4</v>
      </c>
      <c r="AG9" s="258">
        <f>'[1]October - 19'!AN9</f>
        <v>12669587.280000001</v>
      </c>
      <c r="AH9" s="477">
        <f>AG10-AG9</f>
        <v>779.51999999769032</v>
      </c>
      <c r="AI9" s="495">
        <f>'[1]October - 19'!AP9</f>
        <v>8720.8799999999992</v>
      </c>
      <c r="AJ9" s="258">
        <f>'[1]October - 19'!AQ9</f>
        <v>11327351.280000001</v>
      </c>
      <c r="AK9" s="477">
        <f>AJ10-AJ9</f>
        <v>6918.2399999983609</v>
      </c>
      <c r="AL9" s="495">
        <f>'[1]October - 19'!AS9</f>
        <v>5943.94</v>
      </c>
      <c r="AM9" s="258">
        <f>'[1]October - 19'!AT9</f>
        <v>9970060.7999999989</v>
      </c>
      <c r="AN9" s="477">
        <f>AM10-AM9</f>
        <v>4579.6800000015646</v>
      </c>
      <c r="AO9" s="495">
        <f>'[1]October - 19'!AV9</f>
        <v>4774.5600000000004</v>
      </c>
      <c r="AP9" s="258">
        <f>'[1]October - 19'!AW9</f>
        <v>9585562.5599999987</v>
      </c>
      <c r="AQ9" s="477">
        <f>AP10-AP9</f>
        <v>4677.1200000010431</v>
      </c>
      <c r="AR9" s="495">
        <f>'[1]October - 19'!AY9</f>
        <v>4969.4399999999996</v>
      </c>
      <c r="AS9" s="258">
        <f>'[1]October - 19'!AZ9</f>
        <v>7715932.5599999996</v>
      </c>
      <c r="AT9" s="477">
        <f>AS10-AS9</f>
        <v>3069.3600000003353</v>
      </c>
      <c r="AU9" s="495">
        <f>'[1]October - 19'!BB9</f>
        <v>3556.46</v>
      </c>
      <c r="AV9" s="258">
        <f>'[1]October - 19'!BC9</f>
        <v>11374609.68</v>
      </c>
      <c r="AW9" s="477">
        <f>AV10-AV9</f>
        <v>4969.4399999994785</v>
      </c>
      <c r="AX9" s="497">
        <f>'[1]October - 19'!BE9</f>
        <v>5652</v>
      </c>
      <c r="AY9" s="492"/>
      <c r="AZ9" s="275">
        <f>'[1]October - 19'!BJ9</f>
        <v>47230400</v>
      </c>
      <c r="BA9" s="499">
        <f>AZ10-AZ9</f>
        <v>49100</v>
      </c>
      <c r="BB9" s="493">
        <f>'[1]October - 19'!BL9</f>
        <v>60900</v>
      </c>
      <c r="BC9" s="275">
        <f>'[1]October - 19'!BM9</f>
        <v>51869300</v>
      </c>
      <c r="BD9" s="499">
        <f>BC10-BC9</f>
        <v>66500</v>
      </c>
      <c r="BE9" s="493">
        <f>'[1]October - 19'!BO9</f>
        <v>5100</v>
      </c>
      <c r="BF9" s="275">
        <f>'[1]October - 19'!BP9</f>
        <v>45427500</v>
      </c>
      <c r="BG9" s="499">
        <f>BF10-BF9</f>
        <v>0</v>
      </c>
      <c r="BH9" s="493">
        <f>'[1]October - 19'!BR9</f>
        <v>51000</v>
      </c>
      <c r="BI9" s="26"/>
      <c r="BJ9" s="476"/>
      <c r="BK9" s="26"/>
      <c r="BL9" s="26"/>
      <c r="BM9" s="26"/>
      <c r="BN9" s="26"/>
      <c r="BO9" s="26"/>
      <c r="BP9" s="26"/>
      <c r="BQ9" s="26"/>
      <c r="BR9" s="26"/>
      <c r="BS9" s="276">
        <f>'[1]October - 19'!BS9</f>
        <v>3500040</v>
      </c>
      <c r="BT9" s="572">
        <f>BS10-BS9</f>
        <v>5120</v>
      </c>
      <c r="BU9" s="588"/>
      <c r="BV9" s="88">
        <f>'[1]October - 19'!BV9</f>
        <v>0.76</v>
      </c>
      <c r="BW9" s="583">
        <f>BV10-BV9</f>
        <v>-2.0000000000000018E-2</v>
      </c>
      <c r="BX9" s="585">
        <f>'[1]October - 19'!$BX$9:$BX$10</f>
        <v>-0.03</v>
      </c>
      <c r="BY9" s="89">
        <f>'[1]October - 19'!BY9</f>
        <v>42573</v>
      </c>
      <c r="BZ9" s="571">
        <f>BY10-BY9</f>
        <v>16</v>
      </c>
      <c r="CA9" s="89">
        <f>'[1]October - 19'!CA9</f>
        <v>37823</v>
      </c>
      <c r="CB9" s="571">
        <f>CA10-CA9</f>
        <v>11</v>
      </c>
      <c r="CC9" s="89">
        <f>'[1]October - 19'!CC9</f>
        <v>12470</v>
      </c>
      <c r="CD9" s="571">
        <f>CC10-CC9</f>
        <v>6</v>
      </c>
      <c r="CE9" s="89">
        <f>'[1]October - 19'!CE9</f>
        <v>15535</v>
      </c>
      <c r="CF9" s="571">
        <f>CE10-CE9</f>
        <v>8</v>
      </c>
      <c r="CG9" s="89">
        <f>'[1]October - 19'!CG9</f>
        <v>17862</v>
      </c>
      <c r="CH9" s="571">
        <f>CG10-CG9</f>
        <v>6</v>
      </c>
      <c r="CI9" s="89">
        <f>'[1]October - 19'!CI9</f>
        <v>37803</v>
      </c>
      <c r="CJ9" s="571">
        <f>CI10-CI9</f>
        <v>18</v>
      </c>
      <c r="CK9" s="89">
        <f>'[1]October - 19'!CK9</f>
        <v>166001</v>
      </c>
      <c r="CL9" s="571">
        <f>CK10-CK9</f>
        <v>82</v>
      </c>
      <c r="CM9" s="523">
        <f>'[1]October - 19'!CM9</f>
        <v>58</v>
      </c>
      <c r="CN9" s="89">
        <f>'[1]October - 19'!CN9</f>
        <v>117639</v>
      </c>
      <c r="CO9" s="571">
        <f>CN10-CN9</f>
        <v>68</v>
      </c>
      <c r="CP9" s="523">
        <f>'[1]October - 19'!CP9</f>
        <v>55</v>
      </c>
      <c r="CQ9" s="89">
        <f>'[1]October - 19'!CQ9</f>
        <v>215357</v>
      </c>
      <c r="CR9" s="571">
        <f>CQ10-CQ9</f>
        <v>0</v>
      </c>
      <c r="CS9" s="523">
        <f>'[1]October - 19'!CS9</f>
        <v>123</v>
      </c>
      <c r="CT9" s="89">
        <f>'[1]October - 19'!CT9</f>
        <v>460015</v>
      </c>
      <c r="CU9" s="525">
        <f>CT10-CT9</f>
        <v>122</v>
      </c>
      <c r="CV9" s="516"/>
      <c r="CW9" s="259">
        <f>'[1]October - 19'!CW9</f>
        <v>3047</v>
      </c>
      <c r="CX9" s="527">
        <f>CW10-CW9</f>
        <v>0</v>
      </c>
      <c r="CY9" s="260">
        <f>'[1]October - 19'!CY9</f>
        <v>938</v>
      </c>
      <c r="CZ9" s="527">
        <f>CY10-CY9</f>
        <v>0</v>
      </c>
      <c r="DA9" s="260">
        <f>'[1]October - 19'!DA9</f>
        <v>17046</v>
      </c>
      <c r="DB9" s="527">
        <f>DA10-DA9</f>
        <v>10</v>
      </c>
      <c r="DC9" s="260">
        <f>'[1]October - 19'!DC9</f>
        <v>17824</v>
      </c>
      <c r="DD9" s="527">
        <f>DC10-DC9</f>
        <v>10</v>
      </c>
      <c r="DE9" s="260">
        <f>'[1]October - 19'!DE9</f>
        <v>12429</v>
      </c>
      <c r="DF9" s="527">
        <f>DE10-DE9</f>
        <v>9</v>
      </c>
      <c r="DG9" s="260">
        <f>'[1]October - 19'!DG9</f>
        <v>16516</v>
      </c>
      <c r="DH9" s="527">
        <f>DG10-DG9</f>
        <v>6</v>
      </c>
      <c r="DI9" s="260">
        <f>'[1]October - 19'!DI9</f>
        <v>825</v>
      </c>
      <c r="DJ9" s="527">
        <f>DI10-DI9</f>
        <v>0</v>
      </c>
      <c r="DK9" s="260">
        <f>'[1]October - 19'!DK9</f>
        <v>3570</v>
      </c>
      <c r="DL9" s="527">
        <f>DK10-DK9</f>
        <v>0</v>
      </c>
      <c r="DM9" s="260">
        <f>'[1]October - 19'!DM9</f>
        <v>428</v>
      </c>
      <c r="DN9" s="527">
        <f>DM10-DM9</f>
        <v>4</v>
      </c>
      <c r="DO9" s="260">
        <f>'[1]October - 19'!DO9</f>
        <v>703</v>
      </c>
      <c r="DP9" s="527">
        <f>DO10-DO9</f>
        <v>4</v>
      </c>
      <c r="DQ9" s="260">
        <f>'[1]October - 19'!DQ9</f>
        <v>15432</v>
      </c>
      <c r="DR9" s="581">
        <f>DQ10-DQ9</f>
        <v>27</v>
      </c>
      <c r="DS9" s="532"/>
      <c r="DT9" s="213">
        <f>'[1]October - 19'!DT9</f>
        <v>2587814</v>
      </c>
      <c r="DU9" s="545">
        <f>DT10-DT9</f>
        <v>1430</v>
      </c>
      <c r="DV9" s="93">
        <f>'[1]October - 19'!DV9</f>
        <v>4057</v>
      </c>
      <c r="DW9" s="543">
        <f>DV10-DV9</f>
        <v>4</v>
      </c>
      <c r="DX9" s="93">
        <f>'[1]October - 19'!DX9</f>
        <v>1691133</v>
      </c>
      <c r="DY9" s="545">
        <f>DX10-DX9</f>
        <v>1091</v>
      </c>
      <c r="DZ9" s="93">
        <f>'[1]October - 19'!DZ9</f>
        <v>243780</v>
      </c>
      <c r="EA9" s="545">
        <f>DZ10-DZ9</f>
        <v>130</v>
      </c>
      <c r="EB9" s="93">
        <f>'[1]October - 19'!ED9</f>
        <v>344227</v>
      </c>
      <c r="EC9" s="545">
        <f>EB10-EB9</f>
        <v>511</v>
      </c>
      <c r="ED9" s="93">
        <f>'[1]October - 19'!EF9</f>
        <v>71622</v>
      </c>
      <c r="EE9" s="547">
        <f>ED10-ED9</f>
        <v>127</v>
      </c>
      <c r="EF9" s="579"/>
      <c r="EG9" s="238">
        <f>'[1]October - 19'!EI9</f>
        <v>6326900</v>
      </c>
      <c r="EH9" s="556">
        <f>EG10-EG9</f>
        <v>9000</v>
      </c>
      <c r="EI9" s="92">
        <f>'[1]October - 19'!EK9</f>
        <v>562310</v>
      </c>
      <c r="EJ9" s="556">
        <f>EI10-EI9</f>
        <v>480</v>
      </c>
      <c r="EK9" s="92">
        <f>'[1]October - 19'!EM9</f>
        <v>4385200</v>
      </c>
      <c r="EL9" s="556">
        <f>EK10-EK9</f>
        <v>3500</v>
      </c>
      <c r="EM9" s="92">
        <f>'[1]October - 19'!EO9</f>
        <v>1950400</v>
      </c>
      <c r="EN9" s="556">
        <f>EM10-EM9</f>
        <v>800</v>
      </c>
      <c r="EO9" s="92">
        <f>'[1]October - 19'!EQ9</f>
        <v>661000</v>
      </c>
      <c r="EP9" s="556">
        <f>EO10-EO9</f>
        <v>190</v>
      </c>
      <c r="EQ9" s="92">
        <f>'[1]October - 19'!ES9</f>
        <v>10385100</v>
      </c>
      <c r="ER9" s="563">
        <f>EQ10-EQ9</f>
        <v>8200</v>
      </c>
      <c r="ES9" s="554"/>
      <c r="ET9" s="293">
        <f>'[1]October - 19'!EV9</f>
        <v>25862</v>
      </c>
      <c r="EU9" s="528">
        <f>ET10-ET9</f>
        <v>15</v>
      </c>
      <c r="EV9" s="294">
        <f>'[1]October - 19'!EX9</f>
        <v>22651</v>
      </c>
      <c r="EW9" s="528">
        <f>EV10-EV9</f>
        <v>11</v>
      </c>
      <c r="EX9" s="294">
        <f>'[1]October - 19'!FB9</f>
        <v>42703</v>
      </c>
      <c r="EY9" s="528">
        <v>0</v>
      </c>
      <c r="EZ9" s="294">
        <f>'[1]October - 19'!EZ9</f>
        <v>0</v>
      </c>
      <c r="FA9" s="528">
        <f>EZ10-EZ9</f>
        <v>0</v>
      </c>
      <c r="FB9" s="294">
        <f>'[1]October - 19'!FD9</f>
        <v>17670</v>
      </c>
      <c r="FC9" s="559">
        <f>FB10-FB9</f>
        <v>28</v>
      </c>
    </row>
    <row r="10" spans="1:159" ht="30" customHeight="1" x14ac:dyDescent="0.25">
      <c r="A10" s="210">
        <v>43739</v>
      </c>
      <c r="B10" s="212">
        <f>'[1]October - 19'!B10</f>
        <v>0.76</v>
      </c>
      <c r="C10" s="253">
        <f>'[1]October - 19'!E10</f>
        <v>464504</v>
      </c>
      <c r="D10" s="566"/>
      <c r="E10" s="480"/>
      <c r="F10" s="170">
        <f>'[1]October - 19'!H10</f>
        <v>650869</v>
      </c>
      <c r="G10" s="478"/>
      <c r="H10" s="480"/>
      <c r="I10" s="170">
        <f>'[1]October - 19'!K10</f>
        <v>58544</v>
      </c>
      <c r="J10" s="478"/>
      <c r="K10" s="170">
        <f>'[1]October - 19'!N10</f>
        <v>586817</v>
      </c>
      <c r="L10" s="477"/>
      <c r="M10" s="170">
        <f>'[1]October - 19'!Q10</f>
        <v>156679</v>
      </c>
      <c r="N10" s="477"/>
      <c r="O10" s="170">
        <f>'[1]October - 19'!S10</f>
        <v>80806</v>
      </c>
      <c r="P10" s="478"/>
      <c r="Q10" s="480"/>
      <c r="R10" s="170">
        <f>'[1]October - 19'!V10</f>
        <v>3968</v>
      </c>
      <c r="S10" s="568"/>
      <c r="T10" s="475"/>
      <c r="U10" s="171">
        <f>'[1]October - 19'!AB10</f>
        <v>5213040</v>
      </c>
      <c r="V10" s="570"/>
      <c r="W10" s="496"/>
      <c r="X10" s="94">
        <f>'[1]October - 19'!AE10</f>
        <v>10187059.68</v>
      </c>
      <c r="Y10" s="478"/>
      <c r="Z10" s="496"/>
      <c r="AA10" s="94">
        <f>'[1]October - 19'!AH10</f>
        <v>9334752</v>
      </c>
      <c r="AB10" s="478"/>
      <c r="AC10" s="496"/>
      <c r="AD10" s="94">
        <f>'[1]October - 19'!AK10</f>
        <v>12726882</v>
      </c>
      <c r="AE10" s="478"/>
      <c r="AF10" s="496"/>
      <c r="AG10" s="94">
        <f>'[1]October - 19'!AN10</f>
        <v>12670366.799999999</v>
      </c>
      <c r="AH10" s="478"/>
      <c r="AI10" s="496"/>
      <c r="AJ10" s="94">
        <f>'[1]October - 19'!AQ10</f>
        <v>11334269.52</v>
      </c>
      <c r="AK10" s="478"/>
      <c r="AL10" s="496"/>
      <c r="AM10" s="94">
        <f>'[1]October - 19'!AT10</f>
        <v>9974640.4800000004</v>
      </c>
      <c r="AN10" s="478"/>
      <c r="AO10" s="496"/>
      <c r="AP10" s="94">
        <f>'[1]October - 19'!AW10</f>
        <v>9590239.6799999997</v>
      </c>
      <c r="AQ10" s="478"/>
      <c r="AR10" s="496"/>
      <c r="AS10" s="94">
        <f>'[1]October - 19'!AZ10</f>
        <v>7719001.9199999999</v>
      </c>
      <c r="AT10" s="478"/>
      <c r="AU10" s="496"/>
      <c r="AV10" s="94">
        <f>'[1]October - 19'!BC10</f>
        <v>11379579.119999999</v>
      </c>
      <c r="AW10" s="478"/>
      <c r="AX10" s="498"/>
      <c r="AY10" s="492"/>
      <c r="AZ10" s="95">
        <f>'[1]October - 19'!BJ10</f>
        <v>47279500</v>
      </c>
      <c r="BA10" s="500"/>
      <c r="BB10" s="494"/>
      <c r="BC10" s="95">
        <f>'[1]October - 19'!BM10</f>
        <v>51935800</v>
      </c>
      <c r="BD10" s="500"/>
      <c r="BE10" s="494"/>
      <c r="BF10" s="95">
        <f>'[1]October - 19'!BP10</f>
        <v>45427500</v>
      </c>
      <c r="BG10" s="500"/>
      <c r="BH10" s="494"/>
      <c r="BI10" s="25"/>
      <c r="BJ10" s="477"/>
      <c r="BK10" s="25"/>
      <c r="BL10" s="25"/>
      <c r="BM10" s="25"/>
      <c r="BN10" s="25"/>
      <c r="BO10" s="25"/>
      <c r="BP10" s="25"/>
      <c r="BQ10" s="25"/>
      <c r="BR10" s="25"/>
      <c r="BS10" s="90">
        <f>'[1]October - 19'!BS10</f>
        <v>3505160</v>
      </c>
      <c r="BT10" s="582"/>
      <c r="BU10" s="588"/>
      <c r="BV10" s="88">
        <f>'[1]October - 19'!BV10</f>
        <v>0.74</v>
      </c>
      <c r="BW10" s="584"/>
      <c r="BX10" s="586"/>
      <c r="BY10" s="89">
        <f>'[1]October - 19'!BY10</f>
        <v>42589</v>
      </c>
      <c r="BZ10" s="572"/>
      <c r="CA10" s="89">
        <f>'[1]October - 19'!CA10</f>
        <v>37834</v>
      </c>
      <c r="CB10" s="572"/>
      <c r="CC10" s="89">
        <f>'[1]October - 19'!CC10</f>
        <v>12476</v>
      </c>
      <c r="CD10" s="572"/>
      <c r="CE10" s="89">
        <f>'[1]October - 19'!CE10</f>
        <v>15543</v>
      </c>
      <c r="CF10" s="572"/>
      <c r="CG10" s="89">
        <f>'[1]October - 19'!CG10</f>
        <v>17868</v>
      </c>
      <c r="CH10" s="572"/>
      <c r="CI10" s="89">
        <f>'[1]October - 19'!CI10</f>
        <v>37821</v>
      </c>
      <c r="CJ10" s="572"/>
      <c r="CK10" s="89">
        <f>'[1]October - 19'!CK10</f>
        <v>166083</v>
      </c>
      <c r="CL10" s="572"/>
      <c r="CM10" s="524"/>
      <c r="CN10" s="89">
        <f>'[1]October - 19'!CN10</f>
        <v>117707</v>
      </c>
      <c r="CO10" s="572"/>
      <c r="CP10" s="524"/>
      <c r="CQ10" s="89">
        <f>'[1]October - 19'!CQ10</f>
        <v>215357</v>
      </c>
      <c r="CR10" s="572"/>
      <c r="CS10" s="524"/>
      <c r="CT10" s="89">
        <f>'[1]October - 19'!CT10</f>
        <v>460137</v>
      </c>
      <c r="CU10" s="526"/>
      <c r="CV10" s="516"/>
      <c r="CW10" s="208">
        <f>'[1]October - 19'!CW10</f>
        <v>3047</v>
      </c>
      <c r="CX10" s="528"/>
      <c r="CY10" s="91">
        <f>'[1]October - 19'!CY10</f>
        <v>938</v>
      </c>
      <c r="CZ10" s="528"/>
      <c r="DA10" s="91">
        <f>'[1]October - 19'!DA10</f>
        <v>17056</v>
      </c>
      <c r="DB10" s="528"/>
      <c r="DC10" s="91">
        <f>'[1]October - 19'!DC10</f>
        <v>17834</v>
      </c>
      <c r="DD10" s="528"/>
      <c r="DE10" s="91">
        <f>'[1]October - 19'!DE10</f>
        <v>12438</v>
      </c>
      <c r="DF10" s="528"/>
      <c r="DG10" s="91">
        <f>'[1]October - 19'!DG10</f>
        <v>16522</v>
      </c>
      <c r="DH10" s="528"/>
      <c r="DI10" s="91">
        <f>'[1]October - 19'!DI10</f>
        <v>825</v>
      </c>
      <c r="DJ10" s="528"/>
      <c r="DK10" s="91">
        <f>'[1]October - 19'!DK10</f>
        <v>3570</v>
      </c>
      <c r="DL10" s="528"/>
      <c r="DM10" s="91">
        <f>'[1]October - 19'!DM10</f>
        <v>432</v>
      </c>
      <c r="DN10" s="528"/>
      <c r="DO10" s="91">
        <f>'[1]October - 19'!DO10</f>
        <v>707</v>
      </c>
      <c r="DP10" s="528"/>
      <c r="DQ10" s="91">
        <f>'[1]October - 19'!DQ10</f>
        <v>15459</v>
      </c>
      <c r="DR10" s="559"/>
      <c r="DS10" s="532"/>
      <c r="DT10" s="213">
        <f>'[1]October - 19'!DT10</f>
        <v>2589244</v>
      </c>
      <c r="DU10" s="546"/>
      <c r="DV10" s="93">
        <f>'[1]October - 19'!DV10</f>
        <v>4061</v>
      </c>
      <c r="DW10" s="544"/>
      <c r="DX10" s="93">
        <f>'[1]October - 19'!DX10</f>
        <v>1692224</v>
      </c>
      <c r="DY10" s="546"/>
      <c r="DZ10" s="93">
        <f>'[1]October - 19'!DZ10</f>
        <v>243910</v>
      </c>
      <c r="EA10" s="546"/>
      <c r="EB10" s="93">
        <f>'[1]October - 19'!ED10</f>
        <v>344738</v>
      </c>
      <c r="EC10" s="546"/>
      <c r="ED10" s="93">
        <f>'[1]October - 19'!EF10</f>
        <v>71749</v>
      </c>
      <c r="EE10" s="548"/>
      <c r="EF10" s="579"/>
      <c r="EG10" s="238">
        <f>'[1]October - 19'!EI10</f>
        <v>6335900</v>
      </c>
      <c r="EH10" s="557"/>
      <c r="EI10" s="92">
        <f>'[1]October - 19'!EK10</f>
        <v>562790</v>
      </c>
      <c r="EJ10" s="557"/>
      <c r="EK10" s="92">
        <f>'[1]October - 19'!EM10</f>
        <v>4388700</v>
      </c>
      <c r="EL10" s="557"/>
      <c r="EM10" s="92">
        <f>'[1]October - 19'!EO10</f>
        <v>1951200</v>
      </c>
      <c r="EN10" s="557"/>
      <c r="EO10" s="92">
        <f>'[1]October - 19'!EQ10</f>
        <v>661190</v>
      </c>
      <c r="EP10" s="557"/>
      <c r="EQ10" s="92">
        <f>'[1]October - 19'!ES10</f>
        <v>10393300</v>
      </c>
      <c r="ER10" s="564"/>
      <c r="ES10" s="554"/>
      <c r="ET10" s="287">
        <f>'[1]October - 19'!EV10</f>
        <v>25877</v>
      </c>
      <c r="EU10" s="558"/>
      <c r="EV10" s="285">
        <f>'[1]October - 19'!EX10</f>
        <v>22662</v>
      </c>
      <c r="EW10" s="558"/>
      <c r="EX10" s="285">
        <f>'[1]October - 19'!FB10</f>
        <v>42703</v>
      </c>
      <c r="EY10" s="558"/>
      <c r="EZ10" s="285">
        <f>'[1]October - 19'!EZ10</f>
        <v>0</v>
      </c>
      <c r="FA10" s="558"/>
      <c r="FB10" s="285">
        <f>'[1]October - 19'!FD10</f>
        <v>17698</v>
      </c>
      <c r="FC10" s="560"/>
    </row>
    <row r="11" spans="1:159" ht="30" customHeight="1" x14ac:dyDescent="0.25">
      <c r="A11" s="210">
        <v>43740</v>
      </c>
      <c r="B11" s="212">
        <f>'[1]October - 19'!B11</f>
        <v>0.51</v>
      </c>
      <c r="C11" s="253">
        <f>'[1]October - 19'!E11</f>
        <v>465032</v>
      </c>
      <c r="D11" s="172">
        <f>'[1]October - 19'!F11</f>
        <v>528</v>
      </c>
      <c r="E11" s="170">
        <f>'[1]October - 19'!G11</f>
        <v>560</v>
      </c>
      <c r="F11" s="170">
        <f>'[1]October - 19'!H11</f>
        <v>651133</v>
      </c>
      <c r="G11" s="172">
        <f>'[1]October - 19'!I11</f>
        <v>264</v>
      </c>
      <c r="H11" s="170">
        <f>'[1]October - 19'!J11</f>
        <v>309</v>
      </c>
      <c r="I11" s="170">
        <f>'[1]October - 19'!K11</f>
        <v>58544</v>
      </c>
      <c r="J11" s="172">
        <f>'[1]October - 19'!L11</f>
        <v>0</v>
      </c>
      <c r="K11" s="170">
        <f>'[1]October - 19'!N11</f>
        <v>587197</v>
      </c>
      <c r="L11" s="172">
        <f>'[1]October - 19'!O11</f>
        <v>380</v>
      </c>
      <c r="M11" s="170">
        <f>'[1]October - 19'!Q11</f>
        <v>156679</v>
      </c>
      <c r="N11" s="172">
        <f>'[1]October - 19'!R11</f>
        <v>0</v>
      </c>
      <c r="O11" s="170">
        <f>'[1]October - 19'!S11</f>
        <v>81023</v>
      </c>
      <c r="P11" s="172">
        <f>'[1]October - 19'!T11</f>
        <v>217</v>
      </c>
      <c r="Q11" s="170">
        <f>'[1]October - 19'!U11</f>
        <v>225</v>
      </c>
      <c r="R11" s="170">
        <f>'[1]October - 19'!V11</f>
        <v>4008</v>
      </c>
      <c r="S11" s="211">
        <f>'[1]October - 19'!W11</f>
        <v>40</v>
      </c>
      <c r="T11" s="475"/>
      <c r="U11" s="171">
        <f>'[1]October - 19'!AB11</f>
        <v>5216255.5200000005</v>
      </c>
      <c r="V11" s="242">
        <f>'[1]October - 19'!AC11</f>
        <v>3215.5200000004843</v>
      </c>
      <c r="W11" s="94">
        <f>'[1]October - 19'!AD11</f>
        <v>2289.8400000007823</v>
      </c>
      <c r="X11" s="94">
        <f>'[1]October - 19'!AE11</f>
        <v>10191931.68</v>
      </c>
      <c r="Y11" s="242">
        <f>'[1]October - 19'!AF11</f>
        <v>4872</v>
      </c>
      <c r="Z11" s="94">
        <f>'[1]October - 19'!AG11</f>
        <v>5213.0400000000373</v>
      </c>
      <c r="AA11" s="94">
        <f>'[1]October - 19'!AH11</f>
        <v>9343570.3199999984</v>
      </c>
      <c r="AB11" s="254">
        <f>'[1]October - 19'!AI11</f>
        <v>8818.3199999984354</v>
      </c>
      <c r="AC11" s="94">
        <f>'[1]October - 19'!AJ11</f>
        <v>13592.879999999888</v>
      </c>
      <c r="AD11" s="94">
        <f>'[1]October - 19'!AK11</f>
        <v>12737697.84</v>
      </c>
      <c r="AE11" s="254">
        <f>'[1]October - 19'!AL11</f>
        <v>10815.839999999851</v>
      </c>
      <c r="AF11" s="94">
        <f>'[1]October - 19'!AM11</f>
        <v>1461.6000000014901</v>
      </c>
      <c r="AG11" s="94">
        <f>'[1]October - 19'!AN11</f>
        <v>12670415.52</v>
      </c>
      <c r="AH11" s="254">
        <f>'[1]October - 19'!AO11</f>
        <v>48.720000000670552</v>
      </c>
      <c r="AI11" s="94">
        <f>'[1]October - 19'!AP11</f>
        <v>9695.2799999993294</v>
      </c>
      <c r="AJ11" s="94">
        <f>'[1]October - 19'!AQ11</f>
        <v>11341236.48</v>
      </c>
      <c r="AK11" s="254">
        <f>'[1]October - 19'!AR11</f>
        <v>6966.9600000008941</v>
      </c>
      <c r="AL11" s="94">
        <f>'[1]October - 19'!AS11</f>
        <v>5846.4000000003725</v>
      </c>
      <c r="AM11" s="94">
        <f>'[1]October - 19'!AT11</f>
        <v>9979025.2800000012</v>
      </c>
      <c r="AN11" s="254">
        <f>'[1]October - 19'!AU11</f>
        <v>4384.8000000007451</v>
      </c>
      <c r="AO11" s="94">
        <f>'[1]October - 19'!AV11</f>
        <v>5115.5999999996275</v>
      </c>
      <c r="AP11" s="94">
        <f>'[1]October - 19'!AW11</f>
        <v>9595111.6799999997</v>
      </c>
      <c r="AQ11" s="254">
        <f>'[1]October - 19'!AX11</f>
        <v>4872</v>
      </c>
      <c r="AR11" s="94">
        <f>'[1]October - 19'!AY11</f>
        <v>5359.2000000001863</v>
      </c>
      <c r="AS11" s="94">
        <f>'[1]October - 19'!AZ11</f>
        <v>7722022.5599999996</v>
      </c>
      <c r="AT11" s="254">
        <f>'[1]October - 19'!BA11</f>
        <v>3020.6399999996647</v>
      </c>
      <c r="AU11" s="94">
        <f>'[1]October - 19'!BB11</f>
        <v>3800.1599999992177</v>
      </c>
      <c r="AV11" s="94">
        <f>'[1]October - 19'!BC11</f>
        <v>11384499.84</v>
      </c>
      <c r="AW11" s="255">
        <f>'[1]October - 19'!BD11</f>
        <v>4920.7200000006706</v>
      </c>
      <c r="AX11" s="256">
        <f>'[1]October - 19'!BE11</f>
        <v>5602.7999999988824</v>
      </c>
      <c r="AY11" s="492"/>
      <c r="AZ11" s="95">
        <f>'[1]October - 19'!BJ11</f>
        <v>47318600</v>
      </c>
      <c r="BA11" s="181">
        <f>'[1]October - 19'!BK11</f>
        <v>39100</v>
      </c>
      <c r="BB11" s="95">
        <f>'[1]October - 19'!BL11</f>
        <v>64200</v>
      </c>
      <c r="BC11" s="95">
        <f>'[1]October - 19'!BM11</f>
        <v>51993100</v>
      </c>
      <c r="BD11" s="248">
        <f>'[1]October - 19'!BN11</f>
        <v>57300</v>
      </c>
      <c r="BE11" s="95">
        <f>'[1]October - 19'!BO11</f>
        <v>0</v>
      </c>
      <c r="BF11" s="95">
        <f>'[1]October - 19'!BP11</f>
        <v>45427500</v>
      </c>
      <c r="BG11" s="248">
        <f>'[1]October - 19'!BQ11</f>
        <v>0</v>
      </c>
      <c r="BH11" s="95">
        <f>'[1]October - 19'!BR11</f>
        <v>47500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'[1]October - 19'!BS11</f>
        <v>3510130</v>
      </c>
      <c r="BT11" s="187">
        <f>'[1]October - 19'!BT11</f>
        <v>4970</v>
      </c>
      <c r="BU11" s="588"/>
      <c r="BV11" s="88">
        <f>'[1]October - 19'!BV11</f>
        <v>0.7</v>
      </c>
      <c r="BW11" s="244">
        <f>'[1]October - 19'!BW11</f>
        <v>-4.0000000000000036E-2</v>
      </c>
      <c r="BX11" s="88">
        <f>'[1]October - 19'!BX11</f>
        <v>-3.0000000000000027E-2</v>
      </c>
      <c r="BY11" s="89">
        <f>'[1]October - 19'!BY11</f>
        <v>42607</v>
      </c>
      <c r="BZ11" s="193">
        <f>'[1]October - 19'!BZ11</f>
        <v>18</v>
      </c>
      <c r="CA11" s="89">
        <f>'[1]October - 19'!CA11</f>
        <v>37848</v>
      </c>
      <c r="CB11" s="193">
        <f>'[1]October - 19'!CB11</f>
        <v>14</v>
      </c>
      <c r="CC11" s="89">
        <f>'[1]October - 19'!CC11</f>
        <v>12481</v>
      </c>
      <c r="CD11" s="193">
        <f>'[1]October - 19'!CD11</f>
        <v>5</v>
      </c>
      <c r="CE11" s="89">
        <f>'[1]October - 19'!CE11</f>
        <v>15554</v>
      </c>
      <c r="CF11" s="193">
        <f>'[1]October - 19'!CF11</f>
        <v>11</v>
      </c>
      <c r="CG11" s="89">
        <f>'[1]October - 19'!CG11</f>
        <v>17877</v>
      </c>
      <c r="CH11" s="193">
        <f>'[1]October - 19'!CH11</f>
        <v>9</v>
      </c>
      <c r="CI11" s="89">
        <f>'[1]October - 19'!CI11</f>
        <v>37847</v>
      </c>
      <c r="CJ11" s="193">
        <f>'[1]October - 19'!CJ11</f>
        <v>26</v>
      </c>
      <c r="CK11" s="89">
        <f>'[1]October - 19'!CK11</f>
        <v>166173</v>
      </c>
      <c r="CL11" s="249">
        <f>'[1]October - 19'!CL11</f>
        <v>90</v>
      </c>
      <c r="CM11" s="89">
        <f>'[1]October - 19'!CM11</f>
        <v>78</v>
      </c>
      <c r="CN11" s="89">
        <f>'[1]October - 19'!CN11</f>
        <v>117772</v>
      </c>
      <c r="CO11" s="249">
        <f>'[1]October - 19'!CO11</f>
        <v>65</v>
      </c>
      <c r="CP11" s="89">
        <f>'[1]October - 19'!CP11</f>
        <v>52</v>
      </c>
      <c r="CQ11" s="89">
        <f>'[1]October - 19'!CQ11</f>
        <v>215357</v>
      </c>
      <c r="CR11" s="249">
        <f>'[1]October - 19'!CR11</f>
        <v>0</v>
      </c>
      <c r="CS11" s="89">
        <f>'[1]October - 19'!CS11</f>
        <v>12</v>
      </c>
      <c r="CT11" s="89">
        <f>'[1]October - 19'!CT11</f>
        <v>460274</v>
      </c>
      <c r="CU11" s="193">
        <f>'[1]October - 19'!CU11</f>
        <v>137</v>
      </c>
      <c r="CV11" s="516"/>
      <c r="CW11" s="208">
        <f>'[1]October - 19'!CW11</f>
        <v>3047</v>
      </c>
      <c r="CX11" s="200">
        <f>'[1]October - 19'!CX11</f>
        <v>0</v>
      </c>
      <c r="CY11" s="91">
        <f>'[1]October - 19'!CY11</f>
        <v>938</v>
      </c>
      <c r="CZ11" s="200">
        <f>'[1]October - 19'!CZ11</f>
        <v>0</v>
      </c>
      <c r="DA11" s="91">
        <f>'[1]October - 19'!DA11</f>
        <v>17068</v>
      </c>
      <c r="DB11" s="200">
        <f>'[1]October - 19'!DB11</f>
        <v>12</v>
      </c>
      <c r="DC11" s="91">
        <f>'[1]October - 19'!DC11</f>
        <v>17846</v>
      </c>
      <c r="DD11" s="200">
        <f>'[1]October - 19'!DD11</f>
        <v>12</v>
      </c>
      <c r="DE11" s="91">
        <f>'[1]October - 19'!DE11</f>
        <v>12446</v>
      </c>
      <c r="DF11" s="200">
        <f>'[1]October - 19'!DF11</f>
        <v>8</v>
      </c>
      <c r="DG11" s="91">
        <f>'[1]October - 19'!DG11</f>
        <v>16529</v>
      </c>
      <c r="DH11" s="200">
        <f>'[1]October - 19'!DH11</f>
        <v>7</v>
      </c>
      <c r="DI11" s="91">
        <f>'[1]October - 19'!DI11</f>
        <v>825</v>
      </c>
      <c r="DJ11" s="200">
        <f>'[1]October - 19'!DJ11</f>
        <v>0</v>
      </c>
      <c r="DK11" s="91">
        <f>'[1]October - 19'!DK11</f>
        <v>3570</v>
      </c>
      <c r="DL11" s="200">
        <f>'[1]October - 19'!DL11</f>
        <v>0</v>
      </c>
      <c r="DM11" s="91">
        <f>'[1]October - 19'!DM11</f>
        <v>438</v>
      </c>
      <c r="DN11" s="200">
        <f>'[1]October - 19'!DN11</f>
        <v>6</v>
      </c>
      <c r="DO11" s="91">
        <f>'[1]October - 19'!DO11</f>
        <v>708</v>
      </c>
      <c r="DP11" s="200">
        <f>'[1]October - 19'!DP11</f>
        <v>1</v>
      </c>
      <c r="DQ11" s="91">
        <f>'[1]October - 19'!DQ11</f>
        <v>15486</v>
      </c>
      <c r="DR11" s="209">
        <f>'[1]October - 19'!DR11</f>
        <v>27</v>
      </c>
      <c r="DS11" s="532"/>
      <c r="DT11" s="213">
        <f>'[1]October - 19'!DT11</f>
        <v>2590749</v>
      </c>
      <c r="DU11" s="224">
        <f>'[1]October - 19'!DU11</f>
        <v>1505</v>
      </c>
      <c r="DV11" s="93">
        <f>'[1]October - 19'!DV11</f>
        <v>4065</v>
      </c>
      <c r="DW11" s="218">
        <f>'[1]October - 19'!DW11</f>
        <v>4</v>
      </c>
      <c r="DX11" s="93">
        <f>'[1]October - 19'!DX11</f>
        <v>1693428</v>
      </c>
      <c r="DY11" s="218">
        <f>'[1]October - 19'!DY11</f>
        <v>1204</v>
      </c>
      <c r="DZ11" s="93">
        <f>'[1]October - 19'!DZ11</f>
        <v>244044</v>
      </c>
      <c r="EA11" s="218">
        <f>'[1]October - 19'!EA11</f>
        <v>134</v>
      </c>
      <c r="EB11" s="93">
        <f>'[1]October - 19'!ED11</f>
        <v>345298</v>
      </c>
      <c r="EC11" s="218">
        <f>'[1]October - 19'!EE11</f>
        <v>560</v>
      </c>
      <c r="ED11" s="93">
        <f>'[1]October - 19'!EF11</f>
        <v>71885</v>
      </c>
      <c r="EE11" s="232">
        <f>'[1]October - 19'!EG11</f>
        <v>136</v>
      </c>
      <c r="EF11" s="579"/>
      <c r="EG11" s="238">
        <f>'[1]October - 19'!EI11</f>
        <v>6343755</v>
      </c>
      <c r="EH11" s="233">
        <f>'[1]October - 19'!EJ11</f>
        <v>7855</v>
      </c>
      <c r="EI11" s="92">
        <f>'[1]October - 19'!EK11</f>
        <v>563240</v>
      </c>
      <c r="EJ11" s="233">
        <f>'[1]October - 19'!EL11</f>
        <v>450</v>
      </c>
      <c r="EK11" s="92">
        <f>'[1]October - 19'!EM11</f>
        <v>4392000</v>
      </c>
      <c r="EL11" s="233">
        <f>'[1]October - 19'!EN11</f>
        <v>3300</v>
      </c>
      <c r="EM11" s="92">
        <f>'[1]October - 19'!EO11</f>
        <v>1952000</v>
      </c>
      <c r="EN11" s="233">
        <f>'[1]October - 19'!EP11</f>
        <v>800</v>
      </c>
      <c r="EO11" s="92">
        <f>'[1]October - 19'!EQ11</f>
        <v>661390</v>
      </c>
      <c r="EP11" s="233">
        <f>'[1]October - 19'!ER11</f>
        <v>200</v>
      </c>
      <c r="EQ11" s="92">
        <f>'[1]October - 19'!ES11</f>
        <v>10400300</v>
      </c>
      <c r="ER11" s="233">
        <f>'[1]October - 19'!ET11</f>
        <v>7000</v>
      </c>
      <c r="ES11" s="554"/>
      <c r="ET11" s="287">
        <f>'[1]October - 19'!EV11</f>
        <v>25895</v>
      </c>
      <c r="EU11" s="286">
        <f>'[1]October - 19'!$EW$11</f>
        <v>18</v>
      </c>
      <c r="EV11" s="285">
        <f>'[1]October - 19'!EX11</f>
        <v>22679</v>
      </c>
      <c r="EW11" s="286">
        <f>'[1]October - 19'!EY11</f>
        <v>17</v>
      </c>
      <c r="EX11" s="285">
        <f>'[1]October - 19'!FB11</f>
        <v>42703</v>
      </c>
      <c r="EY11" s="286">
        <f>'[1]October - 19'!FA11</f>
        <v>0</v>
      </c>
      <c r="EZ11" s="285">
        <f>'[1]October - 19'!EZ11</f>
        <v>0</v>
      </c>
      <c r="FA11" s="286">
        <f>'[1]October - 19'!FA11</f>
        <v>0</v>
      </c>
      <c r="FB11" s="285">
        <f>'[1]October - 19'!FD11</f>
        <v>17723</v>
      </c>
      <c r="FC11" s="288">
        <f>'[1]October - 19'!FE11</f>
        <v>25</v>
      </c>
    </row>
    <row r="12" spans="1:159" ht="30" customHeight="1" x14ac:dyDescent="0.25">
      <c r="A12" s="210">
        <v>43741</v>
      </c>
      <c r="B12" s="212">
        <f>'[1]October - 19'!B12</f>
        <v>0.7</v>
      </c>
      <c r="C12" s="253">
        <f>'[1]October - 19'!E12</f>
        <v>465596</v>
      </c>
      <c r="D12" s="172">
        <f>'[1]October - 19'!F12</f>
        <v>564</v>
      </c>
      <c r="E12" s="170">
        <f>'[1]October - 19'!G12</f>
        <v>631</v>
      </c>
      <c r="F12" s="170">
        <f>'[1]October - 19'!H12</f>
        <v>651426</v>
      </c>
      <c r="G12" s="172">
        <f>'[1]October - 19'!I12</f>
        <v>293</v>
      </c>
      <c r="H12" s="170">
        <f>'[1]October - 19'!J12</f>
        <v>318</v>
      </c>
      <c r="I12" s="170">
        <f>'[1]October - 19'!K12</f>
        <v>58544</v>
      </c>
      <c r="J12" s="172">
        <f>'[1]October - 19'!L12</f>
        <v>0</v>
      </c>
      <c r="K12" s="170">
        <f>'[1]October - 19'!N12</f>
        <v>587622</v>
      </c>
      <c r="L12" s="172">
        <f>'[1]October - 19'!O12</f>
        <v>425</v>
      </c>
      <c r="M12" s="170">
        <f>'[1]October - 19'!Q12</f>
        <v>156722</v>
      </c>
      <c r="N12" s="172">
        <f>'[1]October - 19'!R12</f>
        <v>43</v>
      </c>
      <c r="O12" s="170">
        <f>'[1]October - 19'!S12</f>
        <v>81265</v>
      </c>
      <c r="P12" s="172">
        <f>'[1]October - 19'!T12</f>
        <v>242</v>
      </c>
      <c r="Q12" s="170">
        <f>'[1]October - 19'!U12</f>
        <v>230</v>
      </c>
      <c r="R12" s="170">
        <f>'[1]October - 19'!V12</f>
        <v>4067</v>
      </c>
      <c r="S12" s="211">
        <f>'[1]October - 19'!W12</f>
        <v>59</v>
      </c>
      <c r="T12" s="475"/>
      <c r="U12" s="171">
        <f>'[1]October - 19'!AB12</f>
        <v>5219519.76</v>
      </c>
      <c r="V12" s="254">
        <f>'[1]October - 19'!AC12</f>
        <v>3264.2399999992922</v>
      </c>
      <c r="W12" s="94">
        <f>'[1]October - 19'!AD12</f>
        <v>2289.839999999851</v>
      </c>
      <c r="X12" s="94">
        <f>'[1]October - 19'!AE12</f>
        <v>10196998.559999999</v>
      </c>
      <c r="Y12" s="254">
        <f>'[1]October - 19'!AF12</f>
        <v>5066.8799999989569</v>
      </c>
      <c r="Z12" s="94">
        <f>'[1]October - 19'!AG12</f>
        <v>5456.640000000596</v>
      </c>
      <c r="AA12" s="94">
        <f>'[1]October - 19'!AH12</f>
        <v>9351706.5599999987</v>
      </c>
      <c r="AB12" s="254">
        <f>'[1]October - 19'!AI12</f>
        <v>8136.2400000002235</v>
      </c>
      <c r="AC12" s="94">
        <f>'[1]October - 19'!AJ12</f>
        <v>13690.320000000298</v>
      </c>
      <c r="AD12" s="94">
        <f>'[1]October - 19'!AK12</f>
        <v>12750024</v>
      </c>
      <c r="AE12" s="254">
        <f>'[1]October - 19'!AL12</f>
        <v>12326.160000000149</v>
      </c>
      <c r="AF12" s="94">
        <f>'[1]October - 19'!AM12</f>
        <v>1218</v>
      </c>
      <c r="AG12" s="94">
        <f>'[1]October - 19'!AN12</f>
        <v>12670854</v>
      </c>
      <c r="AH12" s="254">
        <f>'[1]October - 19'!AO12</f>
        <v>438.48000000044703</v>
      </c>
      <c r="AI12" s="94">
        <f>'[1]October - 19'!AP12</f>
        <v>10523.519999999553</v>
      </c>
      <c r="AJ12" s="94">
        <f>'[1]October - 19'!AQ12</f>
        <v>11348495.76</v>
      </c>
      <c r="AK12" s="254">
        <f>'[1]October - 19'!AR12</f>
        <v>7259.2799999993294</v>
      </c>
      <c r="AL12" s="94">
        <f>'[1]October - 19'!AS12</f>
        <v>5895.1200000010431</v>
      </c>
      <c r="AM12" s="94">
        <f>'[1]October - 19'!AT12</f>
        <v>9983946</v>
      </c>
      <c r="AN12" s="254">
        <f>'[1]October - 19'!AU12</f>
        <v>4920.7199999988079</v>
      </c>
      <c r="AO12" s="94">
        <f>'[1]October - 19'!AV12</f>
        <v>5505.359999999404</v>
      </c>
      <c r="AP12" s="94">
        <f>'[1]October - 19'!AW12</f>
        <v>9599983.6799999997</v>
      </c>
      <c r="AQ12" s="254">
        <f>'[1]October - 19'!AX12</f>
        <v>4872</v>
      </c>
      <c r="AR12" s="94">
        <f>'[1]October - 19'!AY12</f>
        <v>4725.8400000007823</v>
      </c>
      <c r="AS12" s="94">
        <f>'[1]October - 19'!AZ12</f>
        <v>7725286.7999999998</v>
      </c>
      <c r="AT12" s="254">
        <f>'[1]October - 19'!BA12</f>
        <v>3264.2400000002235</v>
      </c>
      <c r="AU12" s="94">
        <f>'[1]October - 19'!BB12</f>
        <v>3800.160000000149</v>
      </c>
      <c r="AV12" s="94">
        <f>'[1]October - 19'!BC12</f>
        <v>11390248.799999999</v>
      </c>
      <c r="AW12" s="255">
        <f>'[1]October - 19'!BD12</f>
        <v>5748.9599999990314</v>
      </c>
      <c r="AX12" s="256">
        <f>'[1]October - 19'!BE12</f>
        <v>5700.2400000002235</v>
      </c>
      <c r="AY12" s="492"/>
      <c r="AZ12" s="95">
        <f>'[1]October - 19'!BJ12</f>
        <v>47356700</v>
      </c>
      <c r="BA12" s="181">
        <f>'[1]October - 19'!BK12</f>
        <v>38100</v>
      </c>
      <c r="BB12" s="95">
        <f>'[1]October - 19'!BL12</f>
        <v>65000</v>
      </c>
      <c r="BC12" s="95">
        <f>'[1]October - 19'!BM12</f>
        <v>52056600</v>
      </c>
      <c r="BD12" s="248">
        <f>'[1]October - 19'!BN12</f>
        <v>63500</v>
      </c>
      <c r="BE12" s="95">
        <f>'[1]October - 19'!BO12</f>
        <v>0</v>
      </c>
      <c r="BF12" s="95">
        <f>'[1]October - 19'!BP12</f>
        <v>45427500</v>
      </c>
      <c r="BG12" s="248">
        <f>'[1]October - 19'!BQ12</f>
        <v>0</v>
      </c>
      <c r="BH12" s="95">
        <f>'[1]October - 19'!BR12</f>
        <v>50000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'[1]October - 19'!BS12</f>
        <v>3515520</v>
      </c>
      <c r="BT12" s="187">
        <f>'[1]October - 19'!BT12</f>
        <v>5390</v>
      </c>
      <c r="BU12" s="588"/>
      <c r="BV12" s="88">
        <f>'[1]October - 19'!BV12</f>
        <v>0.66</v>
      </c>
      <c r="BW12" s="244">
        <f>'[1]October - 19'!BW12</f>
        <v>-3.9999999999999925E-2</v>
      </c>
      <c r="BX12" s="88">
        <f>'[1]October - 19'!BX12</f>
        <v>-2.0000000000000018E-2</v>
      </c>
      <c r="BY12" s="89">
        <f>'[1]October - 19'!BY12</f>
        <v>42627</v>
      </c>
      <c r="BZ12" s="193">
        <f>'[1]October - 19'!BZ12</f>
        <v>20</v>
      </c>
      <c r="CA12" s="89">
        <f>'[1]October - 19'!CA12</f>
        <v>37865</v>
      </c>
      <c r="CB12" s="193">
        <f>'[1]October - 19'!CB12</f>
        <v>17</v>
      </c>
      <c r="CC12" s="89">
        <f>'[1]October - 19'!CC12</f>
        <v>12489</v>
      </c>
      <c r="CD12" s="193">
        <f>'[1]October - 19'!CD12</f>
        <v>8</v>
      </c>
      <c r="CE12" s="89">
        <f>'[1]October - 19'!CE12</f>
        <v>15566</v>
      </c>
      <c r="CF12" s="193">
        <f>'[1]October - 19'!CF12</f>
        <v>12</v>
      </c>
      <c r="CG12" s="89">
        <f>'[1]October - 19'!CG12</f>
        <v>17883</v>
      </c>
      <c r="CH12" s="193">
        <f>'[1]October - 19'!CH12</f>
        <v>6</v>
      </c>
      <c r="CI12" s="89">
        <f>'[1]October - 19'!CI12</f>
        <v>37867</v>
      </c>
      <c r="CJ12" s="193">
        <f>'[1]October - 19'!CJ12</f>
        <v>20</v>
      </c>
      <c r="CK12" s="89">
        <f>'[1]October - 19'!CK12</f>
        <v>166259</v>
      </c>
      <c r="CL12" s="249">
        <f>'[1]October - 19'!CL12</f>
        <v>86</v>
      </c>
      <c r="CM12" s="89">
        <f>'[1]October - 19'!CM12</f>
        <v>83</v>
      </c>
      <c r="CN12" s="89">
        <f>'[1]October - 19'!CN12</f>
        <v>117846</v>
      </c>
      <c r="CO12" s="249">
        <f>'[1]October - 19'!CO12</f>
        <v>74</v>
      </c>
      <c r="CP12" s="89">
        <f>'[1]October - 19'!CP12</f>
        <v>54</v>
      </c>
      <c r="CQ12" s="89">
        <f>'[1]October - 19'!CQ12</f>
        <v>215357</v>
      </c>
      <c r="CR12" s="249">
        <f>'[1]October - 19'!CR12</f>
        <v>0</v>
      </c>
      <c r="CS12" s="89">
        <f>'[1]October - 19'!CS12</f>
        <v>15</v>
      </c>
      <c r="CT12" s="89">
        <f>'[1]October - 19'!CT12</f>
        <v>460394</v>
      </c>
      <c r="CU12" s="193">
        <f>'[1]October - 19'!CU12</f>
        <v>120</v>
      </c>
      <c r="CV12" s="516"/>
      <c r="CW12" s="208">
        <f>'[1]October - 19'!CW12</f>
        <v>3047</v>
      </c>
      <c r="CX12" s="200">
        <f>'[1]October - 19'!CX12</f>
        <v>0</v>
      </c>
      <c r="CY12" s="91">
        <f>'[1]October - 19'!CY12</f>
        <v>938</v>
      </c>
      <c r="CZ12" s="200">
        <f>'[1]October - 19'!CZ12</f>
        <v>0</v>
      </c>
      <c r="DA12" s="91">
        <f>'[1]October - 19'!DA12</f>
        <v>17082</v>
      </c>
      <c r="DB12" s="200">
        <f>'[1]October - 19'!DB12</f>
        <v>14</v>
      </c>
      <c r="DC12" s="91">
        <f>'[1]October - 19'!DC12</f>
        <v>17864</v>
      </c>
      <c r="DD12" s="200">
        <f>'[1]October - 19'!DD12</f>
        <v>18</v>
      </c>
      <c r="DE12" s="91">
        <f>'[1]October - 19'!DE12</f>
        <v>12455</v>
      </c>
      <c r="DF12" s="200">
        <f>'[1]October - 19'!DF12</f>
        <v>9</v>
      </c>
      <c r="DG12" s="91">
        <f>'[1]October - 19'!DG12</f>
        <v>16536</v>
      </c>
      <c r="DH12" s="200">
        <f>'[1]October - 19'!DH12</f>
        <v>7</v>
      </c>
      <c r="DI12" s="91">
        <f>'[1]October - 19'!DI12</f>
        <v>825</v>
      </c>
      <c r="DJ12" s="200">
        <f>'[1]October - 19'!DJ12</f>
        <v>0</v>
      </c>
      <c r="DK12" s="91">
        <f>'[1]October - 19'!DK12</f>
        <v>3570</v>
      </c>
      <c r="DL12" s="200">
        <f>'[1]October - 19'!DL12</f>
        <v>0</v>
      </c>
      <c r="DM12" s="91">
        <f>'[1]October - 19'!DM12</f>
        <v>445</v>
      </c>
      <c r="DN12" s="200">
        <f>'[1]October - 19'!DN12</f>
        <v>7</v>
      </c>
      <c r="DO12" s="91">
        <f>'[1]October - 19'!DO12</f>
        <v>709</v>
      </c>
      <c r="DP12" s="200">
        <f>'[1]October - 19'!DP12</f>
        <v>1</v>
      </c>
      <c r="DQ12" s="91">
        <f>'[1]October - 19'!DQ12</f>
        <v>15513</v>
      </c>
      <c r="DR12" s="209">
        <f>'[1]October - 19'!DR12</f>
        <v>27</v>
      </c>
      <c r="DS12" s="532"/>
      <c r="DT12" s="213">
        <f>'[1]October - 19'!DT12</f>
        <v>2592344</v>
      </c>
      <c r="DU12" s="224">
        <f>'[1]October - 19'!DU12</f>
        <v>1595</v>
      </c>
      <c r="DV12" s="93">
        <f>'[1]October - 19'!DV12</f>
        <v>4069</v>
      </c>
      <c r="DW12" s="218">
        <f>'[1]October - 19'!DW12</f>
        <v>4</v>
      </c>
      <c r="DX12" s="93">
        <f>'[1]October - 19'!DX12</f>
        <v>1694727</v>
      </c>
      <c r="DY12" s="218">
        <f>'[1]October - 19'!DY12</f>
        <v>1299</v>
      </c>
      <c r="DZ12" s="93">
        <f>'[1]October - 19'!DZ12</f>
        <v>244179</v>
      </c>
      <c r="EA12" s="218">
        <f>'[1]October - 19'!EA12</f>
        <v>135</v>
      </c>
      <c r="EB12" s="93">
        <f>'[1]October - 19'!ED12</f>
        <v>345879</v>
      </c>
      <c r="EC12" s="218">
        <f>'[1]October - 19'!EE12</f>
        <v>581</v>
      </c>
      <c r="ED12" s="93">
        <f>'[1]October - 19'!EF12</f>
        <v>72029</v>
      </c>
      <c r="EE12" s="232">
        <f>'[1]October - 19'!EG12</f>
        <v>144</v>
      </c>
      <c r="EF12" s="579"/>
      <c r="EG12" s="238">
        <f>'[1]October - 19'!EI12</f>
        <v>6351615</v>
      </c>
      <c r="EH12" s="233">
        <f>'[1]October - 19'!EJ12</f>
        <v>7860</v>
      </c>
      <c r="EI12" s="92">
        <f>'[1]October - 19'!EK12</f>
        <v>563690</v>
      </c>
      <c r="EJ12" s="233">
        <f>'[1]October - 19'!EL12</f>
        <v>450</v>
      </c>
      <c r="EK12" s="92">
        <f>'[1]October - 19'!EM12</f>
        <v>4395200</v>
      </c>
      <c r="EL12" s="233">
        <f>'[1]October - 19'!EN12</f>
        <v>3200</v>
      </c>
      <c r="EM12" s="92">
        <f>'[1]October - 19'!EO12</f>
        <v>1952750</v>
      </c>
      <c r="EN12" s="233">
        <f>'[1]October - 19'!EP12</f>
        <v>750</v>
      </c>
      <c r="EO12" s="92">
        <f>'[1]October - 19'!EQ12</f>
        <v>661590</v>
      </c>
      <c r="EP12" s="233">
        <f>'[1]October - 19'!ER12</f>
        <v>200</v>
      </c>
      <c r="EQ12" s="92">
        <f>'[1]October - 19'!ES12</f>
        <v>10408300</v>
      </c>
      <c r="ER12" s="233">
        <f>'[1]October - 19'!ET12</f>
        <v>8000</v>
      </c>
      <c r="ES12" s="554"/>
      <c r="ET12" s="287">
        <f>'[1]October - 19'!EV12</f>
        <v>25916</v>
      </c>
      <c r="EU12" s="286">
        <f>'[1]October - 19'!$EW$11</f>
        <v>18</v>
      </c>
      <c r="EV12" s="285">
        <f>'[1]October - 19'!EX12</f>
        <v>22695</v>
      </c>
      <c r="EW12" s="286">
        <f>'[1]October - 19'!EY12</f>
        <v>16</v>
      </c>
      <c r="EX12" s="285">
        <f>'[1]October - 19'!FB12</f>
        <v>42703</v>
      </c>
      <c r="EY12" s="286">
        <f>'[1]October - 19'!FA12</f>
        <v>0</v>
      </c>
      <c r="EZ12" s="285">
        <f>'[1]October - 19'!EZ12</f>
        <v>0</v>
      </c>
      <c r="FA12" s="286">
        <f>'[1]October - 19'!FA12</f>
        <v>0</v>
      </c>
      <c r="FB12" s="285">
        <f>'[1]October - 19'!FD12</f>
        <v>17751</v>
      </c>
      <c r="FC12" s="288">
        <f>'[1]October - 19'!FE12</f>
        <v>28</v>
      </c>
    </row>
    <row r="13" spans="1:159" ht="30" customHeight="1" x14ac:dyDescent="0.25">
      <c r="A13" s="210">
        <v>43742</v>
      </c>
      <c r="B13" s="212">
        <f>'[1]October - 19'!B13</f>
        <v>0.8</v>
      </c>
      <c r="C13" s="253">
        <f>'[1]October - 19'!E13</f>
        <v>466187</v>
      </c>
      <c r="D13" s="172">
        <f>'[1]October - 19'!F13</f>
        <v>591</v>
      </c>
      <c r="E13" s="170">
        <f>'[1]October - 19'!G13</f>
        <v>581</v>
      </c>
      <c r="F13" s="170">
        <f>'[1]October - 19'!H13</f>
        <v>651775</v>
      </c>
      <c r="G13" s="172">
        <f>'[1]October - 19'!I13</f>
        <v>349</v>
      </c>
      <c r="H13" s="170">
        <f>'[1]October - 19'!J13</f>
        <v>337</v>
      </c>
      <c r="I13" s="170">
        <f>'[1]October - 19'!K13</f>
        <v>58544</v>
      </c>
      <c r="J13" s="172">
        <f>'[1]October - 19'!L13</f>
        <v>0</v>
      </c>
      <c r="K13" s="170">
        <f>'[1]October - 19'!N13</f>
        <v>588008</v>
      </c>
      <c r="L13" s="172">
        <f>'[1]October - 19'!O13</f>
        <v>386</v>
      </c>
      <c r="M13" s="170">
        <f>'[1]October - 19'!Q13</f>
        <v>156722</v>
      </c>
      <c r="N13" s="172">
        <f>'[1]October - 19'!R13</f>
        <v>0</v>
      </c>
      <c r="O13" s="170">
        <f>'[1]October - 19'!S13</f>
        <v>81512</v>
      </c>
      <c r="P13" s="172">
        <f>'[1]October - 19'!T13</f>
        <v>247</v>
      </c>
      <c r="Q13" s="170">
        <f>'[1]October - 19'!U13</f>
        <v>234</v>
      </c>
      <c r="R13" s="170">
        <f>'[1]October - 19'!V13</f>
        <v>4122</v>
      </c>
      <c r="S13" s="211">
        <f>'[1]October - 19'!W13</f>
        <v>55</v>
      </c>
      <c r="T13" s="475"/>
      <c r="U13" s="171">
        <f>'[1]October - 19'!AB13</f>
        <v>5222637.84</v>
      </c>
      <c r="V13" s="254">
        <f>'[1]October - 19'!AC13</f>
        <v>3118.0800000000745</v>
      </c>
      <c r="W13" s="94">
        <f>'[1]October - 19'!AD13</f>
        <v>2192.4000000003725</v>
      </c>
      <c r="X13" s="94">
        <f>'[1]October - 19'!AE13</f>
        <v>10201821.84</v>
      </c>
      <c r="Y13" s="254">
        <f>'[1]October - 19'!AF13</f>
        <v>4823.2800000011921</v>
      </c>
      <c r="Z13" s="94">
        <f>'[1]October - 19'!AG13</f>
        <v>4969.4400000004098</v>
      </c>
      <c r="AA13" s="94">
        <f>'[1]October - 19'!AH13</f>
        <v>9361158.2400000002</v>
      </c>
      <c r="AB13" s="254">
        <f>'[1]October - 19'!AI13</f>
        <v>9451.6800000015646</v>
      </c>
      <c r="AC13" s="94">
        <f>'[1]October - 19'!AJ13</f>
        <v>13690.320000000298</v>
      </c>
      <c r="AD13" s="94">
        <f>'[1]October - 19'!AK13</f>
        <v>12761083.439999999</v>
      </c>
      <c r="AE13" s="254">
        <f>'[1]October - 19'!AL13</f>
        <v>11059.439999999478</v>
      </c>
      <c r="AF13" s="94">
        <f>'[1]October - 19'!AM13</f>
        <v>2192.3999999985099</v>
      </c>
      <c r="AG13" s="94">
        <f>'[1]October - 19'!AN13</f>
        <v>12671438.640000001</v>
      </c>
      <c r="AH13" s="254">
        <f>'[1]October - 19'!AO13</f>
        <v>584.64000000059605</v>
      </c>
      <c r="AI13" s="94">
        <f>'[1]October - 19'!AP13</f>
        <v>10231.200000001118</v>
      </c>
      <c r="AJ13" s="94">
        <f>'[1]October - 19'!AQ13</f>
        <v>11355365.280000001</v>
      </c>
      <c r="AK13" s="254">
        <f>'[1]October - 19'!AR13</f>
        <v>6869.5200000014156</v>
      </c>
      <c r="AL13" s="94">
        <f>'[1]October - 19'!AS13</f>
        <v>5846.4000000003725</v>
      </c>
      <c r="AM13" s="94">
        <f>'[1]October - 19'!AT13</f>
        <v>9988525.6799999997</v>
      </c>
      <c r="AN13" s="254">
        <f>'[1]October - 19'!AU13</f>
        <v>4579.679999999702</v>
      </c>
      <c r="AO13" s="94">
        <f>'[1]October - 19'!AV13</f>
        <v>4823.2800000011921</v>
      </c>
      <c r="AP13" s="94">
        <f>'[1]October - 19'!AW13</f>
        <v>9604855.6799999997</v>
      </c>
      <c r="AQ13" s="254">
        <f>'[1]October - 19'!AX13</f>
        <v>4872</v>
      </c>
      <c r="AR13" s="94">
        <f>'[1]October - 19'!AY13</f>
        <v>4823.2799999993294</v>
      </c>
      <c r="AS13" s="94">
        <f>'[1]October - 19'!AZ13</f>
        <v>7728356.1599999992</v>
      </c>
      <c r="AT13" s="254">
        <f>'[1]October - 19'!BA13</f>
        <v>3069.359999999404</v>
      </c>
      <c r="AU13" s="94">
        <f>'[1]October - 19'!BB13</f>
        <v>3556.5600000005215</v>
      </c>
      <c r="AV13" s="94">
        <f>'[1]October - 19'!BC13</f>
        <v>11394828.48</v>
      </c>
      <c r="AW13" s="255">
        <f>'[1]October - 19'!BD13</f>
        <v>4579.6800000015646</v>
      </c>
      <c r="AX13" s="256">
        <f>'[1]October - 19'!BE13</f>
        <v>5895.1200000010431</v>
      </c>
      <c r="AY13" s="492"/>
      <c r="AZ13" s="95">
        <f>'[1]October - 19'!BJ13</f>
        <v>47402000</v>
      </c>
      <c r="BA13" s="181">
        <f>'[1]October - 19'!BK13</f>
        <v>45300</v>
      </c>
      <c r="BB13" s="95">
        <f>'[1]October - 19'!BL13</f>
        <v>69300</v>
      </c>
      <c r="BC13" s="95">
        <f>'[1]October - 19'!BM13</f>
        <v>52117700</v>
      </c>
      <c r="BD13" s="248">
        <f>'[1]October - 19'!BN13</f>
        <v>61100</v>
      </c>
      <c r="BE13" s="95">
        <f>'[1]October - 19'!BO13</f>
        <v>0</v>
      </c>
      <c r="BF13" s="95">
        <f>'[1]October - 19'!BP13</f>
        <v>45427500</v>
      </c>
      <c r="BG13" s="248">
        <f>'[1]October - 19'!BQ13</f>
        <v>0</v>
      </c>
      <c r="BH13" s="95">
        <f>'[1]October - 19'!BR13</f>
        <v>47600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'[1]October - 19'!BS13</f>
        <v>3521240</v>
      </c>
      <c r="BT13" s="187">
        <f>'[1]October - 19'!BT13</f>
        <v>5720</v>
      </c>
      <c r="BU13" s="588"/>
      <c r="BV13" s="88">
        <f>'[1]October - 19'!BV13</f>
        <v>0.63</v>
      </c>
      <c r="BW13" s="244">
        <f>'[1]October - 19'!BW13</f>
        <v>-3.0000000000000027E-2</v>
      </c>
      <c r="BX13" s="88">
        <f>'[1]October - 19'!BX13</f>
        <v>-2.9999999999999916E-2</v>
      </c>
      <c r="BY13" s="89">
        <f>'[1]October - 19'!BY13</f>
        <v>42648</v>
      </c>
      <c r="BZ13" s="193">
        <f>'[1]October - 19'!BZ13</f>
        <v>21</v>
      </c>
      <c r="CA13" s="89">
        <f>'[1]October - 19'!CA13</f>
        <v>37883</v>
      </c>
      <c r="CB13" s="193">
        <f>'[1]October - 19'!CB13</f>
        <v>18</v>
      </c>
      <c r="CC13" s="89">
        <f>'[1]October - 19'!CC13</f>
        <v>12498</v>
      </c>
      <c r="CD13" s="193">
        <f>'[1]October - 19'!CD13</f>
        <v>9</v>
      </c>
      <c r="CE13" s="89">
        <f>'[1]October - 19'!CE13</f>
        <v>15579</v>
      </c>
      <c r="CF13" s="193">
        <f>'[1]October - 19'!CF13</f>
        <v>13</v>
      </c>
      <c r="CG13" s="89">
        <f>'[1]October - 19'!CG13</f>
        <v>17893</v>
      </c>
      <c r="CH13" s="193">
        <f>'[1]October - 19'!CH13</f>
        <v>10</v>
      </c>
      <c r="CI13" s="89">
        <f>'[1]October - 19'!CI13</f>
        <v>37892</v>
      </c>
      <c r="CJ13" s="193">
        <f>'[1]October - 19'!CJ13</f>
        <v>25</v>
      </c>
      <c r="CK13" s="89">
        <f>'[1]October - 19'!CK13</f>
        <v>166352</v>
      </c>
      <c r="CL13" s="249">
        <f>'[1]October - 19'!CL13</f>
        <v>93</v>
      </c>
      <c r="CM13" s="89">
        <f>'[1]October - 19'!CM13</f>
        <v>78</v>
      </c>
      <c r="CN13" s="89">
        <f>'[1]October - 19'!CN13</f>
        <v>117915</v>
      </c>
      <c r="CO13" s="249">
        <f>'[1]October - 19'!CO13</f>
        <v>69</v>
      </c>
      <c r="CP13" s="89">
        <f>'[1]October - 19'!CP13</f>
        <v>58</v>
      </c>
      <c r="CQ13" s="89">
        <f>'[1]October - 19'!CQ13</f>
        <v>215357</v>
      </c>
      <c r="CR13" s="249">
        <f>'[1]October - 19'!CR13</f>
        <v>0</v>
      </c>
      <c r="CS13" s="89">
        <f>'[1]October - 19'!CS13</f>
        <v>10</v>
      </c>
      <c r="CT13" s="89">
        <f>'[1]October - 19'!CT13</f>
        <v>460559</v>
      </c>
      <c r="CU13" s="193">
        <f>'[1]October - 19'!CU13</f>
        <v>165</v>
      </c>
      <c r="CV13" s="516"/>
      <c r="CW13" s="208">
        <f>'[1]October - 19'!CW13</f>
        <v>3047</v>
      </c>
      <c r="CX13" s="200">
        <f>'[1]October - 19'!CX13</f>
        <v>0</v>
      </c>
      <c r="CY13" s="91">
        <f>'[1]October - 19'!CY13</f>
        <v>938</v>
      </c>
      <c r="CZ13" s="200">
        <f>'[1]October - 19'!CZ13</f>
        <v>0</v>
      </c>
      <c r="DA13" s="91">
        <f>'[1]October - 19'!DA13</f>
        <v>17100</v>
      </c>
      <c r="DB13" s="200">
        <f>'[1]October - 19'!DB13</f>
        <v>18</v>
      </c>
      <c r="DC13" s="91">
        <f>'[1]October - 19'!DC13</f>
        <v>17885</v>
      </c>
      <c r="DD13" s="200">
        <f>'[1]October - 19'!DD13</f>
        <v>21</v>
      </c>
      <c r="DE13" s="91">
        <f>'[1]October - 19'!DE13</f>
        <v>12464</v>
      </c>
      <c r="DF13" s="200">
        <f>'[1]October - 19'!DF13</f>
        <v>9</v>
      </c>
      <c r="DG13" s="91">
        <f>'[1]October - 19'!DG13</f>
        <v>16545</v>
      </c>
      <c r="DH13" s="200">
        <f>'[1]October - 19'!DH13</f>
        <v>9</v>
      </c>
      <c r="DI13" s="91">
        <f>'[1]October - 19'!DI13</f>
        <v>825</v>
      </c>
      <c r="DJ13" s="200">
        <f>'[1]October - 19'!DJ13</f>
        <v>0</v>
      </c>
      <c r="DK13" s="91">
        <f>'[1]October - 19'!DK13</f>
        <v>3570</v>
      </c>
      <c r="DL13" s="200">
        <f>'[1]October - 19'!DL13</f>
        <v>0</v>
      </c>
      <c r="DM13" s="91">
        <f>'[1]October - 19'!DM13</f>
        <v>453</v>
      </c>
      <c r="DN13" s="200">
        <f>'[1]October - 19'!DN13</f>
        <v>8</v>
      </c>
      <c r="DO13" s="91">
        <f>'[1]October - 19'!DO13</f>
        <v>711</v>
      </c>
      <c r="DP13" s="200">
        <f>'[1]October - 19'!DP13</f>
        <v>2</v>
      </c>
      <c r="DQ13" s="91">
        <f>'[1]October - 19'!DQ13</f>
        <v>15540</v>
      </c>
      <c r="DR13" s="209">
        <f>'[1]October - 19'!DR13</f>
        <v>27</v>
      </c>
      <c r="DS13" s="532"/>
      <c r="DT13" s="213">
        <f>'[1]October - 19'!DT13</f>
        <v>2593933</v>
      </c>
      <c r="DU13" s="224">
        <f>'[1]October - 19'!DU13</f>
        <v>1589</v>
      </c>
      <c r="DV13" s="93">
        <f>'[1]October - 19'!DV13</f>
        <v>4073</v>
      </c>
      <c r="DW13" s="218">
        <f>'[1]October - 19'!DW13</f>
        <v>4</v>
      </c>
      <c r="DX13" s="93">
        <f>'[1]October - 19'!DX13</f>
        <v>1695992</v>
      </c>
      <c r="DY13" s="218">
        <f>'[1]October - 19'!DY13</f>
        <v>1265</v>
      </c>
      <c r="DZ13" s="93">
        <f>'[1]October - 19'!DZ13</f>
        <v>244312</v>
      </c>
      <c r="EA13" s="218">
        <f>'[1]October - 19'!EA13</f>
        <v>133</v>
      </c>
      <c r="EB13" s="93">
        <f>'[1]October - 19'!ED13</f>
        <v>346431</v>
      </c>
      <c r="EC13" s="218">
        <f>'[1]October - 19'!EE13</f>
        <v>552</v>
      </c>
      <c r="ED13" s="93">
        <f>'[1]October - 19'!EF13</f>
        <v>72166</v>
      </c>
      <c r="EE13" s="232">
        <f>'[1]October - 19'!EG13</f>
        <v>137</v>
      </c>
      <c r="EF13" s="579"/>
      <c r="EG13" s="238">
        <f>'[1]October - 19'!EI13</f>
        <v>6359457</v>
      </c>
      <c r="EH13" s="233">
        <f>'[1]October - 19'!EJ13</f>
        <v>7842</v>
      </c>
      <c r="EI13" s="92">
        <f>'[1]October - 19'!EK13</f>
        <v>564140</v>
      </c>
      <c r="EJ13" s="233">
        <f>'[1]October - 19'!EL13</f>
        <v>450</v>
      </c>
      <c r="EK13" s="92">
        <f>'[1]October - 19'!EM13</f>
        <v>4398700</v>
      </c>
      <c r="EL13" s="233">
        <f>'[1]October - 19'!EN13</f>
        <v>3500</v>
      </c>
      <c r="EM13" s="92">
        <f>'[1]October - 19'!EO13</f>
        <v>1953570</v>
      </c>
      <c r="EN13" s="233">
        <f>'[1]October - 19'!EP13</f>
        <v>820</v>
      </c>
      <c r="EO13" s="92">
        <f>'[1]October - 19'!EQ13</f>
        <v>661800</v>
      </c>
      <c r="EP13" s="233">
        <f>'[1]October - 19'!ER13</f>
        <v>210</v>
      </c>
      <c r="EQ13" s="92">
        <f>'[1]October - 19'!ES13</f>
        <v>10415800</v>
      </c>
      <c r="ER13" s="233">
        <f>'[1]October - 19'!ET13</f>
        <v>7500</v>
      </c>
      <c r="ES13" s="554"/>
      <c r="ET13" s="287">
        <f>'[1]October - 19'!EV13</f>
        <v>25935</v>
      </c>
      <c r="EU13" s="286">
        <f>'[1]October - 19'!$EW$11</f>
        <v>18</v>
      </c>
      <c r="EV13" s="285">
        <f>'[1]October - 19'!EX13</f>
        <v>22712</v>
      </c>
      <c r="EW13" s="286">
        <f>'[1]October - 19'!EY13</f>
        <v>17</v>
      </c>
      <c r="EX13" s="285">
        <f>'[1]October - 19'!FB13</f>
        <v>42703</v>
      </c>
      <c r="EY13" s="286">
        <f>'[1]October - 19'!FA13</f>
        <v>0</v>
      </c>
      <c r="EZ13" s="285">
        <f>'[1]October - 19'!EZ13</f>
        <v>0</v>
      </c>
      <c r="FA13" s="286">
        <f>'[1]October - 19'!FA13</f>
        <v>0</v>
      </c>
      <c r="FB13" s="285">
        <f>'[1]October - 19'!FD13</f>
        <v>17778</v>
      </c>
      <c r="FC13" s="288">
        <f>'[1]October - 19'!FE13</f>
        <v>27</v>
      </c>
    </row>
    <row r="14" spans="1:159" ht="30" customHeight="1" x14ac:dyDescent="0.25">
      <c r="A14" s="210">
        <v>43743</v>
      </c>
      <c r="B14" s="212">
        <f>'[1]October - 19'!B14</f>
        <v>0.82</v>
      </c>
      <c r="C14" s="253">
        <f>'[1]October - 19'!E14</f>
        <v>466720</v>
      </c>
      <c r="D14" s="172">
        <f>'[1]October - 19'!F14</f>
        <v>533</v>
      </c>
      <c r="E14" s="170">
        <f>'[1]October - 19'!G14</f>
        <v>617</v>
      </c>
      <c r="F14" s="170">
        <f>'[1]October - 19'!H14</f>
        <v>652075</v>
      </c>
      <c r="G14" s="172">
        <f>'[1]October - 19'!I14</f>
        <v>300</v>
      </c>
      <c r="H14" s="170">
        <f>'[1]October - 19'!J14</f>
        <v>393</v>
      </c>
      <c r="I14" s="170">
        <f>'[1]October - 19'!K14</f>
        <v>58544</v>
      </c>
      <c r="J14" s="172">
        <f>'[1]October - 19'!L14</f>
        <v>0</v>
      </c>
      <c r="K14" s="170">
        <f>'[1]October - 19'!N14</f>
        <v>588241</v>
      </c>
      <c r="L14" s="172">
        <f>'[1]October - 19'!O14</f>
        <v>233</v>
      </c>
      <c r="M14" s="170">
        <f>'[1]October - 19'!Q14</f>
        <v>156722</v>
      </c>
      <c r="N14" s="172">
        <f>'[1]October - 19'!R14</f>
        <v>0</v>
      </c>
      <c r="O14" s="170">
        <f>'[1]October - 19'!S14</f>
        <v>81732</v>
      </c>
      <c r="P14" s="172">
        <f>'[1]October - 19'!T14</f>
        <v>220</v>
      </c>
      <c r="Q14" s="170">
        <f>'[1]October - 19'!U14</f>
        <v>227</v>
      </c>
      <c r="R14" s="170">
        <f>'[1]October - 19'!V14</f>
        <v>4168</v>
      </c>
      <c r="S14" s="211">
        <f>'[1]October - 19'!W14</f>
        <v>46</v>
      </c>
      <c r="T14" s="475"/>
      <c r="U14" s="171">
        <f>'[1]October - 19'!AB14</f>
        <v>5224830.24</v>
      </c>
      <c r="V14" s="254">
        <f>'[1]October - 19'!AC14</f>
        <v>2192.4000000003725</v>
      </c>
      <c r="W14" s="94">
        <f>'[1]October - 19'!AD14</f>
        <v>2143.679999999702</v>
      </c>
      <c r="X14" s="94">
        <f>'[1]October - 19'!AE14</f>
        <v>10206791.280000001</v>
      </c>
      <c r="Y14" s="254">
        <f>'[1]October - 19'!AF14</f>
        <v>4969.4400000013411</v>
      </c>
      <c r="Z14" s="94">
        <f>'[1]October - 19'!AG14</f>
        <v>5554.0799999982119</v>
      </c>
      <c r="AA14" s="94">
        <f>'[1]October - 19'!AH14</f>
        <v>9361889.040000001</v>
      </c>
      <c r="AB14" s="254">
        <f>'[1]October - 19'!AI14</f>
        <v>730.80000000074506</v>
      </c>
      <c r="AC14" s="94">
        <f>'[1]October - 19'!AJ14</f>
        <v>13544.159999999218</v>
      </c>
      <c r="AD14" s="94">
        <f>'[1]October - 19'!AK14</f>
        <v>12770535.119999999</v>
      </c>
      <c r="AE14" s="254">
        <f>'[1]October - 19'!AL14</f>
        <v>9451.679999999702</v>
      </c>
      <c r="AF14" s="94">
        <f>'[1]October - 19'!AM14</f>
        <v>1753.9199999999255</v>
      </c>
      <c r="AG14" s="94">
        <f>'[1]October - 19'!AN14</f>
        <v>12683423.76</v>
      </c>
      <c r="AH14" s="254">
        <f>'[1]October - 19'!AO14</f>
        <v>11985.11999999918</v>
      </c>
      <c r="AI14" s="94">
        <f>'[1]October - 19'!AP14</f>
        <v>10523.519999999553</v>
      </c>
      <c r="AJ14" s="94">
        <f>'[1]October - 19'!AQ14</f>
        <v>11362819.439999999</v>
      </c>
      <c r="AK14" s="254">
        <f>'[1]October - 19'!AR14</f>
        <v>7454.1599999982864</v>
      </c>
      <c r="AL14" s="94">
        <f>'[1]October - 19'!AS14</f>
        <v>5846.3999999985099</v>
      </c>
      <c r="AM14" s="94">
        <f>'[1]October - 19'!AT14</f>
        <v>9993154.0800000001</v>
      </c>
      <c r="AN14" s="254">
        <f>'[1]October - 19'!AU14</f>
        <v>4628.4000000003725</v>
      </c>
      <c r="AO14" s="94">
        <f>'[1]October - 19'!AV14</f>
        <v>4920.7199999988079</v>
      </c>
      <c r="AP14" s="94">
        <f>'[1]October - 19'!AW14</f>
        <v>9609630.2400000002</v>
      </c>
      <c r="AQ14" s="254">
        <f>'[1]October - 19'!AX14</f>
        <v>4774.5600000005215</v>
      </c>
      <c r="AR14" s="94">
        <f>'[1]October - 19'!AY14</f>
        <v>5115.6000000005588</v>
      </c>
      <c r="AS14" s="94">
        <f>'[1]October - 19'!AZ14</f>
        <v>7731717.8399999999</v>
      </c>
      <c r="AT14" s="254">
        <f>'[1]October - 19'!BA14</f>
        <v>3361.6800000006333</v>
      </c>
      <c r="AU14" s="94">
        <f>'[1]October - 19'!BB14</f>
        <v>3069.359999999404</v>
      </c>
      <c r="AV14" s="94">
        <f>'[1]October - 19'!BC14</f>
        <v>11399797.92</v>
      </c>
      <c r="AW14" s="255">
        <f>'[1]October - 19'!BD14</f>
        <v>4969.4399999994785</v>
      </c>
      <c r="AX14" s="256">
        <f>'[1]October - 19'!BE14</f>
        <v>5846.4000000003725</v>
      </c>
      <c r="AY14" s="492"/>
      <c r="AZ14" s="95">
        <f>'[1]October - 19'!BJ14</f>
        <v>47402000</v>
      </c>
      <c r="BA14" s="181">
        <f>'[1]October - 19'!BK14</f>
        <v>0</v>
      </c>
      <c r="BB14" s="95">
        <f>'[1]October - 19'!BL14</f>
        <v>66400</v>
      </c>
      <c r="BC14" s="95">
        <f>'[1]October - 19'!BM14</f>
        <v>52161200</v>
      </c>
      <c r="BD14" s="248">
        <f>'[1]October - 19'!BN14</f>
        <v>43500</v>
      </c>
      <c r="BE14" s="95">
        <f>'[1]October - 19'!BO14</f>
        <v>500</v>
      </c>
      <c r="BF14" s="95">
        <f>'[1]October - 19'!BP14</f>
        <v>45481200</v>
      </c>
      <c r="BG14" s="248">
        <f>'[1]October - 19'!BQ14</f>
        <v>53700</v>
      </c>
      <c r="BH14" s="95">
        <f>'[1]October - 19'!BR14</f>
        <v>48100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'[1]October - 19'!BS14</f>
        <v>3526680</v>
      </c>
      <c r="BT14" s="187">
        <f>'[1]October - 19'!BT14</f>
        <v>5440</v>
      </c>
      <c r="BU14" s="588"/>
      <c r="BV14" s="88">
        <f>'[1]October - 19'!BV14</f>
        <v>0.6</v>
      </c>
      <c r="BW14" s="244">
        <f>'[1]October - 19'!BW14</f>
        <v>-3.0000000000000027E-2</v>
      </c>
      <c r="BX14" s="88">
        <f>'[1]October - 19'!BX14</f>
        <v>-3.0000000000000027E-2</v>
      </c>
      <c r="BY14" s="89">
        <f>'[1]October - 19'!BY14</f>
        <v>42669</v>
      </c>
      <c r="BZ14" s="193">
        <f>'[1]October - 19'!BZ14</f>
        <v>21</v>
      </c>
      <c r="CA14" s="89">
        <f>'[1]October - 19'!CA14</f>
        <v>37900</v>
      </c>
      <c r="CB14" s="193">
        <f>'[1]October - 19'!CB14</f>
        <v>17</v>
      </c>
      <c r="CC14" s="89">
        <f>'[1]October - 19'!CC14</f>
        <v>12504</v>
      </c>
      <c r="CD14" s="193">
        <f>'[1]October - 19'!CD14</f>
        <v>6</v>
      </c>
      <c r="CE14" s="89">
        <f>'[1]October - 19'!CE14</f>
        <v>15588</v>
      </c>
      <c r="CF14" s="193">
        <f>'[1]October - 19'!CF14</f>
        <v>9</v>
      </c>
      <c r="CG14" s="89">
        <f>'[1]October - 19'!CG14</f>
        <v>17901</v>
      </c>
      <c r="CH14" s="193">
        <f>'[1]October - 19'!CH14</f>
        <v>8</v>
      </c>
      <c r="CI14" s="89">
        <f>'[1]October - 19'!CI14</f>
        <v>37915</v>
      </c>
      <c r="CJ14" s="193">
        <f>'[1]October - 19'!CJ14</f>
        <v>23</v>
      </c>
      <c r="CK14" s="89">
        <f>'[1]October - 19'!CK14</f>
        <v>166434</v>
      </c>
      <c r="CL14" s="249">
        <f>'[1]October - 19'!CL14</f>
        <v>82</v>
      </c>
      <c r="CM14" s="89">
        <f>'[1]October - 19'!CM14</f>
        <v>82</v>
      </c>
      <c r="CN14" s="89">
        <f>'[1]October - 19'!CN14</f>
        <v>117984</v>
      </c>
      <c r="CO14" s="249">
        <f>'[1]October - 19'!CO14</f>
        <v>69</v>
      </c>
      <c r="CP14" s="89">
        <f>'[1]October - 19'!CP14</f>
        <v>59</v>
      </c>
      <c r="CQ14" s="89">
        <f>'[1]October - 19'!CQ14</f>
        <v>215357</v>
      </c>
      <c r="CR14" s="249">
        <f>'[1]October - 19'!CR14</f>
        <v>0</v>
      </c>
      <c r="CS14" s="89">
        <f>'[1]October - 19'!CS14</f>
        <v>12</v>
      </c>
      <c r="CT14" s="89">
        <f>'[1]October - 19'!CT14</f>
        <v>460700</v>
      </c>
      <c r="CU14" s="193">
        <f>'[1]October - 19'!CU14</f>
        <v>141</v>
      </c>
      <c r="CV14" s="516"/>
      <c r="CW14" s="208">
        <f>'[1]October - 19'!CW14</f>
        <v>3047</v>
      </c>
      <c r="CX14" s="200">
        <f>'[1]October - 19'!CX14</f>
        <v>0</v>
      </c>
      <c r="CY14" s="91">
        <f>'[1]October - 19'!CY14</f>
        <v>938</v>
      </c>
      <c r="CZ14" s="200">
        <f>'[1]October - 19'!CZ14</f>
        <v>0</v>
      </c>
      <c r="DA14" s="91">
        <f>'[1]October - 19'!DA14</f>
        <v>17115</v>
      </c>
      <c r="DB14" s="200">
        <f>'[1]October - 19'!DB14</f>
        <v>15</v>
      </c>
      <c r="DC14" s="91">
        <f>'[1]October - 19'!DC14</f>
        <v>17905</v>
      </c>
      <c r="DD14" s="200">
        <f>'[1]October - 19'!DD14</f>
        <v>20</v>
      </c>
      <c r="DE14" s="91">
        <f>'[1]October - 19'!DE14</f>
        <v>12472</v>
      </c>
      <c r="DF14" s="200">
        <f>'[1]October - 19'!DF14</f>
        <v>8</v>
      </c>
      <c r="DG14" s="91">
        <f>'[1]October - 19'!DG14</f>
        <v>16552</v>
      </c>
      <c r="DH14" s="200">
        <f>'[1]October - 19'!DH14</f>
        <v>7</v>
      </c>
      <c r="DI14" s="91">
        <f>'[1]October - 19'!DI14</f>
        <v>825</v>
      </c>
      <c r="DJ14" s="200">
        <f>'[1]October - 19'!DJ14</f>
        <v>0</v>
      </c>
      <c r="DK14" s="91">
        <f>'[1]October - 19'!DK14</f>
        <v>3570</v>
      </c>
      <c r="DL14" s="200">
        <f>'[1]October - 19'!DL14</f>
        <v>0</v>
      </c>
      <c r="DM14" s="91">
        <f>'[1]October - 19'!DM14</f>
        <v>459</v>
      </c>
      <c r="DN14" s="200">
        <f>'[1]October - 19'!DN14</f>
        <v>6</v>
      </c>
      <c r="DO14" s="91">
        <f>'[1]October - 19'!DO14</f>
        <v>712</v>
      </c>
      <c r="DP14" s="200">
        <f>'[1]October - 19'!DP14</f>
        <v>1</v>
      </c>
      <c r="DQ14" s="91">
        <f>'[1]October - 19'!DQ14</f>
        <v>15565</v>
      </c>
      <c r="DR14" s="209">
        <f>'[1]October - 19'!DR14</f>
        <v>25</v>
      </c>
      <c r="DS14" s="532"/>
      <c r="DT14" s="213">
        <f>'[1]October - 19'!DT14</f>
        <v>2595533</v>
      </c>
      <c r="DU14" s="224">
        <f>'[1]October - 19'!DU14</f>
        <v>1600</v>
      </c>
      <c r="DV14" s="93">
        <f>'[1]October - 19'!DV14</f>
        <v>4077</v>
      </c>
      <c r="DW14" s="218">
        <f>'[1]October - 19'!DW14</f>
        <v>4</v>
      </c>
      <c r="DX14" s="93">
        <f>'[1]October - 19'!DX14</f>
        <v>1697292</v>
      </c>
      <c r="DY14" s="218">
        <f>'[1]October - 19'!DY14</f>
        <v>1300</v>
      </c>
      <c r="DZ14" s="93">
        <f>'[1]October - 19'!DZ14</f>
        <v>244462</v>
      </c>
      <c r="EA14" s="218">
        <f>'[1]October - 19'!EA14</f>
        <v>150</v>
      </c>
      <c r="EB14" s="93">
        <f>'[1]October - 19'!ED14</f>
        <v>346971</v>
      </c>
      <c r="EC14" s="218">
        <f>'[1]October - 19'!EE14</f>
        <v>540</v>
      </c>
      <c r="ED14" s="93">
        <f>'[1]October - 19'!EF14</f>
        <v>72306</v>
      </c>
      <c r="EE14" s="232">
        <f>'[1]October - 19'!EG14</f>
        <v>140</v>
      </c>
      <c r="EF14" s="579"/>
      <c r="EG14" s="238">
        <f>'[1]October - 19'!EI14</f>
        <v>6367297</v>
      </c>
      <c r="EH14" s="233">
        <f>'[1]October - 19'!EJ14</f>
        <v>7840</v>
      </c>
      <c r="EI14" s="92">
        <f>'[1]October - 19'!EK14</f>
        <v>564590</v>
      </c>
      <c r="EJ14" s="233">
        <f>'[1]October - 19'!EL14</f>
        <v>450</v>
      </c>
      <c r="EK14" s="92">
        <f>'[1]October - 19'!EM14</f>
        <v>4402100</v>
      </c>
      <c r="EL14" s="233">
        <f>'[1]October - 19'!EN14</f>
        <v>3400</v>
      </c>
      <c r="EM14" s="92">
        <f>'[1]October - 19'!EO14</f>
        <v>1954400</v>
      </c>
      <c r="EN14" s="233">
        <f>'[1]October - 19'!EP14</f>
        <v>830</v>
      </c>
      <c r="EO14" s="92">
        <f>'[1]October - 19'!EQ14</f>
        <v>661980</v>
      </c>
      <c r="EP14" s="233">
        <f>'[1]October - 19'!ER14</f>
        <v>180</v>
      </c>
      <c r="EQ14" s="92">
        <f>'[1]October - 19'!ES14</f>
        <v>10423800</v>
      </c>
      <c r="ER14" s="233">
        <f>'[1]October - 19'!ET14</f>
        <v>8000</v>
      </c>
      <c r="ES14" s="554"/>
      <c r="ET14" s="287">
        <f>'[1]October - 19'!EV14</f>
        <v>25956</v>
      </c>
      <c r="EU14" s="286">
        <f>'[1]October - 19'!$EW$11</f>
        <v>18</v>
      </c>
      <c r="EV14" s="285">
        <f>'[1]October - 19'!EX14</f>
        <v>22730</v>
      </c>
      <c r="EW14" s="286">
        <f>'[1]October - 19'!EY14</f>
        <v>18</v>
      </c>
      <c r="EX14" s="285">
        <f>'[1]October - 19'!FB14</f>
        <v>42703</v>
      </c>
      <c r="EY14" s="286">
        <f>'[1]October - 19'!FA14</f>
        <v>0</v>
      </c>
      <c r="EZ14" s="285">
        <f>'[1]October - 19'!EZ14</f>
        <v>0</v>
      </c>
      <c r="FA14" s="286">
        <f>'[1]October - 19'!FA14</f>
        <v>0</v>
      </c>
      <c r="FB14" s="285">
        <f>'[1]October - 19'!FD14</f>
        <v>17806</v>
      </c>
      <c r="FC14" s="288">
        <f>'[1]October - 19'!FE14</f>
        <v>28</v>
      </c>
    </row>
    <row r="15" spans="1:159" ht="30" customHeight="1" x14ac:dyDescent="0.25">
      <c r="A15" s="210">
        <v>43744</v>
      </c>
      <c r="B15" s="212">
        <f>'[1]October - 19'!B15</f>
        <v>0.71</v>
      </c>
      <c r="C15" s="253">
        <f>'[1]October - 19'!E15</f>
        <v>467247</v>
      </c>
      <c r="D15" s="172">
        <f>'[1]October - 19'!F15</f>
        <v>527</v>
      </c>
      <c r="E15" s="170">
        <f>'[1]October - 19'!G15</f>
        <v>557</v>
      </c>
      <c r="F15" s="170">
        <f>'[1]October - 19'!H15</f>
        <v>652364</v>
      </c>
      <c r="G15" s="172">
        <f>'[1]October - 19'!I15</f>
        <v>289</v>
      </c>
      <c r="H15" s="170">
        <f>'[1]October - 19'!J15</f>
        <v>382</v>
      </c>
      <c r="I15" s="170">
        <f>'[1]October - 19'!K15</f>
        <v>58544</v>
      </c>
      <c r="J15" s="172">
        <f>'[1]October - 19'!L15</f>
        <v>0</v>
      </c>
      <c r="K15" s="170">
        <f>'[1]October - 19'!N15</f>
        <v>588669</v>
      </c>
      <c r="L15" s="172">
        <f>'[1]October - 19'!O15</f>
        <v>428</v>
      </c>
      <c r="M15" s="170">
        <f>'[1]October - 19'!Q15</f>
        <v>156722</v>
      </c>
      <c r="N15" s="172">
        <f>'[1]October - 19'!R15</f>
        <v>0</v>
      </c>
      <c r="O15" s="170">
        <f>'[1]October - 19'!S15</f>
        <v>81958</v>
      </c>
      <c r="P15" s="172">
        <f>'[1]October - 19'!T15</f>
        <v>226</v>
      </c>
      <c r="Q15" s="170">
        <f>'[1]October - 19'!U15</f>
        <v>210</v>
      </c>
      <c r="R15" s="170">
        <f>'[1]October - 19'!V15</f>
        <v>4222</v>
      </c>
      <c r="S15" s="211">
        <f>'[1]October - 19'!W15</f>
        <v>54</v>
      </c>
      <c r="T15" s="475"/>
      <c r="U15" s="171">
        <f>'[1]October - 19'!AB15</f>
        <v>5227461.12</v>
      </c>
      <c r="V15" s="254">
        <f>'[1]October - 19'!AC15</f>
        <v>2630.8799999998882</v>
      </c>
      <c r="W15" s="94">
        <f>'[1]October - 19'!AD15</f>
        <v>2241.1200000001118</v>
      </c>
      <c r="X15" s="94">
        <f>'[1]October - 19'!AE15</f>
        <v>10211955.6</v>
      </c>
      <c r="Y15" s="254">
        <f>'[1]October - 19'!AF15</f>
        <v>5164.3199999984354</v>
      </c>
      <c r="Z15" s="94">
        <f>'[1]October - 19'!AG15</f>
        <v>6625.9200000017881</v>
      </c>
      <c r="AA15" s="94">
        <f>'[1]October - 19'!AH15</f>
        <v>9362083.9199999999</v>
      </c>
      <c r="AB15" s="254">
        <f>'[1]October - 19'!AI15</f>
        <v>194.87999999895692</v>
      </c>
      <c r="AC15" s="94">
        <f>'[1]October - 19'!AJ15</f>
        <v>8867.0400000009686</v>
      </c>
      <c r="AD15" s="94">
        <f>'[1]October - 19'!AK15</f>
        <v>12779256</v>
      </c>
      <c r="AE15" s="254">
        <f>'[1]October - 19'!AL15</f>
        <v>8720.8800000008196</v>
      </c>
      <c r="AF15" s="94">
        <f>'[1]October - 19'!AM15</f>
        <v>11059.440000001341</v>
      </c>
      <c r="AG15" s="94">
        <f>'[1]October - 19'!AN15</f>
        <v>12695896.08</v>
      </c>
      <c r="AH15" s="254">
        <f>'[1]October - 19'!AO15</f>
        <v>12472.320000000298</v>
      </c>
      <c r="AI15" s="94">
        <f>'[1]October - 19'!AP15</f>
        <v>2533.4399999994785</v>
      </c>
      <c r="AJ15" s="94">
        <f>'[1]October - 19'!AQ15</f>
        <v>11369932.559999999</v>
      </c>
      <c r="AK15" s="254">
        <f>'[1]October - 19'!AR15</f>
        <v>7113.1199999991804</v>
      </c>
      <c r="AL15" s="94">
        <f>'[1]October - 19'!AS15</f>
        <v>5895.1199999991804</v>
      </c>
      <c r="AM15" s="94">
        <f>'[1]October - 19'!AT15</f>
        <v>9998074.7999999989</v>
      </c>
      <c r="AN15" s="254">
        <f>'[1]October - 19'!AU15</f>
        <v>4920.7199999988079</v>
      </c>
      <c r="AO15" s="94">
        <f>'[1]October - 19'!AV15</f>
        <v>5066.8800000008196</v>
      </c>
      <c r="AP15" s="94">
        <f>'[1]October - 19'!AW15</f>
        <v>9614843.2800000012</v>
      </c>
      <c r="AQ15" s="254">
        <f>'[1]October - 19'!AX15</f>
        <v>5213.0400000009686</v>
      </c>
      <c r="AR15" s="94">
        <f>'[1]October - 19'!AY15</f>
        <v>5066.8799999989569</v>
      </c>
      <c r="AS15" s="94">
        <f>'[1]October - 19'!AZ15</f>
        <v>7735225.6799999997</v>
      </c>
      <c r="AT15" s="254">
        <f>'[1]October - 19'!BA15</f>
        <v>3507.839999999851</v>
      </c>
      <c r="AU15" s="94">
        <f>'[1]October - 19'!BB15</f>
        <v>3605.2799999993294</v>
      </c>
      <c r="AV15" s="94">
        <f>'[1]October - 19'!BC15</f>
        <v>11404962.24</v>
      </c>
      <c r="AW15" s="255">
        <f>'[1]October - 19'!BD15</f>
        <v>5164.320000000298</v>
      </c>
      <c r="AX15" s="256">
        <f>'[1]October - 19'!BE15</f>
        <v>5748.9600000008941</v>
      </c>
      <c r="AY15" s="492"/>
      <c r="AZ15" s="95">
        <f>'[1]October - 19'!BJ15</f>
        <v>47402000</v>
      </c>
      <c r="BA15" s="181">
        <f>'[1]October - 19'!BK15</f>
        <v>0</v>
      </c>
      <c r="BB15" s="95">
        <f>'[1]October - 19'!BL15</f>
        <v>48700</v>
      </c>
      <c r="BC15" s="95">
        <f>'[1]October - 19'!BM15</f>
        <v>52199800</v>
      </c>
      <c r="BD15" s="248">
        <f>'[1]October - 19'!BN15</f>
        <v>38600</v>
      </c>
      <c r="BE15" s="95">
        <f>'[1]October - 19'!BO15</f>
        <v>51400</v>
      </c>
      <c r="BF15" s="95">
        <f>'[1]October - 19'!BP15</f>
        <v>45535800</v>
      </c>
      <c r="BG15" s="248">
        <f>'[1]October - 19'!BQ15</f>
        <v>54600</v>
      </c>
      <c r="BH15" s="95">
        <f>'[1]October - 19'!BR15</f>
        <v>6000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'[1]October - 19'!BS15</f>
        <v>3532230</v>
      </c>
      <c r="BT15" s="187">
        <f>'[1]October - 19'!BT15</f>
        <v>5550</v>
      </c>
      <c r="BU15" s="588"/>
      <c r="BV15" s="88">
        <f>'[1]October - 19'!BV15</f>
        <v>0.56000000000000005</v>
      </c>
      <c r="BW15" s="244">
        <f>'[1]October - 19'!BW15</f>
        <v>-3.9999999999999925E-2</v>
      </c>
      <c r="BX15" s="88">
        <f>'[1]October - 19'!BX15</f>
        <v>-3.0000000000000027E-2</v>
      </c>
      <c r="BY15" s="89">
        <f>'[1]October - 19'!BY15</f>
        <v>42689</v>
      </c>
      <c r="BZ15" s="193">
        <f>'[1]October - 19'!BZ15</f>
        <v>20</v>
      </c>
      <c r="CA15" s="89">
        <f>'[1]October - 19'!CA15</f>
        <v>37915</v>
      </c>
      <c r="CB15" s="193">
        <f>'[1]October - 19'!CB15</f>
        <v>15</v>
      </c>
      <c r="CC15" s="89">
        <f>'[1]October - 19'!CC15</f>
        <v>12512</v>
      </c>
      <c r="CD15" s="193">
        <f>'[1]October - 19'!CD15</f>
        <v>8</v>
      </c>
      <c r="CE15" s="89">
        <f>'[1]October - 19'!CE15</f>
        <v>15599</v>
      </c>
      <c r="CF15" s="193">
        <f>'[1]October - 19'!CF15</f>
        <v>11</v>
      </c>
      <c r="CG15" s="89">
        <f>'[1]October - 19'!CG15</f>
        <v>17915</v>
      </c>
      <c r="CH15" s="193">
        <f>'[1]October - 19'!CH15</f>
        <v>14</v>
      </c>
      <c r="CI15" s="89">
        <f>'[1]October - 19'!CI15</f>
        <v>37937</v>
      </c>
      <c r="CJ15" s="193">
        <f>'[1]October - 19'!CJ15</f>
        <v>22</v>
      </c>
      <c r="CK15" s="89">
        <f>'[1]October - 19'!CK15</f>
        <v>166528</v>
      </c>
      <c r="CL15" s="249">
        <f>'[1]October - 19'!CL15</f>
        <v>94</v>
      </c>
      <c r="CM15" s="89">
        <f>'[1]October - 19'!CM15</f>
        <v>87</v>
      </c>
      <c r="CN15" s="89">
        <f>'[1]October - 19'!CN15</f>
        <v>118047</v>
      </c>
      <c r="CO15" s="249">
        <f>'[1]October - 19'!CO15</f>
        <v>63</v>
      </c>
      <c r="CP15" s="89">
        <f>'[1]October - 19'!CP15</f>
        <v>70</v>
      </c>
      <c r="CQ15" s="89">
        <f>'[1]October - 19'!CQ15</f>
        <v>215357</v>
      </c>
      <c r="CR15" s="249">
        <f>'[1]October - 19'!CR15</f>
        <v>0</v>
      </c>
      <c r="CS15" s="89">
        <f>'[1]October - 19'!CS15</f>
        <v>14</v>
      </c>
      <c r="CT15" s="89">
        <f>'[1]October - 19'!CT15</f>
        <v>460887</v>
      </c>
      <c r="CU15" s="193">
        <f>'[1]October - 19'!CU15</f>
        <v>187</v>
      </c>
      <c r="CV15" s="516"/>
      <c r="CW15" s="208">
        <f>'[1]October - 19'!CW15</f>
        <v>3047</v>
      </c>
      <c r="CX15" s="200">
        <f>'[1]October - 19'!CX15</f>
        <v>0</v>
      </c>
      <c r="CY15" s="91">
        <f>'[1]October - 19'!CY15</f>
        <v>938</v>
      </c>
      <c r="CZ15" s="200">
        <f>'[1]October - 19'!CZ15</f>
        <v>0</v>
      </c>
      <c r="DA15" s="91">
        <f>'[1]October - 19'!DA15</f>
        <v>17123</v>
      </c>
      <c r="DB15" s="200">
        <f>'[1]October - 19'!DB15</f>
        <v>8</v>
      </c>
      <c r="DC15" s="91">
        <f>'[1]October - 19'!DC15</f>
        <v>17908</v>
      </c>
      <c r="DD15" s="200">
        <f>'[1]October - 19'!DD15</f>
        <v>3</v>
      </c>
      <c r="DE15" s="91">
        <f>'[1]October - 19'!DE15</f>
        <v>12481</v>
      </c>
      <c r="DF15" s="200">
        <f>'[1]October - 19'!DF15</f>
        <v>9</v>
      </c>
      <c r="DG15" s="91">
        <f>'[1]October - 19'!DG15</f>
        <v>16558</v>
      </c>
      <c r="DH15" s="200">
        <f>'[1]October - 19'!DH15</f>
        <v>6</v>
      </c>
      <c r="DI15" s="91">
        <f>'[1]October - 19'!DI15</f>
        <v>825</v>
      </c>
      <c r="DJ15" s="200">
        <f>'[1]October - 19'!DJ15</f>
        <v>0</v>
      </c>
      <c r="DK15" s="91">
        <f>'[1]October - 19'!DK15</f>
        <v>3570</v>
      </c>
      <c r="DL15" s="200">
        <f>'[1]October - 19'!DL15</f>
        <v>0</v>
      </c>
      <c r="DM15" s="91">
        <f>'[1]October - 19'!DM15</f>
        <v>467</v>
      </c>
      <c r="DN15" s="200">
        <f>'[1]October - 19'!DN15</f>
        <v>8</v>
      </c>
      <c r="DO15" s="91">
        <f>'[1]October - 19'!DO15</f>
        <v>714</v>
      </c>
      <c r="DP15" s="200">
        <f>'[1]October - 19'!DP15</f>
        <v>2</v>
      </c>
      <c r="DQ15" s="91">
        <f>'[1]October - 19'!DQ15</f>
        <v>15581</v>
      </c>
      <c r="DR15" s="209">
        <f>'[1]October - 19'!DR15</f>
        <v>16</v>
      </c>
      <c r="DS15" s="532"/>
      <c r="DT15" s="213">
        <f>'[1]October - 19'!DT15</f>
        <v>2596889</v>
      </c>
      <c r="DU15" s="224">
        <f>'[1]October - 19'!DU15</f>
        <v>1356</v>
      </c>
      <c r="DV15" s="93">
        <f>'[1]October - 19'!DV15</f>
        <v>4082</v>
      </c>
      <c r="DW15" s="218">
        <f>'[1]October - 19'!DW15</f>
        <v>5</v>
      </c>
      <c r="DX15" s="93">
        <f>'[1]October - 19'!DX15</f>
        <v>1698448</v>
      </c>
      <c r="DY15" s="218">
        <f>'[1]October - 19'!DY15</f>
        <v>1156</v>
      </c>
      <c r="DZ15" s="93">
        <f>'[1]October - 19'!DZ15</f>
        <v>244577</v>
      </c>
      <c r="EA15" s="218">
        <f>'[1]October - 19'!EA15</f>
        <v>115</v>
      </c>
      <c r="EB15" s="93">
        <f>'[1]October - 19'!ED15</f>
        <v>347554</v>
      </c>
      <c r="EC15" s="218">
        <f>'[1]October - 19'!EE15</f>
        <v>583</v>
      </c>
      <c r="ED15" s="93">
        <f>'[1]October - 19'!EF15</f>
        <v>72442</v>
      </c>
      <c r="EE15" s="232">
        <f>'[1]October - 19'!EG15</f>
        <v>136</v>
      </c>
      <c r="EF15" s="579"/>
      <c r="EG15" s="238">
        <f>'[1]October - 19'!EI15</f>
        <v>6374547</v>
      </c>
      <c r="EH15" s="233">
        <f>'[1]October - 19'!EJ15</f>
        <v>7250</v>
      </c>
      <c r="EI15" s="92">
        <f>'[1]October - 19'!EK15</f>
        <v>565040</v>
      </c>
      <c r="EJ15" s="233">
        <f>'[1]October - 19'!EL15</f>
        <v>450</v>
      </c>
      <c r="EK15" s="92">
        <f>'[1]October - 19'!EM15</f>
        <v>4405600</v>
      </c>
      <c r="EL15" s="233">
        <f>'[1]October - 19'!EN15</f>
        <v>3500</v>
      </c>
      <c r="EM15" s="92">
        <f>'[1]October - 19'!EO15</f>
        <v>1955190</v>
      </c>
      <c r="EN15" s="233">
        <f>'[1]October - 19'!EP15</f>
        <v>790</v>
      </c>
      <c r="EO15" s="92">
        <f>'[1]October - 19'!EQ15</f>
        <v>662200</v>
      </c>
      <c r="EP15" s="233">
        <f>'[1]October - 19'!ER15</f>
        <v>220</v>
      </c>
      <c r="EQ15" s="92">
        <f>'[1]October - 19'!ES15</f>
        <v>10432000</v>
      </c>
      <c r="ER15" s="233">
        <f>'[1]October - 19'!ET15</f>
        <v>8200</v>
      </c>
      <c r="ES15" s="554"/>
      <c r="ET15" s="287">
        <f>'[1]October - 19'!EV15</f>
        <v>25974</v>
      </c>
      <c r="EU15" s="286">
        <f>'[1]October - 19'!$EW$11</f>
        <v>18</v>
      </c>
      <c r="EV15" s="285">
        <f>'[1]October - 19'!EX15</f>
        <v>22745</v>
      </c>
      <c r="EW15" s="286">
        <f>'[1]October - 19'!EY15</f>
        <v>15</v>
      </c>
      <c r="EX15" s="285">
        <f>'[1]October - 19'!FB15</f>
        <v>42703</v>
      </c>
      <c r="EY15" s="286">
        <f>'[1]October - 19'!FA15</f>
        <v>0</v>
      </c>
      <c r="EZ15" s="285">
        <f>'[1]October - 19'!EZ15</f>
        <v>0</v>
      </c>
      <c r="FA15" s="286">
        <f>'[1]October - 19'!FA15</f>
        <v>0</v>
      </c>
      <c r="FB15" s="285">
        <f>'[1]October - 19'!FD15</f>
        <v>17833</v>
      </c>
      <c r="FC15" s="288">
        <f>'[1]October - 19'!FE15</f>
        <v>27</v>
      </c>
    </row>
    <row r="16" spans="1:159" ht="30" customHeight="1" x14ac:dyDescent="0.25">
      <c r="A16" s="210">
        <v>43745</v>
      </c>
      <c r="B16" s="212">
        <f>'[1]October - 19'!B16</f>
        <v>0.81</v>
      </c>
      <c r="C16" s="253">
        <f>'[1]October - 19'!E16</f>
        <v>467748</v>
      </c>
      <c r="D16" s="172">
        <f>'[1]October - 19'!F16</f>
        <v>501</v>
      </c>
      <c r="E16" s="170">
        <f>'[1]October - 19'!G16</f>
        <v>560</v>
      </c>
      <c r="F16" s="170">
        <f>'[1]October - 19'!H16</f>
        <v>652659</v>
      </c>
      <c r="G16" s="172">
        <f>'[1]October - 19'!I16</f>
        <v>295</v>
      </c>
      <c r="H16" s="170">
        <f>'[1]October - 19'!J16</f>
        <v>306</v>
      </c>
      <c r="I16" s="170">
        <f>'[1]October - 19'!K16</f>
        <v>58544</v>
      </c>
      <c r="J16" s="172">
        <f>'[1]October - 19'!L16</f>
        <v>0</v>
      </c>
      <c r="K16" s="170">
        <f>'[1]October - 19'!N16</f>
        <v>589097</v>
      </c>
      <c r="L16" s="172">
        <f>'[1]October - 19'!O16</f>
        <v>428</v>
      </c>
      <c r="M16" s="170">
        <f>'[1]October - 19'!Q16</f>
        <v>156722</v>
      </c>
      <c r="N16" s="172">
        <f>'[1]October - 19'!R16</f>
        <v>0</v>
      </c>
      <c r="O16" s="170">
        <f>'[1]October - 19'!S16</f>
        <v>82175</v>
      </c>
      <c r="P16" s="172">
        <f>'[1]October - 19'!T16</f>
        <v>217</v>
      </c>
      <c r="Q16" s="170">
        <f>'[1]October - 19'!U16</f>
        <v>217</v>
      </c>
      <c r="R16" s="170">
        <f>'[1]October - 19'!V16</f>
        <v>4271</v>
      </c>
      <c r="S16" s="211">
        <f>'[1]October - 19'!W16</f>
        <v>49</v>
      </c>
      <c r="T16" s="475"/>
      <c r="U16" s="171">
        <f>'[1]October - 19'!AB16</f>
        <v>5229702.24</v>
      </c>
      <c r="V16" s="254">
        <f>'[1]October - 19'!AC16</f>
        <v>2241.1200000001118</v>
      </c>
      <c r="W16" s="94">
        <f>'[1]October - 19'!AD16</f>
        <v>2533.4399999994785</v>
      </c>
      <c r="X16" s="94">
        <f>'[1]October - 19'!AE16</f>
        <v>10216778.880000001</v>
      </c>
      <c r="Y16" s="254">
        <f>'[1]October - 19'!AF16</f>
        <v>4823.2800000011921</v>
      </c>
      <c r="Z16" s="94">
        <f>'[1]October - 19'!AG16</f>
        <v>5092.4799999995157</v>
      </c>
      <c r="AA16" s="94">
        <f>'[1]October - 19'!AH16</f>
        <v>9362473.6799999997</v>
      </c>
      <c r="AB16" s="254">
        <f>'[1]October - 19'!AI16</f>
        <v>389.75999999977648</v>
      </c>
      <c r="AC16" s="94">
        <f>'[1]October - 19'!AJ16</f>
        <v>7113.1199999991804</v>
      </c>
      <c r="AD16" s="94">
        <f>'[1]October - 19'!AK16</f>
        <v>12786807.6</v>
      </c>
      <c r="AE16" s="254">
        <f>'[1]October - 19'!AL16</f>
        <v>7551.5999999996275</v>
      </c>
      <c r="AF16" s="94">
        <f>'[1]October - 19'!AM16</f>
        <v>13300.559999998659</v>
      </c>
      <c r="AG16" s="94">
        <f>'[1]October - 19'!AN16</f>
        <v>12707637.6</v>
      </c>
      <c r="AH16" s="254">
        <f>'[1]October - 19'!AO16</f>
        <v>11741.519999999553</v>
      </c>
      <c r="AI16" s="94">
        <f>'[1]October - 19'!AP16</f>
        <v>974.40000000037253</v>
      </c>
      <c r="AJ16" s="94">
        <f>'[1]October - 19'!AQ16</f>
        <v>11376996.959999999</v>
      </c>
      <c r="AK16" s="254">
        <f>'[1]October - 19'!AR16</f>
        <v>7064.4000000003725</v>
      </c>
      <c r="AL16" s="94">
        <f>'[1]October - 19'!AS16</f>
        <v>5846.4000000003725</v>
      </c>
      <c r="AM16" s="94">
        <f>'[1]October - 19'!AT16</f>
        <v>10002751.92</v>
      </c>
      <c r="AN16" s="254">
        <f>'[1]October - 19'!AU16</f>
        <v>4677.1200000010431</v>
      </c>
      <c r="AO16" s="94">
        <f>'[1]October - 19'!AV16</f>
        <v>5261.7599999997765</v>
      </c>
      <c r="AP16" s="94">
        <f>'[1]October - 19'!AW16</f>
        <v>9619520.4000000004</v>
      </c>
      <c r="AQ16" s="254">
        <f>'[1]October - 19'!AX16</f>
        <v>4677.1199999991804</v>
      </c>
      <c r="AR16" s="94">
        <f>'[1]October - 19'!AY16</f>
        <v>5115.6000000005588</v>
      </c>
      <c r="AS16" s="94">
        <f>'[1]October - 19'!AZ16</f>
        <v>7738587.3599999994</v>
      </c>
      <c r="AT16" s="254">
        <f>'[1]October - 19'!BA16</f>
        <v>3361.679999999702</v>
      </c>
      <c r="AU16" s="94">
        <f>'[1]October - 19'!BB16</f>
        <v>3800.1600000010803</v>
      </c>
      <c r="AV16" s="94">
        <f>'[1]October - 19'!BC16</f>
        <v>11409834.24</v>
      </c>
      <c r="AW16" s="255">
        <f>'[1]October - 19'!BD16</f>
        <v>4872</v>
      </c>
      <c r="AX16" s="256">
        <f>'[1]October - 19'!BE16</f>
        <v>5700.2400000002235</v>
      </c>
      <c r="AY16" s="492"/>
      <c r="AZ16" s="95">
        <f>'[1]October - 19'!BJ16</f>
        <v>47402000</v>
      </c>
      <c r="BA16" s="181">
        <f>'[1]October - 19'!BK16</f>
        <v>0</v>
      </c>
      <c r="BB16" s="95">
        <f>'[1]October - 19'!BL16</f>
        <v>37900</v>
      </c>
      <c r="BC16" s="95">
        <f>'[1]October - 19'!BM16</f>
        <v>52238200</v>
      </c>
      <c r="BD16" s="248">
        <f>'[1]October - 19'!BN16</f>
        <v>38400</v>
      </c>
      <c r="BE16" s="95">
        <f>'[1]October - 19'!BO16</f>
        <v>62000</v>
      </c>
      <c r="BF16" s="95">
        <f>'[1]October - 19'!BP16</f>
        <v>45590600</v>
      </c>
      <c r="BG16" s="248">
        <f>'[1]October - 19'!BQ16</f>
        <v>54800</v>
      </c>
      <c r="BH16" s="95">
        <f>'[1]October - 19'!BR16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'[1]October - 19'!BS16</f>
        <v>3537250</v>
      </c>
      <c r="BT16" s="187">
        <f>'[1]October - 19'!BT16</f>
        <v>5020</v>
      </c>
      <c r="BU16" s="588"/>
      <c r="BV16" s="88">
        <f>'[1]October - 19'!BV16</f>
        <v>0.52</v>
      </c>
      <c r="BW16" s="244">
        <f>'[1]October - 19'!BW16</f>
        <v>-4.0000000000000036E-2</v>
      </c>
      <c r="BX16" s="88">
        <f>'[1]October - 19'!BX16</f>
        <v>-2.9999999999999971E-2</v>
      </c>
      <c r="BY16" s="89">
        <f>'[1]October - 19'!BY16</f>
        <v>42709</v>
      </c>
      <c r="BZ16" s="193">
        <f>'[1]October - 19'!BZ16</f>
        <v>20</v>
      </c>
      <c r="CA16" s="89">
        <f>'[1]October - 19'!CA16</f>
        <v>37931</v>
      </c>
      <c r="CB16" s="193">
        <f>'[1]October - 19'!CB16</f>
        <v>16</v>
      </c>
      <c r="CC16" s="89">
        <f>'[1]October - 19'!CC16</f>
        <v>12519</v>
      </c>
      <c r="CD16" s="193">
        <f>'[1]October - 19'!CD16</f>
        <v>7</v>
      </c>
      <c r="CE16" s="89">
        <f>'[1]October - 19'!CE16</f>
        <v>15609</v>
      </c>
      <c r="CF16" s="193">
        <f>'[1]October - 19'!CF16</f>
        <v>10</v>
      </c>
      <c r="CG16" s="89">
        <f>'[1]October - 19'!CG16</f>
        <v>17925</v>
      </c>
      <c r="CH16" s="193">
        <f>'[1]October - 19'!CH16</f>
        <v>10</v>
      </c>
      <c r="CI16" s="89">
        <f>'[1]October - 19'!CI16</f>
        <v>37957</v>
      </c>
      <c r="CJ16" s="193">
        <f>'[1]October - 19'!CJ16</f>
        <v>20</v>
      </c>
      <c r="CK16" s="89">
        <f>'[1]October - 19'!CK16</f>
        <v>166610</v>
      </c>
      <c r="CL16" s="249">
        <f>'[1]October - 19'!CL16</f>
        <v>82</v>
      </c>
      <c r="CM16" s="89">
        <f>'[1]October - 19'!CM16</f>
        <v>73</v>
      </c>
      <c r="CN16" s="89">
        <f>'[1]October - 19'!CN16</f>
        <v>118119</v>
      </c>
      <c r="CO16" s="249">
        <f>'[1]October - 19'!CO16</f>
        <v>72</v>
      </c>
      <c r="CP16" s="89">
        <f>'[1]October - 19'!CP16</f>
        <v>49</v>
      </c>
      <c r="CQ16" s="89">
        <f>'[1]October - 19'!CQ16</f>
        <v>215357</v>
      </c>
      <c r="CR16" s="249">
        <f>'[1]October - 19'!CR16</f>
        <v>0</v>
      </c>
      <c r="CS16" s="89">
        <f>'[1]October - 19'!CS16</f>
        <v>12</v>
      </c>
      <c r="CT16" s="89">
        <f>'[1]October - 19'!CT16</f>
        <v>461069</v>
      </c>
      <c r="CU16" s="193">
        <f>'[1]October - 19'!CU16</f>
        <v>182</v>
      </c>
      <c r="CV16" s="516"/>
      <c r="CW16" s="208">
        <f>'[1]October - 19'!CW16</f>
        <v>3047</v>
      </c>
      <c r="CX16" s="200">
        <f>'[1]October - 19'!CX16</f>
        <v>0</v>
      </c>
      <c r="CY16" s="91">
        <f>'[1]October - 19'!CY16</f>
        <v>938</v>
      </c>
      <c r="CZ16" s="200">
        <f>'[1]October - 19'!CZ16</f>
        <v>0</v>
      </c>
      <c r="DA16" s="91">
        <f>'[1]October - 19'!DA16</f>
        <v>17136</v>
      </c>
      <c r="DB16" s="200">
        <f>'[1]October - 19'!DB16</f>
        <v>13</v>
      </c>
      <c r="DC16" s="91">
        <f>'[1]October - 19'!DC16</f>
        <v>17920</v>
      </c>
      <c r="DD16" s="200">
        <f>'[1]October - 19'!DD16</f>
        <v>12</v>
      </c>
      <c r="DE16" s="91">
        <f>'[1]October - 19'!DE16</f>
        <v>12488</v>
      </c>
      <c r="DF16" s="200">
        <f>'[1]October - 19'!DF16</f>
        <v>7</v>
      </c>
      <c r="DG16" s="91">
        <f>'[1]October - 19'!DG16</f>
        <v>16565</v>
      </c>
      <c r="DH16" s="200">
        <f>'[1]October - 19'!DH16</f>
        <v>7</v>
      </c>
      <c r="DI16" s="91">
        <f>'[1]October - 19'!DI16</f>
        <v>825</v>
      </c>
      <c r="DJ16" s="200">
        <f>'[1]October - 19'!DJ16</f>
        <v>0</v>
      </c>
      <c r="DK16" s="91">
        <f>'[1]October - 19'!DK16</f>
        <v>3570</v>
      </c>
      <c r="DL16" s="200">
        <f>'[1]October - 19'!DL16</f>
        <v>0</v>
      </c>
      <c r="DM16" s="91">
        <f>'[1]October - 19'!DM16</f>
        <v>473</v>
      </c>
      <c r="DN16" s="200">
        <f>'[1]October - 19'!DN16</f>
        <v>6</v>
      </c>
      <c r="DO16" s="91">
        <f>'[1]October - 19'!DO16</f>
        <v>715</v>
      </c>
      <c r="DP16" s="200">
        <f>'[1]October - 19'!DP16</f>
        <v>1</v>
      </c>
      <c r="DQ16" s="91">
        <f>'[1]October - 19'!DQ16</f>
        <v>15608</v>
      </c>
      <c r="DR16" s="209">
        <f>'[1]October - 19'!DR16</f>
        <v>27</v>
      </c>
      <c r="DS16" s="532"/>
      <c r="DT16" s="213">
        <f>'[1]October - 19'!DT16</f>
        <v>2598451</v>
      </c>
      <c r="DU16" s="224">
        <f>'[1]October - 19'!DU16</f>
        <v>1562</v>
      </c>
      <c r="DV16" s="93">
        <f>'[1]October - 19'!DV16</f>
        <v>4086</v>
      </c>
      <c r="DW16" s="218">
        <f>'[1]October - 19'!DW16</f>
        <v>4</v>
      </c>
      <c r="DX16" s="93">
        <f>'[1]October - 19'!DX16</f>
        <v>1699693</v>
      </c>
      <c r="DY16" s="218">
        <f>'[1]October - 19'!DY16</f>
        <v>1245</v>
      </c>
      <c r="DZ16" s="93">
        <f>'[1]October - 19'!DZ16</f>
        <v>244711</v>
      </c>
      <c r="EA16" s="218">
        <f>'[1]October - 19'!EA16</f>
        <v>134</v>
      </c>
      <c r="EB16" s="93">
        <f>'[1]October - 19'!ED16</f>
        <v>348130</v>
      </c>
      <c r="EC16" s="218">
        <f>'[1]October - 19'!EE16</f>
        <v>576</v>
      </c>
      <c r="ED16" s="93">
        <f>'[1]October - 19'!EF16</f>
        <v>72584</v>
      </c>
      <c r="EE16" s="232">
        <f>'[1]October - 19'!EG16</f>
        <v>142</v>
      </c>
      <c r="EF16" s="579"/>
      <c r="EG16" s="238">
        <f>'[1]October - 19'!EI16</f>
        <v>6382387</v>
      </c>
      <c r="EH16" s="233">
        <f>'[1]October - 19'!EJ16</f>
        <v>7840</v>
      </c>
      <c r="EI16" s="92">
        <f>'[1]October - 19'!EK16</f>
        <v>565490</v>
      </c>
      <c r="EJ16" s="233">
        <f>'[1]October - 19'!EL16</f>
        <v>450</v>
      </c>
      <c r="EK16" s="92">
        <f>'[1]October - 19'!EM16</f>
        <v>4408700</v>
      </c>
      <c r="EL16" s="233">
        <f>'[1]October - 19'!EN16</f>
        <v>3100</v>
      </c>
      <c r="EM16" s="92">
        <f>'[1]October - 19'!EO16</f>
        <v>1955990</v>
      </c>
      <c r="EN16" s="233">
        <f>'[1]October - 19'!EP16</f>
        <v>800</v>
      </c>
      <c r="EO16" s="92">
        <f>'[1]October - 19'!EQ16</f>
        <v>662400</v>
      </c>
      <c r="EP16" s="233">
        <f>'[1]October - 19'!ER16</f>
        <v>200</v>
      </c>
      <c r="EQ16" s="92">
        <f>'[1]October - 19'!ES16</f>
        <v>10439600</v>
      </c>
      <c r="ER16" s="233">
        <f>'[1]October - 19'!ET16</f>
        <v>7600</v>
      </c>
      <c r="ES16" s="554"/>
      <c r="ET16" s="287">
        <f>'[1]October - 19'!EV16</f>
        <v>25991</v>
      </c>
      <c r="EU16" s="286">
        <f>'[1]October - 19'!$EW$11</f>
        <v>18</v>
      </c>
      <c r="EV16" s="285">
        <f>'[1]October - 19'!EX16</f>
        <v>22761</v>
      </c>
      <c r="EW16" s="286">
        <f>'[1]October - 19'!EY16</f>
        <v>16</v>
      </c>
      <c r="EX16" s="285">
        <f>'[1]October - 19'!FB16</f>
        <v>42703</v>
      </c>
      <c r="EY16" s="286">
        <f>'[1]October - 19'!FA16</f>
        <v>0</v>
      </c>
      <c r="EZ16" s="285">
        <f>'[1]October - 19'!EZ16</f>
        <v>0</v>
      </c>
      <c r="FA16" s="286">
        <f>'[1]October - 19'!FA16</f>
        <v>0</v>
      </c>
      <c r="FB16" s="285">
        <f>'[1]October - 19'!FD16</f>
        <v>17865</v>
      </c>
      <c r="FC16" s="288">
        <f>'[1]October - 19'!FE16</f>
        <v>32</v>
      </c>
    </row>
    <row r="17" spans="1:159" ht="30" customHeight="1" x14ac:dyDescent="0.25">
      <c r="A17" s="210">
        <v>43746</v>
      </c>
      <c r="B17" s="212">
        <f>'[1]October - 19'!B17</f>
        <v>0.76</v>
      </c>
      <c r="C17" s="253">
        <f>'[1]October - 19'!E17</f>
        <v>468260</v>
      </c>
      <c r="D17" s="172">
        <f>'[1]October - 19'!F17</f>
        <v>512</v>
      </c>
      <c r="E17" s="170">
        <f>'[1]October - 19'!G17</f>
        <v>556</v>
      </c>
      <c r="F17" s="170">
        <f>'[1]October - 19'!H17</f>
        <v>652959</v>
      </c>
      <c r="G17" s="172">
        <f>'[1]October - 19'!I17</f>
        <v>300</v>
      </c>
      <c r="H17" s="170">
        <f>'[1]October - 19'!J17</f>
        <v>338</v>
      </c>
      <c r="I17" s="170">
        <f>'[1]October - 19'!K17</f>
        <v>58549</v>
      </c>
      <c r="J17" s="172">
        <f>'[1]October - 19'!L17</f>
        <v>5</v>
      </c>
      <c r="K17" s="170">
        <f>'[1]October - 19'!N17</f>
        <v>589502</v>
      </c>
      <c r="L17" s="172">
        <f>'[1]October - 19'!O17</f>
        <v>405</v>
      </c>
      <c r="M17" s="170">
        <f>'[1]October - 19'!Q17</f>
        <v>156722</v>
      </c>
      <c r="N17" s="172">
        <f>'[1]October - 19'!R17</f>
        <v>0</v>
      </c>
      <c r="O17" s="170">
        <f>'[1]October - 19'!S17</f>
        <v>82395</v>
      </c>
      <c r="P17" s="172">
        <f>'[1]October - 19'!T17</f>
        <v>220</v>
      </c>
      <c r="Q17" s="170">
        <f>'[1]October - 19'!U17</f>
        <v>204</v>
      </c>
      <c r="R17" s="170">
        <f>'[1]October - 19'!V17</f>
        <v>4317</v>
      </c>
      <c r="S17" s="211">
        <f>'[1]October - 19'!W17</f>
        <v>46</v>
      </c>
      <c r="T17" s="475"/>
      <c r="U17" s="171">
        <f>'[1]October - 19'!AB17</f>
        <v>5232089.5200000005</v>
      </c>
      <c r="V17" s="254">
        <f>'[1]October - 19'!AC17</f>
        <v>2387.2800000002608</v>
      </c>
      <c r="W17" s="94">
        <f>'[1]October - 19'!AD17</f>
        <v>1900.0800000000745</v>
      </c>
      <c r="X17" s="94">
        <f>'[1]October - 19'!AE17</f>
        <v>10221797.040000001</v>
      </c>
      <c r="Y17" s="254">
        <f>'[1]October - 19'!AF17</f>
        <v>5018.160000000149</v>
      </c>
      <c r="Z17" s="94">
        <f>'[1]October - 19'!AG17</f>
        <v>4359.1999999983236</v>
      </c>
      <c r="AA17" s="94">
        <f>'[1]October - 19'!AH17</f>
        <v>9363253.1999999993</v>
      </c>
      <c r="AB17" s="254">
        <f>'[1]October - 19'!AI17</f>
        <v>779.51999999955297</v>
      </c>
      <c r="AC17" s="94">
        <f>'[1]October - 19'!AJ17</f>
        <v>8720.8800000008196</v>
      </c>
      <c r="AD17" s="94">
        <f>'[1]October - 19'!AK17</f>
        <v>12795284.880000001</v>
      </c>
      <c r="AE17" s="254">
        <f>'[1]October - 19'!AL17</f>
        <v>8477.2800000011921</v>
      </c>
      <c r="AF17" s="94">
        <f>'[1]October - 19'!AM17</f>
        <v>12423.599999999627</v>
      </c>
      <c r="AG17" s="94">
        <f>'[1]October - 19'!AN17</f>
        <v>12719671.439999999</v>
      </c>
      <c r="AH17" s="254">
        <f>'[1]October - 19'!AO17</f>
        <v>12033.839999999851</v>
      </c>
      <c r="AI17" s="94">
        <f>'[1]October - 19'!AP17</f>
        <v>1510.3199999984354</v>
      </c>
      <c r="AJ17" s="94">
        <f>'[1]October - 19'!AQ17</f>
        <v>11384548.559999999</v>
      </c>
      <c r="AK17" s="254">
        <f>'[1]October - 19'!AR17</f>
        <v>7551.5999999996275</v>
      </c>
      <c r="AL17" s="94">
        <f>'[1]October - 19'!AS17</f>
        <v>5943.839999999851</v>
      </c>
      <c r="AM17" s="94">
        <f>'[1]October - 19'!AT17</f>
        <v>10007672.640000001</v>
      </c>
      <c r="AN17" s="254">
        <f>'[1]October - 19'!AU17</f>
        <v>4920.7200000006706</v>
      </c>
      <c r="AO17" s="94">
        <f>'[1]October - 19'!AV17</f>
        <v>5407.9199999999255</v>
      </c>
      <c r="AP17" s="94">
        <f>'[1]October - 19'!AW17</f>
        <v>9624441.1199999992</v>
      </c>
      <c r="AQ17" s="254">
        <f>'[1]October - 19'!AX17</f>
        <v>4920.7199999988079</v>
      </c>
      <c r="AR17" s="94">
        <f>'[1]October - 19'!AY17</f>
        <v>5066.8800000008196</v>
      </c>
      <c r="AS17" s="94">
        <f>'[1]October - 19'!AZ17</f>
        <v>7742046.4799999995</v>
      </c>
      <c r="AT17" s="254">
        <f>'[1]October - 19'!BA17</f>
        <v>3459.1200000001118</v>
      </c>
      <c r="AU17" s="94">
        <f>'[1]October - 19'!BB17</f>
        <v>3995.0399999991059</v>
      </c>
      <c r="AV17" s="94">
        <f>'[1]October - 19'!BC17</f>
        <v>11414803.68</v>
      </c>
      <c r="AW17" s="255">
        <f>'[1]October - 19'!BD17</f>
        <v>4969.4399999994785</v>
      </c>
      <c r="AX17" s="256">
        <f>'[1]October - 19'!BE17</f>
        <v>6284.8799999989569</v>
      </c>
      <c r="AY17" s="492"/>
      <c r="AZ17" s="95">
        <f>'[1]October - 19'!BJ17</f>
        <v>47402000</v>
      </c>
      <c r="BA17" s="181">
        <f>'[1]October - 19'!BK17</f>
        <v>0</v>
      </c>
      <c r="BB17" s="95">
        <f>'[1]October - 19'!BL17</f>
        <v>61500</v>
      </c>
      <c r="BC17" s="95">
        <f>'[1]October - 19'!BM17</f>
        <v>52279200</v>
      </c>
      <c r="BD17" s="248">
        <f>'[1]October - 19'!BN17</f>
        <v>41000</v>
      </c>
      <c r="BE17" s="95">
        <f>'[1]October - 19'!BO17</f>
        <v>60300</v>
      </c>
      <c r="BF17" s="95">
        <f>'[1]October - 19'!BP17</f>
        <v>45646100</v>
      </c>
      <c r="BG17" s="248">
        <f>'[1]October - 19'!BQ17</f>
        <v>55500</v>
      </c>
      <c r="BH17" s="95">
        <f>'[1]October - 19'!BR17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'[1]October - 19'!BS17</f>
        <v>3542320</v>
      </c>
      <c r="BT17" s="187">
        <f>'[1]October - 19'!BT17</f>
        <v>5070</v>
      </c>
      <c r="BU17" s="588"/>
      <c r="BV17" s="88">
        <f>'[1]October - 19'!BV17</f>
        <v>0.48</v>
      </c>
      <c r="BW17" s="244">
        <f>'[1]October - 19'!BW17</f>
        <v>-4.0000000000000036E-2</v>
      </c>
      <c r="BX17" s="88">
        <f>'[1]October - 19'!BX17</f>
        <v>-5.0000000000000044E-2</v>
      </c>
      <c r="BY17" s="89">
        <f>'[1]October - 19'!BY17</f>
        <v>42731</v>
      </c>
      <c r="BZ17" s="193">
        <f>'[1]October - 19'!BZ17</f>
        <v>22</v>
      </c>
      <c r="CA17" s="89">
        <f>'[1]October - 19'!CA17</f>
        <v>37947</v>
      </c>
      <c r="CB17" s="193">
        <f>'[1]October - 19'!CB17</f>
        <v>16</v>
      </c>
      <c r="CC17" s="89">
        <f>'[1]October - 19'!CC17</f>
        <v>12524</v>
      </c>
      <c r="CD17" s="193">
        <f>'[1]October - 19'!CD17</f>
        <v>5</v>
      </c>
      <c r="CE17" s="89">
        <f>'[1]October - 19'!CE17</f>
        <v>15619</v>
      </c>
      <c r="CF17" s="193">
        <f>'[1]October - 19'!CF17</f>
        <v>10</v>
      </c>
      <c r="CG17" s="89">
        <f>'[1]October - 19'!CG17</f>
        <v>17937</v>
      </c>
      <c r="CH17" s="193">
        <f>'[1]October - 19'!CH17</f>
        <v>12</v>
      </c>
      <c r="CI17" s="89">
        <f>'[1]October - 19'!CI17</f>
        <v>37983</v>
      </c>
      <c r="CJ17" s="193">
        <f>'[1]October - 19'!CJ17</f>
        <v>26</v>
      </c>
      <c r="CK17" s="89">
        <f>'[1]October - 19'!CK17</f>
        <v>166695</v>
      </c>
      <c r="CL17" s="249">
        <f>'[1]October - 19'!CL17</f>
        <v>85</v>
      </c>
      <c r="CM17" s="89">
        <f>'[1]October - 19'!CM17</f>
        <v>79</v>
      </c>
      <c r="CN17" s="89">
        <f>'[1]October - 19'!CN17</f>
        <v>118182</v>
      </c>
      <c r="CO17" s="249">
        <f>'[1]October - 19'!CO17</f>
        <v>63</v>
      </c>
      <c r="CP17" s="89">
        <f>'[1]October - 19'!CP17</f>
        <v>60</v>
      </c>
      <c r="CQ17" s="89">
        <f>'[1]October - 19'!CQ17</f>
        <v>215357</v>
      </c>
      <c r="CR17" s="249">
        <f>'[1]October - 19'!CR17</f>
        <v>0</v>
      </c>
      <c r="CS17" s="89">
        <f>'[1]October - 19'!CS17</f>
        <v>12</v>
      </c>
      <c r="CT17" s="89">
        <f>'[1]October - 19'!CT17</f>
        <v>461261</v>
      </c>
      <c r="CU17" s="193">
        <f>'[1]October - 19'!CU17</f>
        <v>192</v>
      </c>
      <c r="CV17" s="516"/>
      <c r="CW17" s="208">
        <f>'[1]October - 19'!CW17</f>
        <v>3047</v>
      </c>
      <c r="CX17" s="200">
        <f>'[1]October - 19'!CX17</f>
        <v>0</v>
      </c>
      <c r="CY17" s="91">
        <f>'[1]October - 19'!CY17</f>
        <v>938</v>
      </c>
      <c r="CZ17" s="200">
        <f>'[1]October - 19'!CZ17</f>
        <v>0</v>
      </c>
      <c r="DA17" s="91">
        <f>'[1]October - 19'!DA17</f>
        <v>17146</v>
      </c>
      <c r="DB17" s="200">
        <f>'[1]October - 19'!DB17</f>
        <v>10</v>
      </c>
      <c r="DC17" s="91">
        <f>'[1]October - 19'!DC17</f>
        <v>17930</v>
      </c>
      <c r="DD17" s="200">
        <f>'[1]October - 19'!DD17</f>
        <v>10</v>
      </c>
      <c r="DE17" s="91">
        <f>'[1]October - 19'!DE17</f>
        <v>12496</v>
      </c>
      <c r="DF17" s="200">
        <f>'[1]October - 19'!DF17</f>
        <v>8</v>
      </c>
      <c r="DG17" s="91">
        <f>'[1]October - 19'!DG17</f>
        <v>16572</v>
      </c>
      <c r="DH17" s="200">
        <f>'[1]October - 19'!DH17</f>
        <v>7</v>
      </c>
      <c r="DI17" s="91">
        <f>'[1]October - 19'!DI17</f>
        <v>825</v>
      </c>
      <c r="DJ17" s="200">
        <f>'[1]October - 19'!DJ17</f>
        <v>0</v>
      </c>
      <c r="DK17" s="91">
        <f>'[1]October - 19'!DK17</f>
        <v>3570</v>
      </c>
      <c r="DL17" s="200">
        <f>'[1]October - 19'!DL17</f>
        <v>0</v>
      </c>
      <c r="DM17" s="91">
        <f>'[1]October - 19'!DM17</f>
        <v>479</v>
      </c>
      <c r="DN17" s="200">
        <f>'[1]October - 19'!DN17</f>
        <v>6</v>
      </c>
      <c r="DO17" s="91">
        <f>'[1]October - 19'!DO17</f>
        <v>716</v>
      </c>
      <c r="DP17" s="200">
        <f>'[1]October - 19'!DP17</f>
        <v>1</v>
      </c>
      <c r="DQ17" s="91">
        <f>'[1]October - 19'!DQ17</f>
        <v>15628</v>
      </c>
      <c r="DR17" s="209">
        <f>'[1]October - 19'!DR17</f>
        <v>20</v>
      </c>
      <c r="DS17" s="532"/>
      <c r="DT17" s="213">
        <f>'[1]October - 19'!DT17</f>
        <v>2599941</v>
      </c>
      <c r="DU17" s="224">
        <f>'[1]October - 19'!DU17</f>
        <v>1490</v>
      </c>
      <c r="DV17" s="93">
        <f>'[1]October - 19'!DV17</f>
        <v>4089</v>
      </c>
      <c r="DW17" s="218">
        <f>'[1]October - 19'!DW17</f>
        <v>3</v>
      </c>
      <c r="DX17" s="93">
        <f>'[1]October - 19'!DX17</f>
        <v>1700953</v>
      </c>
      <c r="DY17" s="218">
        <f>'[1]October - 19'!DY17</f>
        <v>1260</v>
      </c>
      <c r="DZ17" s="93">
        <f>'[1]October - 19'!DZ17</f>
        <v>244830</v>
      </c>
      <c r="EA17" s="218">
        <f>'[1]October - 19'!EA17</f>
        <v>119</v>
      </c>
      <c r="EB17" s="93">
        <f>'[1]October - 19'!ED17</f>
        <v>348730</v>
      </c>
      <c r="EC17" s="218">
        <f>'[1]October - 19'!EE17</f>
        <v>600</v>
      </c>
      <c r="ED17" s="93">
        <f>'[1]October - 19'!EF17</f>
        <v>72723</v>
      </c>
      <c r="EE17" s="232">
        <f>'[1]October - 19'!EG17</f>
        <v>139</v>
      </c>
      <c r="EF17" s="579"/>
      <c r="EG17" s="238">
        <f>'[1]October - 19'!EI17</f>
        <v>6389507</v>
      </c>
      <c r="EH17" s="233">
        <f>'[1]October - 19'!EJ17</f>
        <v>7120</v>
      </c>
      <c r="EI17" s="92">
        <f>'[1]October - 19'!EK17</f>
        <v>565940</v>
      </c>
      <c r="EJ17" s="233">
        <f>'[1]October - 19'!EL17</f>
        <v>450</v>
      </c>
      <c r="EK17" s="92">
        <f>'[1]October - 19'!EM17</f>
        <v>4411800</v>
      </c>
      <c r="EL17" s="233">
        <f>'[1]October - 19'!EN17</f>
        <v>3100</v>
      </c>
      <c r="EM17" s="92">
        <f>'[1]October - 19'!EO17</f>
        <v>1956810</v>
      </c>
      <c r="EN17" s="233">
        <f>'[1]October - 19'!EP17</f>
        <v>820</v>
      </c>
      <c r="EO17" s="92">
        <f>'[1]October - 19'!EQ17</f>
        <v>662590</v>
      </c>
      <c r="EP17" s="233">
        <f>'[1]October - 19'!ER17</f>
        <v>190</v>
      </c>
      <c r="EQ17" s="92">
        <f>'[1]October - 19'!ES17</f>
        <v>10447100</v>
      </c>
      <c r="ER17" s="233">
        <f>'[1]October - 19'!ET17</f>
        <v>7500</v>
      </c>
      <c r="ES17" s="554"/>
      <c r="ET17" s="287">
        <f>'[1]October - 19'!EV17</f>
        <v>26010</v>
      </c>
      <c r="EU17" s="286">
        <f>'[1]October - 19'!$EW$11</f>
        <v>18</v>
      </c>
      <c r="EV17" s="285">
        <f>'[1]October - 19'!EX17</f>
        <v>22776</v>
      </c>
      <c r="EW17" s="286">
        <f>'[1]October - 19'!EY17</f>
        <v>15</v>
      </c>
      <c r="EX17" s="285">
        <f>'[1]October - 19'!FB17</f>
        <v>42703</v>
      </c>
      <c r="EY17" s="286">
        <f>'[1]October - 19'!FA17</f>
        <v>0</v>
      </c>
      <c r="EZ17" s="285">
        <f>'[1]October - 19'!EZ17</f>
        <v>0</v>
      </c>
      <c r="FA17" s="286">
        <f>'[1]October - 19'!FA17</f>
        <v>0</v>
      </c>
      <c r="FB17" s="285">
        <f>'[1]October - 19'!FD17</f>
        <v>17891</v>
      </c>
      <c r="FC17" s="288">
        <f>'[1]October - 19'!FE17</f>
        <v>26</v>
      </c>
    </row>
    <row r="18" spans="1:159" ht="30" customHeight="1" x14ac:dyDescent="0.25">
      <c r="A18" s="210">
        <v>43747</v>
      </c>
      <c r="B18" s="212">
        <f>'[1]October - 19'!B18</f>
        <v>0.75</v>
      </c>
      <c r="C18" s="253">
        <f>'[1]October - 19'!E18</f>
        <v>468779</v>
      </c>
      <c r="D18" s="172">
        <f>'[1]October - 19'!F18</f>
        <v>519</v>
      </c>
      <c r="E18" s="170">
        <f>'[1]October - 19'!G18</f>
        <v>577</v>
      </c>
      <c r="F18" s="170">
        <f>'[1]October - 19'!H18</f>
        <v>653235</v>
      </c>
      <c r="G18" s="172">
        <f>'[1]October - 19'!I18</f>
        <v>276</v>
      </c>
      <c r="H18" s="170">
        <f>'[1]October - 19'!J18</f>
        <v>386</v>
      </c>
      <c r="I18" s="170">
        <f>'[1]October - 19'!K18</f>
        <v>58549</v>
      </c>
      <c r="J18" s="172">
        <f>'[1]October - 19'!L18</f>
        <v>0</v>
      </c>
      <c r="K18" s="170">
        <f>'[1]October - 19'!N18</f>
        <v>589915</v>
      </c>
      <c r="L18" s="172">
        <f>'[1]October - 19'!O18</f>
        <v>413</v>
      </c>
      <c r="M18" s="170">
        <f>'[1]October - 19'!Q18</f>
        <v>156722</v>
      </c>
      <c r="N18" s="172">
        <f>'[1]October - 19'!R18</f>
        <v>0</v>
      </c>
      <c r="O18" s="170">
        <f>'[1]October - 19'!S18</f>
        <v>82624</v>
      </c>
      <c r="P18" s="172">
        <f>'[1]October - 19'!T18</f>
        <v>229</v>
      </c>
      <c r="Q18" s="170">
        <f>'[1]October - 19'!U18</f>
        <v>207</v>
      </c>
      <c r="R18" s="170">
        <f>'[1]October - 19'!V18</f>
        <v>4363</v>
      </c>
      <c r="S18" s="211">
        <f>'[1]October - 19'!W18</f>
        <v>46</v>
      </c>
      <c r="T18" s="475"/>
      <c r="U18" s="171">
        <f>'[1]October - 19'!AB18</f>
        <v>5234525.5200000005</v>
      </c>
      <c r="V18" s="254">
        <f>'[1]October - 19'!AC18</f>
        <v>2436</v>
      </c>
      <c r="W18" s="94">
        <f>'[1]October - 19'!AD18</f>
        <v>2289.839999999851</v>
      </c>
      <c r="X18" s="94">
        <f>'[1]October - 19'!AE18</f>
        <v>10226863.92</v>
      </c>
      <c r="Y18" s="254">
        <f>'[1]October - 19'!AF18</f>
        <v>5066.8799999989569</v>
      </c>
      <c r="Z18" s="94">
        <f>'[1]October - 19'!AG18</f>
        <v>5359.2000000011176</v>
      </c>
      <c r="AA18" s="94">
        <f>'[1]October - 19'!AH18</f>
        <v>9363691.6799999997</v>
      </c>
      <c r="AB18" s="254">
        <f>'[1]October - 19'!AI18</f>
        <v>438.48000000044703</v>
      </c>
      <c r="AC18" s="94">
        <f>'[1]October - 19'!AJ18</f>
        <v>9354.2399999992922</v>
      </c>
      <c r="AD18" s="94">
        <f>'[1]October - 19'!AK18</f>
        <v>12806636.640000001</v>
      </c>
      <c r="AE18" s="254">
        <f>'[1]October - 19'!AL18</f>
        <v>11351.759999999776</v>
      </c>
      <c r="AF18" s="94">
        <f>'[1]October - 19'!AM18</f>
        <v>11692.800000000745</v>
      </c>
      <c r="AG18" s="94">
        <f>'[1]October - 19'!AN18</f>
        <v>12732630.959999999</v>
      </c>
      <c r="AH18" s="254">
        <f>'[1]October - 19'!AO18</f>
        <v>12959.519999999553</v>
      </c>
      <c r="AI18" s="94">
        <f>'[1]October - 19'!AP18</f>
        <v>974.40000000037253</v>
      </c>
      <c r="AJ18" s="94">
        <f>'[1]October - 19'!AQ18</f>
        <v>11392246.319999998</v>
      </c>
      <c r="AK18" s="254">
        <f>'[1]October - 19'!AR18</f>
        <v>7697.7599999997765</v>
      </c>
      <c r="AL18" s="94">
        <f>'[1]October - 19'!AS18</f>
        <v>5895.1200000010431</v>
      </c>
      <c r="AM18" s="94">
        <f>'[1]October - 19'!AT18</f>
        <v>10015614</v>
      </c>
      <c r="AN18" s="254">
        <f>'[1]October - 19'!AU18</f>
        <v>7941.359999999404</v>
      </c>
      <c r="AO18" s="94">
        <f>'[1]October - 19'!AV18</f>
        <v>5115.5999999996275</v>
      </c>
      <c r="AP18" s="94">
        <f>'[1]October - 19'!AW18</f>
        <v>9629556.7199999988</v>
      </c>
      <c r="AQ18" s="254">
        <f>'[1]October - 19'!AX18</f>
        <v>5115.5999999996275</v>
      </c>
      <c r="AR18" s="94">
        <f>'[1]October - 19'!AY18</f>
        <v>5310.4799999995157</v>
      </c>
      <c r="AS18" s="94">
        <f>'[1]October - 19'!AZ18</f>
        <v>7745554.3200000003</v>
      </c>
      <c r="AT18" s="254">
        <f>'[1]October - 19'!BA18</f>
        <v>3507.8400000007823</v>
      </c>
      <c r="AU18" s="94">
        <f>'[1]October - 19'!BB18</f>
        <v>3946.320000000298</v>
      </c>
      <c r="AV18" s="94">
        <f>'[1]October - 19'!BC18</f>
        <v>11420065.439999999</v>
      </c>
      <c r="AW18" s="255">
        <f>'[1]October - 19'!BD18</f>
        <v>5261.7599999997765</v>
      </c>
      <c r="AX18" s="256">
        <f>'[1]October - 19'!BE18</f>
        <v>5261.7599999997765</v>
      </c>
      <c r="AY18" s="492"/>
      <c r="AZ18" s="95">
        <f>'[1]October - 19'!BJ18</f>
        <v>47402000</v>
      </c>
      <c r="BA18" s="181">
        <f>'[1]October - 19'!BK18</f>
        <v>0</v>
      </c>
      <c r="BB18" s="95">
        <f>'[1]October - 19'!BL18</f>
        <v>61400</v>
      </c>
      <c r="BC18" s="95">
        <f>'[1]October - 19'!BM18</f>
        <v>52331500</v>
      </c>
      <c r="BD18" s="248">
        <f>'[1]October - 19'!BN18</f>
        <v>52300</v>
      </c>
      <c r="BE18" s="95">
        <f>'[1]October - 19'!BO18</f>
        <v>0</v>
      </c>
      <c r="BF18" s="95">
        <f>'[1]October - 19'!BP18</f>
        <v>45702100</v>
      </c>
      <c r="BG18" s="248">
        <f>'[1]October - 19'!BQ18</f>
        <v>56000</v>
      </c>
      <c r="BH18" s="95">
        <f>'[1]October - 19'!BR18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'[1]October - 19'!BS18</f>
        <v>3547320</v>
      </c>
      <c r="BT18" s="187">
        <f>'[1]October - 19'!BT18</f>
        <v>5000</v>
      </c>
      <c r="BU18" s="588"/>
      <c r="BV18" s="88">
        <f>'[1]October - 19'!BV18</f>
        <v>0.47</v>
      </c>
      <c r="BW18" s="244">
        <f>'[1]October - 19'!BW18</f>
        <v>-1.0000000000000009E-2</v>
      </c>
      <c r="BX18" s="88">
        <f>'[1]October - 19'!BX18</f>
        <v>-3.9999999999999925E-2</v>
      </c>
      <c r="BY18" s="89">
        <f>'[1]October - 19'!BY18</f>
        <v>42748</v>
      </c>
      <c r="BZ18" s="193">
        <f>'[1]October - 19'!BZ18</f>
        <v>17</v>
      </c>
      <c r="CA18" s="89">
        <f>'[1]October - 19'!CA18</f>
        <v>37961</v>
      </c>
      <c r="CB18" s="193">
        <f>'[1]October - 19'!CB18</f>
        <v>14</v>
      </c>
      <c r="CC18" s="89">
        <f>'[1]October - 19'!CC18</f>
        <v>12531</v>
      </c>
      <c r="CD18" s="193">
        <f>'[1]October - 19'!CD18</f>
        <v>7</v>
      </c>
      <c r="CE18" s="89">
        <f>'[1]October - 19'!CE18</f>
        <v>15628</v>
      </c>
      <c r="CF18" s="193">
        <f>'[1]October - 19'!CF18</f>
        <v>9</v>
      </c>
      <c r="CG18" s="89">
        <f>'[1]October - 19'!CG18</f>
        <v>17947</v>
      </c>
      <c r="CH18" s="193">
        <f>'[1]October - 19'!CH18</f>
        <v>10</v>
      </c>
      <c r="CI18" s="89">
        <f>'[1]October - 19'!CI18</f>
        <v>38007</v>
      </c>
      <c r="CJ18" s="193">
        <f>'[1]October - 19'!CJ18</f>
        <v>24</v>
      </c>
      <c r="CK18" s="89">
        <f>'[1]October - 19'!CK18</f>
        <v>166779</v>
      </c>
      <c r="CL18" s="249">
        <f>'[1]October - 19'!CL18</f>
        <v>84</v>
      </c>
      <c r="CM18" s="89">
        <f>'[1]October - 19'!CM18</f>
        <v>82</v>
      </c>
      <c r="CN18" s="89">
        <f>'[1]October - 19'!CN18</f>
        <v>118249</v>
      </c>
      <c r="CO18" s="249">
        <f>'[1]October - 19'!CO18</f>
        <v>67</v>
      </c>
      <c r="CP18" s="89">
        <f>'[1]October - 19'!CP18</f>
        <v>58</v>
      </c>
      <c r="CQ18" s="89">
        <f>'[1]October - 19'!CQ18</f>
        <v>215357</v>
      </c>
      <c r="CR18" s="249">
        <f>'[1]October - 19'!CR18</f>
        <v>0</v>
      </c>
      <c r="CS18" s="89">
        <f>'[1]October - 19'!CS18</f>
        <v>12</v>
      </c>
      <c r="CT18" s="89">
        <f>'[1]October - 19'!CT18</f>
        <v>461449</v>
      </c>
      <c r="CU18" s="193">
        <f>'[1]October - 19'!CU18</f>
        <v>188</v>
      </c>
      <c r="CV18" s="516"/>
      <c r="CW18" s="208">
        <f>'[1]October - 19'!CW18</f>
        <v>3047</v>
      </c>
      <c r="CX18" s="200">
        <f>'[1]October - 19'!CX18</f>
        <v>0</v>
      </c>
      <c r="CY18" s="91">
        <f>'[1]October - 19'!CY18</f>
        <v>938</v>
      </c>
      <c r="CZ18" s="200">
        <f>'[1]October - 19'!CZ18</f>
        <v>0</v>
      </c>
      <c r="DA18" s="91">
        <f>'[1]October - 19'!DA18</f>
        <v>17158</v>
      </c>
      <c r="DB18" s="200">
        <f>'[1]October - 19'!DB18</f>
        <v>12</v>
      </c>
      <c r="DC18" s="91">
        <f>'[1]October - 19'!DC18</f>
        <v>17944</v>
      </c>
      <c r="DD18" s="200">
        <f>'[1]October - 19'!DD18</f>
        <v>14</v>
      </c>
      <c r="DE18" s="91">
        <f>'[1]October - 19'!DE18</f>
        <v>12504</v>
      </c>
      <c r="DF18" s="200">
        <f>'[1]October - 19'!DF18</f>
        <v>8</v>
      </c>
      <c r="DG18" s="91">
        <f>'[1]October - 19'!DG18</f>
        <v>16579</v>
      </c>
      <c r="DH18" s="200">
        <f>'[1]October - 19'!DH18</f>
        <v>7</v>
      </c>
      <c r="DI18" s="91">
        <f>'[1]October - 19'!DI18</f>
        <v>825</v>
      </c>
      <c r="DJ18" s="200">
        <f>'[1]October - 19'!DJ18</f>
        <v>0</v>
      </c>
      <c r="DK18" s="91">
        <f>'[1]October - 19'!DK18</f>
        <v>3570</v>
      </c>
      <c r="DL18" s="200">
        <f>'[1]October - 19'!DL18</f>
        <v>0</v>
      </c>
      <c r="DM18" s="91">
        <f>'[1]October - 19'!DM18</f>
        <v>489</v>
      </c>
      <c r="DN18" s="200">
        <f>'[1]October - 19'!DN18</f>
        <v>10</v>
      </c>
      <c r="DO18" s="91">
        <f>'[1]October - 19'!DO18</f>
        <v>717</v>
      </c>
      <c r="DP18" s="200">
        <f>'[1]October - 19'!DP18</f>
        <v>1</v>
      </c>
      <c r="DQ18" s="91">
        <f>'[1]October - 19'!DQ18</f>
        <v>15662</v>
      </c>
      <c r="DR18" s="209">
        <f>'[1]October - 19'!DR18</f>
        <v>34</v>
      </c>
      <c r="DS18" s="532"/>
      <c r="DT18" s="213">
        <f>'[1]October - 19'!DT18</f>
        <v>2601475</v>
      </c>
      <c r="DU18" s="224">
        <f>'[1]October - 19'!DU18</f>
        <v>1534</v>
      </c>
      <c r="DV18" s="93">
        <f>'[1]October - 19'!DV18</f>
        <v>4094</v>
      </c>
      <c r="DW18" s="218">
        <f>'[1]October - 19'!DW18</f>
        <v>5</v>
      </c>
      <c r="DX18" s="93">
        <f>'[1]October - 19'!DX18</f>
        <v>1702185</v>
      </c>
      <c r="DY18" s="218">
        <f>'[1]October - 19'!DY18</f>
        <v>1232</v>
      </c>
      <c r="DZ18" s="93">
        <f>'[1]October - 19'!DZ18</f>
        <v>244975</v>
      </c>
      <c r="EA18" s="218">
        <f>'[1]October - 19'!EA18</f>
        <v>145</v>
      </c>
      <c r="EB18" s="93">
        <f>'[1]October - 19'!ED18</f>
        <v>349325</v>
      </c>
      <c r="EC18" s="218">
        <f>'[1]October - 19'!EE18</f>
        <v>595</v>
      </c>
      <c r="ED18" s="93">
        <f>'[1]October - 19'!EF18</f>
        <v>72864</v>
      </c>
      <c r="EE18" s="232">
        <f>'[1]October - 19'!EG18</f>
        <v>141</v>
      </c>
      <c r="EF18" s="579"/>
      <c r="EG18" s="238">
        <f>'[1]October - 19'!EI18</f>
        <v>6397347</v>
      </c>
      <c r="EH18" s="233">
        <f>'[1]October - 19'!EJ18</f>
        <v>7840</v>
      </c>
      <c r="EI18" s="92">
        <f>'[1]October - 19'!EK18</f>
        <v>566390</v>
      </c>
      <c r="EJ18" s="233">
        <f>'[1]October - 19'!EL18</f>
        <v>450</v>
      </c>
      <c r="EK18" s="92">
        <f>'[1]October - 19'!EM18</f>
        <v>4414900</v>
      </c>
      <c r="EL18" s="233">
        <f>'[1]October - 19'!EN18</f>
        <v>3100</v>
      </c>
      <c r="EM18" s="92">
        <f>'[1]October - 19'!EO18</f>
        <v>1957660</v>
      </c>
      <c r="EN18" s="233">
        <f>'[1]October - 19'!EP18</f>
        <v>850</v>
      </c>
      <c r="EO18" s="92">
        <f>'[1]October - 19'!EQ18</f>
        <v>662790</v>
      </c>
      <c r="EP18" s="233">
        <f>'[1]October - 19'!ER18</f>
        <v>200</v>
      </c>
      <c r="EQ18" s="92">
        <f>'[1]October - 19'!ES18</f>
        <v>10454900</v>
      </c>
      <c r="ER18" s="233">
        <f>'[1]October - 19'!ET18</f>
        <v>7800</v>
      </c>
      <c r="ES18" s="554"/>
      <c r="ET18" s="287">
        <f>'[1]October - 19'!EV18</f>
        <v>26027</v>
      </c>
      <c r="EU18" s="286">
        <f>'[1]October - 19'!$EW$11</f>
        <v>18</v>
      </c>
      <c r="EV18" s="285">
        <f>'[1]October - 19'!EX18</f>
        <v>22793</v>
      </c>
      <c r="EW18" s="286">
        <f>'[1]October - 19'!EY18</f>
        <v>17</v>
      </c>
      <c r="EX18" s="285">
        <f>'[1]October - 19'!FB18</f>
        <v>42703</v>
      </c>
      <c r="EY18" s="286">
        <f>'[1]October - 19'!FA18</f>
        <v>0</v>
      </c>
      <c r="EZ18" s="285">
        <f>'[1]October - 19'!EZ18</f>
        <v>0</v>
      </c>
      <c r="FA18" s="286">
        <f>'[1]October - 19'!FA18</f>
        <v>0</v>
      </c>
      <c r="FB18" s="285">
        <f>'[1]October - 19'!FD18</f>
        <v>17926</v>
      </c>
      <c r="FC18" s="288">
        <f>'[1]October - 19'!FE18</f>
        <v>35</v>
      </c>
    </row>
    <row r="19" spans="1:159" ht="30" customHeight="1" x14ac:dyDescent="0.25">
      <c r="A19" s="210">
        <v>43748</v>
      </c>
      <c r="B19" s="212">
        <f>'[1]October - 19'!B19</f>
        <v>0.72</v>
      </c>
      <c r="C19" s="253">
        <f>'[1]October - 19'!E19</f>
        <v>469348</v>
      </c>
      <c r="D19" s="172">
        <f>'[1]October - 19'!F19</f>
        <v>569</v>
      </c>
      <c r="E19" s="170">
        <f>'[1]October - 19'!G19</f>
        <v>507</v>
      </c>
      <c r="F19" s="170">
        <f>'[1]October - 19'!H19</f>
        <v>653536</v>
      </c>
      <c r="G19" s="172">
        <f>'[1]October - 19'!I19</f>
        <v>301</v>
      </c>
      <c r="H19" s="170">
        <f>'[1]October - 19'!J19</f>
        <v>360</v>
      </c>
      <c r="I19" s="170">
        <f>'[1]October - 19'!K19</f>
        <v>58551</v>
      </c>
      <c r="J19" s="172">
        <f>'[1]October - 19'!L19</f>
        <v>2</v>
      </c>
      <c r="K19" s="170">
        <f>'[1]October - 19'!N19</f>
        <v>590297</v>
      </c>
      <c r="L19" s="172">
        <f>'[1]October - 19'!O19</f>
        <v>382</v>
      </c>
      <c r="M19" s="170">
        <f>'[1]October - 19'!Q19</f>
        <v>156722</v>
      </c>
      <c r="N19" s="172">
        <f>'[1]October - 19'!R19</f>
        <v>0</v>
      </c>
      <c r="O19" s="170">
        <f>'[1]October - 19'!S19</f>
        <v>82872</v>
      </c>
      <c r="P19" s="172">
        <f>'[1]October - 19'!T19</f>
        <v>248</v>
      </c>
      <c r="Q19" s="170">
        <f>'[1]October - 19'!U19</f>
        <v>176</v>
      </c>
      <c r="R19" s="170">
        <f>'[1]October - 19'!V19</f>
        <v>4424</v>
      </c>
      <c r="S19" s="211">
        <f>'[1]October - 19'!W19</f>
        <v>61</v>
      </c>
      <c r="T19" s="475"/>
      <c r="U19" s="171">
        <f>'[1]October - 19'!AB19</f>
        <v>5237112.5520000001</v>
      </c>
      <c r="V19" s="254">
        <f>'[1]October - 19'!AC19</f>
        <v>2587.0319999996573</v>
      </c>
      <c r="W19" s="94">
        <f>'[1]October - 19'!AD19</f>
        <v>2825.7599999997765</v>
      </c>
      <c r="X19" s="94">
        <f>'[1]October - 19'!AE19</f>
        <v>10231930.799999999</v>
      </c>
      <c r="Y19" s="254">
        <f>'[1]October - 19'!AF19</f>
        <v>5066.8799999989569</v>
      </c>
      <c r="Z19" s="94">
        <f>'[1]October - 19'!AG19</f>
        <v>5554.0800000000745</v>
      </c>
      <c r="AA19" s="94">
        <f>'[1]October - 19'!AH19</f>
        <v>9364325.040000001</v>
      </c>
      <c r="AB19" s="254">
        <f>'[1]October - 19'!AI19</f>
        <v>633.3600000012666</v>
      </c>
      <c r="AC19" s="94">
        <f>'[1]October - 19'!AJ19</f>
        <v>5748.9600000008941</v>
      </c>
      <c r="AD19" s="94">
        <f>'[1]October - 19'!AK19</f>
        <v>12817306.319999998</v>
      </c>
      <c r="AE19" s="254">
        <f>'[1]October - 19'!AL19</f>
        <v>10669.679999997839</v>
      </c>
      <c r="AF19" s="94">
        <f>'[1]October - 19'!AM19</f>
        <v>11254.320000000298</v>
      </c>
      <c r="AG19" s="94">
        <f>'[1]October - 19'!AN19</f>
        <v>12746467.439999999</v>
      </c>
      <c r="AH19" s="254">
        <f>'[1]October - 19'!AO19</f>
        <v>13836.480000000447</v>
      </c>
      <c r="AI19" s="94">
        <f>'[1]October - 19'!AP19</f>
        <v>1461.5999999996275</v>
      </c>
      <c r="AJ19" s="94">
        <f>'[1]October - 19'!AQ19</f>
        <v>11400333.84</v>
      </c>
      <c r="AK19" s="254">
        <f>'[1]October - 19'!AR19</f>
        <v>8087.5200000014156</v>
      </c>
      <c r="AL19" s="94">
        <f>'[1]October - 19'!AS19</f>
        <v>5895.1200000010431</v>
      </c>
      <c r="AM19" s="94">
        <f>'[1]October - 19'!AT19</f>
        <v>10018050</v>
      </c>
      <c r="AN19" s="254">
        <f>'[1]October - 19'!AU19</f>
        <v>2436</v>
      </c>
      <c r="AO19" s="94">
        <f>'[1]October - 19'!AV19</f>
        <v>5359.2000000001863</v>
      </c>
      <c r="AP19" s="94">
        <f>'[1]October - 19'!AW19</f>
        <v>9634477.4399999995</v>
      </c>
      <c r="AQ19" s="254">
        <f>'[1]October - 19'!AX19</f>
        <v>4920.7200000006706</v>
      </c>
      <c r="AR19" s="94">
        <f>'[1]October - 19'!AY19</f>
        <v>4920.7200000006706</v>
      </c>
      <c r="AS19" s="94">
        <f>'[1]October - 19'!AZ19</f>
        <v>7749451.9199999999</v>
      </c>
      <c r="AT19" s="254">
        <f>'[1]October - 19'!BA19</f>
        <v>3897.5999999996275</v>
      </c>
      <c r="AU19" s="94">
        <f>'[1]October - 19'!BB19</f>
        <v>3312.9600000008941</v>
      </c>
      <c r="AV19" s="94">
        <f>'[1]October - 19'!BC19</f>
        <v>11428347.84</v>
      </c>
      <c r="AW19" s="255">
        <f>'[1]October - 19'!BD19</f>
        <v>8282.4000000003725</v>
      </c>
      <c r="AX19" s="256">
        <f>'[1]October - 19'!BE19</f>
        <v>5797.6800000015646</v>
      </c>
      <c r="AY19" s="492"/>
      <c r="AZ19" s="95">
        <f>'[1]October - 19'!BJ19</f>
        <v>47402000</v>
      </c>
      <c r="BA19" s="181">
        <f>'[1]October - 19'!BK19</f>
        <v>0</v>
      </c>
      <c r="BB19" s="95">
        <f>'[1]October - 19'!BL19</f>
        <v>63500</v>
      </c>
      <c r="BC19" s="95">
        <f>'[1]October - 19'!BM19</f>
        <v>52381400</v>
      </c>
      <c r="BD19" s="248">
        <f>'[1]October - 19'!BN19</f>
        <v>49900</v>
      </c>
      <c r="BE19" s="95">
        <f>'[1]October - 19'!BO19</f>
        <v>0</v>
      </c>
      <c r="BF19" s="95">
        <f>'[1]October - 19'!BP19</f>
        <v>45763900</v>
      </c>
      <c r="BG19" s="248">
        <f>'[1]October - 19'!BQ19</f>
        <v>61800</v>
      </c>
      <c r="BH19" s="95">
        <f>'[1]October - 19'!BR19</f>
        <v>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'[1]October - 19'!BS19</f>
        <v>3552540</v>
      </c>
      <c r="BT19" s="187">
        <f>'[1]October - 19'!BT19</f>
        <v>5220</v>
      </c>
      <c r="BU19" s="588"/>
      <c r="BV19" s="88">
        <f>'[1]October - 19'!BV19</f>
        <v>0.44</v>
      </c>
      <c r="BW19" s="244">
        <f>'[1]October - 19'!BW19</f>
        <v>-2.9999999999999971E-2</v>
      </c>
      <c r="BX19" s="88">
        <f>'[1]October - 19'!BX19</f>
        <v>-3.0000000000000027E-2</v>
      </c>
      <c r="BY19" s="89">
        <f>'[1]October - 19'!BY19</f>
        <v>42769</v>
      </c>
      <c r="BZ19" s="193">
        <f>'[1]October - 19'!BZ19</f>
        <v>21</v>
      </c>
      <c r="CA19" s="89">
        <f>'[1]October - 19'!CA19</f>
        <v>37981</v>
      </c>
      <c r="CB19" s="193">
        <f>'[1]October - 19'!CB19</f>
        <v>20</v>
      </c>
      <c r="CC19" s="89">
        <f>'[1]October - 19'!CC19</f>
        <v>12537</v>
      </c>
      <c r="CD19" s="193">
        <f>'[1]October - 19'!CD19</f>
        <v>6</v>
      </c>
      <c r="CE19" s="89">
        <f>'[1]October - 19'!CE19</f>
        <v>15638</v>
      </c>
      <c r="CF19" s="193">
        <f>'[1]October - 19'!CF19</f>
        <v>10</v>
      </c>
      <c r="CG19" s="89">
        <f>'[1]October - 19'!CG19</f>
        <v>17958</v>
      </c>
      <c r="CH19" s="193">
        <f>'[1]October - 19'!CH19</f>
        <v>11</v>
      </c>
      <c r="CI19" s="89">
        <f>'[1]October - 19'!CI19</f>
        <v>38032</v>
      </c>
      <c r="CJ19" s="193">
        <f>'[1]October - 19'!CJ19</f>
        <v>25</v>
      </c>
      <c r="CK19" s="89">
        <f>'[1]October - 19'!CK19</f>
        <v>166872</v>
      </c>
      <c r="CL19" s="249">
        <f>'[1]October - 19'!CL19</f>
        <v>93</v>
      </c>
      <c r="CM19" s="89">
        <f>'[1]October - 19'!CM19</f>
        <v>82</v>
      </c>
      <c r="CN19" s="89">
        <f>'[1]October - 19'!CN19</f>
        <v>118319</v>
      </c>
      <c r="CO19" s="249">
        <f>'[1]October - 19'!CO19</f>
        <v>70</v>
      </c>
      <c r="CP19" s="89">
        <f>'[1]October - 19'!CP19</f>
        <v>54</v>
      </c>
      <c r="CQ19" s="89">
        <f>'[1]October - 19'!CQ19</f>
        <v>215365</v>
      </c>
      <c r="CR19" s="249">
        <f>'[1]October - 19'!CR19</f>
        <v>8</v>
      </c>
      <c r="CS19" s="89">
        <f>'[1]October - 19'!CS19</f>
        <v>11</v>
      </c>
      <c r="CT19" s="89">
        <f>'[1]October - 19'!CT19</f>
        <v>461657</v>
      </c>
      <c r="CU19" s="193">
        <f>'[1]October - 19'!CU19</f>
        <v>208</v>
      </c>
      <c r="CV19" s="516"/>
      <c r="CW19" s="208">
        <f>'[1]October - 19'!CW19</f>
        <v>3047</v>
      </c>
      <c r="CX19" s="200">
        <f>'[1]October - 19'!CX19</f>
        <v>0</v>
      </c>
      <c r="CY19" s="91">
        <f>'[1]October - 19'!CY19</f>
        <v>938</v>
      </c>
      <c r="CZ19" s="200">
        <f>'[1]October - 19'!CZ19</f>
        <v>0</v>
      </c>
      <c r="DA19" s="91">
        <f>'[1]October - 19'!DA19</f>
        <v>17172</v>
      </c>
      <c r="DB19" s="200">
        <f>'[1]October - 19'!DB19</f>
        <v>14</v>
      </c>
      <c r="DC19" s="91">
        <f>'[1]October - 19'!DC19</f>
        <v>17961</v>
      </c>
      <c r="DD19" s="200">
        <f>'[1]October - 19'!DD19</f>
        <v>17</v>
      </c>
      <c r="DE19" s="91">
        <f>'[1]October - 19'!DE19</f>
        <v>12513</v>
      </c>
      <c r="DF19" s="200">
        <f>'[1]October - 19'!DF19</f>
        <v>9</v>
      </c>
      <c r="DG19" s="91">
        <f>'[1]October - 19'!DG19</f>
        <v>16586</v>
      </c>
      <c r="DH19" s="200">
        <f>'[1]October - 19'!DH19</f>
        <v>7</v>
      </c>
      <c r="DI19" s="91">
        <f>'[1]October - 19'!DI19</f>
        <v>825</v>
      </c>
      <c r="DJ19" s="200">
        <f>'[1]October - 19'!DJ19</f>
        <v>0</v>
      </c>
      <c r="DK19" s="91">
        <f>'[1]October - 19'!DK19</f>
        <v>3570</v>
      </c>
      <c r="DL19" s="200">
        <f>'[1]October - 19'!DL19</f>
        <v>0</v>
      </c>
      <c r="DM19" s="91">
        <f>'[1]October - 19'!DM19</f>
        <v>497</v>
      </c>
      <c r="DN19" s="200">
        <f>'[1]October - 19'!DN19</f>
        <v>8</v>
      </c>
      <c r="DO19" s="91">
        <f>'[1]October - 19'!DO19</f>
        <v>719</v>
      </c>
      <c r="DP19" s="200">
        <f>'[1]October - 19'!DP19</f>
        <v>2</v>
      </c>
      <c r="DQ19" s="91">
        <f>'[1]October - 19'!DQ19</f>
        <v>15687</v>
      </c>
      <c r="DR19" s="209">
        <f>'[1]October - 19'!DR19</f>
        <v>25</v>
      </c>
      <c r="DS19" s="532"/>
      <c r="DT19" s="213">
        <f>'[1]October - 19'!DT19</f>
        <v>2603058</v>
      </c>
      <c r="DU19" s="224">
        <f>'[1]October - 19'!DU19</f>
        <v>1583</v>
      </c>
      <c r="DV19" s="93">
        <f>'[1]October - 19'!DV19</f>
        <v>4099</v>
      </c>
      <c r="DW19" s="218">
        <f>'[1]October - 19'!DW19</f>
        <v>5</v>
      </c>
      <c r="DX19" s="93">
        <f>'[1]October - 19'!DX19</f>
        <v>1703461</v>
      </c>
      <c r="DY19" s="218">
        <f>'[1]October - 19'!DY19</f>
        <v>1276</v>
      </c>
      <c r="DZ19" s="93">
        <f>'[1]October - 19'!DZ19</f>
        <v>245108</v>
      </c>
      <c r="EA19" s="218">
        <f>'[1]October - 19'!EA19</f>
        <v>133</v>
      </c>
      <c r="EB19" s="93">
        <f>'[1]October - 19'!ED19</f>
        <v>349886</v>
      </c>
      <c r="EC19" s="218">
        <f>'[1]October - 19'!EE19</f>
        <v>561</v>
      </c>
      <c r="ED19" s="93">
        <f>'[1]October - 19'!EF19</f>
        <v>73008</v>
      </c>
      <c r="EE19" s="232">
        <f>'[1]October - 19'!EG19</f>
        <v>144</v>
      </c>
      <c r="EF19" s="579"/>
      <c r="EG19" s="238">
        <f>'[1]October - 19'!EI19</f>
        <v>6405187</v>
      </c>
      <c r="EH19" s="233">
        <f>'[1]October - 19'!EJ19</f>
        <v>7840</v>
      </c>
      <c r="EI19" s="92">
        <f>'[1]October - 19'!EK19</f>
        <v>566790</v>
      </c>
      <c r="EJ19" s="233">
        <f>'[1]October - 19'!EL19</f>
        <v>400</v>
      </c>
      <c r="EK19" s="92">
        <f>'[1]October - 19'!EM19</f>
        <v>4418000</v>
      </c>
      <c r="EL19" s="233">
        <f>'[1]October - 19'!EN19</f>
        <v>3100</v>
      </c>
      <c r="EM19" s="92">
        <f>'[1]October - 19'!EO19</f>
        <v>1958260</v>
      </c>
      <c r="EN19" s="233">
        <f>'[1]October - 19'!EP19</f>
        <v>600</v>
      </c>
      <c r="EO19" s="92">
        <f>'[1]October - 19'!EQ19</f>
        <v>662970</v>
      </c>
      <c r="EP19" s="233">
        <f>'[1]October - 19'!ER19</f>
        <v>180</v>
      </c>
      <c r="EQ19" s="92">
        <f>'[1]October - 19'!ES19</f>
        <v>10462900</v>
      </c>
      <c r="ER19" s="233">
        <f>'[1]October - 19'!ET19</f>
        <v>8000</v>
      </c>
      <c r="ES19" s="554"/>
      <c r="ET19" s="287">
        <f>'[1]October - 19'!EV19</f>
        <v>26050</v>
      </c>
      <c r="EU19" s="286">
        <f>'[1]October - 19'!$EW$11</f>
        <v>18</v>
      </c>
      <c r="EV19" s="285">
        <f>'[1]October - 19'!EX19</f>
        <v>22811</v>
      </c>
      <c r="EW19" s="286">
        <f>'[1]October - 19'!EY19</f>
        <v>18</v>
      </c>
      <c r="EX19" s="285">
        <f>'[1]October - 19'!FB19</f>
        <v>42703</v>
      </c>
      <c r="EY19" s="286">
        <f>'[1]October - 19'!FA19</f>
        <v>0</v>
      </c>
      <c r="EZ19" s="285">
        <f>'[1]October - 19'!EZ19</f>
        <v>0</v>
      </c>
      <c r="FA19" s="286">
        <f>'[1]October - 19'!FA19</f>
        <v>0</v>
      </c>
      <c r="FB19" s="285">
        <f>'[1]October - 19'!FD19</f>
        <v>17957</v>
      </c>
      <c r="FC19" s="288">
        <f>'[1]October - 19'!FE19</f>
        <v>31</v>
      </c>
    </row>
    <row r="20" spans="1:159" ht="30" customHeight="1" x14ac:dyDescent="0.25">
      <c r="A20" s="210">
        <v>43749</v>
      </c>
      <c r="B20" s="212">
        <f>'[1]October - 19'!B20</f>
        <v>0.81</v>
      </c>
      <c r="C20" s="253">
        <f>'[1]October - 19'!E20</f>
        <v>469930</v>
      </c>
      <c r="D20" s="172">
        <f>'[1]October - 19'!F20</f>
        <v>582</v>
      </c>
      <c r="E20" s="170">
        <f>'[1]October - 19'!G20</f>
        <v>503</v>
      </c>
      <c r="F20" s="170">
        <f>'[1]October - 19'!H20</f>
        <v>653878</v>
      </c>
      <c r="G20" s="172">
        <f>'[1]October - 19'!I20</f>
        <v>342</v>
      </c>
      <c r="H20" s="170">
        <f>'[1]October - 19'!J20</f>
        <v>387</v>
      </c>
      <c r="I20" s="170">
        <f>'[1]October - 19'!K20</f>
        <v>58552</v>
      </c>
      <c r="J20" s="172">
        <f>'[1]October - 19'!L20</f>
        <v>1</v>
      </c>
      <c r="K20" s="170">
        <f>'[1]October - 19'!N20</f>
        <v>590707</v>
      </c>
      <c r="L20" s="172">
        <f>'[1]October - 19'!O20</f>
        <v>410</v>
      </c>
      <c r="M20" s="170">
        <f>'[1]October - 19'!Q20</f>
        <v>156722</v>
      </c>
      <c r="N20" s="172">
        <f>'[1]October - 19'!R20</f>
        <v>0</v>
      </c>
      <c r="O20" s="170">
        <f>'[1]October - 19'!S20</f>
        <v>83118</v>
      </c>
      <c r="P20" s="172">
        <f>'[1]October - 19'!T20</f>
        <v>246</v>
      </c>
      <c r="Q20" s="170">
        <f>'[1]October - 19'!U20</f>
        <v>179</v>
      </c>
      <c r="R20" s="170">
        <f>'[1]October - 19'!V20</f>
        <v>4468</v>
      </c>
      <c r="S20" s="211">
        <f>'[1]October - 19'!W20</f>
        <v>44</v>
      </c>
      <c r="T20" s="475"/>
      <c r="U20" s="171">
        <f>'[1]October - 19'!AB20</f>
        <v>5239348.8</v>
      </c>
      <c r="V20" s="254">
        <f>'[1]October - 19'!AC20</f>
        <v>2236.2479999996722</v>
      </c>
      <c r="W20" s="94">
        <f>'[1]October - 19'!AD20</f>
        <v>2825.7600000007078</v>
      </c>
      <c r="X20" s="94">
        <f>'[1]October - 19'!AE20</f>
        <v>10236900.24</v>
      </c>
      <c r="Y20" s="254">
        <f>'[1]October - 19'!AF20</f>
        <v>4969.4400000013411</v>
      </c>
      <c r="Z20" s="94">
        <f>'[1]October - 19'!AG20</f>
        <v>5213.0400000009686</v>
      </c>
      <c r="AA20" s="94">
        <f>'[1]October - 19'!AH20</f>
        <v>9366566.1600000001</v>
      </c>
      <c r="AB20" s="254">
        <f>'[1]October - 19'!AI20</f>
        <v>2241.1199999991804</v>
      </c>
      <c r="AC20" s="94">
        <f>'[1]October - 19'!AJ20</f>
        <v>4092.4799999995157</v>
      </c>
      <c r="AD20" s="94">
        <f>'[1]October - 19'!AK20</f>
        <v>12827391.359999999</v>
      </c>
      <c r="AE20" s="254">
        <f>'[1]October - 19'!AL20</f>
        <v>10085.040000000969</v>
      </c>
      <c r="AF20" s="94">
        <f>'[1]October - 19'!AM20</f>
        <v>10913.279999999329</v>
      </c>
      <c r="AG20" s="94">
        <f>'[1]October - 19'!AN20</f>
        <v>12760109.040000001</v>
      </c>
      <c r="AH20" s="254">
        <f>'[1]October - 19'!AO20</f>
        <v>13641.60000000149</v>
      </c>
      <c r="AI20" s="94">
        <f>'[1]October - 19'!AP20</f>
        <v>925.68000000156462</v>
      </c>
      <c r="AJ20" s="94">
        <f>'[1]October - 19'!AQ20</f>
        <v>11403110.880000001</v>
      </c>
      <c r="AK20" s="254">
        <f>'[1]October - 19'!AR20</f>
        <v>2777.0400000009686</v>
      </c>
      <c r="AL20" s="94">
        <f>'[1]October - 19'!AS20</f>
        <v>5895.1199999991804</v>
      </c>
      <c r="AM20" s="94">
        <f>'[1]October - 19'!AT20</f>
        <v>10023360.48</v>
      </c>
      <c r="AN20" s="254">
        <f>'[1]October - 19'!AU20</f>
        <v>5310.480000000447</v>
      </c>
      <c r="AO20" s="94">
        <f>'[1]October - 19'!AV20</f>
        <v>4872</v>
      </c>
      <c r="AP20" s="94">
        <f>'[1]October - 19'!AW20</f>
        <v>9639690.4800000004</v>
      </c>
      <c r="AQ20" s="254">
        <f>'[1]October - 19'!AX20</f>
        <v>5213.0400000009686</v>
      </c>
      <c r="AR20" s="94">
        <f>'[1]October - 19'!AY20</f>
        <v>4872</v>
      </c>
      <c r="AS20" s="94">
        <f>'[1]October - 19'!AZ20</f>
        <v>7753057.2000000002</v>
      </c>
      <c r="AT20" s="254">
        <f>'[1]October - 19'!BA20</f>
        <v>3605.2800000002608</v>
      </c>
      <c r="AU20" s="94">
        <f>'[1]October - 19'!BB20</f>
        <v>3410.3999999994412</v>
      </c>
      <c r="AV20" s="94">
        <f>'[1]October - 19'!BC20</f>
        <v>11430588.959999999</v>
      </c>
      <c r="AW20" s="255">
        <f>'[1]October - 19'!BD20</f>
        <v>2241.1199999991804</v>
      </c>
      <c r="AX20" s="256">
        <f>'[1]October - 19'!BE20</f>
        <v>5700.2400000002235</v>
      </c>
      <c r="AY20" s="492"/>
      <c r="AZ20" s="95">
        <f>'[1]October - 19'!BJ20</f>
        <v>47406500</v>
      </c>
      <c r="BA20" s="181">
        <f>'[1]October - 19'!BK20</f>
        <v>4500</v>
      </c>
      <c r="BB20" s="95">
        <f>'[1]October - 19'!BL20</f>
        <v>24800</v>
      </c>
      <c r="BC20" s="95">
        <f>'[1]October - 19'!BM20</f>
        <v>52432200</v>
      </c>
      <c r="BD20" s="248">
        <f>'[1]October - 19'!BN20</f>
        <v>50800</v>
      </c>
      <c r="BE20" s="95">
        <f>'[1]October - 19'!BO20</f>
        <v>55500</v>
      </c>
      <c r="BF20" s="95">
        <f>'[1]October - 19'!BP20</f>
        <v>45823500</v>
      </c>
      <c r="BG20" s="248">
        <f>'[1]October - 19'!BQ20</f>
        <v>59600</v>
      </c>
      <c r="BH20" s="95">
        <f>'[1]October - 19'!BR20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'[1]October - 19'!BS20</f>
        <v>3558300</v>
      </c>
      <c r="BT20" s="187">
        <f>'[1]October - 19'!BT20</f>
        <v>5760</v>
      </c>
      <c r="BU20" s="588"/>
      <c r="BV20" s="88">
        <f>'[1]October - 19'!BV20</f>
        <v>0.62</v>
      </c>
      <c r="BW20" s="244">
        <f>'[1]October - 19'!BW20</f>
        <v>0.18</v>
      </c>
      <c r="BX20" s="88">
        <f>'[1]October - 19'!BX20</f>
        <v>-4.0000000000000036E-2</v>
      </c>
      <c r="BY20" s="89">
        <f>'[1]October - 19'!BY20</f>
        <v>42789</v>
      </c>
      <c r="BZ20" s="193">
        <f>'[1]October - 19'!BZ20</f>
        <v>20</v>
      </c>
      <c r="CA20" s="89">
        <f>'[1]October - 19'!CA20</f>
        <v>37997</v>
      </c>
      <c r="CB20" s="193">
        <f>'[1]October - 19'!CB20</f>
        <v>16</v>
      </c>
      <c r="CC20" s="89">
        <f>'[1]October - 19'!CC20</f>
        <v>12544</v>
      </c>
      <c r="CD20" s="193">
        <f>'[1]October - 19'!CD20</f>
        <v>7</v>
      </c>
      <c r="CE20" s="89">
        <f>'[1]October - 19'!CE20</f>
        <v>15649</v>
      </c>
      <c r="CF20" s="193">
        <f>'[1]October - 19'!CF20</f>
        <v>11</v>
      </c>
      <c r="CG20" s="89">
        <f>'[1]October - 19'!CG20</f>
        <v>17973</v>
      </c>
      <c r="CH20" s="193">
        <f>'[1]October - 19'!CH20</f>
        <v>15</v>
      </c>
      <c r="CI20" s="89">
        <f>'[1]October - 19'!CI20</f>
        <v>38059</v>
      </c>
      <c r="CJ20" s="193">
        <f>'[1]October - 19'!CJ20</f>
        <v>27</v>
      </c>
      <c r="CK20" s="89">
        <f>'[1]October - 19'!CK20</f>
        <v>166953</v>
      </c>
      <c r="CL20" s="249">
        <f>'[1]October - 19'!CL20</f>
        <v>81</v>
      </c>
      <c r="CM20" s="89">
        <f>'[1]October - 19'!CM20</f>
        <v>79</v>
      </c>
      <c r="CN20" s="89">
        <f>'[1]October - 19'!CN20</f>
        <v>118383</v>
      </c>
      <c r="CO20" s="249">
        <f>'[1]October - 19'!CO20</f>
        <v>64</v>
      </c>
      <c r="CP20" s="89">
        <f>'[1]October - 19'!CP20</f>
        <v>58</v>
      </c>
      <c r="CQ20" s="89">
        <f>'[1]October - 19'!CQ20</f>
        <v>215365</v>
      </c>
      <c r="CR20" s="249">
        <f>'[1]October - 19'!CR20</f>
        <v>0</v>
      </c>
      <c r="CS20" s="89">
        <f>'[1]October - 19'!CS20</f>
        <v>12</v>
      </c>
      <c r="CT20" s="89">
        <f>'[1]October - 19'!CT20</f>
        <v>461839</v>
      </c>
      <c r="CU20" s="193">
        <f>'[1]October - 19'!CU20</f>
        <v>182</v>
      </c>
      <c r="CV20" s="516"/>
      <c r="CW20" s="208">
        <f>'[1]October - 19'!CW20</f>
        <v>3047</v>
      </c>
      <c r="CX20" s="200">
        <f>'[1]October - 19'!CX20</f>
        <v>0</v>
      </c>
      <c r="CY20" s="91">
        <f>'[1]October - 19'!CY20</f>
        <v>938</v>
      </c>
      <c r="CZ20" s="200">
        <f>'[1]October - 19'!CZ20</f>
        <v>0</v>
      </c>
      <c r="DA20" s="91">
        <f>'[1]October - 19'!DA20</f>
        <v>17193</v>
      </c>
      <c r="DB20" s="200">
        <f>'[1]October - 19'!DB20</f>
        <v>21</v>
      </c>
      <c r="DC20" s="91">
        <f>'[1]October - 19'!DC20</f>
        <v>17981</v>
      </c>
      <c r="DD20" s="200">
        <f>'[1]October - 19'!DD20</f>
        <v>20</v>
      </c>
      <c r="DE20" s="91">
        <f>'[1]October - 19'!DE20</f>
        <v>12523</v>
      </c>
      <c r="DF20" s="200">
        <f>'[1]October - 19'!DF20</f>
        <v>10</v>
      </c>
      <c r="DG20" s="91">
        <f>'[1]October - 19'!DG20</f>
        <v>16594</v>
      </c>
      <c r="DH20" s="200">
        <f>'[1]October - 19'!DH20</f>
        <v>8</v>
      </c>
      <c r="DI20" s="91">
        <f>'[1]October - 19'!DI20</f>
        <v>825</v>
      </c>
      <c r="DJ20" s="200">
        <f>'[1]October - 19'!DJ20</f>
        <v>0</v>
      </c>
      <c r="DK20" s="91">
        <f>'[1]October - 19'!DK20</f>
        <v>3570</v>
      </c>
      <c r="DL20" s="200">
        <f>'[1]October - 19'!DL20</f>
        <v>0</v>
      </c>
      <c r="DM20" s="91">
        <f>'[1]October - 19'!DM20</f>
        <v>506</v>
      </c>
      <c r="DN20" s="200">
        <f>'[1]October - 19'!DN20</f>
        <v>9</v>
      </c>
      <c r="DO20" s="91">
        <f>'[1]October - 19'!DO20</f>
        <v>722</v>
      </c>
      <c r="DP20" s="200">
        <f>'[1]October - 19'!DP20</f>
        <v>3</v>
      </c>
      <c r="DQ20" s="91">
        <f>'[1]October - 19'!DQ20</f>
        <v>15716</v>
      </c>
      <c r="DR20" s="209">
        <f>'[1]October - 19'!DR20</f>
        <v>29</v>
      </c>
      <c r="DS20" s="532"/>
      <c r="DT20" s="213">
        <f>'[1]October - 19'!DT20</f>
        <v>2604687</v>
      </c>
      <c r="DU20" s="224">
        <f>'[1]October - 19'!DU20</f>
        <v>1629</v>
      </c>
      <c r="DV20" s="93">
        <f>'[1]October - 19'!DV20</f>
        <v>4103</v>
      </c>
      <c r="DW20" s="218">
        <f>'[1]October - 19'!DW20</f>
        <v>4</v>
      </c>
      <c r="DX20" s="93">
        <f>'[1]October - 19'!DX20</f>
        <v>1704762</v>
      </c>
      <c r="DY20" s="218">
        <f>'[1]October - 19'!DY20</f>
        <v>1301</v>
      </c>
      <c r="DZ20" s="93">
        <f>'[1]October - 19'!DZ20</f>
        <v>245240</v>
      </c>
      <c r="EA20" s="218">
        <f>'[1]October - 19'!EA20</f>
        <v>132</v>
      </c>
      <c r="EB20" s="93">
        <f>'[1]October - 19'!ED20</f>
        <v>350446</v>
      </c>
      <c r="EC20" s="218">
        <f>'[1]October - 19'!EE20</f>
        <v>560</v>
      </c>
      <c r="ED20" s="93">
        <f>'[1]October - 19'!EF20</f>
        <v>73150</v>
      </c>
      <c r="EE20" s="232">
        <f>'[1]October - 19'!EG20</f>
        <v>142</v>
      </c>
      <c r="EF20" s="579"/>
      <c r="EG20" s="238">
        <f>'[1]October - 19'!EI20</f>
        <v>6413027</v>
      </c>
      <c r="EH20" s="233">
        <f>'[1]October - 19'!EJ20</f>
        <v>7840</v>
      </c>
      <c r="EI20" s="92">
        <f>'[1]October - 19'!EK20</f>
        <v>567240</v>
      </c>
      <c r="EJ20" s="233">
        <f>'[1]October - 19'!EL20</f>
        <v>450</v>
      </c>
      <c r="EK20" s="92">
        <f>'[1]October - 19'!EM20</f>
        <v>4421100</v>
      </c>
      <c r="EL20" s="233">
        <f>'[1]October - 19'!EN20</f>
        <v>3100</v>
      </c>
      <c r="EM20" s="92">
        <f>'[1]October - 19'!EO20</f>
        <v>1958910</v>
      </c>
      <c r="EN20" s="233">
        <f>'[1]October - 19'!EP20</f>
        <v>650</v>
      </c>
      <c r="EO20" s="92">
        <f>'[1]October - 19'!EQ20</f>
        <v>663170</v>
      </c>
      <c r="EP20" s="233">
        <f>'[1]October - 19'!ER20</f>
        <v>200</v>
      </c>
      <c r="EQ20" s="92">
        <f>'[1]October - 19'!ES20</f>
        <v>10468400</v>
      </c>
      <c r="ER20" s="233">
        <f>'[1]October - 19'!ET20</f>
        <v>5500</v>
      </c>
      <c r="ES20" s="554"/>
      <c r="ET20" s="287">
        <f>'[1]October - 19'!EV20</f>
        <v>26071</v>
      </c>
      <c r="EU20" s="286">
        <f>'[1]October - 19'!$EW$11</f>
        <v>18</v>
      </c>
      <c r="EV20" s="285">
        <f>'[1]October - 19'!EX20</f>
        <v>22829</v>
      </c>
      <c r="EW20" s="286">
        <f>'[1]October - 19'!EY20</f>
        <v>18</v>
      </c>
      <c r="EX20" s="285">
        <f>'[1]October - 19'!FB20</f>
        <v>42703</v>
      </c>
      <c r="EY20" s="286">
        <f>'[1]October - 19'!FA20</f>
        <v>0</v>
      </c>
      <c r="EZ20" s="285">
        <f>'[1]October - 19'!EZ20</f>
        <v>0</v>
      </c>
      <c r="FA20" s="286">
        <f>'[1]October - 19'!FA20</f>
        <v>0</v>
      </c>
      <c r="FB20" s="285">
        <f>'[1]October - 19'!FD20</f>
        <v>17991</v>
      </c>
      <c r="FC20" s="288">
        <f>'[1]October - 19'!FE20</f>
        <v>34</v>
      </c>
    </row>
    <row r="21" spans="1:159" ht="30" customHeight="1" x14ac:dyDescent="0.25">
      <c r="A21" s="210">
        <v>43750</v>
      </c>
      <c r="B21" s="212">
        <f>'[1]October - 19'!B21</f>
        <v>0.88</v>
      </c>
      <c r="C21" s="253">
        <f>'[1]October - 19'!E21</f>
        <v>470475</v>
      </c>
      <c r="D21" s="172">
        <f>'[1]October - 19'!F21</f>
        <v>545</v>
      </c>
      <c r="E21" s="170">
        <f>'[1]October - 19'!G21</f>
        <v>511</v>
      </c>
      <c r="F21" s="170">
        <f>'[1]October - 19'!H21</f>
        <v>654223</v>
      </c>
      <c r="G21" s="172">
        <f>'[1]October - 19'!I21</f>
        <v>345</v>
      </c>
      <c r="H21" s="170">
        <f>'[1]October - 19'!J21</f>
        <v>376</v>
      </c>
      <c r="I21" s="170">
        <f>'[1]October - 19'!K21</f>
        <v>311</v>
      </c>
      <c r="J21" s="172">
        <f>'[1]October - 19'!L21</f>
        <v>-58241</v>
      </c>
      <c r="K21" s="170">
        <f>'[1]October - 19'!N21</f>
        <v>591099</v>
      </c>
      <c r="L21" s="172">
        <f>'[1]October - 19'!O21</f>
        <v>392</v>
      </c>
      <c r="M21" s="170">
        <f>'[1]October - 19'!Q21</f>
        <v>156722</v>
      </c>
      <c r="N21" s="172">
        <f>'[1]October - 19'!R21</f>
        <v>0</v>
      </c>
      <c r="O21" s="170">
        <f>'[1]October - 19'!S21</f>
        <v>83332</v>
      </c>
      <c r="P21" s="172">
        <f>'[1]October - 19'!T21</f>
        <v>214</v>
      </c>
      <c r="Q21" s="170">
        <f>'[1]October - 19'!U21</f>
        <v>169</v>
      </c>
      <c r="R21" s="170">
        <f>'[1]October - 19'!V21</f>
        <v>4519</v>
      </c>
      <c r="S21" s="211">
        <f>'[1]October - 19'!W21</f>
        <v>51</v>
      </c>
      <c r="T21" s="475"/>
      <c r="U21" s="171">
        <f>'[1]October - 19'!AB21</f>
        <v>5242320.72</v>
      </c>
      <c r="V21" s="254">
        <f>'[1]October - 19'!AC21</f>
        <v>2971.9199999999255</v>
      </c>
      <c r="W21" s="94">
        <f>'[1]October - 19'!AD21</f>
        <v>2874.4799999995157</v>
      </c>
      <c r="X21" s="94">
        <f>'[1]October - 19'!AE21</f>
        <v>10241626.08</v>
      </c>
      <c r="Y21" s="254">
        <f>'[1]October - 19'!AF21</f>
        <v>4725.839999999851</v>
      </c>
      <c r="Z21" s="94">
        <f>'[1]October - 19'!AG21</f>
        <v>5407.9199999980628</v>
      </c>
      <c r="AA21" s="94">
        <f>'[1]October - 19'!AH21</f>
        <v>9378161.5199999996</v>
      </c>
      <c r="AB21" s="254">
        <f>'[1]October - 19'!AI21</f>
        <v>11595.359999999404</v>
      </c>
      <c r="AC21" s="94">
        <f>'[1]October - 19'!AJ21</f>
        <v>4872</v>
      </c>
      <c r="AD21" s="94">
        <f>'[1]October - 19'!AK21</f>
        <v>12827829.84</v>
      </c>
      <c r="AE21" s="254">
        <f>'[1]October - 19'!AL21</f>
        <v>438.48000000044703</v>
      </c>
      <c r="AF21" s="94">
        <f>'[1]October - 19'!AM21</f>
        <v>11985.120000001043</v>
      </c>
      <c r="AG21" s="94">
        <f>'[1]October - 19'!AN21</f>
        <v>12767417.040000001</v>
      </c>
      <c r="AH21" s="254">
        <f>'[1]October - 19'!AO21</f>
        <v>7308</v>
      </c>
      <c r="AI21" s="94">
        <f>'[1]October - 19'!AP21</f>
        <v>925.67999999970198</v>
      </c>
      <c r="AJ21" s="94">
        <f>'[1]October - 19'!AQ21</f>
        <v>11415242.16</v>
      </c>
      <c r="AK21" s="254">
        <f>'[1]October - 19'!AR21</f>
        <v>12131.279999999329</v>
      </c>
      <c r="AL21" s="94">
        <f>'[1]October - 19'!AS21</f>
        <v>6090</v>
      </c>
      <c r="AM21" s="94">
        <f>'[1]October - 19'!AT21</f>
        <v>10028232.48</v>
      </c>
      <c r="AN21" s="254">
        <f>'[1]October - 19'!AU21</f>
        <v>4872</v>
      </c>
      <c r="AO21" s="295">
        <f>'[1]October - 19'!AV21</f>
        <v>5554.0800000000745</v>
      </c>
      <c r="AP21" s="94">
        <f>'[1]October - 19'!AW21</f>
        <v>9644318.8800000008</v>
      </c>
      <c r="AQ21" s="254">
        <f>'[1]October - 19'!AX21</f>
        <v>4628.4000000003725</v>
      </c>
      <c r="AR21" s="94">
        <f>'[1]October - 19'!AY21</f>
        <v>5213.0399999991059</v>
      </c>
      <c r="AS21" s="94">
        <f>'[1]October - 19'!AZ21</f>
        <v>7756321.4400000004</v>
      </c>
      <c r="AT21" s="254">
        <f>'[1]October - 19'!BA21</f>
        <v>3264.2400000002235</v>
      </c>
      <c r="AU21" s="94">
        <f>'[1]October - 19'!BB21</f>
        <v>3897.6000000005588</v>
      </c>
      <c r="AV21" s="94">
        <f>'[1]October - 19'!BC21</f>
        <v>11435607.119999999</v>
      </c>
      <c r="AW21" s="255">
        <f>'[1]October - 19'!BD21</f>
        <v>5018.160000000149</v>
      </c>
      <c r="AX21" s="256">
        <f>'[1]October - 19'!BE21</f>
        <v>5943.839999999851</v>
      </c>
      <c r="AY21" s="492"/>
      <c r="AZ21" s="95">
        <f>'[1]October - 19'!BJ21</f>
        <v>47463800</v>
      </c>
      <c r="BA21" s="181">
        <f>'[1]October - 19'!BK21</f>
        <v>57300</v>
      </c>
      <c r="BB21" s="95">
        <f>'[1]October - 19'!BL21</f>
        <v>25700</v>
      </c>
      <c r="BC21" s="95">
        <f>'[1]October - 19'!BM21</f>
        <v>52432200</v>
      </c>
      <c r="BD21" s="248">
        <f>'[1]October - 19'!BN21</f>
        <v>0</v>
      </c>
      <c r="BE21" s="95">
        <f>'[1]October - 19'!BO21</f>
        <v>54700</v>
      </c>
      <c r="BF21" s="95">
        <f>'[1]October - 19'!BP21</f>
        <v>45861100</v>
      </c>
      <c r="BG21" s="248">
        <f>'[1]October - 19'!BQ21</f>
        <v>37600</v>
      </c>
      <c r="BH21" s="95">
        <f>'[1]October - 19'!BR21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'[1]October - 19'!BS21</f>
        <v>3563900</v>
      </c>
      <c r="BT21" s="187">
        <f>'[1]October - 19'!BT21</f>
        <v>5600</v>
      </c>
      <c r="BU21" s="588"/>
      <c r="BV21" s="88">
        <f>'[1]October - 19'!BV21</f>
        <v>0.57999999999999996</v>
      </c>
      <c r="BW21" s="244">
        <f>'[1]October - 19'!BW21</f>
        <v>-4.0000000000000036E-2</v>
      </c>
      <c r="BX21" s="88">
        <f>'[1]October - 19'!BX21</f>
        <v>-2.0000000000000018E-2</v>
      </c>
      <c r="BY21" s="89">
        <f>'[1]October - 19'!BY21</f>
        <v>42809</v>
      </c>
      <c r="BZ21" s="193">
        <f>'[1]October - 19'!BZ21</f>
        <v>20</v>
      </c>
      <c r="CA21" s="89">
        <f>'[1]October - 19'!CA21</f>
        <v>38015</v>
      </c>
      <c r="CB21" s="193">
        <f>'[1]October - 19'!CB21</f>
        <v>18</v>
      </c>
      <c r="CC21" s="89">
        <f>'[1]October - 19'!CC21</f>
        <v>12552</v>
      </c>
      <c r="CD21" s="193">
        <f>'[1]October - 19'!CD21</f>
        <v>8</v>
      </c>
      <c r="CE21" s="89">
        <f>'[1]October - 19'!CE21</f>
        <v>15658</v>
      </c>
      <c r="CF21" s="193">
        <f>'[1]October - 19'!CF21</f>
        <v>9</v>
      </c>
      <c r="CG21" s="89">
        <f>'[1]October - 19'!CG21</f>
        <v>17979</v>
      </c>
      <c r="CH21" s="193">
        <f>'[1]October - 19'!CH21</f>
        <v>6</v>
      </c>
      <c r="CI21" s="89">
        <f>'[1]October - 19'!CI21</f>
        <v>38084</v>
      </c>
      <c r="CJ21" s="193">
        <f>'[1]October - 19'!CJ21</f>
        <v>25</v>
      </c>
      <c r="CK21" s="89">
        <f>'[1]October - 19'!CK21</f>
        <v>167035</v>
      </c>
      <c r="CL21" s="249">
        <f>'[1]October - 19'!CL21</f>
        <v>82</v>
      </c>
      <c r="CM21" s="89">
        <f>'[1]October - 19'!CM21</f>
        <v>82</v>
      </c>
      <c r="CN21" s="89">
        <f>'[1]October - 19'!CN21</f>
        <v>118454</v>
      </c>
      <c r="CO21" s="249">
        <f>'[1]October - 19'!CO21</f>
        <v>71</v>
      </c>
      <c r="CP21" s="89">
        <f>'[1]October - 19'!CP21</f>
        <v>63</v>
      </c>
      <c r="CQ21" s="89">
        <f>'[1]October - 19'!CQ21</f>
        <v>215365</v>
      </c>
      <c r="CR21" s="249">
        <f>'[1]October - 19'!CR21</f>
        <v>0</v>
      </c>
      <c r="CS21" s="89">
        <f>'[1]October - 19'!CS21</f>
        <v>13</v>
      </c>
      <c r="CT21" s="89">
        <f>'[1]October - 19'!CT21</f>
        <v>462022</v>
      </c>
      <c r="CU21" s="193">
        <f>'[1]October - 19'!CU21</f>
        <v>183</v>
      </c>
      <c r="CV21" s="516"/>
      <c r="CW21" s="208">
        <f>'[1]October - 19'!CW21</f>
        <v>3047</v>
      </c>
      <c r="CX21" s="200">
        <f>'[1]October - 19'!CX21</f>
        <v>0</v>
      </c>
      <c r="CY21" s="91">
        <f>'[1]October - 19'!CY21</f>
        <v>938</v>
      </c>
      <c r="CZ21" s="200">
        <f>'[1]October - 19'!CZ21</f>
        <v>0</v>
      </c>
      <c r="DA21" s="91">
        <f>'[1]October - 19'!DA21</f>
        <v>17221</v>
      </c>
      <c r="DB21" s="200">
        <f>'[1]October - 19'!DB21</f>
        <v>28</v>
      </c>
      <c r="DC21" s="91">
        <f>'[1]October - 19'!DC21</f>
        <v>18007</v>
      </c>
      <c r="DD21" s="200">
        <f>'[1]October - 19'!DD21</f>
        <v>26</v>
      </c>
      <c r="DE21" s="91">
        <f>'[1]October - 19'!DE21</f>
        <v>12539</v>
      </c>
      <c r="DF21" s="200">
        <f>'[1]October - 19'!DF21</f>
        <v>16</v>
      </c>
      <c r="DG21" s="91">
        <f>'[1]October - 19'!DG21</f>
        <v>16601</v>
      </c>
      <c r="DH21" s="200">
        <f>'[1]October - 19'!DH21</f>
        <v>7</v>
      </c>
      <c r="DI21" s="91">
        <f>'[1]October - 19'!DI21</f>
        <v>825</v>
      </c>
      <c r="DJ21" s="200">
        <f>'[1]October - 19'!DJ21</f>
        <v>0</v>
      </c>
      <c r="DK21" s="91">
        <f>'[1]October - 19'!DK21</f>
        <v>3570</v>
      </c>
      <c r="DL21" s="200">
        <f>'[1]October - 19'!DL21</f>
        <v>0</v>
      </c>
      <c r="DM21" s="91">
        <f>'[1]October - 19'!DM21</f>
        <v>514</v>
      </c>
      <c r="DN21" s="200">
        <f>'[1]October - 19'!DN21</f>
        <v>8</v>
      </c>
      <c r="DO21" s="91">
        <f>'[1]October - 19'!DO21</f>
        <v>724</v>
      </c>
      <c r="DP21" s="200">
        <f>'[1]October - 19'!DP21</f>
        <v>2</v>
      </c>
      <c r="DQ21" s="91">
        <f>'[1]October - 19'!DQ21</f>
        <v>15741</v>
      </c>
      <c r="DR21" s="209">
        <f>'[1]October - 19'!DR21</f>
        <v>25</v>
      </c>
      <c r="DS21" s="532"/>
      <c r="DT21" s="213">
        <f>'[1]October - 19'!DT21</f>
        <v>2606187</v>
      </c>
      <c r="DU21" s="224">
        <f>'[1]October - 19'!DU21</f>
        <v>1500</v>
      </c>
      <c r="DV21" s="93">
        <f>'[1]October - 19'!DV21</f>
        <v>4106</v>
      </c>
      <c r="DW21" s="218">
        <f>'[1]October - 19'!DW21</f>
        <v>3</v>
      </c>
      <c r="DX21" s="93">
        <f>'[1]October - 19'!DX21</f>
        <v>1706002</v>
      </c>
      <c r="DY21" s="218">
        <f>'[1]October - 19'!DY21</f>
        <v>1240</v>
      </c>
      <c r="DZ21" s="93">
        <f>'[1]October - 19'!DZ21</f>
        <v>245380</v>
      </c>
      <c r="EA21" s="218">
        <f>'[1]October - 19'!EA21</f>
        <v>140</v>
      </c>
      <c r="EB21" s="93">
        <f>'[1]October - 19'!ED21</f>
        <v>351026</v>
      </c>
      <c r="EC21" s="218">
        <f>'[1]October - 19'!EE21</f>
        <v>580</v>
      </c>
      <c r="ED21" s="93">
        <f>'[1]October - 19'!EF21</f>
        <v>73300</v>
      </c>
      <c r="EE21" s="232">
        <f>'[1]October - 19'!EG21</f>
        <v>150</v>
      </c>
      <c r="EF21" s="579"/>
      <c r="EG21" s="238">
        <f>'[1]October - 19'!EI21</f>
        <v>6420867</v>
      </c>
      <c r="EH21" s="233">
        <f>'[1]October - 19'!EJ21</f>
        <v>7840</v>
      </c>
      <c r="EI21" s="92">
        <f>'[1]October - 19'!EK21</f>
        <v>567690</v>
      </c>
      <c r="EJ21" s="233">
        <f>'[1]October - 19'!EL21</f>
        <v>450</v>
      </c>
      <c r="EK21" s="92">
        <f>'[1]October - 19'!EM21</f>
        <v>4424200</v>
      </c>
      <c r="EL21" s="233">
        <f>'[1]October - 19'!EN21</f>
        <v>3100</v>
      </c>
      <c r="EM21" s="92">
        <f>'[1]October - 19'!EO21</f>
        <v>1959510</v>
      </c>
      <c r="EN21" s="233">
        <f>'[1]October - 19'!EP21</f>
        <v>600</v>
      </c>
      <c r="EO21" s="92">
        <f>'[1]October - 19'!EQ21</f>
        <v>663380</v>
      </c>
      <c r="EP21" s="233">
        <f>'[1]October - 19'!ER21</f>
        <v>210</v>
      </c>
      <c r="EQ21" s="92">
        <f>'[1]October - 19'!ES21</f>
        <v>10474000</v>
      </c>
      <c r="ER21" s="233">
        <f>'[1]October - 19'!ET21</f>
        <v>5600</v>
      </c>
      <c r="ES21" s="554"/>
      <c r="ET21" s="287">
        <f>'[1]October - 19'!EV21</f>
        <v>26091</v>
      </c>
      <c r="EU21" s="286">
        <f>'[1]October - 19'!$EW$11</f>
        <v>18</v>
      </c>
      <c r="EV21" s="285">
        <f>'[1]October - 19'!EX21</f>
        <v>22845</v>
      </c>
      <c r="EW21" s="286">
        <f>'[1]October - 19'!EY21</f>
        <v>16</v>
      </c>
      <c r="EX21" s="285">
        <f>'[1]October - 19'!FB21</f>
        <v>42703</v>
      </c>
      <c r="EY21" s="286">
        <f>'[1]October - 19'!FA21</f>
        <v>0</v>
      </c>
      <c r="EZ21" s="285">
        <f>'[1]October - 19'!EZ21</f>
        <v>0</v>
      </c>
      <c r="FA21" s="286">
        <f>'[1]October - 19'!FA21</f>
        <v>0</v>
      </c>
      <c r="FB21" s="285">
        <f>'[1]October - 19'!FD21</f>
        <v>18021</v>
      </c>
      <c r="FC21" s="288">
        <f>'[1]October - 19'!FE21</f>
        <v>30</v>
      </c>
    </row>
    <row r="22" spans="1:159" ht="30" customHeight="1" x14ac:dyDescent="0.25">
      <c r="A22" s="210">
        <v>43751</v>
      </c>
      <c r="B22" s="212">
        <f>'[1]October - 19'!B22</f>
        <v>0.72</v>
      </c>
      <c r="C22" s="253">
        <f>'[1]October - 19'!E22</f>
        <v>471021</v>
      </c>
      <c r="D22" s="172">
        <f>'[1]October - 19'!F22</f>
        <v>546</v>
      </c>
      <c r="E22" s="170">
        <f>'[1]October - 19'!G22</f>
        <v>489</v>
      </c>
      <c r="F22" s="170">
        <f>'[1]October - 19'!H22</f>
        <v>654567</v>
      </c>
      <c r="G22" s="172">
        <f>'[1]October - 19'!I22</f>
        <v>344</v>
      </c>
      <c r="H22" s="170">
        <f>'[1]October - 19'!J22</f>
        <v>366</v>
      </c>
      <c r="I22" s="170">
        <f>'[1]October - 19'!K22</f>
        <v>671</v>
      </c>
      <c r="J22" s="172">
        <f>'[1]October - 19'!L22</f>
        <v>360</v>
      </c>
      <c r="K22" s="170">
        <f>'[1]October - 19'!N22</f>
        <v>591286</v>
      </c>
      <c r="L22" s="172">
        <f>'[1]October - 19'!O22</f>
        <v>187</v>
      </c>
      <c r="M22" s="170">
        <f>'[1]October - 19'!Q22</f>
        <v>156722</v>
      </c>
      <c r="N22" s="172">
        <f>'[1]October - 19'!R22</f>
        <v>0</v>
      </c>
      <c r="O22" s="170">
        <f>'[1]October - 19'!S22</f>
        <v>83565</v>
      </c>
      <c r="P22" s="172">
        <f>'[1]October - 19'!T22</f>
        <v>233</v>
      </c>
      <c r="Q22" s="170">
        <f>'[1]October - 19'!U22</f>
        <v>157</v>
      </c>
      <c r="R22" s="170">
        <f>'[1]October - 19'!V22</f>
        <v>4590</v>
      </c>
      <c r="S22" s="211">
        <f>'[1]October - 19'!W22</f>
        <v>71</v>
      </c>
      <c r="T22" s="475"/>
      <c r="U22" s="171">
        <f>'[1]October - 19'!AB22</f>
        <v>5245243.92</v>
      </c>
      <c r="V22" s="254">
        <f>'[1]October - 19'!AC22</f>
        <v>2923.2000000001863</v>
      </c>
      <c r="W22" s="94">
        <f>'[1]October - 19'!AD22</f>
        <v>3848.8799999998882</v>
      </c>
      <c r="X22" s="94">
        <f>'[1]October - 19'!AE22</f>
        <v>10246839.119999999</v>
      </c>
      <c r="Y22" s="254">
        <f>'[1]October - 19'!AF22</f>
        <v>5213.0399999991059</v>
      </c>
      <c r="Z22" s="94">
        <f>'[1]October - 19'!AG22</f>
        <v>5407.9200000017881</v>
      </c>
      <c r="AA22" s="94">
        <f>'[1]October - 19'!AH22</f>
        <v>9389805.5999999996</v>
      </c>
      <c r="AB22" s="254">
        <f>'[1]October - 19'!AI22</f>
        <v>11644.080000000075</v>
      </c>
      <c r="AC22" s="94">
        <f>'[1]October - 19'!AJ22</f>
        <v>438.47999999951571</v>
      </c>
      <c r="AD22" s="94">
        <f>'[1]October - 19'!AK22</f>
        <v>12828317.040000001</v>
      </c>
      <c r="AE22" s="254">
        <f>'[1]October - 19'!AL22</f>
        <v>487.20000000111759</v>
      </c>
      <c r="AF22" s="94">
        <f>'[1]October - 19'!AM22</f>
        <v>5797.679999999702</v>
      </c>
      <c r="AG22" s="94">
        <f>'[1]October - 19'!AN22</f>
        <v>12773896.799999999</v>
      </c>
      <c r="AH22" s="254">
        <f>'[1]October - 19'!AO22</f>
        <v>6479.7599999979138</v>
      </c>
      <c r="AI22" s="94">
        <f>'[1]October - 19'!AP22</f>
        <v>10620.960000000894</v>
      </c>
      <c r="AJ22" s="94">
        <f>'[1]October - 19'!AQ22</f>
        <v>11422793.76</v>
      </c>
      <c r="AK22" s="254">
        <f>'[1]October - 19'!AR22</f>
        <v>7551.5999999996275</v>
      </c>
      <c r="AL22" s="94">
        <f>'[1]October - 19'!AS22</f>
        <v>6187.4399999994785</v>
      </c>
      <c r="AM22" s="94">
        <f>'[1]October - 19'!AT22</f>
        <v>10033445.52</v>
      </c>
      <c r="AN22" s="254">
        <f>'[1]October - 19'!AU22</f>
        <v>5213.0399999991059</v>
      </c>
      <c r="AO22" s="295">
        <f>'[1]October - 19'!AV22</f>
        <v>5261.7600000007078</v>
      </c>
      <c r="AP22" s="94">
        <f>'[1]October - 19'!AW22</f>
        <v>9649629.3599999994</v>
      </c>
      <c r="AQ22" s="254">
        <f>'[1]October - 19'!AX22</f>
        <v>5310.4799999985844</v>
      </c>
      <c r="AR22" s="94">
        <f>'[1]October - 19'!AY22</f>
        <v>5066.8799999998882</v>
      </c>
      <c r="AS22" s="94">
        <f>'[1]October - 19'!AZ22</f>
        <v>7759731.8399999999</v>
      </c>
      <c r="AT22" s="254">
        <f>'[1]October - 19'!BA22</f>
        <v>3410.3999999994412</v>
      </c>
      <c r="AU22" s="94">
        <f>'[1]October - 19'!BB22</f>
        <v>3800.1599999992177</v>
      </c>
      <c r="AV22" s="94">
        <f>'[1]October - 19'!BC22</f>
        <v>11440868.880000001</v>
      </c>
      <c r="AW22" s="255">
        <f>'[1]October - 19'!BD22</f>
        <v>5261.7600000016391</v>
      </c>
      <c r="AX22" s="256">
        <f>'[1]October - 19'!BE22</f>
        <v>5943.839999999851</v>
      </c>
      <c r="AY22" s="492"/>
      <c r="AZ22" s="95">
        <f>'[1]October - 19'!BJ22</f>
        <v>47521100</v>
      </c>
      <c r="BA22" s="181">
        <f>'[1]October - 19'!BK22</f>
        <v>57300</v>
      </c>
      <c r="BB22" s="95">
        <f>'[1]October - 19'!BL22</f>
        <v>0</v>
      </c>
      <c r="BC22" s="95">
        <f>'[1]October - 19'!BM22</f>
        <v>52432200</v>
      </c>
      <c r="BD22" s="248">
        <f>'[1]October - 19'!BN22</f>
        <v>0</v>
      </c>
      <c r="BE22" s="95">
        <f>'[1]October - 19'!BO22</f>
        <v>34700</v>
      </c>
      <c r="BF22" s="95">
        <f>'[1]October - 19'!BP22</f>
        <v>45892500</v>
      </c>
      <c r="BG22" s="248">
        <f>'[1]October - 19'!BQ22</f>
        <v>31400</v>
      </c>
      <c r="BH22" s="95">
        <f>'[1]October - 19'!BR22</f>
        <v>40700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'[1]October - 19'!BS22</f>
        <v>3569990</v>
      </c>
      <c r="BT22" s="187">
        <f>'[1]October - 19'!BT22</f>
        <v>6090</v>
      </c>
      <c r="BU22" s="588"/>
      <c r="BV22" s="88">
        <f>'[1]October - 19'!BV22</f>
        <v>0.54</v>
      </c>
      <c r="BW22" s="244">
        <f>'[1]October - 19'!BW22</f>
        <v>-3.9999999999999925E-2</v>
      </c>
      <c r="BX22" s="88">
        <f>'[1]October - 19'!BX22</f>
        <v>-5.0000000000000044E-2</v>
      </c>
      <c r="BY22" s="89">
        <f>'[1]October - 19'!BY22</f>
        <v>42834</v>
      </c>
      <c r="BZ22" s="193">
        <f>'[1]October - 19'!BZ22</f>
        <v>25</v>
      </c>
      <c r="CA22" s="89">
        <f>'[1]October - 19'!CA22</f>
        <v>38035</v>
      </c>
      <c r="CB22" s="193">
        <f>'[1]October - 19'!CB22</f>
        <v>20</v>
      </c>
      <c r="CC22" s="89">
        <f>'[1]October - 19'!CC22</f>
        <v>12559</v>
      </c>
      <c r="CD22" s="193">
        <f>'[1]October - 19'!CD22</f>
        <v>7</v>
      </c>
      <c r="CE22" s="89">
        <f>'[1]October - 19'!CE22</f>
        <v>15670</v>
      </c>
      <c r="CF22" s="193">
        <f>'[1]October - 19'!CF22</f>
        <v>12</v>
      </c>
      <c r="CG22" s="89">
        <f>'[1]October - 19'!CG22</f>
        <v>17994</v>
      </c>
      <c r="CH22" s="193">
        <f>'[1]October - 19'!CH22</f>
        <v>15</v>
      </c>
      <c r="CI22" s="89">
        <f>'[1]October - 19'!CI22</f>
        <v>38110</v>
      </c>
      <c r="CJ22" s="193">
        <f>'[1]October - 19'!CJ22</f>
        <v>26</v>
      </c>
      <c r="CK22" s="89">
        <f>'[1]October - 19'!CK22</f>
        <v>167121</v>
      </c>
      <c r="CL22" s="249">
        <f>'[1]October - 19'!CL22</f>
        <v>86</v>
      </c>
      <c r="CM22" s="89">
        <f>'[1]October - 19'!CM22</f>
        <v>82</v>
      </c>
      <c r="CN22" s="89">
        <f>'[1]October - 19'!CN22</f>
        <v>118524</v>
      </c>
      <c r="CO22" s="249">
        <f>'[1]October - 19'!CO22</f>
        <v>70</v>
      </c>
      <c r="CP22" s="89">
        <f>'[1]October - 19'!CP22</f>
        <v>62</v>
      </c>
      <c r="CQ22" s="89">
        <f>'[1]October - 19'!CQ22</f>
        <v>215365</v>
      </c>
      <c r="CR22" s="249">
        <f>'[1]October - 19'!CR22</f>
        <v>0</v>
      </c>
      <c r="CS22" s="89">
        <f>'[1]October - 19'!CS22</f>
        <v>13</v>
      </c>
      <c r="CT22" s="89">
        <f>'[1]October - 19'!CT22</f>
        <v>462214</v>
      </c>
      <c r="CU22" s="193">
        <f>'[1]October - 19'!CU22</f>
        <v>192</v>
      </c>
      <c r="CV22" s="516"/>
      <c r="CW22" s="208">
        <f>'[1]October - 19'!CW22</f>
        <v>3047</v>
      </c>
      <c r="CX22" s="200">
        <f>'[1]October - 19'!CX22</f>
        <v>0</v>
      </c>
      <c r="CY22" s="91">
        <f>'[1]October - 19'!CY22</f>
        <v>938</v>
      </c>
      <c r="CZ22" s="200">
        <f>'[1]October - 19'!CZ22</f>
        <v>0</v>
      </c>
      <c r="DA22" s="91">
        <f>'[1]October - 19'!DA22</f>
        <v>17233</v>
      </c>
      <c r="DB22" s="200">
        <f>'[1]October - 19'!DB22</f>
        <v>12</v>
      </c>
      <c r="DC22" s="91">
        <f>'[1]October - 19'!DC22</f>
        <v>18019</v>
      </c>
      <c r="DD22" s="200">
        <f>'[1]October - 19'!DD22</f>
        <v>12</v>
      </c>
      <c r="DE22" s="91">
        <f>'[1]October - 19'!DE22</f>
        <v>12539</v>
      </c>
      <c r="DF22" s="200">
        <f>'[1]October - 19'!DF22</f>
        <v>0</v>
      </c>
      <c r="DG22" s="91">
        <f>'[1]October - 19'!DG22</f>
        <v>16619</v>
      </c>
      <c r="DH22" s="200">
        <f>'[1]October - 19'!DH22</f>
        <v>18</v>
      </c>
      <c r="DI22" s="91">
        <f>'[1]October - 19'!DI22</f>
        <v>825</v>
      </c>
      <c r="DJ22" s="200">
        <f>'[1]October - 19'!DJ22</f>
        <v>0</v>
      </c>
      <c r="DK22" s="91">
        <f>'[1]October - 19'!DK22</f>
        <v>3570</v>
      </c>
      <c r="DL22" s="200">
        <f>'[1]October - 19'!DL22</f>
        <v>0</v>
      </c>
      <c r="DM22" s="91">
        <f>'[1]October - 19'!DM22</f>
        <v>520</v>
      </c>
      <c r="DN22" s="200">
        <f>'[1]October - 19'!DN22</f>
        <v>6</v>
      </c>
      <c r="DO22" s="91">
        <f>'[1]October - 19'!DO22</f>
        <v>725</v>
      </c>
      <c r="DP22" s="200">
        <f>'[1]October - 19'!DP22</f>
        <v>1</v>
      </c>
      <c r="DQ22" s="91">
        <f>'[1]October - 19'!DQ22</f>
        <v>15756</v>
      </c>
      <c r="DR22" s="209">
        <f>'[1]October - 19'!DR22</f>
        <v>15</v>
      </c>
      <c r="DS22" s="532"/>
      <c r="DT22" s="213">
        <f>'[1]October - 19'!DT22</f>
        <v>2607775</v>
      </c>
      <c r="DU22" s="224">
        <f>'[1]October - 19'!DU22</f>
        <v>1588</v>
      </c>
      <c r="DV22" s="93">
        <f>'[1]October - 19'!DV22</f>
        <v>4109</v>
      </c>
      <c r="DW22" s="218">
        <f>'[1]October - 19'!DW22</f>
        <v>3</v>
      </c>
      <c r="DX22" s="93">
        <f>'[1]October - 19'!DX22</f>
        <v>1707317</v>
      </c>
      <c r="DY22" s="218">
        <f>'[1]October - 19'!DY22</f>
        <v>1315</v>
      </c>
      <c r="DZ22" s="93">
        <f>'[1]October - 19'!DZ22</f>
        <v>245506</v>
      </c>
      <c r="EA22" s="218">
        <f>'[1]October - 19'!EA22</f>
        <v>126</v>
      </c>
      <c r="EB22" s="93">
        <f>'[1]October - 19'!ED22</f>
        <v>351582</v>
      </c>
      <c r="EC22" s="218">
        <f>'[1]October - 19'!EE22</f>
        <v>556</v>
      </c>
      <c r="ED22" s="93">
        <f>'[1]October - 19'!EF22</f>
        <v>73432</v>
      </c>
      <c r="EE22" s="232">
        <f>'[1]October - 19'!EG22</f>
        <v>132</v>
      </c>
      <c r="EF22" s="579"/>
      <c r="EG22" s="238">
        <f>'[1]October - 19'!EI22</f>
        <v>6427367</v>
      </c>
      <c r="EH22" s="233">
        <f>'[1]October - 19'!EJ22</f>
        <v>6500</v>
      </c>
      <c r="EI22" s="92">
        <f>'[1]October - 19'!EK22</f>
        <v>568140</v>
      </c>
      <c r="EJ22" s="233">
        <f>'[1]October - 19'!EL22</f>
        <v>450</v>
      </c>
      <c r="EK22" s="92">
        <f>'[1]October - 19'!EM22</f>
        <v>4428100</v>
      </c>
      <c r="EL22" s="233">
        <f>'[1]October - 19'!EN22</f>
        <v>3900</v>
      </c>
      <c r="EM22" s="92">
        <f>'[1]October - 19'!EO22</f>
        <v>1960130</v>
      </c>
      <c r="EN22" s="233">
        <f>'[1]October - 19'!EP22</f>
        <v>620</v>
      </c>
      <c r="EO22" s="92">
        <f>'[1]October - 19'!EQ22</f>
        <v>663600</v>
      </c>
      <c r="EP22" s="233">
        <f>'[1]October - 19'!ER22</f>
        <v>220</v>
      </c>
      <c r="EQ22" s="92">
        <f>'[1]October - 19'!ES22</f>
        <v>10482000</v>
      </c>
      <c r="ER22" s="233">
        <f>'[1]October - 19'!ET22</f>
        <v>8000</v>
      </c>
      <c r="ES22" s="554"/>
      <c r="ET22" s="287">
        <f>'[1]October - 19'!EV22</f>
        <v>26110</v>
      </c>
      <c r="EU22" s="286">
        <f>'[1]October - 19'!$EW$11</f>
        <v>18</v>
      </c>
      <c r="EV22" s="285">
        <f>'[1]October - 19'!EX22</f>
        <v>22862</v>
      </c>
      <c r="EW22" s="286">
        <f>'[1]October - 19'!EY22</f>
        <v>17</v>
      </c>
      <c r="EX22" s="285">
        <f>'[1]October - 19'!FB22</f>
        <v>42703</v>
      </c>
      <c r="EY22" s="286">
        <f>'[1]October - 19'!FA22</f>
        <v>0</v>
      </c>
      <c r="EZ22" s="285">
        <f>'[1]October - 19'!EZ22</f>
        <v>0</v>
      </c>
      <c r="FA22" s="286">
        <f>'[1]October - 19'!FA22</f>
        <v>0</v>
      </c>
      <c r="FB22" s="285">
        <f>'[1]October - 19'!FD22</f>
        <v>18051</v>
      </c>
      <c r="FC22" s="288">
        <f>'[1]October - 19'!FE22</f>
        <v>30</v>
      </c>
    </row>
    <row r="23" spans="1:159" ht="30" customHeight="1" x14ac:dyDescent="0.25">
      <c r="A23" s="210">
        <v>43752</v>
      </c>
      <c r="B23" s="212">
        <f>'[1]October - 19'!B23</f>
        <v>0.66</v>
      </c>
      <c r="C23" s="253">
        <f>'[1]October - 19'!E23</f>
        <v>471532</v>
      </c>
      <c r="D23" s="172">
        <f>'[1]October - 19'!F23</f>
        <v>511</v>
      </c>
      <c r="E23" s="170">
        <f>'[1]October - 19'!G23</f>
        <v>497</v>
      </c>
      <c r="F23" s="170">
        <f>'[1]October - 19'!H23</f>
        <v>654880</v>
      </c>
      <c r="G23" s="172">
        <f>'[1]October - 19'!I23</f>
        <v>313</v>
      </c>
      <c r="H23" s="170">
        <f>'[1]October - 19'!J23</f>
        <v>382</v>
      </c>
      <c r="I23" s="170">
        <f>'[1]October - 19'!K23</f>
        <v>996</v>
      </c>
      <c r="J23" s="172">
        <f>'[1]October - 19'!L23</f>
        <v>325</v>
      </c>
      <c r="K23" s="170">
        <f>'[1]October - 19'!N23</f>
        <v>591652</v>
      </c>
      <c r="L23" s="172">
        <f>'[1]October - 19'!O23</f>
        <v>366</v>
      </c>
      <c r="M23" s="170">
        <f>'[1]October - 19'!Q23</f>
        <v>156722</v>
      </c>
      <c r="N23" s="172">
        <f>'[1]October - 19'!R23</f>
        <v>0</v>
      </c>
      <c r="O23" s="170">
        <f>'[1]October - 19'!S23</f>
        <v>83766</v>
      </c>
      <c r="P23" s="172">
        <f>'[1]October - 19'!T23</f>
        <v>201</v>
      </c>
      <c r="Q23" s="170">
        <f>'[1]October - 19'!U23</f>
        <v>205</v>
      </c>
      <c r="R23" s="170">
        <f>'[1]October - 19'!V23</f>
        <v>4635</v>
      </c>
      <c r="S23" s="211">
        <f>'[1]October - 19'!W23</f>
        <v>45</v>
      </c>
      <c r="T23" s="475"/>
      <c r="U23" s="171">
        <f>'[1]October - 19'!AB23</f>
        <v>5248362</v>
      </c>
      <c r="V23" s="254">
        <f>'[1]October - 19'!AC23</f>
        <v>3118.0800000000745</v>
      </c>
      <c r="W23" s="94">
        <f>'[1]October - 19'!AD23</f>
        <v>2582.1600000010803</v>
      </c>
      <c r="X23" s="94">
        <f>'[1]October - 19'!AE23</f>
        <v>10251613.68</v>
      </c>
      <c r="Y23" s="254">
        <f>'[1]October - 19'!AF23</f>
        <v>4774.5600000005215</v>
      </c>
      <c r="Z23" s="94">
        <f>'[1]October - 19'!AG23</f>
        <v>5213.0399999991059</v>
      </c>
      <c r="AA23" s="94">
        <f>'[1]October - 19'!AH23</f>
        <v>9400718.8800000008</v>
      </c>
      <c r="AB23" s="254">
        <f>'[1]October - 19'!AI23</f>
        <v>10913.280000001192</v>
      </c>
      <c r="AC23" s="94">
        <f>'[1]October - 19'!AJ23</f>
        <v>438.48000000044703</v>
      </c>
      <c r="AD23" s="94">
        <f>'[1]October - 19'!AK23</f>
        <v>12828852.959999999</v>
      </c>
      <c r="AE23" s="254">
        <f>'[1]October - 19'!AL23</f>
        <v>535.91999999806285</v>
      </c>
      <c r="AF23" s="94">
        <f>'[1]October - 19'!AM23</f>
        <v>7600.320000000298</v>
      </c>
      <c r="AG23" s="94">
        <f>'[1]October - 19'!AN23</f>
        <v>12780425.280000001</v>
      </c>
      <c r="AH23" s="254">
        <f>'[1]October - 19'!AO23</f>
        <v>6528.4800000023097</v>
      </c>
      <c r="AI23" s="94">
        <f>'[1]October - 19'!AP23</f>
        <v>12423.599999999627</v>
      </c>
      <c r="AJ23" s="94">
        <f>'[1]October - 19'!AQ23</f>
        <v>11430199.199999999</v>
      </c>
      <c r="AK23" s="254">
        <f>'[1]October - 19'!AR23</f>
        <v>7405.4399999994785</v>
      </c>
      <c r="AL23" s="94">
        <f>'[1]October - 19'!AS23</f>
        <v>5797.6800000015646</v>
      </c>
      <c r="AM23" s="94">
        <f>'[1]October - 19'!AT23</f>
        <v>10038220.08</v>
      </c>
      <c r="AN23" s="254">
        <f>'[1]October - 19'!AU23</f>
        <v>4774.5600000005215</v>
      </c>
      <c r="AO23" s="94">
        <f>'[1]October - 19'!AV23</f>
        <v>5115.5999999996275</v>
      </c>
      <c r="AP23" s="94">
        <f>'[1]October - 19'!AW23</f>
        <v>9654306.4800000004</v>
      </c>
      <c r="AQ23" s="254">
        <f>'[1]October - 19'!AX23</f>
        <v>4677.1200000010431</v>
      </c>
      <c r="AR23" s="94">
        <f>'[1]October - 19'!AY23</f>
        <v>5066.8800000008196</v>
      </c>
      <c r="AS23" s="94">
        <f>'[1]October - 19'!AZ23</f>
        <v>7763093.5199999996</v>
      </c>
      <c r="AT23" s="254">
        <f>'[1]October - 19'!BA23</f>
        <v>3361.679999999702</v>
      </c>
      <c r="AU23" s="94">
        <f>'[1]October - 19'!BB23</f>
        <v>3702.7200000006706</v>
      </c>
      <c r="AV23" s="94">
        <f>'[1]October - 19'!BC23</f>
        <v>11445984.48</v>
      </c>
      <c r="AW23" s="255">
        <f>'[1]October - 19'!BD23</f>
        <v>5115.5999999996275</v>
      </c>
      <c r="AX23" s="256">
        <f>'[1]October - 19'!BE23</f>
        <v>5846.4000000003725</v>
      </c>
      <c r="AY23" s="492"/>
      <c r="AZ23" s="95">
        <f>'[1]October - 19'!BJ23</f>
        <v>47578600</v>
      </c>
      <c r="BA23" s="181">
        <f>'[1]October - 19'!BK23</f>
        <v>57500</v>
      </c>
      <c r="BB23" s="95">
        <f>'[1]October - 19'!BL23</f>
        <v>700</v>
      </c>
      <c r="BC23" s="95">
        <f>'[1]October - 19'!BM23</f>
        <v>52432200</v>
      </c>
      <c r="BD23" s="248">
        <f>'[1]October - 19'!BN23</f>
        <v>0</v>
      </c>
      <c r="BE23" s="95">
        <f>'[1]October - 19'!BO23</f>
        <v>39400</v>
      </c>
      <c r="BF23" s="95">
        <f>'[1]October - 19'!BP23</f>
        <v>45923700</v>
      </c>
      <c r="BG23" s="248">
        <f>'[1]October - 19'!BQ23</f>
        <v>31200</v>
      </c>
      <c r="BH23" s="95">
        <f>'[1]October - 19'!BR23</f>
        <v>56900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'[1]October - 19'!BS23</f>
        <v>3575370</v>
      </c>
      <c r="BT23" s="187">
        <f>'[1]October - 19'!BT23</f>
        <v>5380</v>
      </c>
      <c r="BU23" s="588"/>
      <c r="BV23" s="88">
        <f>'[1]October - 19'!BV23</f>
        <v>0.51</v>
      </c>
      <c r="BW23" s="244">
        <f>'[1]October - 19'!BW23</f>
        <v>-3.0000000000000027E-2</v>
      </c>
      <c r="BX23" s="88">
        <f>'[1]October - 19'!BX23</f>
        <v>-3.9999999999999925E-2</v>
      </c>
      <c r="BY23" s="89">
        <f>'[1]October - 19'!BY23</f>
        <v>42854</v>
      </c>
      <c r="BZ23" s="193">
        <f>'[1]October - 19'!BZ23</f>
        <v>20</v>
      </c>
      <c r="CA23" s="89">
        <f>'[1]October - 19'!CA23</f>
        <v>38055</v>
      </c>
      <c r="CB23" s="193">
        <f>'[1]October - 19'!CB23</f>
        <v>20</v>
      </c>
      <c r="CC23" s="89">
        <f>'[1]October - 19'!CC23</f>
        <v>12567</v>
      </c>
      <c r="CD23" s="193">
        <f>'[1]October - 19'!CD23</f>
        <v>8</v>
      </c>
      <c r="CE23" s="89">
        <f>'[1]October - 19'!CE23</f>
        <v>15682</v>
      </c>
      <c r="CF23" s="193">
        <f>'[1]October - 19'!CF23</f>
        <v>12</v>
      </c>
      <c r="CG23" s="89">
        <f>'[1]October - 19'!CG23</f>
        <v>18006</v>
      </c>
      <c r="CH23" s="193">
        <f>'[1]October - 19'!CH23</f>
        <v>12</v>
      </c>
      <c r="CI23" s="89">
        <f>'[1]October - 19'!CI23</f>
        <v>38135</v>
      </c>
      <c r="CJ23" s="193">
        <f>'[1]October - 19'!CJ23</f>
        <v>25</v>
      </c>
      <c r="CK23" s="89">
        <f>'[1]October - 19'!CK23</f>
        <v>167205</v>
      </c>
      <c r="CL23" s="249">
        <f>'[1]October - 19'!CL23</f>
        <v>84</v>
      </c>
      <c r="CM23" s="89">
        <f>'[1]October - 19'!CM23</f>
        <v>83</v>
      </c>
      <c r="CN23" s="89">
        <f>'[1]October - 19'!CN23</f>
        <v>118588</v>
      </c>
      <c r="CO23" s="249">
        <f>'[1]October - 19'!CO23</f>
        <v>64</v>
      </c>
      <c r="CP23" s="89">
        <f>'[1]October - 19'!CP23</f>
        <v>59</v>
      </c>
      <c r="CQ23" s="89">
        <f>'[1]October - 19'!CQ23</f>
        <v>215419</v>
      </c>
      <c r="CR23" s="249">
        <f>'[1]October - 19'!CR23</f>
        <v>54</v>
      </c>
      <c r="CS23" s="89">
        <f>'[1]October - 19'!CS23</f>
        <v>13</v>
      </c>
      <c r="CT23" s="89">
        <f>'[1]October - 19'!CT23</f>
        <v>462406</v>
      </c>
      <c r="CU23" s="193">
        <f>'[1]October - 19'!CU23</f>
        <v>192</v>
      </c>
      <c r="CV23" s="516"/>
      <c r="CW23" s="208">
        <f>'[1]October - 19'!CW23</f>
        <v>3047</v>
      </c>
      <c r="CX23" s="200">
        <f>'[1]October - 19'!CX23</f>
        <v>0</v>
      </c>
      <c r="CY23" s="91">
        <f>'[1]October - 19'!CY23</f>
        <v>938</v>
      </c>
      <c r="CZ23" s="200">
        <f>'[1]October - 19'!CZ23</f>
        <v>0</v>
      </c>
      <c r="DA23" s="91">
        <f>'[1]October - 19'!DA23</f>
        <v>17243</v>
      </c>
      <c r="DB23" s="200">
        <f>'[1]October - 19'!DB23</f>
        <v>10</v>
      </c>
      <c r="DC23" s="91">
        <f>'[1]October - 19'!DC23</f>
        <v>18031</v>
      </c>
      <c r="DD23" s="200">
        <f>'[1]October - 19'!DD23</f>
        <v>12</v>
      </c>
      <c r="DE23" s="91">
        <f>'[1]October - 19'!DE23</f>
        <v>12548</v>
      </c>
      <c r="DF23" s="200">
        <f>'[1]October - 19'!DF23</f>
        <v>9</v>
      </c>
      <c r="DG23" s="91">
        <f>'[1]October - 19'!DG23</f>
        <v>16625</v>
      </c>
      <c r="DH23" s="200">
        <f>'[1]October - 19'!DH23</f>
        <v>6</v>
      </c>
      <c r="DI23" s="91">
        <f>'[1]October - 19'!DI23</f>
        <v>825</v>
      </c>
      <c r="DJ23" s="200">
        <f>'[1]October - 19'!DJ23</f>
        <v>0</v>
      </c>
      <c r="DK23" s="91">
        <f>'[1]October - 19'!DK23</f>
        <v>3570</v>
      </c>
      <c r="DL23" s="200">
        <f>'[1]October - 19'!DL23</f>
        <v>0</v>
      </c>
      <c r="DM23" s="91">
        <f>'[1]October - 19'!DM23</f>
        <v>526</v>
      </c>
      <c r="DN23" s="200">
        <f>'[1]October - 19'!DN23</f>
        <v>6</v>
      </c>
      <c r="DO23" s="91">
        <f>'[1]October - 19'!DO23</f>
        <v>726</v>
      </c>
      <c r="DP23" s="200">
        <f>'[1]October - 19'!DP23</f>
        <v>1</v>
      </c>
      <c r="DQ23" s="91">
        <f>'[1]October - 19'!DQ23</f>
        <v>15783</v>
      </c>
      <c r="DR23" s="209">
        <f>'[1]October - 19'!DR23</f>
        <v>27</v>
      </c>
      <c r="DS23" s="532"/>
      <c r="DT23" s="213">
        <f>'[1]October - 19'!DT23</f>
        <v>2609273</v>
      </c>
      <c r="DU23" s="224">
        <f>'[1]October - 19'!DU23</f>
        <v>1498</v>
      </c>
      <c r="DV23" s="93">
        <f>'[1]October - 19'!DV23</f>
        <v>4115</v>
      </c>
      <c r="DW23" s="218">
        <f>'[1]October - 19'!DW23</f>
        <v>6</v>
      </c>
      <c r="DX23" s="93">
        <f>'[1]October - 19'!DX23</f>
        <v>1708560</v>
      </c>
      <c r="DY23" s="218">
        <f>'[1]October - 19'!DY23</f>
        <v>1243</v>
      </c>
      <c r="DZ23" s="93">
        <f>'[1]October - 19'!DZ23</f>
        <v>245639</v>
      </c>
      <c r="EA23" s="218">
        <f>'[1]October - 19'!EA23</f>
        <v>133</v>
      </c>
      <c r="EB23" s="93">
        <f>'[1]October - 19'!ED23</f>
        <v>352137</v>
      </c>
      <c r="EC23" s="218">
        <f>'[1]October - 19'!EE23</f>
        <v>555</v>
      </c>
      <c r="ED23" s="93">
        <f>'[1]October - 19'!EF23</f>
        <v>73572</v>
      </c>
      <c r="EE23" s="232">
        <f>'[1]October - 19'!EG23</f>
        <v>140</v>
      </c>
      <c r="EF23" s="579"/>
      <c r="EG23" s="238">
        <f>'[1]October - 19'!EI23</f>
        <v>6435207</v>
      </c>
      <c r="EH23" s="233">
        <f>'[1]October - 19'!EJ23</f>
        <v>7840</v>
      </c>
      <c r="EI23" s="92">
        <f>'[1]October - 19'!EK23</f>
        <v>568590</v>
      </c>
      <c r="EJ23" s="233">
        <f>'[1]October - 19'!EL23</f>
        <v>450</v>
      </c>
      <c r="EK23" s="92">
        <f>'[1]October - 19'!EM23</f>
        <v>4432100</v>
      </c>
      <c r="EL23" s="233">
        <f>'[1]October - 19'!EN23</f>
        <v>4000</v>
      </c>
      <c r="EM23" s="92">
        <f>'[1]October - 19'!EO23</f>
        <v>1960831</v>
      </c>
      <c r="EN23" s="233">
        <f>'[1]October - 19'!EP23</f>
        <v>701</v>
      </c>
      <c r="EO23" s="92">
        <f>'[1]October - 19'!EQ23</f>
        <v>663780</v>
      </c>
      <c r="EP23" s="233">
        <f>'[1]October - 19'!ER23</f>
        <v>180</v>
      </c>
      <c r="EQ23" s="92">
        <f>'[1]October - 19'!ES23</f>
        <v>10487600</v>
      </c>
      <c r="ER23" s="233">
        <f>'[1]October - 19'!ET23</f>
        <v>5600</v>
      </c>
      <c r="ES23" s="554"/>
      <c r="ET23" s="287">
        <f>'[1]October - 19'!EV23</f>
        <v>26126</v>
      </c>
      <c r="EU23" s="286">
        <f>'[1]October - 19'!$EW$11</f>
        <v>18</v>
      </c>
      <c r="EV23" s="285">
        <f>'[1]October - 19'!EX23</f>
        <v>22878</v>
      </c>
      <c r="EW23" s="286">
        <f>'[1]October - 19'!EY23</f>
        <v>16</v>
      </c>
      <c r="EX23" s="285">
        <f>'[1]October - 19'!FB23</f>
        <v>42703</v>
      </c>
      <c r="EY23" s="286">
        <f>'[1]October - 19'!FA23</f>
        <v>0</v>
      </c>
      <c r="EZ23" s="285">
        <f>'[1]October - 19'!EZ23</f>
        <v>0</v>
      </c>
      <c r="FA23" s="286">
        <f>'[1]October - 19'!FA23</f>
        <v>0</v>
      </c>
      <c r="FB23" s="285">
        <f>'[1]October - 19'!FD23</f>
        <v>18077</v>
      </c>
      <c r="FC23" s="288">
        <f>'[1]October - 19'!FE23</f>
        <v>26</v>
      </c>
    </row>
    <row r="24" spans="1:159" ht="30" customHeight="1" x14ac:dyDescent="0.25">
      <c r="A24" s="210">
        <v>43753</v>
      </c>
      <c r="B24" s="212">
        <f>'[1]October - 19'!B24</f>
        <v>0.63</v>
      </c>
      <c r="C24" s="253">
        <f>'[1]October - 19'!E24</f>
        <v>472164</v>
      </c>
      <c r="D24" s="172">
        <f>'[1]October - 19'!F24</f>
        <v>632</v>
      </c>
      <c r="E24" s="170">
        <f>'[1]October - 19'!G24</f>
        <v>512</v>
      </c>
      <c r="F24" s="170">
        <f>'[1]October - 19'!H24</f>
        <v>655240</v>
      </c>
      <c r="G24" s="172">
        <f>'[1]October - 19'!I24</f>
        <v>360</v>
      </c>
      <c r="H24" s="170">
        <f>'[1]October - 19'!J24</f>
        <v>331</v>
      </c>
      <c r="I24" s="170">
        <f>'[1]October - 19'!K24</f>
        <v>1388</v>
      </c>
      <c r="J24" s="172">
        <f>'[1]October - 19'!L24</f>
        <v>392</v>
      </c>
      <c r="K24" s="170">
        <f>'[1]October - 19'!N24</f>
        <v>592050</v>
      </c>
      <c r="L24" s="172">
        <f>'[1]October - 19'!O24</f>
        <v>398</v>
      </c>
      <c r="M24" s="170">
        <f>'[1]October - 19'!Q24</f>
        <v>156722</v>
      </c>
      <c r="N24" s="172">
        <f>'[1]October - 19'!R24</f>
        <v>0</v>
      </c>
      <c r="O24" s="170">
        <f>'[1]October - 19'!S24</f>
        <v>83970</v>
      </c>
      <c r="P24" s="172">
        <f>'[1]October - 19'!T24</f>
        <v>204</v>
      </c>
      <c r="Q24" s="170">
        <f>'[1]October - 19'!U24</f>
        <v>198</v>
      </c>
      <c r="R24" s="170">
        <f>'[1]October - 19'!V24</f>
        <v>4690</v>
      </c>
      <c r="S24" s="211">
        <f>'[1]October - 19'!W24</f>
        <v>55</v>
      </c>
      <c r="T24" s="475"/>
      <c r="U24" s="171">
        <f>'[1]October - 19'!AB24</f>
        <v>5251528.8</v>
      </c>
      <c r="V24" s="254">
        <f>'[1]October - 19'!AC24</f>
        <v>3166.7999999998137</v>
      </c>
      <c r="W24" s="94">
        <f>'[1]October - 19'!AD24</f>
        <v>3459.1199999991804</v>
      </c>
      <c r="X24" s="94">
        <f>'[1]October - 19'!AE24</f>
        <v>10256583.119999999</v>
      </c>
      <c r="Y24" s="254">
        <f>'[1]October - 19'!AF24</f>
        <v>4969.4399999994785</v>
      </c>
      <c r="Z24" s="94">
        <f>'[1]October - 19'!AG24</f>
        <v>5115.5999999996275</v>
      </c>
      <c r="AA24" s="94">
        <f>'[1]October - 19'!AH24</f>
        <v>9412752.7199999988</v>
      </c>
      <c r="AB24" s="254">
        <f>'[1]October - 19'!AI24</f>
        <v>12033.839999997988</v>
      </c>
      <c r="AC24" s="94">
        <f>'[1]October - 19'!AJ24</f>
        <v>584.63999999966472</v>
      </c>
      <c r="AD24" s="94">
        <f>'[1]October - 19'!AK24</f>
        <v>12828999.119999999</v>
      </c>
      <c r="AE24" s="254">
        <f>'[1]October - 19'!AL24</f>
        <v>146.16000000014901</v>
      </c>
      <c r="AF24" s="94">
        <f>'[1]October - 19'!AM24</f>
        <v>8136.2400000002235</v>
      </c>
      <c r="AG24" s="94">
        <f>'[1]October - 19'!AN24</f>
        <v>12787733.280000001</v>
      </c>
      <c r="AH24" s="254">
        <f>'[1]October - 19'!AO24</f>
        <v>7308</v>
      </c>
      <c r="AI24" s="94">
        <f>'[1]October - 19'!AP24</f>
        <v>13154.400000000373</v>
      </c>
      <c r="AJ24" s="94">
        <f>'[1]October - 19'!AQ24</f>
        <v>11438043.119999999</v>
      </c>
      <c r="AK24" s="254">
        <f>'[1]October - 19'!AR24</f>
        <v>7843.9199999999255</v>
      </c>
      <c r="AL24" s="94">
        <f>'[1]October - 19'!AS24</f>
        <v>5846.3999999985099</v>
      </c>
      <c r="AM24" s="94">
        <f>'[1]October - 19'!AT24</f>
        <v>10043043.359999999</v>
      </c>
      <c r="AN24" s="254">
        <f>'[1]October - 19'!AU24</f>
        <v>4823.2799999993294</v>
      </c>
      <c r="AO24" s="94">
        <f>'[1]October - 19'!AV24</f>
        <v>5213.0399999991059</v>
      </c>
      <c r="AP24" s="94">
        <f>'[1]October - 19'!AW24</f>
        <v>9659422.0800000001</v>
      </c>
      <c r="AQ24" s="254">
        <f>'[1]October - 19'!AX24</f>
        <v>5115.5999999996275</v>
      </c>
      <c r="AR24" s="94">
        <f>'[1]October - 19'!AY24</f>
        <v>5213.0399999991059</v>
      </c>
      <c r="AS24" s="94">
        <f>'[1]October - 19'!AZ24</f>
        <v>7766552.6400000006</v>
      </c>
      <c r="AT24" s="254">
        <f>'[1]October - 19'!BA24</f>
        <v>3459.1200000010431</v>
      </c>
      <c r="AU24" s="94">
        <f>'[1]October - 19'!BB24</f>
        <v>3800.1599999992177</v>
      </c>
      <c r="AV24" s="94">
        <f>'[1]October - 19'!BC24</f>
        <v>11451343.68</v>
      </c>
      <c r="AW24" s="255">
        <f>'[1]October - 19'!BD24</f>
        <v>5359.1999999992549</v>
      </c>
      <c r="AX24" s="256">
        <f>'[1]October - 19'!BE24</f>
        <v>5797.679999999702</v>
      </c>
      <c r="AY24" s="492"/>
      <c r="AZ24" s="95">
        <f>'[1]October - 19'!BJ24</f>
        <v>47635300</v>
      </c>
      <c r="BA24" s="181">
        <f>'[1]October - 19'!BK24</f>
        <v>56700</v>
      </c>
      <c r="BB24" s="95">
        <f>'[1]October - 19'!BL24</f>
        <v>0</v>
      </c>
      <c r="BC24" s="95">
        <f>'[1]October - 19'!BM24</f>
        <v>52432200</v>
      </c>
      <c r="BD24" s="248">
        <f>'[1]October - 19'!BN24</f>
        <v>0</v>
      </c>
      <c r="BE24" s="95">
        <f>'[1]October - 19'!BO24</f>
        <v>40000</v>
      </c>
      <c r="BF24" s="95">
        <f>'[1]October - 19'!BP24</f>
        <v>45955700</v>
      </c>
      <c r="BG24" s="248">
        <f>'[1]October - 19'!BQ24</f>
        <v>32000</v>
      </c>
      <c r="BH24" s="95">
        <f>'[1]October - 19'!BR24</f>
        <v>58200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'[1]October - 19'!BS24</f>
        <v>3581960</v>
      </c>
      <c r="BT24" s="187">
        <f>'[1]October - 19'!BT24</f>
        <v>6590</v>
      </c>
      <c r="BU24" s="588"/>
      <c r="BV24" s="88">
        <f>'[1]October - 19'!BV24</f>
        <v>0.46</v>
      </c>
      <c r="BW24" s="244">
        <f>'[1]October - 19'!BW24</f>
        <v>-4.9999999999999989E-2</v>
      </c>
      <c r="BX24" s="88">
        <f>'[1]October - 19'!BX24</f>
        <v>-4.0000000000000036E-2</v>
      </c>
      <c r="BY24" s="89">
        <f>'[1]October - 19'!BY24</f>
        <v>42870</v>
      </c>
      <c r="BZ24" s="193">
        <f>'[1]October - 19'!BZ24</f>
        <v>16</v>
      </c>
      <c r="CA24" s="89">
        <f>'[1]October - 19'!CA24</f>
        <v>38059</v>
      </c>
      <c r="CB24" s="193">
        <f>'[1]October - 19'!CB24</f>
        <v>4</v>
      </c>
      <c r="CC24" s="89">
        <f>'[1]October - 19'!CC24</f>
        <v>12573</v>
      </c>
      <c r="CD24" s="193">
        <f>'[1]October - 19'!CD24</f>
        <v>6</v>
      </c>
      <c r="CE24" s="89">
        <f>'[1]October - 19'!CE24</f>
        <v>15688</v>
      </c>
      <c r="CF24" s="193">
        <f>'[1]October - 19'!CF24</f>
        <v>6</v>
      </c>
      <c r="CG24" s="89">
        <f>'[1]October - 19'!CG24</f>
        <v>18016</v>
      </c>
      <c r="CH24" s="193">
        <f>'[1]October - 19'!CH24</f>
        <v>10</v>
      </c>
      <c r="CI24" s="89">
        <f>'[1]October - 19'!CI24</f>
        <v>38159</v>
      </c>
      <c r="CJ24" s="193">
        <f>'[1]October - 19'!CJ24</f>
        <v>24</v>
      </c>
      <c r="CK24" s="89">
        <f>'[1]October - 19'!CK24</f>
        <v>167298</v>
      </c>
      <c r="CL24" s="249">
        <f>'[1]October - 19'!CL24</f>
        <v>93</v>
      </c>
      <c r="CM24" s="89">
        <f>'[1]October - 19'!CM24</f>
        <v>78</v>
      </c>
      <c r="CN24" s="89">
        <f>'[1]October - 19'!CN24</f>
        <v>118651</v>
      </c>
      <c r="CO24" s="249">
        <f>'[1]October - 19'!CO24</f>
        <v>63</v>
      </c>
      <c r="CP24" s="89">
        <f>'[1]October - 19'!CP24</f>
        <v>54</v>
      </c>
      <c r="CQ24" s="89">
        <f>'[1]October - 19'!CQ24</f>
        <v>215496</v>
      </c>
      <c r="CR24" s="249">
        <f>'[1]October - 19'!CR24</f>
        <v>77</v>
      </c>
      <c r="CS24" s="89">
        <f>'[1]October - 19'!CS24</f>
        <v>12</v>
      </c>
      <c r="CT24" s="89">
        <f>'[1]October - 19'!CT24</f>
        <v>462595</v>
      </c>
      <c r="CU24" s="193">
        <f>'[1]October - 19'!CU24</f>
        <v>189</v>
      </c>
      <c r="CV24" s="516"/>
      <c r="CW24" s="208">
        <f>'[1]October - 19'!CW24</f>
        <v>3047</v>
      </c>
      <c r="CX24" s="200">
        <f>'[1]October - 19'!CX24</f>
        <v>0</v>
      </c>
      <c r="CY24" s="91">
        <f>'[1]October - 19'!CY24</f>
        <v>938</v>
      </c>
      <c r="CZ24" s="200">
        <f>'[1]October - 19'!CZ24</f>
        <v>0</v>
      </c>
      <c r="DA24" s="91">
        <f>'[1]October - 19'!DA24</f>
        <v>17245</v>
      </c>
      <c r="DB24" s="200">
        <f>'[1]October - 19'!DB24</f>
        <v>2</v>
      </c>
      <c r="DC24" s="91">
        <f>'[1]October - 19'!DC24</f>
        <v>18031</v>
      </c>
      <c r="DD24" s="200">
        <f>'[1]October - 19'!DD24</f>
        <v>0</v>
      </c>
      <c r="DE24" s="91">
        <f>'[1]October - 19'!DE24</f>
        <v>12556</v>
      </c>
      <c r="DF24" s="200">
        <f>'[1]October - 19'!DF24</f>
        <v>8</v>
      </c>
      <c r="DG24" s="91">
        <f>'[1]October - 19'!DG24</f>
        <v>16632</v>
      </c>
      <c r="DH24" s="200">
        <f>'[1]October - 19'!DH24</f>
        <v>7</v>
      </c>
      <c r="DI24" s="91">
        <f>'[1]October - 19'!DI24</f>
        <v>825</v>
      </c>
      <c r="DJ24" s="200">
        <f>'[1]October - 19'!DJ24</f>
        <v>0</v>
      </c>
      <c r="DK24" s="91">
        <f>'[1]October - 19'!DK24</f>
        <v>3570</v>
      </c>
      <c r="DL24" s="200">
        <f>'[1]October - 19'!DL24</f>
        <v>0</v>
      </c>
      <c r="DM24" s="91">
        <f>'[1]October - 19'!DM24</f>
        <v>531</v>
      </c>
      <c r="DN24" s="200">
        <f>'[1]October - 19'!DN24</f>
        <v>5</v>
      </c>
      <c r="DO24" s="91">
        <f>'[1]October - 19'!DO24</f>
        <v>727</v>
      </c>
      <c r="DP24" s="200">
        <f>'[1]October - 19'!DP24</f>
        <v>1</v>
      </c>
      <c r="DQ24" s="91">
        <f>'[1]October - 19'!DQ24</f>
        <v>15810</v>
      </c>
      <c r="DR24" s="209">
        <f>'[1]October - 19'!DR24</f>
        <v>27</v>
      </c>
      <c r="DS24" s="532"/>
      <c r="DT24" s="213">
        <f>'[1]October - 19'!DT24</f>
        <v>2610757</v>
      </c>
      <c r="DU24" s="224">
        <f>'[1]October - 19'!DU24</f>
        <v>1484</v>
      </c>
      <c r="DV24" s="93">
        <f>'[1]October - 19'!DV24</f>
        <v>4118</v>
      </c>
      <c r="DW24" s="218">
        <f>'[1]October - 19'!DW24</f>
        <v>3</v>
      </c>
      <c r="DX24" s="93">
        <f>'[1]October - 19'!DX24</f>
        <v>1709827</v>
      </c>
      <c r="DY24" s="218">
        <f>'[1]October - 19'!DY24</f>
        <v>1267</v>
      </c>
      <c r="DZ24" s="93">
        <f>'[1]October - 19'!DZ24</f>
        <v>245772</v>
      </c>
      <c r="EA24" s="218">
        <f>'[1]October - 19'!EA24</f>
        <v>133</v>
      </c>
      <c r="EB24" s="93">
        <f>'[1]October - 19'!ED24</f>
        <v>352707</v>
      </c>
      <c r="EC24" s="218">
        <f>'[1]October - 19'!EE24</f>
        <v>570</v>
      </c>
      <c r="ED24" s="93">
        <f>'[1]October - 19'!EF24</f>
        <v>73708</v>
      </c>
      <c r="EE24" s="232">
        <f>'[1]October - 19'!EG24</f>
        <v>136</v>
      </c>
      <c r="EF24" s="579"/>
      <c r="EG24" s="238">
        <f>'[1]October - 19'!EI24</f>
        <v>6443047</v>
      </c>
      <c r="EH24" s="233">
        <f>'[1]October - 19'!EJ24</f>
        <v>7840</v>
      </c>
      <c r="EI24" s="92">
        <f>'[1]October - 19'!EK24</f>
        <v>569040</v>
      </c>
      <c r="EJ24" s="233">
        <f>'[1]October - 19'!EL24</f>
        <v>450</v>
      </c>
      <c r="EK24" s="92">
        <f>'[1]October - 19'!EM24</f>
        <v>4435800</v>
      </c>
      <c r="EL24" s="233">
        <f>'[1]October - 19'!EN24</f>
        <v>3700</v>
      </c>
      <c r="EM24" s="92">
        <f>'[1]October - 19'!EO24</f>
        <v>1961551</v>
      </c>
      <c r="EN24" s="233">
        <f>'[1]October - 19'!EP24</f>
        <v>720</v>
      </c>
      <c r="EO24" s="92">
        <f>'[1]October - 19'!EQ24</f>
        <v>663960</v>
      </c>
      <c r="EP24" s="233">
        <f>'[1]October - 19'!ER24</f>
        <v>180</v>
      </c>
      <c r="EQ24" s="92">
        <f>'[1]October - 19'!ES24</f>
        <v>10493200</v>
      </c>
      <c r="ER24" s="233">
        <f>'[1]October - 19'!ET24</f>
        <v>5600</v>
      </c>
      <c r="ES24" s="554"/>
      <c r="ET24" s="287">
        <f>'[1]October - 19'!EV24</f>
        <v>26145</v>
      </c>
      <c r="EU24" s="286">
        <f>'[1]October - 19'!$EW$11</f>
        <v>18</v>
      </c>
      <c r="EV24" s="285">
        <f>'[1]October - 19'!EX24</f>
        <v>22894</v>
      </c>
      <c r="EW24" s="286">
        <f>'[1]October - 19'!EY24</f>
        <v>16</v>
      </c>
      <c r="EX24" s="285">
        <f>'[1]October - 19'!FB24</f>
        <v>42703</v>
      </c>
      <c r="EY24" s="286">
        <f>'[1]October - 19'!FA24</f>
        <v>0</v>
      </c>
      <c r="EZ24" s="285">
        <f>'[1]October - 19'!EZ24</f>
        <v>0</v>
      </c>
      <c r="FA24" s="286">
        <f>'[1]October - 19'!FA24</f>
        <v>0</v>
      </c>
      <c r="FB24" s="285">
        <f>'[1]October - 19'!FD24</f>
        <v>18106</v>
      </c>
      <c r="FC24" s="288">
        <f>'[1]October - 19'!FE24</f>
        <v>29</v>
      </c>
    </row>
    <row r="25" spans="1:159" ht="30" customHeight="1" x14ac:dyDescent="0.25">
      <c r="A25" s="210">
        <v>43754</v>
      </c>
      <c r="B25" s="212">
        <f>'[1]October - 19'!B25</f>
        <v>0.61</v>
      </c>
      <c r="C25" s="253">
        <f>'[1]October - 19'!E25</f>
        <v>472650</v>
      </c>
      <c r="D25" s="172">
        <f>'[1]October - 19'!F25</f>
        <v>486</v>
      </c>
      <c r="E25" s="170">
        <f>'[1]October - 19'!G25</f>
        <v>615</v>
      </c>
      <c r="F25" s="170">
        <f>'[1]October - 19'!H25</f>
        <v>655562</v>
      </c>
      <c r="G25" s="172">
        <f>'[1]October - 19'!I25</f>
        <v>322</v>
      </c>
      <c r="H25" s="170">
        <f>'[1]October - 19'!J25</f>
        <v>365</v>
      </c>
      <c r="I25" s="170">
        <f>'[1]October - 19'!K25</f>
        <v>1782</v>
      </c>
      <c r="J25" s="172">
        <f>'[1]October - 19'!L25</f>
        <v>394</v>
      </c>
      <c r="K25" s="170">
        <f>'[1]October - 19'!N25</f>
        <v>592441</v>
      </c>
      <c r="L25" s="172">
        <f>'[1]October - 19'!O25</f>
        <v>391</v>
      </c>
      <c r="M25" s="170">
        <f>'[1]October - 19'!Q25</f>
        <v>156722</v>
      </c>
      <c r="N25" s="172">
        <f>'[1]October - 19'!R25</f>
        <v>0</v>
      </c>
      <c r="O25" s="170">
        <f>'[1]October - 19'!S25</f>
        <v>84201</v>
      </c>
      <c r="P25" s="172">
        <f>'[1]October - 19'!T25</f>
        <v>231</v>
      </c>
      <c r="Q25" s="170">
        <f>'[1]October - 19'!U25</f>
        <v>191</v>
      </c>
      <c r="R25" s="170">
        <f>'[1]October - 19'!V25</f>
        <v>4752</v>
      </c>
      <c r="S25" s="211">
        <f>'[1]October - 19'!W25</f>
        <v>62</v>
      </c>
      <c r="T25" s="475"/>
      <c r="U25" s="171">
        <f>'[1]October - 19'!AB25</f>
        <v>5254549.4400000004</v>
      </c>
      <c r="V25" s="254">
        <f>'[1]October - 19'!AC25</f>
        <v>3020.640000000596</v>
      </c>
      <c r="W25" s="94">
        <f>'[1]October - 19'!AD25</f>
        <v>3020.6399999996647</v>
      </c>
      <c r="X25" s="94">
        <f>'[1]October - 19'!AE25</f>
        <v>10261357.68</v>
      </c>
      <c r="Y25" s="254">
        <f>'[1]October - 19'!AF25</f>
        <v>4774.5600000005215</v>
      </c>
      <c r="Z25" s="94">
        <f>'[1]October - 19'!AG25</f>
        <v>5554.0800000000745</v>
      </c>
      <c r="AA25" s="94">
        <f>'[1]October - 19'!AH25</f>
        <v>9424932.7199999988</v>
      </c>
      <c r="AB25" s="254">
        <f>'[1]October - 19'!AI25</f>
        <v>12180</v>
      </c>
      <c r="AC25" s="94">
        <f>'[1]October - 19'!AJ25</f>
        <v>535.92000000085682</v>
      </c>
      <c r="AD25" s="94">
        <f>'[1]October - 19'!AK25</f>
        <v>12829291.439999999</v>
      </c>
      <c r="AE25" s="254">
        <f>'[1]October - 19'!AL25</f>
        <v>292.32000000029802</v>
      </c>
      <c r="AF25" s="94">
        <f>'[1]October - 19'!AM25</f>
        <v>8233.679999999702</v>
      </c>
      <c r="AG25" s="94">
        <f>'[1]October - 19'!AN25</f>
        <v>12793969.439999999</v>
      </c>
      <c r="AH25" s="254">
        <f>'[1]October - 19'!AO25</f>
        <v>6236.1599999982864</v>
      </c>
      <c r="AI25" s="94">
        <f>'[1]October - 19'!AP25</f>
        <v>11936.400000000373</v>
      </c>
      <c r="AJ25" s="94">
        <f>'[1]October - 19'!AQ25</f>
        <v>11445692.16</v>
      </c>
      <c r="AK25" s="254">
        <f>'[1]October - 19'!AR25</f>
        <v>7649.0400000009686</v>
      </c>
      <c r="AL25" s="94">
        <f>'[1]October - 19'!AS25</f>
        <v>6090</v>
      </c>
      <c r="AM25" s="94">
        <f>'[1]October - 19'!AT25</f>
        <v>10047720.48</v>
      </c>
      <c r="AN25" s="254">
        <f>'[1]October - 19'!AU25</f>
        <v>4677.1200000010431</v>
      </c>
      <c r="AO25" s="94">
        <f>'[1]October - 19'!AV25</f>
        <v>5164.320000000298</v>
      </c>
      <c r="AP25" s="94">
        <f>'[1]October - 19'!AW25</f>
        <v>9664294.0800000001</v>
      </c>
      <c r="AQ25" s="254">
        <f>'[1]October - 19'!AX25</f>
        <v>4872</v>
      </c>
      <c r="AR25" s="94">
        <f>'[1]October - 19'!AY25</f>
        <v>4872</v>
      </c>
      <c r="AS25" s="94">
        <f>'[1]October - 19'!AZ25</f>
        <v>7769670.7199999997</v>
      </c>
      <c r="AT25" s="254">
        <f>'[1]October - 19'!BA25</f>
        <v>3118.0799999991432</v>
      </c>
      <c r="AU25" s="94">
        <f>'[1]October - 19'!BB25</f>
        <v>3410.4000000003725</v>
      </c>
      <c r="AV25" s="94">
        <f>'[1]October - 19'!BC25</f>
        <v>11456410.559999999</v>
      </c>
      <c r="AW25" s="255">
        <f>'[1]October - 19'!BD25</f>
        <v>5066.8799999989569</v>
      </c>
      <c r="AX25" s="256">
        <f>'[1]October - 19'!BE25</f>
        <v>5895.1199999991804</v>
      </c>
      <c r="AY25" s="492"/>
      <c r="AZ25" s="95">
        <f>'[1]October - 19'!BJ25</f>
        <v>47697900</v>
      </c>
      <c r="BA25" s="181">
        <f>'[1]October - 19'!BK25</f>
        <v>62600</v>
      </c>
      <c r="BB25" s="95">
        <f>'[1]October - 19'!BL25</f>
        <v>0</v>
      </c>
      <c r="BC25" s="95">
        <f>'[1]October - 19'!BM25</f>
        <v>52432200</v>
      </c>
      <c r="BD25" s="248">
        <f>'[1]October - 19'!BN25</f>
        <v>0</v>
      </c>
      <c r="BE25" s="95">
        <f>'[1]October - 19'!BO25</f>
        <v>41700</v>
      </c>
      <c r="BF25" s="95">
        <f>'[1]October - 19'!BP25</f>
        <v>45988800</v>
      </c>
      <c r="BG25" s="248">
        <f>'[1]October - 19'!BQ25</f>
        <v>33100</v>
      </c>
      <c r="BH25" s="95">
        <f>'[1]October - 19'!BR25</f>
        <v>52700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'[1]October - 19'!BS25</f>
        <v>3587910</v>
      </c>
      <c r="BT25" s="187">
        <f>'[1]October - 19'!BT25</f>
        <v>5950</v>
      </c>
      <c r="BU25" s="588"/>
      <c r="BV25" s="88">
        <f>'[1]October - 19'!BV25</f>
        <v>0.43</v>
      </c>
      <c r="BW25" s="244">
        <f>'[1]October - 19'!BW25</f>
        <v>-3.0000000000000027E-2</v>
      </c>
      <c r="BX25" s="88">
        <f>'[1]October - 19'!BX25</f>
        <v>-3.999999999999998E-2</v>
      </c>
      <c r="BY25" s="89">
        <f>'[1]October - 19'!BY25</f>
        <v>42889</v>
      </c>
      <c r="BZ25" s="193">
        <f>'[1]October - 19'!BZ25</f>
        <v>19</v>
      </c>
      <c r="CA25" s="89">
        <f>'[1]October - 19'!CA25</f>
        <v>38076</v>
      </c>
      <c r="CB25" s="193">
        <f>'[1]October - 19'!CB25</f>
        <v>17</v>
      </c>
      <c r="CC25" s="89">
        <f>'[1]October - 19'!CC25</f>
        <v>12579</v>
      </c>
      <c r="CD25" s="193">
        <f>'[1]October - 19'!CD25</f>
        <v>6</v>
      </c>
      <c r="CE25" s="89">
        <f>'[1]October - 19'!CE25</f>
        <v>15698</v>
      </c>
      <c r="CF25" s="193">
        <f>'[1]October - 19'!CF25</f>
        <v>10</v>
      </c>
      <c r="CG25" s="89">
        <f>'[1]October - 19'!CG25</f>
        <v>18026</v>
      </c>
      <c r="CH25" s="193">
        <f>'[1]October - 19'!CH25</f>
        <v>10</v>
      </c>
      <c r="CI25" s="89">
        <f>'[1]October - 19'!CI25</f>
        <v>38184</v>
      </c>
      <c r="CJ25" s="193">
        <f>'[1]October - 19'!CJ25</f>
        <v>25</v>
      </c>
      <c r="CK25" s="89">
        <f>'[1]October - 19'!CK25</f>
        <v>167374</v>
      </c>
      <c r="CL25" s="249">
        <f>'[1]October - 19'!CL25</f>
        <v>76</v>
      </c>
      <c r="CM25" s="89">
        <f>'[1]October - 19'!CM25</f>
        <v>79</v>
      </c>
      <c r="CN25" s="89">
        <f>'[1]October - 19'!CN25</f>
        <v>118719</v>
      </c>
      <c r="CO25" s="249">
        <f>'[1]October - 19'!CO25</f>
        <v>68</v>
      </c>
      <c r="CP25" s="89">
        <f>'[1]October - 19'!CP25</f>
        <v>61</v>
      </c>
      <c r="CQ25" s="89">
        <f>'[1]October - 19'!CQ25</f>
        <v>215569</v>
      </c>
      <c r="CR25" s="249">
        <f>'[1]October - 19'!CR25</f>
        <v>73</v>
      </c>
      <c r="CS25" s="89">
        <f>'[1]October - 19'!CS25</f>
        <v>13</v>
      </c>
      <c r="CT25" s="89">
        <f>'[1]October - 19'!CT25</f>
        <v>462787</v>
      </c>
      <c r="CU25" s="193">
        <f>'[1]October - 19'!CU25</f>
        <v>192</v>
      </c>
      <c r="CV25" s="516"/>
      <c r="CW25" s="208">
        <f>'[1]October - 19'!CW25</f>
        <v>3047</v>
      </c>
      <c r="CX25" s="200">
        <f>'[1]October - 19'!CX25</f>
        <v>0</v>
      </c>
      <c r="CY25" s="91">
        <f>'[1]October - 19'!CY25</f>
        <v>938</v>
      </c>
      <c r="CZ25" s="200">
        <f>'[1]October - 19'!CZ25</f>
        <v>0</v>
      </c>
      <c r="DA25" s="91">
        <f>'[1]October - 19'!DA25</f>
        <v>17258</v>
      </c>
      <c r="DB25" s="200">
        <f>'[1]October - 19'!DB25</f>
        <v>13</v>
      </c>
      <c r="DC25" s="91">
        <f>'[1]October - 19'!DC25</f>
        <v>18043</v>
      </c>
      <c r="DD25" s="200">
        <f>'[1]October - 19'!DD25</f>
        <v>12</v>
      </c>
      <c r="DE25" s="91">
        <f>'[1]October - 19'!DE25</f>
        <v>12559</v>
      </c>
      <c r="DF25" s="200">
        <f>'[1]October - 19'!DF25</f>
        <v>3</v>
      </c>
      <c r="DG25" s="91">
        <f>'[1]October - 19'!DG25</f>
        <v>16635</v>
      </c>
      <c r="DH25" s="200">
        <f>'[1]October - 19'!DH25</f>
        <v>3</v>
      </c>
      <c r="DI25" s="91">
        <f>'[1]October - 19'!DI25</f>
        <v>825</v>
      </c>
      <c r="DJ25" s="200">
        <f>'[1]October - 19'!DJ25</f>
        <v>0</v>
      </c>
      <c r="DK25" s="91">
        <f>'[1]October - 19'!DK25</f>
        <v>3570</v>
      </c>
      <c r="DL25" s="200">
        <f>'[1]October - 19'!DL25</f>
        <v>0</v>
      </c>
      <c r="DM25" s="91">
        <f>'[1]October - 19'!DM25</f>
        <v>536</v>
      </c>
      <c r="DN25" s="200">
        <f>'[1]October - 19'!DN25</f>
        <v>5</v>
      </c>
      <c r="DO25" s="91">
        <f>'[1]October - 19'!DO25</f>
        <v>728</v>
      </c>
      <c r="DP25" s="200">
        <f>'[1]October - 19'!DP25</f>
        <v>1</v>
      </c>
      <c r="DQ25" s="91">
        <f>'[1]October - 19'!DQ25</f>
        <v>15837</v>
      </c>
      <c r="DR25" s="209">
        <f>'[1]October - 19'!DR25</f>
        <v>27</v>
      </c>
      <c r="DS25" s="532"/>
      <c r="DT25" s="213">
        <f>'[1]October - 19'!DT25</f>
        <v>2612254</v>
      </c>
      <c r="DU25" s="224">
        <f>'[1]October - 19'!DU25</f>
        <v>1497</v>
      </c>
      <c r="DV25" s="93">
        <f>'[1]October - 19'!DV25</f>
        <v>4124</v>
      </c>
      <c r="DW25" s="218">
        <f>'[1]October - 19'!DW25</f>
        <v>6</v>
      </c>
      <c r="DX25" s="93">
        <f>'[1]October - 19'!DX25</f>
        <v>1711022</v>
      </c>
      <c r="DY25" s="218">
        <f>'[1]October - 19'!DY25</f>
        <v>1195</v>
      </c>
      <c r="DZ25" s="93">
        <f>'[1]October - 19'!DZ25</f>
        <v>245904</v>
      </c>
      <c r="EA25" s="218">
        <f>'[1]October - 19'!EA25</f>
        <v>132</v>
      </c>
      <c r="EB25" s="93">
        <f>'[1]October - 19'!ED25</f>
        <v>353265</v>
      </c>
      <c r="EC25" s="218">
        <f>'[1]October - 19'!EE25</f>
        <v>558</v>
      </c>
      <c r="ED25" s="93">
        <f>'[1]October - 19'!EF25</f>
        <v>73845</v>
      </c>
      <c r="EE25" s="232">
        <f>'[1]October - 19'!EG25</f>
        <v>137</v>
      </c>
      <c r="EF25" s="579"/>
      <c r="EG25" s="238">
        <f>'[1]October - 19'!EI25</f>
        <v>6449847</v>
      </c>
      <c r="EH25" s="233">
        <f>'[1]October - 19'!EJ25</f>
        <v>6800</v>
      </c>
      <c r="EI25" s="92">
        <f>'[1]October - 19'!EK25</f>
        <v>569450</v>
      </c>
      <c r="EJ25" s="233">
        <f>'[1]October - 19'!EL25</f>
        <v>410</v>
      </c>
      <c r="EK25" s="92">
        <f>'[1]October - 19'!EM25</f>
        <v>4439800</v>
      </c>
      <c r="EL25" s="233">
        <f>'[1]October - 19'!EN25</f>
        <v>4000</v>
      </c>
      <c r="EM25" s="92">
        <f>'[1]October - 19'!EO25</f>
        <v>1962231</v>
      </c>
      <c r="EN25" s="233">
        <f>'[1]October - 19'!EP25</f>
        <v>680</v>
      </c>
      <c r="EO25" s="92">
        <f>'[1]October - 19'!EQ25</f>
        <v>664140</v>
      </c>
      <c r="EP25" s="233">
        <f>'[1]October - 19'!ER25</f>
        <v>180</v>
      </c>
      <c r="EQ25" s="92">
        <f>'[1]October - 19'!ES25</f>
        <v>10500700</v>
      </c>
      <c r="ER25" s="233">
        <f>'[1]October - 19'!ET25</f>
        <v>7500</v>
      </c>
      <c r="ES25" s="554"/>
      <c r="ET25" s="287">
        <f>'[1]October - 19'!EV25</f>
        <v>26162</v>
      </c>
      <c r="EU25" s="286">
        <f>'[1]October - 19'!$EW$11</f>
        <v>18</v>
      </c>
      <c r="EV25" s="285">
        <f>'[1]October - 19'!EX25</f>
        <v>22910</v>
      </c>
      <c r="EW25" s="286">
        <f>'[1]October - 19'!EY25</f>
        <v>16</v>
      </c>
      <c r="EX25" s="285">
        <f>'[1]October - 19'!FB25</f>
        <v>42703</v>
      </c>
      <c r="EY25" s="286">
        <f>'[1]October - 19'!FA25</f>
        <v>0</v>
      </c>
      <c r="EZ25" s="285">
        <f>'[1]October - 19'!EZ25</f>
        <v>0</v>
      </c>
      <c r="FA25" s="286">
        <f>'[1]October - 19'!FA25</f>
        <v>0</v>
      </c>
      <c r="FB25" s="285">
        <f>'[1]October - 19'!FD25</f>
        <v>18135</v>
      </c>
      <c r="FC25" s="288">
        <f>'[1]October - 19'!FE25</f>
        <v>29</v>
      </c>
    </row>
    <row r="26" spans="1:159" ht="30" customHeight="1" x14ac:dyDescent="0.25">
      <c r="A26" s="210">
        <v>43755</v>
      </c>
      <c r="B26" s="212">
        <f>'[1]October - 19'!B26</f>
        <v>0.62</v>
      </c>
      <c r="C26" s="253">
        <f>'[1]October - 19'!E26</f>
        <v>473230</v>
      </c>
      <c r="D26" s="172">
        <f>'[1]October - 19'!F26</f>
        <v>580</v>
      </c>
      <c r="E26" s="170">
        <f>'[1]October - 19'!G26</f>
        <v>516</v>
      </c>
      <c r="F26" s="170">
        <f>'[1]October - 19'!H26</f>
        <v>655917</v>
      </c>
      <c r="G26" s="172">
        <f>'[1]October - 19'!I26</f>
        <v>355</v>
      </c>
      <c r="H26" s="170">
        <f>'[1]October - 19'!J26</f>
        <v>369</v>
      </c>
      <c r="I26" s="170">
        <f>'[1]October - 19'!K26</f>
        <v>2006</v>
      </c>
      <c r="J26" s="172">
        <f>'[1]October - 19'!L26</f>
        <v>224</v>
      </c>
      <c r="K26" s="170">
        <f>'[1]October - 19'!N26</f>
        <v>592658</v>
      </c>
      <c r="L26" s="172">
        <f>'[1]October - 19'!O26</f>
        <v>217</v>
      </c>
      <c r="M26" s="170">
        <f>'[1]October - 19'!Q26</f>
        <v>156722</v>
      </c>
      <c r="N26" s="172">
        <f>'[1]October - 19'!R26</f>
        <v>0</v>
      </c>
      <c r="O26" s="170">
        <f>'[1]October - 19'!S26</f>
        <v>84419</v>
      </c>
      <c r="P26" s="172">
        <f>'[1]October - 19'!T26</f>
        <v>218</v>
      </c>
      <c r="Q26" s="170">
        <f>'[1]October - 19'!U26</f>
        <v>178</v>
      </c>
      <c r="R26" s="170">
        <f>'[1]October - 19'!V26</f>
        <v>4808</v>
      </c>
      <c r="S26" s="211">
        <f>'[1]October - 19'!W26</f>
        <v>56</v>
      </c>
      <c r="T26" s="475"/>
      <c r="U26" s="171">
        <f>'[1]October - 19'!AB26</f>
        <v>5257716.24</v>
      </c>
      <c r="V26" s="254">
        <f>'[1]October - 19'!AC26</f>
        <v>3166.7999999998137</v>
      </c>
      <c r="W26" s="94">
        <f>'[1]October - 19'!AD26</f>
        <v>2971.9200000008568</v>
      </c>
      <c r="X26" s="94">
        <f>'[1]October - 19'!AE26</f>
        <v>10266278.4</v>
      </c>
      <c r="Y26" s="254">
        <f>'[1]October - 19'!AF26</f>
        <v>4920.7200000006706</v>
      </c>
      <c r="Z26" s="94">
        <f>'[1]October - 19'!AG26</f>
        <v>5407.9199999999255</v>
      </c>
      <c r="AA26" s="94">
        <f>'[1]October - 19'!AH26</f>
        <v>9437015.2800000012</v>
      </c>
      <c r="AB26" s="254">
        <f>'[1]October - 19'!AI26</f>
        <v>12082.560000002384</v>
      </c>
      <c r="AC26" s="94">
        <f>'[1]October - 19'!AJ26</f>
        <v>438.47999999951571</v>
      </c>
      <c r="AD26" s="94">
        <f>'[1]October - 19'!AK26</f>
        <v>12829924.799999999</v>
      </c>
      <c r="AE26" s="254">
        <f>'[1]October - 19'!AL26</f>
        <v>633.35999999940395</v>
      </c>
      <c r="AF26" s="94">
        <f>'[1]October - 19'!AM26</f>
        <v>7795.1999999992549</v>
      </c>
      <c r="AG26" s="94">
        <f>'[1]October - 19'!AN26</f>
        <v>12801715.919999998</v>
      </c>
      <c r="AH26" s="254">
        <f>'[1]October - 19'!AO26</f>
        <v>7746.4799999985844</v>
      </c>
      <c r="AI26" s="94">
        <f>'[1]October - 19'!AP26</f>
        <v>11644.079999998212</v>
      </c>
      <c r="AJ26" s="94">
        <f>'[1]October - 19'!AQ26</f>
        <v>11452415.52</v>
      </c>
      <c r="AK26" s="254">
        <f>'[1]October - 19'!AR26</f>
        <v>6723.359999999404</v>
      </c>
      <c r="AL26" s="94">
        <f>'[1]October - 19'!AS26</f>
        <v>6041.2799999993294</v>
      </c>
      <c r="AM26" s="94">
        <f>'[1]October - 19'!AT26</f>
        <v>10052738.640000001</v>
      </c>
      <c r="AN26" s="254">
        <f>'[1]October - 19'!AU26</f>
        <v>5018.160000000149</v>
      </c>
      <c r="AO26" s="94">
        <f>'[1]October - 19'!AV26</f>
        <v>5115.5999999996275</v>
      </c>
      <c r="AP26" s="94">
        <f>'[1]October - 19'!AW26</f>
        <v>9669312.2400000002</v>
      </c>
      <c r="AQ26" s="254">
        <f>'[1]October - 19'!AX26</f>
        <v>5018.160000000149</v>
      </c>
      <c r="AR26" s="94">
        <f>'[1]October - 19'!AY26</f>
        <v>5164.320000000298</v>
      </c>
      <c r="AS26" s="94">
        <f>'[1]October - 19'!AZ26</f>
        <v>7773178.5599999996</v>
      </c>
      <c r="AT26" s="254">
        <f>'[1]October - 19'!BA26</f>
        <v>3507.839999999851</v>
      </c>
      <c r="AU26" s="94">
        <f>'[1]October - 19'!BB26</f>
        <v>3848.8799999998882</v>
      </c>
      <c r="AV26" s="94">
        <f>'[1]October - 19'!BC26</f>
        <v>11461818.48</v>
      </c>
      <c r="AW26" s="255">
        <f>'[1]October - 19'!BD26</f>
        <v>5407.9200000017881</v>
      </c>
      <c r="AX26" s="256">
        <f>'[1]October - 19'!BE26</f>
        <v>5846.4000000003725</v>
      </c>
      <c r="AY26" s="492"/>
      <c r="AZ26" s="95">
        <f>'[1]October - 19'!BJ26</f>
        <v>47757100</v>
      </c>
      <c r="BA26" s="181">
        <f>'[1]October - 19'!BK26</f>
        <v>59200</v>
      </c>
      <c r="BB26" s="95">
        <f>'[1]October - 19'!BL26</f>
        <v>0</v>
      </c>
      <c r="BC26" s="95">
        <f>'[1]October - 19'!BM26</f>
        <v>52432200</v>
      </c>
      <c r="BD26" s="248">
        <f>'[1]October - 19'!BN26</f>
        <v>0</v>
      </c>
      <c r="BE26" s="95">
        <f>'[1]October - 19'!BO26</f>
        <v>39800</v>
      </c>
      <c r="BF26" s="95">
        <f>'[1]October - 19'!BP26</f>
        <v>46026100</v>
      </c>
      <c r="BG26" s="248">
        <f>'[1]October - 19'!BQ26</f>
        <v>37300</v>
      </c>
      <c r="BH26" s="95">
        <f>'[1]October - 19'!BR26</f>
        <v>49900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'[1]October - 19'!BS26</f>
        <v>3594280</v>
      </c>
      <c r="BT26" s="187">
        <f>'[1]October - 19'!BT26</f>
        <v>6370</v>
      </c>
      <c r="BU26" s="588"/>
      <c r="BV26" s="88">
        <f>'[1]October - 19'!BV26</f>
        <v>0.6</v>
      </c>
      <c r="BW26" s="244">
        <f>'[1]October - 19'!BW26</f>
        <v>0.16999999999999998</v>
      </c>
      <c r="BX26" s="88">
        <f>'[1]October - 19'!BX26</f>
        <v>-4.0000000000000036E-2</v>
      </c>
      <c r="BY26" s="89">
        <f>'[1]October - 19'!BY26</f>
        <v>42912</v>
      </c>
      <c r="BZ26" s="193">
        <f>'[1]October - 19'!BZ26</f>
        <v>23</v>
      </c>
      <c r="CA26" s="89">
        <f>'[1]October - 19'!CA26</f>
        <v>38096</v>
      </c>
      <c r="CB26" s="193">
        <f>'[1]October - 19'!CB26</f>
        <v>20</v>
      </c>
      <c r="CC26" s="89">
        <f>'[1]October - 19'!CC26</f>
        <v>12587</v>
      </c>
      <c r="CD26" s="193">
        <f>'[1]October - 19'!CD26</f>
        <v>8</v>
      </c>
      <c r="CE26" s="89">
        <f>'[1]October - 19'!CE26</f>
        <v>15709</v>
      </c>
      <c r="CF26" s="193">
        <f>'[1]October - 19'!CF26</f>
        <v>11</v>
      </c>
      <c r="CG26" s="89">
        <f>'[1]October - 19'!CG26</f>
        <v>18039</v>
      </c>
      <c r="CH26" s="193">
        <f>'[1]October - 19'!CH26</f>
        <v>13</v>
      </c>
      <c r="CI26" s="89">
        <f>'[1]October - 19'!CI26</f>
        <v>38212</v>
      </c>
      <c r="CJ26" s="193">
        <f>'[1]October - 19'!CJ26</f>
        <v>28</v>
      </c>
      <c r="CK26" s="89">
        <f>'[1]October - 19'!CK26</f>
        <v>167461</v>
      </c>
      <c r="CL26" s="249">
        <f>'[1]October - 19'!CL26</f>
        <v>87</v>
      </c>
      <c r="CM26" s="89">
        <f>'[1]October - 19'!CM26</f>
        <v>82</v>
      </c>
      <c r="CN26" s="89">
        <f>'[1]October - 19'!CN26</f>
        <v>118786</v>
      </c>
      <c r="CO26" s="249">
        <f>'[1]October - 19'!CO26</f>
        <v>67</v>
      </c>
      <c r="CP26" s="89">
        <f>'[1]October - 19'!CP26</f>
        <v>66</v>
      </c>
      <c r="CQ26" s="89">
        <f>'[1]October - 19'!CQ26</f>
        <v>215642</v>
      </c>
      <c r="CR26" s="249">
        <f>'[1]October - 19'!CR26</f>
        <v>73</v>
      </c>
      <c r="CS26" s="89">
        <f>'[1]October - 19'!CS26</f>
        <v>14</v>
      </c>
      <c r="CT26" s="89">
        <f>'[1]October - 19'!CT26</f>
        <v>462984</v>
      </c>
      <c r="CU26" s="193">
        <f>'[1]October - 19'!CU26</f>
        <v>197</v>
      </c>
      <c r="CV26" s="516"/>
      <c r="CW26" s="208">
        <f>'[1]October - 19'!CW26</f>
        <v>3047</v>
      </c>
      <c r="CX26" s="200">
        <f>'[1]October - 19'!CX26</f>
        <v>0</v>
      </c>
      <c r="CY26" s="91">
        <f>'[1]October - 19'!CY26</f>
        <v>938</v>
      </c>
      <c r="CZ26" s="200">
        <f>'[1]October - 19'!CZ26</f>
        <v>0</v>
      </c>
      <c r="DA26" s="91">
        <f>'[1]October - 19'!DA26</f>
        <v>17275</v>
      </c>
      <c r="DB26" s="200">
        <f>'[1]October - 19'!DB26</f>
        <v>17</v>
      </c>
      <c r="DC26" s="91">
        <f>'[1]October - 19'!DC26</f>
        <v>18058</v>
      </c>
      <c r="DD26" s="200">
        <f>'[1]October - 19'!DD26</f>
        <v>15</v>
      </c>
      <c r="DE26" s="91">
        <f>'[1]October - 19'!DE26</f>
        <v>12567</v>
      </c>
      <c r="DF26" s="200">
        <f>'[1]October - 19'!DF26</f>
        <v>8</v>
      </c>
      <c r="DG26" s="91">
        <f>'[1]October - 19'!DG26</f>
        <v>16643</v>
      </c>
      <c r="DH26" s="200">
        <f>'[1]October - 19'!DH26</f>
        <v>8</v>
      </c>
      <c r="DI26" s="91">
        <f>'[1]October - 19'!DI26</f>
        <v>825</v>
      </c>
      <c r="DJ26" s="200">
        <f>'[1]October - 19'!DJ26</f>
        <v>0</v>
      </c>
      <c r="DK26" s="91">
        <f>'[1]October - 19'!DK26</f>
        <v>3570</v>
      </c>
      <c r="DL26" s="200">
        <f>'[1]October - 19'!DL26</f>
        <v>0</v>
      </c>
      <c r="DM26" s="91">
        <f>'[1]October - 19'!DM26</f>
        <v>540</v>
      </c>
      <c r="DN26" s="200">
        <f>'[1]October - 19'!DN26</f>
        <v>4</v>
      </c>
      <c r="DO26" s="91">
        <f>'[1]October - 19'!DO26</f>
        <v>729</v>
      </c>
      <c r="DP26" s="200">
        <f>'[1]October - 19'!DP26</f>
        <v>1</v>
      </c>
      <c r="DQ26" s="91">
        <f>'[1]October - 19'!DQ26</f>
        <v>15851</v>
      </c>
      <c r="DR26" s="209">
        <f>'[1]October - 19'!DR26</f>
        <v>14</v>
      </c>
      <c r="DS26" s="532"/>
      <c r="DT26" s="213">
        <f>'[1]October - 19'!DT26</f>
        <v>2613872</v>
      </c>
      <c r="DU26" s="224">
        <f>'[1]October - 19'!DU26</f>
        <v>1618</v>
      </c>
      <c r="DV26" s="93">
        <f>'[1]October - 19'!DV26</f>
        <v>4128</v>
      </c>
      <c r="DW26" s="218">
        <f>'[1]October - 19'!DW26</f>
        <v>4</v>
      </c>
      <c r="DX26" s="93">
        <f>'[1]October - 19'!DX26</f>
        <v>1712254</v>
      </c>
      <c r="DY26" s="218">
        <f>'[1]October - 19'!DY26</f>
        <v>1232</v>
      </c>
      <c r="DZ26" s="93">
        <f>'[1]October - 19'!DZ26</f>
        <v>246037</v>
      </c>
      <c r="EA26" s="218">
        <f>'[1]October - 19'!EA26</f>
        <v>133</v>
      </c>
      <c r="EB26" s="93">
        <f>'[1]October - 19'!ED26</f>
        <v>353831</v>
      </c>
      <c r="EC26" s="218">
        <f>'[1]October - 19'!EE26</f>
        <v>566</v>
      </c>
      <c r="ED26" s="93">
        <f>'[1]October - 19'!EF26</f>
        <v>73984</v>
      </c>
      <c r="EE26" s="232">
        <f>'[1]October - 19'!EG26</f>
        <v>139</v>
      </c>
      <c r="EF26" s="579"/>
      <c r="EG26" s="238">
        <f>'[1]October - 19'!EI26</f>
        <v>6457047</v>
      </c>
      <c r="EH26" s="233">
        <f>'[1]October - 19'!EJ26</f>
        <v>7200</v>
      </c>
      <c r="EI26" s="92">
        <f>'[1]October - 19'!EK26</f>
        <v>569900</v>
      </c>
      <c r="EJ26" s="233">
        <f>'[1]October - 19'!EL26</f>
        <v>450</v>
      </c>
      <c r="EK26" s="92">
        <f>'[1]October - 19'!EM26</f>
        <v>4442900</v>
      </c>
      <c r="EL26" s="233">
        <f>'[1]October - 19'!EN26</f>
        <v>3100</v>
      </c>
      <c r="EM26" s="92">
        <f>'[1]October - 19'!EO26</f>
        <v>1962881</v>
      </c>
      <c r="EN26" s="233">
        <f>'[1]October - 19'!EP26</f>
        <v>650</v>
      </c>
      <c r="EO26" s="92">
        <f>'[1]October - 19'!EQ26</f>
        <v>664320</v>
      </c>
      <c r="EP26" s="233">
        <f>'[1]October - 19'!ER26</f>
        <v>180</v>
      </c>
      <c r="EQ26" s="92">
        <f>'[1]October - 19'!ES26</f>
        <v>10506300</v>
      </c>
      <c r="ER26" s="233">
        <f>'[1]October - 19'!ET26</f>
        <v>5600</v>
      </c>
      <c r="ES26" s="554"/>
      <c r="ET26" s="287">
        <f>'[1]October - 19'!EV26</f>
        <v>26182</v>
      </c>
      <c r="EU26" s="286">
        <f>'[1]October - 19'!$EW$11</f>
        <v>18</v>
      </c>
      <c r="EV26" s="285">
        <f>'[1]October - 19'!EX26</f>
        <v>22926</v>
      </c>
      <c r="EW26" s="286">
        <f>'[1]October - 19'!EY26</f>
        <v>16</v>
      </c>
      <c r="EX26" s="285">
        <f>'[1]October - 19'!FB26</f>
        <v>42703</v>
      </c>
      <c r="EY26" s="286">
        <f>'[1]October - 19'!FA26</f>
        <v>0</v>
      </c>
      <c r="EZ26" s="285">
        <f>'[1]October - 19'!EZ26</f>
        <v>0</v>
      </c>
      <c r="FA26" s="286">
        <f>'[1]October - 19'!FA26</f>
        <v>0</v>
      </c>
      <c r="FB26" s="285">
        <f>'[1]October - 19'!FD26</f>
        <v>18164</v>
      </c>
      <c r="FC26" s="288">
        <f>'[1]October - 19'!FE26</f>
        <v>29</v>
      </c>
    </row>
    <row r="27" spans="1:159" ht="30" customHeight="1" x14ac:dyDescent="0.25">
      <c r="A27" s="210">
        <v>43756</v>
      </c>
      <c r="B27" s="212">
        <f>'[1]October - 19'!B27</f>
        <v>0.73</v>
      </c>
      <c r="C27" s="253">
        <f>'[1]October - 19'!E27</f>
        <v>473875</v>
      </c>
      <c r="D27" s="172">
        <f>'[1]October - 19'!F27</f>
        <v>645</v>
      </c>
      <c r="E27" s="170">
        <f>'[1]October - 19'!G27</f>
        <v>571</v>
      </c>
      <c r="F27" s="170">
        <f>'[1]October - 19'!H27</f>
        <v>656325</v>
      </c>
      <c r="G27" s="172">
        <f>'[1]October - 19'!I27</f>
        <v>408</v>
      </c>
      <c r="H27" s="170">
        <f>'[1]October - 19'!J27</f>
        <v>412</v>
      </c>
      <c r="I27" s="170">
        <f>'[1]October - 19'!K27</f>
        <v>2227</v>
      </c>
      <c r="J27" s="172">
        <f>'[1]October - 19'!L27</f>
        <v>221</v>
      </c>
      <c r="K27" s="170">
        <f>'[1]October - 19'!N27</f>
        <v>592874</v>
      </c>
      <c r="L27" s="172">
        <f>'[1]October - 19'!O27</f>
        <v>216</v>
      </c>
      <c r="M27" s="170">
        <f>'[1]October - 19'!Q27</f>
        <v>156722</v>
      </c>
      <c r="N27" s="172">
        <f>'[1]October - 19'!R27</f>
        <v>0</v>
      </c>
      <c r="O27" s="170">
        <f>'[1]October - 19'!S27</f>
        <v>84654</v>
      </c>
      <c r="P27" s="172">
        <f>'[1]October - 19'!T27</f>
        <v>235</v>
      </c>
      <c r="Q27" s="170">
        <f>'[1]October - 19'!U27</f>
        <v>200</v>
      </c>
      <c r="R27" s="170">
        <f>'[1]October - 19'!V27</f>
        <v>4871</v>
      </c>
      <c r="S27" s="211">
        <f>'[1]October - 19'!W27</f>
        <v>63</v>
      </c>
      <c r="T27" s="475"/>
      <c r="U27" s="171">
        <f>'[1]October - 19'!AB27</f>
        <v>5260980.4799999995</v>
      </c>
      <c r="V27" s="254">
        <f>'[1]October - 19'!AC27</f>
        <v>3264.2399999992922</v>
      </c>
      <c r="W27" s="94">
        <f>'[1]October - 19'!AD27</f>
        <v>2874.4799999995157</v>
      </c>
      <c r="X27" s="94">
        <f>'[1]October - 19'!AE27</f>
        <v>10271101.68</v>
      </c>
      <c r="Y27" s="254">
        <f>'[1]October - 19'!AF27</f>
        <v>4823.2799999993294</v>
      </c>
      <c r="Z27" s="94">
        <f>'[1]October - 19'!AG27</f>
        <v>5164.320000000298</v>
      </c>
      <c r="AA27" s="94">
        <f>'[1]October - 19'!AH27</f>
        <v>9449438.8800000008</v>
      </c>
      <c r="AB27" s="254">
        <f>'[1]October - 19'!AI27</f>
        <v>12423.599999999627</v>
      </c>
      <c r="AC27" s="94">
        <f>'[1]October - 19'!AJ27</f>
        <v>389.75999999977648</v>
      </c>
      <c r="AD27" s="94">
        <f>'[1]October - 19'!AK27</f>
        <v>12830217.119999999</v>
      </c>
      <c r="AE27" s="254">
        <f>'[1]October - 19'!AL27</f>
        <v>292.32000000029802</v>
      </c>
      <c r="AF27" s="94">
        <f>'[1]October - 19'!AM27</f>
        <v>7990.0800000019372</v>
      </c>
      <c r="AG27" s="94">
        <f>'[1]October - 19'!AN27</f>
        <v>12810290.640000001</v>
      </c>
      <c r="AH27" s="254">
        <f>'[1]October - 19'!AO27</f>
        <v>8574.7200000025332</v>
      </c>
      <c r="AI27" s="94">
        <f>'[1]October - 19'!AP27</f>
        <v>6382.320000000298</v>
      </c>
      <c r="AJ27" s="94">
        <f>'[1]October - 19'!AQ27</f>
        <v>11459285.040000001</v>
      </c>
      <c r="AK27" s="254">
        <f>'[1]October - 19'!AR27</f>
        <v>6869.5200000014156</v>
      </c>
      <c r="AL27" s="94">
        <f>'[1]October - 19'!AS27</f>
        <v>5748.9600000008941</v>
      </c>
      <c r="AM27" s="94">
        <f>'[1]October - 19'!AT27</f>
        <v>10057708.08</v>
      </c>
      <c r="AN27" s="254">
        <f>'[1]October - 19'!AU27</f>
        <v>4969.4399999994785</v>
      </c>
      <c r="AO27" s="94">
        <f>'[1]October - 19'!AV27</f>
        <v>5213.0400000009686</v>
      </c>
      <c r="AP27" s="94">
        <f>'[1]October - 19'!AW27</f>
        <v>9674330.4000000004</v>
      </c>
      <c r="AQ27" s="254">
        <f>'[1]October - 19'!AX27</f>
        <v>5018.160000000149</v>
      </c>
      <c r="AR27" s="94">
        <f>'[1]October - 19'!AY27</f>
        <v>4872</v>
      </c>
      <c r="AS27" s="94">
        <f>'[1]October - 19'!AZ27</f>
        <v>7776686.3999999994</v>
      </c>
      <c r="AT27" s="254">
        <f>'[1]October - 19'!BA27</f>
        <v>3507.839999999851</v>
      </c>
      <c r="AU27" s="94">
        <f>'[1]October - 19'!BB27</f>
        <v>3459.1200000001118</v>
      </c>
      <c r="AV27" s="94">
        <f>'[1]October - 19'!BC27</f>
        <v>11467128.959999999</v>
      </c>
      <c r="AW27" s="255">
        <f>'[1]October - 19'!BD27</f>
        <v>5310.4799999985844</v>
      </c>
      <c r="AX27" s="256">
        <f>'[1]October - 19'!BE27</f>
        <v>5797.6800000015646</v>
      </c>
      <c r="AY27" s="492"/>
      <c r="AZ27" s="95">
        <f>'[1]October - 19'!BJ27</f>
        <v>47818900</v>
      </c>
      <c r="BA27" s="181">
        <f>'[1]October - 19'!BK27</f>
        <v>61800</v>
      </c>
      <c r="BB27" s="95">
        <f>'[1]October - 19'!BL27</f>
        <v>0</v>
      </c>
      <c r="BC27" s="95">
        <f>'[1]October - 19'!BM27</f>
        <v>52432200</v>
      </c>
      <c r="BD27" s="248">
        <f>'[1]October - 19'!BN27</f>
        <v>0</v>
      </c>
      <c r="BE27" s="95">
        <f>'[1]October - 19'!BO27</f>
        <v>36900</v>
      </c>
      <c r="BF27" s="95">
        <f>'[1]October - 19'!BP27</f>
        <v>46066800</v>
      </c>
      <c r="BG27" s="248">
        <f>'[1]October - 19'!BQ27</f>
        <v>40700</v>
      </c>
      <c r="BH27" s="95">
        <f>'[1]October - 19'!BR27</f>
        <v>53400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'[1]October - 19'!BS27</f>
        <v>3601340</v>
      </c>
      <c r="BT27" s="187">
        <f>'[1]October - 19'!BT27</f>
        <v>7060</v>
      </c>
      <c r="BU27" s="588"/>
      <c r="BV27" s="88">
        <f>'[1]October - 19'!BV27</f>
        <v>0.57999999999999996</v>
      </c>
      <c r="BW27" s="244">
        <f>'[1]October - 19'!BW27</f>
        <v>-2.0000000000000018E-2</v>
      </c>
      <c r="BX27" s="88">
        <f>'[1]October - 19'!BX27</f>
        <v>0.2</v>
      </c>
      <c r="BY27" s="89">
        <f>'[1]October - 19'!BY27</f>
        <v>42932</v>
      </c>
      <c r="BZ27" s="193">
        <f>'[1]October - 19'!BZ27</f>
        <v>20</v>
      </c>
      <c r="CA27" s="89">
        <f>'[1]October - 19'!CA27</f>
        <v>38113</v>
      </c>
      <c r="CB27" s="193">
        <f>'[1]October - 19'!CB27</f>
        <v>17</v>
      </c>
      <c r="CC27" s="89">
        <f>'[1]October - 19'!CC27</f>
        <v>12594</v>
      </c>
      <c r="CD27" s="193">
        <f>'[1]October - 19'!CD27</f>
        <v>7</v>
      </c>
      <c r="CE27" s="89">
        <f>'[1]October - 19'!CE27</f>
        <v>15718</v>
      </c>
      <c r="CF27" s="193">
        <f>'[1]October - 19'!CF27</f>
        <v>9</v>
      </c>
      <c r="CG27" s="89">
        <f>'[1]October - 19'!CG27</f>
        <v>18048</v>
      </c>
      <c r="CH27" s="193">
        <f>'[1]October - 19'!CH27</f>
        <v>9</v>
      </c>
      <c r="CI27" s="89">
        <f>'[1]October - 19'!CI27</f>
        <v>38239</v>
      </c>
      <c r="CJ27" s="193">
        <f>'[1]October - 19'!CJ27</f>
        <v>27</v>
      </c>
      <c r="CK27" s="89">
        <f>'[1]October - 19'!CK27</f>
        <v>167543</v>
      </c>
      <c r="CL27" s="249">
        <f>'[1]October - 19'!CL27</f>
        <v>82</v>
      </c>
      <c r="CM27" s="89">
        <f>'[1]October - 19'!CM27</f>
        <v>79</v>
      </c>
      <c r="CN27" s="89">
        <f>'[1]October - 19'!CN27</f>
        <v>118848</v>
      </c>
      <c r="CO27" s="249">
        <f>'[1]October - 19'!CO27</f>
        <v>62</v>
      </c>
      <c r="CP27" s="89">
        <f>'[1]October - 19'!CP27</f>
        <v>59</v>
      </c>
      <c r="CQ27" s="89">
        <f>'[1]October - 19'!CQ27</f>
        <v>215710</v>
      </c>
      <c r="CR27" s="249">
        <f>'[1]October - 19'!CR27</f>
        <v>68</v>
      </c>
      <c r="CS27" s="89">
        <f>'[1]October - 19'!CS27</f>
        <v>14</v>
      </c>
      <c r="CT27" s="89">
        <f>'[1]October - 19'!CT27</f>
        <v>463170</v>
      </c>
      <c r="CU27" s="193">
        <f>'[1]October - 19'!CU27</f>
        <v>186</v>
      </c>
      <c r="CV27" s="516"/>
      <c r="CW27" s="208">
        <f>'[1]October - 19'!CW27</f>
        <v>3047</v>
      </c>
      <c r="CX27" s="200">
        <f>'[1]October - 19'!CX27</f>
        <v>0</v>
      </c>
      <c r="CY27" s="91">
        <f>'[1]October - 19'!CY27</f>
        <v>938</v>
      </c>
      <c r="CZ27" s="200">
        <f>'[1]October - 19'!CZ27</f>
        <v>0</v>
      </c>
      <c r="DA27" s="91">
        <f>'[1]October - 19'!DA27</f>
        <v>17294</v>
      </c>
      <c r="DB27" s="200">
        <f>'[1]October - 19'!DB27</f>
        <v>19</v>
      </c>
      <c r="DC27" s="91">
        <f>'[1]October - 19'!DC27</f>
        <v>18077</v>
      </c>
      <c r="DD27" s="200">
        <f>'[1]October - 19'!DD27</f>
        <v>19</v>
      </c>
      <c r="DE27" s="91">
        <f>'[1]October - 19'!DE27</f>
        <v>12577</v>
      </c>
      <c r="DF27" s="200">
        <f>'[1]October - 19'!DF27</f>
        <v>10</v>
      </c>
      <c r="DG27" s="91">
        <f>'[1]October - 19'!DG27</f>
        <v>16650</v>
      </c>
      <c r="DH27" s="200">
        <f>'[1]October - 19'!DH27</f>
        <v>7</v>
      </c>
      <c r="DI27" s="91">
        <f>'[1]October - 19'!DI27</f>
        <v>825</v>
      </c>
      <c r="DJ27" s="200">
        <f>'[1]October - 19'!DJ27</f>
        <v>0</v>
      </c>
      <c r="DK27" s="91">
        <f>'[1]October - 19'!DK27</f>
        <v>3570</v>
      </c>
      <c r="DL27" s="200">
        <f>'[1]October - 19'!DL27</f>
        <v>0</v>
      </c>
      <c r="DM27" s="91">
        <f>'[1]October - 19'!DM27</f>
        <v>545</v>
      </c>
      <c r="DN27" s="200">
        <f>'[1]October - 19'!DN27</f>
        <v>5</v>
      </c>
      <c r="DO27" s="91">
        <f>'[1]October - 19'!DO27</f>
        <v>733</v>
      </c>
      <c r="DP27" s="200">
        <f>'[1]October - 19'!DP27</f>
        <v>4</v>
      </c>
      <c r="DQ27" s="91">
        <f>'[1]October - 19'!DQ27</f>
        <v>15884</v>
      </c>
      <c r="DR27" s="209">
        <f>'[1]October - 19'!DR27</f>
        <v>33</v>
      </c>
      <c r="DS27" s="532"/>
      <c r="DT27" s="213">
        <f>'[1]October - 19'!DT27</f>
        <v>2615478</v>
      </c>
      <c r="DU27" s="224">
        <f>'[1]October - 19'!DU27</f>
        <v>1606</v>
      </c>
      <c r="DV27" s="93">
        <f>'[1]October - 19'!DV27</f>
        <v>4132</v>
      </c>
      <c r="DW27" s="218">
        <f>'[1]October - 19'!DW27</f>
        <v>4</v>
      </c>
      <c r="DX27" s="93">
        <f>'[1]October - 19'!DX27</f>
        <v>1713526</v>
      </c>
      <c r="DY27" s="218">
        <f>'[1]October - 19'!DY27</f>
        <v>1272</v>
      </c>
      <c r="DZ27" s="93">
        <f>'[1]October - 19'!DZ27</f>
        <v>246170</v>
      </c>
      <c r="EA27" s="218">
        <f>'[1]October - 19'!EA27</f>
        <v>133</v>
      </c>
      <c r="EB27" s="93">
        <f>'[1]October - 19'!ED27</f>
        <v>354401</v>
      </c>
      <c r="EC27" s="218">
        <f>'[1]October - 19'!EE27</f>
        <v>570</v>
      </c>
      <c r="ED27" s="93">
        <f>'[1]October - 19'!EF27</f>
        <v>74124</v>
      </c>
      <c r="EE27" s="232">
        <f>'[1]October - 19'!EG27</f>
        <v>140</v>
      </c>
      <c r="EF27" s="579"/>
      <c r="EG27" s="238">
        <f>'[1]October - 19'!EI27</f>
        <v>6464887</v>
      </c>
      <c r="EH27" s="233">
        <f>'[1]October - 19'!EJ27</f>
        <v>7840</v>
      </c>
      <c r="EI27" s="92">
        <f>'[1]October - 19'!EK27</f>
        <v>570350</v>
      </c>
      <c r="EJ27" s="233">
        <f>'[1]October - 19'!EL27</f>
        <v>450</v>
      </c>
      <c r="EK27" s="92">
        <f>'[1]October - 19'!EM27</f>
        <v>4446000</v>
      </c>
      <c r="EL27" s="233">
        <f>'[1]October - 19'!EN27</f>
        <v>3100</v>
      </c>
      <c r="EM27" s="92">
        <f>'[1]October - 19'!EO27</f>
        <v>1963531</v>
      </c>
      <c r="EN27" s="233">
        <f>'[1]October - 19'!EP27</f>
        <v>650</v>
      </c>
      <c r="EO27" s="92">
        <f>'[1]October - 19'!EQ27</f>
        <v>664500</v>
      </c>
      <c r="EP27" s="233">
        <f>'[1]October - 19'!ER27</f>
        <v>180</v>
      </c>
      <c r="EQ27" s="92">
        <f>'[1]October - 19'!ES27</f>
        <v>10515300</v>
      </c>
      <c r="ER27" s="233">
        <f>'[1]October - 19'!ET27</f>
        <v>9000</v>
      </c>
      <c r="ES27" s="554"/>
      <c r="ET27" s="287">
        <f>'[1]October - 19'!EV27</f>
        <v>26203</v>
      </c>
      <c r="EU27" s="286">
        <f>'[1]October - 19'!$EW$11</f>
        <v>18</v>
      </c>
      <c r="EV27" s="285">
        <f>'[1]October - 19'!EX27</f>
        <v>22944</v>
      </c>
      <c r="EW27" s="286">
        <f>'[1]October - 19'!EY27</f>
        <v>18</v>
      </c>
      <c r="EX27" s="285">
        <f>'[1]October - 19'!FB27</f>
        <v>42703</v>
      </c>
      <c r="EY27" s="286">
        <f>'[1]October - 19'!FA27</f>
        <v>0</v>
      </c>
      <c r="EZ27" s="285">
        <f>'[1]October - 19'!EZ27</f>
        <v>0</v>
      </c>
      <c r="FA27" s="286">
        <f>'[1]October - 19'!FA27</f>
        <v>0</v>
      </c>
      <c r="FB27" s="285">
        <f>'[1]October - 19'!FD27</f>
        <v>18198</v>
      </c>
      <c r="FC27" s="288">
        <f>'[1]October - 19'!FE27</f>
        <v>34</v>
      </c>
    </row>
    <row r="28" spans="1:159" ht="30" customHeight="1" x14ac:dyDescent="0.25">
      <c r="A28" s="210">
        <v>43757</v>
      </c>
      <c r="B28" s="212">
        <f>'[1]October - 19'!B28</f>
        <v>0.62</v>
      </c>
      <c r="C28" s="253">
        <f>'[1]October - 19'!E28</f>
        <v>474421</v>
      </c>
      <c r="D28" s="172">
        <f>'[1]October - 19'!F28</f>
        <v>546</v>
      </c>
      <c r="E28" s="170">
        <f>'[1]October - 19'!G28</f>
        <v>599</v>
      </c>
      <c r="F28" s="170">
        <f>'[1]October - 19'!H28</f>
        <v>656666</v>
      </c>
      <c r="G28" s="172">
        <f>'[1]October - 19'!I28</f>
        <v>341</v>
      </c>
      <c r="H28" s="170">
        <f>'[1]October - 19'!J28</f>
        <v>367</v>
      </c>
      <c r="I28" s="170">
        <f>'[1]October - 19'!K28</f>
        <v>2762</v>
      </c>
      <c r="J28" s="172">
        <f>'[1]October - 19'!L28</f>
        <v>535</v>
      </c>
      <c r="K28" s="170">
        <f>'[1]October - 19'!N28</f>
        <v>593275</v>
      </c>
      <c r="L28" s="172">
        <f>'[1]October - 19'!O28</f>
        <v>401</v>
      </c>
      <c r="M28" s="170">
        <f>'[1]October - 19'!Q28</f>
        <v>156722</v>
      </c>
      <c r="N28" s="172">
        <f>'[1]October - 19'!R28</f>
        <v>0</v>
      </c>
      <c r="O28" s="170">
        <f>'[1]October - 19'!S28</f>
        <v>84869</v>
      </c>
      <c r="P28" s="172">
        <f>'[1]October - 19'!T28</f>
        <v>215</v>
      </c>
      <c r="Q28" s="170">
        <f>'[1]October - 19'!U28</f>
        <v>180</v>
      </c>
      <c r="R28" s="170">
        <f>'[1]October - 19'!V28</f>
        <v>4924</v>
      </c>
      <c r="S28" s="211">
        <f>'[1]October - 19'!W28</f>
        <v>53</v>
      </c>
      <c r="T28" s="475"/>
      <c r="U28" s="171">
        <f>'[1]October - 19'!AB28</f>
        <v>5263367.76</v>
      </c>
      <c r="V28" s="254">
        <f>'[1]October - 19'!AC28</f>
        <v>2387.2800000002608</v>
      </c>
      <c r="W28" s="94">
        <f>'[1]October - 19'!AD28</f>
        <v>3069.359999999404</v>
      </c>
      <c r="X28" s="94">
        <f>'[1]October - 19'!AE28</f>
        <v>10275973.68</v>
      </c>
      <c r="Y28" s="254">
        <f>'[1]October - 19'!AF28</f>
        <v>4872</v>
      </c>
      <c r="Z28" s="94">
        <f>'[1]October - 19'!AG28</f>
        <v>5310.480000000447</v>
      </c>
      <c r="AA28" s="94">
        <f>'[1]October - 19'!AH28</f>
        <v>9460352.1600000001</v>
      </c>
      <c r="AB28" s="254">
        <f>'[1]October - 19'!AI28</f>
        <v>10913.279999999329</v>
      </c>
      <c r="AC28" s="94">
        <f>'[1]October - 19'!AJ28</f>
        <v>438.47999999951571</v>
      </c>
      <c r="AD28" s="94">
        <f>'[1]October - 19'!AK28</f>
        <v>12838938</v>
      </c>
      <c r="AE28" s="254">
        <f>'[1]October - 19'!AL28</f>
        <v>8720.8800000008196</v>
      </c>
      <c r="AF28" s="94">
        <f>'[1]October - 19'!AM28</f>
        <v>6284.8799999989569</v>
      </c>
      <c r="AG28" s="94">
        <f>'[1]October - 19'!AN28</f>
        <v>12811265.040000001</v>
      </c>
      <c r="AH28" s="254">
        <f>'[1]October - 19'!AO28</f>
        <v>974.40000000037253</v>
      </c>
      <c r="AI28" s="94">
        <f>'[1]October - 19'!AP28</f>
        <v>17149.440000001341</v>
      </c>
      <c r="AJ28" s="94">
        <f>'[1]October - 19'!AQ28</f>
        <v>11466300.719999999</v>
      </c>
      <c r="AK28" s="254">
        <f>'[1]October - 19'!AR28</f>
        <v>7015.6799999978393</v>
      </c>
      <c r="AL28" s="94">
        <f>'[1]October - 19'!AS28</f>
        <v>5992.5600000005215</v>
      </c>
      <c r="AM28" s="94">
        <f>'[1]October - 19'!AT28</f>
        <v>10062482.640000001</v>
      </c>
      <c r="AN28" s="254">
        <f>'[1]October - 19'!AU28</f>
        <v>4774.5600000005215</v>
      </c>
      <c r="AO28" s="94">
        <f>'[1]October - 19'!AV28</f>
        <v>5115.5999999996275</v>
      </c>
      <c r="AP28" s="94">
        <f>'[1]October - 19'!AW28</f>
        <v>9679251.1199999992</v>
      </c>
      <c r="AQ28" s="254">
        <f>'[1]October - 19'!AX28</f>
        <v>4920.7199999988079</v>
      </c>
      <c r="AR28" s="94">
        <f>'[1]October - 19'!AY28</f>
        <v>5066.8799999998882</v>
      </c>
      <c r="AS28" s="94">
        <f>'[1]October - 19'!AZ28</f>
        <v>7779901.9199999999</v>
      </c>
      <c r="AT28" s="254">
        <f>'[1]October - 19'!BA28</f>
        <v>3215.5200000004843</v>
      </c>
      <c r="AU28" s="94">
        <f>'[1]October - 19'!BB28</f>
        <v>3654</v>
      </c>
      <c r="AV28" s="94">
        <f>'[1]October - 19'!BC28</f>
        <v>11472390.719999999</v>
      </c>
      <c r="AW28" s="255">
        <f>'[1]October - 19'!BD28</f>
        <v>5261.7599999997765</v>
      </c>
      <c r="AX28" s="256">
        <f>'[1]October - 19'!BE28</f>
        <v>5992.5599999986589</v>
      </c>
      <c r="AY28" s="492"/>
      <c r="AZ28" s="95">
        <f>'[1]October - 19'!BJ28</f>
        <v>47874800</v>
      </c>
      <c r="BA28" s="181">
        <f>'[1]October - 19'!BK28</f>
        <v>55900</v>
      </c>
      <c r="BB28" s="95">
        <f>'[1]October - 19'!BL28</f>
        <v>13700</v>
      </c>
      <c r="BC28" s="95">
        <f>'[1]October - 19'!BM28</f>
        <v>52471900</v>
      </c>
      <c r="BD28" s="248">
        <f>'[1]October - 19'!BN28</f>
        <v>39700</v>
      </c>
      <c r="BE28" s="95">
        <f>'[1]October - 19'!BO28</f>
        <v>0</v>
      </c>
      <c r="BF28" s="95">
        <f>'[1]October - 19'!BP28</f>
        <v>46066800</v>
      </c>
      <c r="BG28" s="248">
        <f>'[1]October - 19'!BQ28</f>
        <v>0</v>
      </c>
      <c r="BH28" s="95">
        <f>'[1]October - 19'!BR28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'[1]October - 19'!BS28</f>
        <v>3607510</v>
      </c>
      <c r="BT28" s="187">
        <f>'[1]October - 19'!BT28</f>
        <v>6170</v>
      </c>
      <c r="BU28" s="588"/>
      <c r="BV28" s="88">
        <f>'[1]October - 19'!BV28</f>
        <v>0.53</v>
      </c>
      <c r="BW28" s="244">
        <f>'[1]October - 19'!BW28</f>
        <v>-4.9999999999999933E-2</v>
      </c>
      <c r="BX28" s="88">
        <f>'[1]October - 19'!BX28</f>
        <v>-1.0000000000000009E-2</v>
      </c>
      <c r="BY28" s="89">
        <f>'[1]October - 19'!BY28</f>
        <v>42951</v>
      </c>
      <c r="BZ28" s="193">
        <f>'[1]October - 19'!BZ28</f>
        <v>19</v>
      </c>
      <c r="CA28" s="89">
        <f>'[1]October - 19'!CA28</f>
        <v>38127</v>
      </c>
      <c r="CB28" s="193">
        <f>'[1]October - 19'!CB28</f>
        <v>14</v>
      </c>
      <c r="CC28" s="89">
        <f>'[1]October - 19'!CC28</f>
        <v>12600</v>
      </c>
      <c r="CD28" s="193">
        <f>'[1]October - 19'!CD28</f>
        <v>6</v>
      </c>
      <c r="CE28" s="89">
        <f>'[1]October - 19'!CE28</f>
        <v>15728</v>
      </c>
      <c r="CF28" s="193">
        <f>'[1]October - 19'!CF28</f>
        <v>10</v>
      </c>
      <c r="CG28" s="89">
        <f>'[1]October - 19'!CG28</f>
        <v>18052</v>
      </c>
      <c r="CH28" s="193">
        <f>'[1]October - 19'!CH28</f>
        <v>4</v>
      </c>
      <c r="CI28" s="89">
        <f>'[1]October - 19'!CI28</f>
        <v>38266</v>
      </c>
      <c r="CJ28" s="193">
        <f>'[1]October - 19'!CJ28</f>
        <v>27</v>
      </c>
      <c r="CK28" s="89">
        <f>'[1]October - 19'!CK28</f>
        <v>167630</v>
      </c>
      <c r="CL28" s="249">
        <f>'[1]October - 19'!CL28</f>
        <v>87</v>
      </c>
      <c r="CM28" s="89">
        <f>'[1]October - 19'!CM28</f>
        <v>81</v>
      </c>
      <c r="CN28" s="89">
        <f>'[1]October - 19'!CN28</f>
        <v>118920</v>
      </c>
      <c r="CO28" s="249">
        <f>'[1]October - 19'!CO28</f>
        <v>72</v>
      </c>
      <c r="CP28" s="89">
        <f>'[1]October - 19'!CP28</f>
        <v>71</v>
      </c>
      <c r="CQ28" s="89">
        <f>'[1]October - 19'!CQ28</f>
        <v>215783</v>
      </c>
      <c r="CR28" s="249">
        <f>'[1]October - 19'!CR28</f>
        <v>73</v>
      </c>
      <c r="CS28" s="89">
        <f>'[1]October - 19'!CS28</f>
        <v>14</v>
      </c>
      <c r="CT28" s="89">
        <f>'[1]October - 19'!CT28</f>
        <v>463365</v>
      </c>
      <c r="CU28" s="193">
        <f>'[1]October - 19'!CU28</f>
        <v>195</v>
      </c>
      <c r="CV28" s="516"/>
      <c r="CW28" s="208">
        <f>'[1]October - 19'!CW28</f>
        <v>3047</v>
      </c>
      <c r="CX28" s="200">
        <f>'[1]October - 19'!CX28</f>
        <v>0</v>
      </c>
      <c r="CY28" s="91">
        <f>'[1]October - 19'!CY28</f>
        <v>938</v>
      </c>
      <c r="CZ28" s="200">
        <f>'[1]October - 19'!CZ28</f>
        <v>0</v>
      </c>
      <c r="DA28" s="91">
        <f>'[1]October - 19'!DA28</f>
        <v>17312</v>
      </c>
      <c r="DB28" s="200">
        <f>'[1]October - 19'!DB28</f>
        <v>18</v>
      </c>
      <c r="DC28" s="91">
        <f>'[1]October - 19'!DC28</f>
        <v>18092</v>
      </c>
      <c r="DD28" s="200">
        <f>'[1]October - 19'!DD28</f>
        <v>15</v>
      </c>
      <c r="DE28" s="91">
        <f>'[1]October - 19'!DE28</f>
        <v>12585</v>
      </c>
      <c r="DF28" s="200">
        <f>'[1]October - 19'!DF28</f>
        <v>8</v>
      </c>
      <c r="DG28" s="91">
        <f>'[1]October - 19'!DG28</f>
        <v>16657</v>
      </c>
      <c r="DH28" s="200">
        <f>'[1]October - 19'!DH28</f>
        <v>7</v>
      </c>
      <c r="DI28" s="91">
        <f>'[1]October - 19'!DI28</f>
        <v>825</v>
      </c>
      <c r="DJ28" s="200">
        <f>'[1]October - 19'!DJ28</f>
        <v>0</v>
      </c>
      <c r="DK28" s="91">
        <f>'[1]October - 19'!DK28</f>
        <v>3570</v>
      </c>
      <c r="DL28" s="200">
        <f>'[1]October - 19'!DL28</f>
        <v>0</v>
      </c>
      <c r="DM28" s="91">
        <f>'[1]October - 19'!DM28</f>
        <v>550</v>
      </c>
      <c r="DN28" s="200">
        <f>'[1]October - 19'!DN28</f>
        <v>5</v>
      </c>
      <c r="DO28" s="91">
        <f>'[1]October - 19'!DO28</f>
        <v>735</v>
      </c>
      <c r="DP28" s="200">
        <f>'[1]October - 19'!DP28</f>
        <v>2</v>
      </c>
      <c r="DQ28" s="91">
        <f>'[1]October - 19'!DQ28</f>
        <v>15902</v>
      </c>
      <c r="DR28" s="209">
        <f>'[1]October - 19'!DR28</f>
        <v>18</v>
      </c>
      <c r="DS28" s="532"/>
      <c r="DT28" s="213">
        <f>'[1]October - 19'!DT28</f>
        <v>2616978</v>
      </c>
      <c r="DU28" s="224">
        <f>'[1]October - 19'!DU28</f>
        <v>1500</v>
      </c>
      <c r="DV28" s="93">
        <f>'[1]October - 19'!DV28</f>
        <v>4137</v>
      </c>
      <c r="DW28" s="218">
        <f>'[1]October - 19'!DW28</f>
        <v>5</v>
      </c>
      <c r="DX28" s="93">
        <f>'[1]October - 19'!DX28</f>
        <v>1714776</v>
      </c>
      <c r="DY28" s="218">
        <f>'[1]October - 19'!DY28</f>
        <v>1250</v>
      </c>
      <c r="DZ28" s="93">
        <f>'[1]October - 19'!DZ28</f>
        <v>246290</v>
      </c>
      <c r="EA28" s="218">
        <f>'[1]October - 19'!EA28</f>
        <v>120</v>
      </c>
      <c r="EB28" s="93">
        <f>'[1]October - 19'!ED28</f>
        <v>354961</v>
      </c>
      <c r="EC28" s="218">
        <f>'[1]October - 19'!EE28</f>
        <v>560</v>
      </c>
      <c r="ED28" s="93">
        <f>'[1]October - 19'!EF28</f>
        <v>74274</v>
      </c>
      <c r="EE28" s="232">
        <f>'[1]October - 19'!EG28</f>
        <v>150</v>
      </c>
      <c r="EF28" s="579"/>
      <c r="EG28" s="238">
        <f>'[1]October - 19'!EI28</f>
        <v>6471987</v>
      </c>
      <c r="EH28" s="233">
        <f>'[1]October - 19'!EJ28</f>
        <v>7100</v>
      </c>
      <c r="EI28" s="92">
        <f>'[1]October - 19'!EK28</f>
        <v>570770</v>
      </c>
      <c r="EJ28" s="233">
        <f>'[1]October - 19'!EL28</f>
        <v>420</v>
      </c>
      <c r="EK28" s="92">
        <f>'[1]October - 19'!EM28</f>
        <v>4449700</v>
      </c>
      <c r="EL28" s="233">
        <f>'[1]October - 19'!EN28</f>
        <v>3700</v>
      </c>
      <c r="EM28" s="92">
        <f>'[1]October - 19'!EO28</f>
        <v>1964151</v>
      </c>
      <c r="EN28" s="233">
        <f>'[1]October - 19'!EP28</f>
        <v>620</v>
      </c>
      <c r="EO28" s="92">
        <f>'[1]October - 19'!EQ28</f>
        <v>664680</v>
      </c>
      <c r="EP28" s="233">
        <f>'[1]October - 19'!ER28</f>
        <v>180</v>
      </c>
      <c r="EQ28" s="92">
        <f>'[1]October - 19'!ES28</f>
        <v>10522300</v>
      </c>
      <c r="ER28" s="233">
        <f>'[1]October - 19'!ET28</f>
        <v>7000</v>
      </c>
      <c r="ES28" s="554"/>
      <c r="ET28" s="287">
        <f>'[1]October - 19'!EV28</f>
        <v>26223</v>
      </c>
      <c r="EU28" s="286">
        <f>'[1]October - 19'!$EW$11</f>
        <v>18</v>
      </c>
      <c r="EV28" s="285">
        <f>'[1]October - 19'!EX28</f>
        <v>22962</v>
      </c>
      <c r="EW28" s="286">
        <f>'[1]October - 19'!EY28</f>
        <v>18</v>
      </c>
      <c r="EX28" s="285">
        <f>'[1]October - 19'!FB28</f>
        <v>42703</v>
      </c>
      <c r="EY28" s="286">
        <f>'[1]October - 19'!FA28</f>
        <v>0</v>
      </c>
      <c r="EZ28" s="285">
        <f>'[1]October - 19'!EZ28</f>
        <v>0</v>
      </c>
      <c r="FA28" s="286">
        <f>'[1]October - 19'!FA28</f>
        <v>0</v>
      </c>
      <c r="FB28" s="285">
        <f>'[1]October - 19'!FD28</f>
        <v>18228</v>
      </c>
      <c r="FC28" s="288">
        <f>'[1]October - 19'!FE28</f>
        <v>30</v>
      </c>
    </row>
    <row r="29" spans="1:159" ht="30" customHeight="1" x14ac:dyDescent="0.25">
      <c r="A29" s="210">
        <v>43758</v>
      </c>
      <c r="B29" s="212">
        <f>'[1]October - 19'!B29</f>
        <v>0.65</v>
      </c>
      <c r="C29" s="253">
        <f>'[1]October - 19'!E29</f>
        <v>475016</v>
      </c>
      <c r="D29" s="172">
        <f>'[1]October - 19'!F29</f>
        <v>595</v>
      </c>
      <c r="E29" s="170">
        <f>'[1]October - 19'!G29</f>
        <v>519</v>
      </c>
      <c r="F29" s="170">
        <f>'[1]October - 19'!H29</f>
        <v>657028</v>
      </c>
      <c r="G29" s="172">
        <f>'[1]October - 19'!I29</f>
        <v>362</v>
      </c>
      <c r="H29" s="170">
        <f>'[1]October - 19'!J29</f>
        <v>398</v>
      </c>
      <c r="I29" s="170">
        <f>'[1]October - 19'!K29</f>
        <v>3069</v>
      </c>
      <c r="J29" s="172">
        <f>'[1]October - 19'!L29</f>
        <v>307</v>
      </c>
      <c r="K29" s="170">
        <f>'[1]October - 19'!N29</f>
        <v>593639</v>
      </c>
      <c r="L29" s="172">
        <f>'[1]October - 19'!O29</f>
        <v>364</v>
      </c>
      <c r="M29" s="170">
        <f>'[1]October - 19'!Q29</f>
        <v>156722</v>
      </c>
      <c r="N29" s="172">
        <f>'[1]October - 19'!R29</f>
        <v>0</v>
      </c>
      <c r="O29" s="170">
        <f>'[1]October - 19'!S29</f>
        <v>85087</v>
      </c>
      <c r="P29" s="172">
        <f>'[1]October - 19'!T29</f>
        <v>218</v>
      </c>
      <c r="Q29" s="170">
        <f>'[1]October - 19'!U29</f>
        <v>190</v>
      </c>
      <c r="R29" s="170">
        <f>'[1]October - 19'!V29</f>
        <v>4982</v>
      </c>
      <c r="S29" s="211">
        <f>'[1]October - 19'!W29</f>
        <v>58</v>
      </c>
      <c r="T29" s="475"/>
      <c r="U29" s="171">
        <f>'[1]October - 19'!AB29</f>
        <v>5265755.04</v>
      </c>
      <c r="V29" s="254">
        <f>'[1]October - 19'!AC29</f>
        <v>2387.2800000002608</v>
      </c>
      <c r="W29" s="94">
        <f>'[1]October - 19'!AD29</f>
        <v>3069.3600000012666</v>
      </c>
      <c r="X29" s="94">
        <f>'[1]October - 19'!AE29</f>
        <v>10280894.4</v>
      </c>
      <c r="Y29" s="254">
        <f>'[1]October - 19'!AF29</f>
        <v>4920.7200000006706</v>
      </c>
      <c r="Z29" s="94">
        <f>'[1]October - 19'!AG29</f>
        <v>5310.480000000447</v>
      </c>
      <c r="AA29" s="94">
        <f>'[1]October - 19'!AH29</f>
        <v>9468196.0800000001</v>
      </c>
      <c r="AB29" s="254">
        <f>'[1]October - 19'!AI29</f>
        <v>7843.9199999999255</v>
      </c>
      <c r="AC29" s="94">
        <f>'[1]October - 19'!AJ29</f>
        <v>10377.360000000335</v>
      </c>
      <c r="AD29" s="94">
        <f>'[1]October - 19'!AK29</f>
        <v>12849753.84</v>
      </c>
      <c r="AE29" s="254">
        <f>'[1]October - 19'!AL29</f>
        <v>10815.839999999851</v>
      </c>
      <c r="AF29" s="94">
        <f>'[1]October - 19'!AM29</f>
        <v>292.32000000029802</v>
      </c>
      <c r="AG29" s="94">
        <f>'[1]October - 19'!AN29</f>
        <v>12812483.040000001</v>
      </c>
      <c r="AH29" s="254">
        <f>'[1]October - 19'!AO29</f>
        <v>1218</v>
      </c>
      <c r="AI29" s="94">
        <f>'[1]October - 19'!AP29</f>
        <v>7843.9199999980628</v>
      </c>
      <c r="AJ29" s="94">
        <f>'[1]October - 19'!AQ29</f>
        <v>11473072.799999999</v>
      </c>
      <c r="AK29" s="254">
        <f>'[1]October - 19'!AR29</f>
        <v>6772.0800000000745</v>
      </c>
      <c r="AL29" s="94">
        <f>'[1]October - 19'!AS29</f>
        <v>5895.1199999991804</v>
      </c>
      <c r="AM29" s="94">
        <f>'[1]October - 19'!AT29</f>
        <v>10067159.76</v>
      </c>
      <c r="AN29" s="254">
        <f>'[1]October - 19'!AU29</f>
        <v>4677.1199999991804</v>
      </c>
      <c r="AO29" s="94">
        <f>'[1]October - 19'!AV29</f>
        <v>4969.4399999994785</v>
      </c>
      <c r="AP29" s="94">
        <f>'[1]October - 19'!AW29</f>
        <v>9684220.5599999987</v>
      </c>
      <c r="AQ29" s="254">
        <f>'[1]October - 19'!AX29</f>
        <v>4969.4399999994785</v>
      </c>
      <c r="AR29" s="94">
        <f>'[1]October - 19'!AY29</f>
        <v>5115.5999999996275</v>
      </c>
      <c r="AS29" s="94">
        <f>'[1]October - 19'!AZ29</f>
        <v>7783068.7199999997</v>
      </c>
      <c r="AT29" s="254">
        <f>'[1]October - 19'!BA29</f>
        <v>3166.7999999998137</v>
      </c>
      <c r="AU29" s="94">
        <f>'[1]October - 19'!BB29</f>
        <v>3459.1200000001118</v>
      </c>
      <c r="AV29" s="94">
        <f>'[1]October - 19'!BC29</f>
        <v>11477652.48</v>
      </c>
      <c r="AW29" s="255">
        <f>'[1]October - 19'!BD29</f>
        <v>5261.7600000016391</v>
      </c>
      <c r="AX29" s="256">
        <f>'[1]October - 19'!BE29</f>
        <v>5748.9599999990314</v>
      </c>
      <c r="AY29" s="492"/>
      <c r="AZ29" s="95">
        <f>'[1]October - 19'!BJ29</f>
        <v>47917300</v>
      </c>
      <c r="BA29" s="181">
        <f>'[1]October - 19'!BK29</f>
        <v>42500</v>
      </c>
      <c r="BB29" s="95">
        <f>'[1]October - 19'!BL29</f>
        <v>56500</v>
      </c>
      <c r="BC29" s="95">
        <f>'[1]October - 19'!BM29</f>
        <v>52525500</v>
      </c>
      <c r="BD29" s="248">
        <f>'[1]October - 19'!BN29</f>
        <v>53600</v>
      </c>
      <c r="BE29" s="95">
        <f>'[1]October - 19'!BO29</f>
        <v>0</v>
      </c>
      <c r="BF29" s="95">
        <f>'[1]October - 19'!BP29</f>
        <v>46066800</v>
      </c>
      <c r="BG29" s="248">
        <f>'[1]October - 19'!BQ29</f>
        <v>0</v>
      </c>
      <c r="BH29" s="95">
        <f>'[1]October - 19'!BR29</f>
        <v>95900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'[1]October - 19'!BS29</f>
        <v>3613850</v>
      </c>
      <c r="BT29" s="187">
        <f>'[1]October - 19'!BT29</f>
        <v>6340</v>
      </c>
      <c r="BU29" s="588"/>
      <c r="BV29" s="88">
        <f>'[1]October - 19'!BV29</f>
        <v>0.49</v>
      </c>
      <c r="BW29" s="244">
        <f>'[1]October - 19'!BW29</f>
        <v>-4.0000000000000036E-2</v>
      </c>
      <c r="BX29" s="88">
        <f>'[1]October - 19'!BX29</f>
        <v>-3.0000000000000027E-2</v>
      </c>
      <c r="BY29" s="89">
        <f>'[1]October - 19'!BY29</f>
        <v>42971</v>
      </c>
      <c r="BZ29" s="193">
        <f>'[1]October - 19'!BZ29</f>
        <v>20</v>
      </c>
      <c r="CA29" s="89">
        <f>'[1]October - 19'!CA29</f>
        <v>38144</v>
      </c>
      <c r="CB29" s="193">
        <f>'[1]October - 19'!CB29</f>
        <v>17</v>
      </c>
      <c r="CC29" s="89">
        <f>'[1]October - 19'!CC29</f>
        <v>12607</v>
      </c>
      <c r="CD29" s="193">
        <f>'[1]October - 19'!CD29</f>
        <v>7</v>
      </c>
      <c r="CE29" s="89">
        <f>'[1]October - 19'!CE29</f>
        <v>15740</v>
      </c>
      <c r="CF29" s="193">
        <f>'[1]October - 19'!CF29</f>
        <v>12</v>
      </c>
      <c r="CG29" s="89">
        <f>'[1]October - 19'!CG29</f>
        <v>18061</v>
      </c>
      <c r="CH29" s="193">
        <f>'[1]October - 19'!CH29</f>
        <v>9</v>
      </c>
      <c r="CI29" s="89">
        <f>'[1]October - 19'!CI29</f>
        <v>38293</v>
      </c>
      <c r="CJ29" s="193">
        <f>'[1]October - 19'!CJ29</f>
        <v>27</v>
      </c>
      <c r="CK29" s="89">
        <f>'[1]October - 19'!CK29</f>
        <v>167714</v>
      </c>
      <c r="CL29" s="249">
        <f>'[1]October - 19'!CL29</f>
        <v>84</v>
      </c>
      <c r="CM29" s="89">
        <f>'[1]October - 19'!CM29</f>
        <v>81</v>
      </c>
      <c r="CN29" s="89">
        <f>'[1]October - 19'!CN29</f>
        <v>118982</v>
      </c>
      <c r="CO29" s="249">
        <f>'[1]October - 19'!CO29</f>
        <v>62</v>
      </c>
      <c r="CP29" s="89">
        <f>'[1]October - 19'!CP29</f>
        <v>63</v>
      </c>
      <c r="CQ29" s="89">
        <f>'[1]October - 19'!CQ29</f>
        <v>215850</v>
      </c>
      <c r="CR29" s="249">
        <f>'[1]October - 19'!CR29</f>
        <v>67</v>
      </c>
      <c r="CS29" s="89">
        <f>'[1]October - 19'!CS29</f>
        <v>14</v>
      </c>
      <c r="CT29" s="89">
        <f>'[1]October - 19'!CT29</f>
        <v>463555</v>
      </c>
      <c r="CU29" s="193">
        <f>'[1]October - 19'!CU29</f>
        <v>190</v>
      </c>
      <c r="CV29" s="516"/>
      <c r="CW29" s="208">
        <f>'[1]October - 19'!CW29</f>
        <v>3047</v>
      </c>
      <c r="CX29" s="200">
        <f>'[1]October - 19'!CX29</f>
        <v>0</v>
      </c>
      <c r="CY29" s="91">
        <f>'[1]October - 19'!CY29</f>
        <v>938</v>
      </c>
      <c r="CZ29" s="200">
        <f>'[1]October - 19'!CZ29</f>
        <v>0</v>
      </c>
      <c r="DA29" s="91">
        <f>'[1]October - 19'!DA29</f>
        <v>17321</v>
      </c>
      <c r="DB29" s="200">
        <f>'[1]October - 19'!DB29</f>
        <v>9</v>
      </c>
      <c r="DC29" s="91">
        <f>'[1]October - 19'!DC29</f>
        <v>18099</v>
      </c>
      <c r="DD29" s="200">
        <f>'[1]October - 19'!DD29</f>
        <v>7</v>
      </c>
      <c r="DE29" s="91">
        <f>'[1]October - 19'!DE29</f>
        <v>12594</v>
      </c>
      <c r="DF29" s="200">
        <f>'[1]October - 19'!DF29</f>
        <v>9</v>
      </c>
      <c r="DG29" s="91">
        <f>'[1]October - 19'!DG29</f>
        <v>16668</v>
      </c>
      <c r="DH29" s="200">
        <f>'[1]October - 19'!DH29</f>
        <v>11</v>
      </c>
      <c r="DI29" s="91">
        <f>'[1]October - 19'!DI29</f>
        <v>825</v>
      </c>
      <c r="DJ29" s="200">
        <f>'[1]October - 19'!DJ29</f>
        <v>0</v>
      </c>
      <c r="DK29" s="91">
        <f>'[1]October - 19'!DK29</f>
        <v>3570</v>
      </c>
      <c r="DL29" s="200">
        <f>'[1]October - 19'!DL29</f>
        <v>0</v>
      </c>
      <c r="DM29" s="91">
        <f>'[1]October - 19'!DM29</f>
        <v>566</v>
      </c>
      <c r="DN29" s="200">
        <f>'[1]October - 19'!DN29</f>
        <v>16</v>
      </c>
      <c r="DO29" s="91">
        <f>'[1]October - 19'!DO29</f>
        <v>739</v>
      </c>
      <c r="DP29" s="200">
        <f>'[1]October - 19'!DP29</f>
        <v>4</v>
      </c>
      <c r="DQ29" s="91">
        <f>'[1]October - 19'!DQ29</f>
        <v>15918</v>
      </c>
      <c r="DR29" s="209">
        <f>'[1]October - 19'!DR29</f>
        <v>16</v>
      </c>
      <c r="DS29" s="532"/>
      <c r="DT29" s="213">
        <f>'[1]October - 19'!DT29</f>
        <v>2618524</v>
      </c>
      <c r="DU29" s="224">
        <f>'[1]October - 19'!DU29</f>
        <v>1546</v>
      </c>
      <c r="DV29" s="93">
        <f>'[1]October - 19'!DV29</f>
        <v>4141</v>
      </c>
      <c r="DW29" s="218">
        <f>'[1]October - 19'!DW29</f>
        <v>4</v>
      </c>
      <c r="DX29" s="93">
        <f>'[1]October - 19'!DX29</f>
        <v>1716024</v>
      </c>
      <c r="DY29" s="218">
        <f>'[1]October - 19'!DY29</f>
        <v>1248</v>
      </c>
      <c r="DZ29" s="93">
        <f>'[1]October - 19'!DZ29</f>
        <v>246436</v>
      </c>
      <c r="EA29" s="218">
        <f>'[1]October - 19'!EA29</f>
        <v>146</v>
      </c>
      <c r="EB29" s="93">
        <f>'[1]October - 19'!ED29</f>
        <v>355537</v>
      </c>
      <c r="EC29" s="218">
        <f>'[1]October - 19'!EE29</f>
        <v>576</v>
      </c>
      <c r="ED29" s="93">
        <f>'[1]October - 19'!EF29</f>
        <v>74396</v>
      </c>
      <c r="EE29" s="232">
        <f>'[1]October - 19'!EG29</f>
        <v>122</v>
      </c>
      <c r="EF29" s="579"/>
      <c r="EG29" s="238">
        <f>'[1]October - 19'!EI29</f>
        <v>6478887</v>
      </c>
      <c r="EH29" s="233">
        <f>'[1]October - 19'!EJ29</f>
        <v>6900</v>
      </c>
      <c r="EI29" s="92">
        <f>'[1]October - 19'!EK29</f>
        <v>571220</v>
      </c>
      <c r="EJ29" s="233">
        <f>'[1]October - 19'!EL29</f>
        <v>450</v>
      </c>
      <c r="EK29" s="92">
        <f>'[1]October - 19'!EM29</f>
        <v>4452800</v>
      </c>
      <c r="EL29" s="233">
        <f>'[1]October - 19'!EN29</f>
        <v>3100</v>
      </c>
      <c r="EM29" s="92">
        <f>'[1]October - 19'!EO29</f>
        <v>1964771</v>
      </c>
      <c r="EN29" s="233">
        <f>'[1]October - 19'!EP29</f>
        <v>620</v>
      </c>
      <c r="EO29" s="92">
        <f>'[1]October - 19'!EQ29</f>
        <v>664860</v>
      </c>
      <c r="EP29" s="233">
        <f>'[1]October - 19'!ER29</f>
        <v>180</v>
      </c>
      <c r="EQ29" s="92">
        <f>'[1]October - 19'!ES29</f>
        <v>10527900</v>
      </c>
      <c r="ER29" s="233">
        <f>'[1]October - 19'!ET29</f>
        <v>5600</v>
      </c>
      <c r="ES29" s="554"/>
      <c r="ET29" s="287">
        <f>'[1]October - 19'!EV29</f>
        <v>26243</v>
      </c>
      <c r="EU29" s="286">
        <f>'[1]October - 19'!$EW$11</f>
        <v>18</v>
      </c>
      <c r="EV29" s="285">
        <f>'[1]October - 19'!EX29</f>
        <v>22977</v>
      </c>
      <c r="EW29" s="286">
        <f>'[1]October - 19'!EY29</f>
        <v>15</v>
      </c>
      <c r="EX29" s="285">
        <f>'[1]October - 19'!FB29</f>
        <v>42703</v>
      </c>
      <c r="EY29" s="286">
        <f>'[1]October - 19'!FA29</f>
        <v>0</v>
      </c>
      <c r="EZ29" s="285">
        <f>'[1]October - 19'!EZ29</f>
        <v>0</v>
      </c>
      <c r="FA29" s="286">
        <f>'[1]October - 19'!FA29</f>
        <v>0</v>
      </c>
      <c r="FB29" s="285">
        <f>'[1]October - 19'!FD29</f>
        <v>18258</v>
      </c>
      <c r="FC29" s="288">
        <f>'[1]October - 19'!FE29</f>
        <v>30</v>
      </c>
    </row>
    <row r="30" spans="1:159" ht="30" customHeight="1" x14ac:dyDescent="0.25">
      <c r="A30" s="210">
        <v>43759</v>
      </c>
      <c r="B30" s="212">
        <f>'[1]October - 19'!B30</f>
        <v>0.71</v>
      </c>
      <c r="C30" s="253">
        <f>'[1]October - 19'!E30</f>
        <v>475500</v>
      </c>
      <c r="D30" s="172">
        <f>'[1]October - 19'!F30</f>
        <v>484</v>
      </c>
      <c r="E30" s="170">
        <f>'[1]October - 19'!G30</f>
        <v>545</v>
      </c>
      <c r="F30" s="170">
        <f>'[1]October - 19'!H30</f>
        <v>657308</v>
      </c>
      <c r="G30" s="172">
        <f>'[1]October - 19'!I30</f>
        <v>280</v>
      </c>
      <c r="H30" s="170">
        <f>'[1]October - 19'!J30</f>
        <v>399</v>
      </c>
      <c r="I30" s="170">
        <f>'[1]October - 19'!K30</f>
        <v>3462</v>
      </c>
      <c r="J30" s="172">
        <f>'[1]October - 19'!L30</f>
        <v>393</v>
      </c>
      <c r="K30" s="170">
        <f>'[1]October - 19'!N30</f>
        <v>594106</v>
      </c>
      <c r="L30" s="172">
        <f>'[1]October - 19'!O30</f>
        <v>467</v>
      </c>
      <c r="M30" s="170">
        <f>'[1]October - 19'!Q30</f>
        <v>156722</v>
      </c>
      <c r="N30" s="172">
        <f>'[1]October - 19'!R30</f>
        <v>0</v>
      </c>
      <c r="O30" s="170">
        <f>'[1]October - 19'!S30</f>
        <v>85288</v>
      </c>
      <c r="P30" s="172">
        <f>'[1]October - 19'!T30</f>
        <v>201</v>
      </c>
      <c r="Q30" s="170">
        <f>'[1]October - 19'!U30</f>
        <v>188</v>
      </c>
      <c r="R30" s="170">
        <f>'[1]October - 19'!V30</f>
        <v>5026</v>
      </c>
      <c r="S30" s="211">
        <f>'[1]October - 19'!W30</f>
        <v>44</v>
      </c>
      <c r="T30" s="475"/>
      <c r="U30" s="171">
        <f>'[1]October - 19'!AB30</f>
        <v>5268142.32</v>
      </c>
      <c r="V30" s="254">
        <f>'[1]October - 19'!AC30</f>
        <v>2387.2800000002608</v>
      </c>
      <c r="W30" s="94">
        <f>'[1]October - 19'!AD30</f>
        <v>2971.9199999999255</v>
      </c>
      <c r="X30" s="94">
        <f>'[1]October - 19'!AE30</f>
        <v>10285766.4</v>
      </c>
      <c r="Y30" s="254">
        <f>'[1]October - 19'!AF30</f>
        <v>4872</v>
      </c>
      <c r="Z30" s="94">
        <f>'[1]October - 19'!AG30</f>
        <v>5310.480000000447</v>
      </c>
      <c r="AA30" s="94">
        <f>'[1]October - 19'!AH30</f>
        <v>9475504.0800000001</v>
      </c>
      <c r="AB30" s="254">
        <f>'[1]October - 19'!AI30</f>
        <v>7308</v>
      </c>
      <c r="AC30" s="94">
        <f>'[1]October - 19'!AJ30</f>
        <v>11741.520000000484</v>
      </c>
      <c r="AD30" s="94">
        <f>'[1]October - 19'!AK30</f>
        <v>12860862</v>
      </c>
      <c r="AE30" s="254">
        <f>'[1]October - 19'!AL30</f>
        <v>11108.160000000149</v>
      </c>
      <c r="AF30" s="94">
        <f>'[1]October - 19'!AM30</f>
        <v>341.04000000096858</v>
      </c>
      <c r="AG30" s="94">
        <f>'[1]October - 19'!AN30</f>
        <v>12813262.559999999</v>
      </c>
      <c r="AH30" s="254">
        <f>'[1]October - 19'!AO30</f>
        <v>779.51999999769032</v>
      </c>
      <c r="AI30" s="94">
        <f>'[1]October - 19'!AP30</f>
        <v>5213.0400000009686</v>
      </c>
      <c r="AJ30" s="94">
        <f>'[1]October - 19'!AQ30</f>
        <v>11480137.199999999</v>
      </c>
      <c r="AK30" s="254">
        <f>'[1]October - 19'!AR30</f>
        <v>7064.4000000003725</v>
      </c>
      <c r="AL30" s="94">
        <f>'[1]October - 19'!AS30</f>
        <v>5895.1199999991804</v>
      </c>
      <c r="AM30" s="94">
        <f>'[1]October - 19'!AT30</f>
        <v>10071642</v>
      </c>
      <c r="AN30" s="254">
        <f>'[1]October - 19'!AU30</f>
        <v>4482.2400000002235</v>
      </c>
      <c r="AO30" s="94">
        <f>'[1]October - 19'!AV30</f>
        <v>4774.5600000005215</v>
      </c>
      <c r="AP30" s="94">
        <f>'[1]October - 19'!AW30</f>
        <v>9689043.8399999999</v>
      </c>
      <c r="AQ30" s="254">
        <f>'[1]October - 19'!AX30</f>
        <v>4823.2800000011921</v>
      </c>
      <c r="AR30" s="94">
        <f>'[1]October - 19'!AY30</f>
        <v>5310.480000000447</v>
      </c>
      <c r="AS30" s="94">
        <f>'[1]October - 19'!AZ30</f>
        <v>7786527.8399999999</v>
      </c>
      <c r="AT30" s="254">
        <f>'[1]October - 19'!BA30</f>
        <v>3459.1200000001118</v>
      </c>
      <c r="AU30" s="94">
        <f>'[1]October - 19'!BB30</f>
        <v>3264.2400000002235</v>
      </c>
      <c r="AV30" s="94">
        <f>'[1]October - 19'!BC30</f>
        <v>11482914.24</v>
      </c>
      <c r="AW30" s="255">
        <f>'[1]October - 19'!BD30</f>
        <v>5261.7599999997765</v>
      </c>
      <c r="AX30" s="256">
        <f>'[1]October - 19'!BE30</f>
        <v>5602.8000000007451</v>
      </c>
      <c r="AY30" s="492"/>
      <c r="AZ30" s="95">
        <f>'[1]October - 19'!BJ30</f>
        <v>47954600</v>
      </c>
      <c r="BA30" s="181">
        <f>'[1]October - 19'!BK30</f>
        <v>37300</v>
      </c>
      <c r="BB30" s="95">
        <f>'[1]October - 19'!BL30</f>
        <v>34700</v>
      </c>
      <c r="BC30" s="95">
        <f>'[1]October - 19'!BM30</f>
        <v>52580900</v>
      </c>
      <c r="BD30" s="248">
        <f>'[1]October - 19'!BN30</f>
        <v>55400</v>
      </c>
      <c r="BE30" s="95">
        <f>'[1]October - 19'!BO30</f>
        <v>34000</v>
      </c>
      <c r="BF30" s="95">
        <f>'[1]October - 19'!BP30</f>
        <v>46066800</v>
      </c>
      <c r="BG30" s="248">
        <f>'[1]October - 19'!BQ30</f>
        <v>0</v>
      </c>
      <c r="BH30" s="95">
        <f>'[1]October - 19'!BR30</f>
        <v>24700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'[1]October - 19'!BS30</f>
        <v>3618540</v>
      </c>
      <c r="BT30" s="187">
        <f>'[1]October - 19'!BT30</f>
        <v>4690</v>
      </c>
      <c r="BU30" s="588"/>
      <c r="BV30" s="88">
        <f>'[1]October - 19'!BV30</f>
        <v>0.44</v>
      </c>
      <c r="BW30" s="244">
        <f>'[1]October - 19'!BW30</f>
        <v>-4.9999999999999989E-2</v>
      </c>
      <c r="BX30" s="88">
        <f>'[1]October - 19'!BX30</f>
        <v>-1.9999999999999907E-2</v>
      </c>
      <c r="BY30" s="89">
        <f>'[1]October - 19'!BY30</f>
        <v>42991</v>
      </c>
      <c r="BZ30" s="193">
        <f>'[1]October - 19'!BZ30</f>
        <v>20</v>
      </c>
      <c r="CA30" s="89">
        <f>'[1]October - 19'!CA30</f>
        <v>38159</v>
      </c>
      <c r="CB30" s="193">
        <f>'[1]October - 19'!CB30</f>
        <v>15</v>
      </c>
      <c r="CC30" s="89">
        <f>'[1]October - 19'!CC30</f>
        <v>12614</v>
      </c>
      <c r="CD30" s="193">
        <f>'[1]October - 19'!CD30</f>
        <v>7</v>
      </c>
      <c r="CE30" s="89">
        <f>'[1]October - 19'!CE30</f>
        <v>15751</v>
      </c>
      <c r="CF30" s="193">
        <f>'[1]October - 19'!CF30</f>
        <v>11</v>
      </c>
      <c r="CG30" s="89">
        <f>'[1]October - 19'!CG30</f>
        <v>18071</v>
      </c>
      <c r="CH30" s="193">
        <f>'[1]October - 19'!CH30</f>
        <v>10</v>
      </c>
      <c r="CI30" s="89">
        <f>'[1]October - 19'!CI30</f>
        <v>38319</v>
      </c>
      <c r="CJ30" s="193">
        <f>'[1]October - 19'!CJ30</f>
        <v>26</v>
      </c>
      <c r="CK30" s="89">
        <f>'[1]October - 19'!CK30</f>
        <v>167800</v>
      </c>
      <c r="CL30" s="249">
        <f>'[1]October - 19'!CL30</f>
        <v>86</v>
      </c>
      <c r="CM30" s="89">
        <f>'[1]October - 19'!CM30</f>
        <v>80</v>
      </c>
      <c r="CN30" s="89">
        <f>'[1]October - 19'!CN30</f>
        <v>119055</v>
      </c>
      <c r="CO30" s="249">
        <f>'[1]October - 19'!CO30</f>
        <v>73</v>
      </c>
      <c r="CP30" s="89">
        <f>'[1]October - 19'!CP30</f>
        <v>68</v>
      </c>
      <c r="CQ30" s="89">
        <f>'[1]October - 19'!CQ30</f>
        <v>215921</v>
      </c>
      <c r="CR30" s="249">
        <f>'[1]October - 19'!CR30</f>
        <v>71</v>
      </c>
      <c r="CS30" s="89">
        <f>'[1]October - 19'!CS30</f>
        <v>15</v>
      </c>
      <c r="CT30" s="89">
        <f>'[1]October - 19'!CT30</f>
        <v>463748</v>
      </c>
      <c r="CU30" s="193">
        <f>'[1]October - 19'!CU30</f>
        <v>193</v>
      </c>
      <c r="CV30" s="516"/>
      <c r="CW30" s="208">
        <f>'[1]October - 19'!CW30</f>
        <v>3047</v>
      </c>
      <c r="CX30" s="200">
        <f>'[1]October - 19'!CX30</f>
        <v>0</v>
      </c>
      <c r="CY30" s="91">
        <f>'[1]October - 19'!CY30</f>
        <v>938</v>
      </c>
      <c r="CZ30" s="200">
        <f>'[1]October - 19'!CZ30</f>
        <v>0</v>
      </c>
      <c r="DA30" s="91">
        <f>'[1]October - 19'!DA30</f>
        <v>17334</v>
      </c>
      <c r="DB30" s="200">
        <f>'[1]October - 19'!DB30</f>
        <v>13</v>
      </c>
      <c r="DC30" s="91">
        <f>'[1]October - 19'!DC30</f>
        <v>18111</v>
      </c>
      <c r="DD30" s="200">
        <f>'[1]October - 19'!DD30</f>
        <v>12</v>
      </c>
      <c r="DE30" s="91">
        <f>'[1]October - 19'!DE30</f>
        <v>12603</v>
      </c>
      <c r="DF30" s="200">
        <f>'[1]October - 19'!DF30</f>
        <v>9</v>
      </c>
      <c r="DG30" s="91">
        <f>'[1]October - 19'!DG30</f>
        <v>16675</v>
      </c>
      <c r="DH30" s="200">
        <f>'[1]October - 19'!DH30</f>
        <v>7</v>
      </c>
      <c r="DI30" s="91">
        <f>'[1]October - 19'!DI30</f>
        <v>825</v>
      </c>
      <c r="DJ30" s="200">
        <f>'[1]October - 19'!DJ30</f>
        <v>0</v>
      </c>
      <c r="DK30" s="91">
        <f>'[1]October - 19'!DK30</f>
        <v>3570</v>
      </c>
      <c r="DL30" s="200">
        <f>'[1]October - 19'!DL30</f>
        <v>0</v>
      </c>
      <c r="DM30" s="91">
        <f>'[1]October - 19'!DM30</f>
        <v>571</v>
      </c>
      <c r="DN30" s="200">
        <f>'[1]October - 19'!DN30</f>
        <v>5</v>
      </c>
      <c r="DO30" s="91">
        <f>'[1]October - 19'!DO30</f>
        <v>742</v>
      </c>
      <c r="DP30" s="200">
        <f>'[1]October - 19'!DP30</f>
        <v>3</v>
      </c>
      <c r="DQ30" s="91">
        <f>'[1]October - 19'!DQ30</f>
        <v>15945</v>
      </c>
      <c r="DR30" s="209">
        <f>'[1]October - 19'!DR30</f>
        <v>27</v>
      </c>
      <c r="DS30" s="532"/>
      <c r="DT30" s="213">
        <f>'[1]October - 19'!DT30</f>
        <v>2620039</v>
      </c>
      <c r="DU30" s="224">
        <f>'[1]October - 19'!DU30</f>
        <v>1515</v>
      </c>
      <c r="DV30" s="93">
        <f>'[1]October - 19'!DV30</f>
        <v>4145</v>
      </c>
      <c r="DW30" s="218">
        <f>'[1]October - 19'!DW30</f>
        <v>4</v>
      </c>
      <c r="DX30" s="93">
        <f>'[1]October - 19'!DX30</f>
        <v>1717298</v>
      </c>
      <c r="DY30" s="218">
        <f>'[1]October - 19'!DY30</f>
        <v>1274</v>
      </c>
      <c r="DZ30" s="93">
        <f>'[1]October - 19'!DZ30</f>
        <v>246570</v>
      </c>
      <c r="EA30" s="218">
        <f>'[1]October - 19'!EA30</f>
        <v>134</v>
      </c>
      <c r="EB30" s="93">
        <f>'[1]October - 19'!ED30</f>
        <v>356128</v>
      </c>
      <c r="EC30" s="218">
        <f>'[1]October - 19'!EE30</f>
        <v>591</v>
      </c>
      <c r="ED30" s="93">
        <f>'[1]October - 19'!EF30</f>
        <v>74537</v>
      </c>
      <c r="EE30" s="232">
        <f>'[1]October - 19'!EG30</f>
        <v>141</v>
      </c>
      <c r="EF30" s="579"/>
      <c r="EG30" s="238">
        <f>'[1]October - 19'!EI30</f>
        <v>6486387</v>
      </c>
      <c r="EH30" s="233">
        <f>'[1]October - 19'!EJ30</f>
        <v>7500</v>
      </c>
      <c r="EI30" s="92">
        <f>'[1]October - 19'!EK30</f>
        <v>571670</v>
      </c>
      <c r="EJ30" s="233">
        <f>'[1]October - 19'!EL30</f>
        <v>450</v>
      </c>
      <c r="EK30" s="92">
        <f>'[1]October - 19'!EM30</f>
        <v>4456300</v>
      </c>
      <c r="EL30" s="233">
        <f>'[1]October - 19'!EN30</f>
        <v>3500</v>
      </c>
      <c r="EM30" s="92">
        <f>'[1]October - 19'!EO30</f>
        <v>1965561</v>
      </c>
      <c r="EN30" s="233">
        <f>'[1]October - 19'!EP30</f>
        <v>790</v>
      </c>
      <c r="EO30" s="92">
        <f>'[1]October - 19'!EQ30</f>
        <v>665040</v>
      </c>
      <c r="EP30" s="233">
        <f>'[1]October - 19'!ER30</f>
        <v>180</v>
      </c>
      <c r="EQ30" s="92">
        <f>'[1]October - 19'!ES30</f>
        <v>10533500</v>
      </c>
      <c r="ER30" s="233">
        <f>'[1]October - 19'!ET30</f>
        <v>5600</v>
      </c>
      <c r="ES30" s="554"/>
      <c r="ET30" s="287">
        <f>'[1]October - 19'!EV30</f>
        <v>26259</v>
      </c>
      <c r="EU30" s="286">
        <f>'[1]October - 19'!$EW$11</f>
        <v>18</v>
      </c>
      <c r="EV30" s="285">
        <f>'[1]October - 19'!EX30</f>
        <v>22994</v>
      </c>
      <c r="EW30" s="286">
        <f>'[1]October - 19'!EY30</f>
        <v>17</v>
      </c>
      <c r="EX30" s="285">
        <f>'[1]October - 19'!FB30</f>
        <v>42703</v>
      </c>
      <c r="EY30" s="286">
        <f>'[1]October - 19'!FA30</f>
        <v>0</v>
      </c>
      <c r="EZ30" s="285">
        <f>'[1]October - 19'!EZ30</f>
        <v>0</v>
      </c>
      <c r="FA30" s="286">
        <f>'[1]October - 19'!FA30</f>
        <v>0</v>
      </c>
      <c r="FB30" s="285">
        <f>'[1]October - 19'!FD30</f>
        <v>18287</v>
      </c>
      <c r="FC30" s="288">
        <f>'[1]October - 19'!FE30</f>
        <v>29</v>
      </c>
    </row>
    <row r="31" spans="1:159" ht="30" customHeight="1" x14ac:dyDescent="0.25">
      <c r="A31" s="210">
        <v>43760</v>
      </c>
      <c r="B31" s="212">
        <f>'[1]October - 19'!B31</f>
        <v>0.74</v>
      </c>
      <c r="C31" s="253">
        <f>'[1]October - 19'!E31</f>
        <v>476042</v>
      </c>
      <c r="D31" s="172">
        <f>'[1]October - 19'!F31</f>
        <v>542</v>
      </c>
      <c r="E31" s="170">
        <f>'[1]October - 19'!G31</f>
        <v>524</v>
      </c>
      <c r="F31" s="170">
        <f>'[1]October - 19'!H31</f>
        <v>657602</v>
      </c>
      <c r="G31" s="172">
        <f>'[1]October - 19'!I31</f>
        <v>294</v>
      </c>
      <c r="H31" s="170">
        <f>'[1]October - 19'!J31</f>
        <v>376</v>
      </c>
      <c r="I31" s="170">
        <f>'[1]October - 19'!K31</f>
        <v>3623</v>
      </c>
      <c r="J31" s="172">
        <f>'[1]October - 19'!L31</f>
        <v>161</v>
      </c>
      <c r="K31" s="170">
        <f>'[1]October - 19'!N31</f>
        <v>594497</v>
      </c>
      <c r="L31" s="172">
        <f>'[1]October - 19'!O31</f>
        <v>391</v>
      </c>
      <c r="M31" s="170">
        <f>'[1]October - 19'!Q31</f>
        <v>156722</v>
      </c>
      <c r="N31" s="172">
        <f>'[1]October - 19'!R31</f>
        <v>0</v>
      </c>
      <c r="O31" s="170">
        <f>'[1]October - 19'!S31</f>
        <v>85507</v>
      </c>
      <c r="P31" s="172">
        <f>'[1]October - 19'!T31</f>
        <v>219</v>
      </c>
      <c r="Q31" s="170">
        <f>'[1]October - 19'!U31</f>
        <v>172</v>
      </c>
      <c r="R31" s="170">
        <f>'[1]October - 19'!V31</f>
        <v>5085</v>
      </c>
      <c r="S31" s="211">
        <f>'[1]October - 19'!W31</f>
        <v>59</v>
      </c>
      <c r="T31" s="475"/>
      <c r="U31" s="171">
        <f>'[1]October - 19'!AB31</f>
        <v>5270627.04</v>
      </c>
      <c r="V31" s="254">
        <f>'[1]October - 19'!AC31</f>
        <v>2484.7199999997392</v>
      </c>
      <c r="W31" s="94">
        <f>'[1]October - 19'!AD31</f>
        <v>3166.7999999998137</v>
      </c>
      <c r="X31" s="94">
        <f>'[1]October - 19'!AE31</f>
        <v>10290784.559999999</v>
      </c>
      <c r="Y31" s="254">
        <f>'[1]October - 19'!AF31</f>
        <v>5018.1599999982864</v>
      </c>
      <c r="Z31" s="94">
        <f>'[1]October - 19'!AG31</f>
        <v>5554.0799999982119</v>
      </c>
      <c r="AA31" s="94">
        <f>'[1]October - 19'!AH31</f>
        <v>9483640.3199999984</v>
      </c>
      <c r="AB31" s="254">
        <f>'[1]October - 19'!AI31</f>
        <v>8136.2399999983609</v>
      </c>
      <c r="AC31" s="94">
        <f>'[1]October - 19'!AJ31</f>
        <v>12374.879999999888</v>
      </c>
      <c r="AD31" s="94">
        <f>'[1]October - 19'!AK31</f>
        <v>12873870.24</v>
      </c>
      <c r="AE31" s="254">
        <f>'[1]October - 19'!AL31</f>
        <v>13008.240000000224</v>
      </c>
      <c r="AF31" s="94">
        <f>'[1]October - 19'!AM31</f>
        <v>974.39999999850988</v>
      </c>
      <c r="AG31" s="94">
        <f>'[1]October - 19'!AN31</f>
        <v>12814626.719999999</v>
      </c>
      <c r="AH31" s="254">
        <f>'[1]October - 19'!AO31</f>
        <v>1364.160000000149</v>
      </c>
      <c r="AI31" s="94">
        <f>'[1]October - 19'!AP31</f>
        <v>6431.0400000009686</v>
      </c>
      <c r="AJ31" s="94">
        <f>'[1]October - 19'!AQ31</f>
        <v>11487396.48</v>
      </c>
      <c r="AK31" s="254">
        <f>'[1]October - 19'!AR31</f>
        <v>7259.2800000011921</v>
      </c>
      <c r="AL31" s="94">
        <f>'[1]October - 19'!AS31</f>
        <v>5895.1200000010431</v>
      </c>
      <c r="AM31" s="94">
        <f>'[1]October - 19'!AT31</f>
        <v>10076319.119999999</v>
      </c>
      <c r="AN31" s="254">
        <f>'[1]October - 19'!AU31</f>
        <v>4677.1199999991804</v>
      </c>
      <c r="AO31" s="94">
        <f>'[1]October - 19'!AV31</f>
        <v>4969.4399999994785</v>
      </c>
      <c r="AP31" s="94">
        <f>'[1]October - 19'!AW31</f>
        <v>9694256.8800000008</v>
      </c>
      <c r="AQ31" s="254">
        <f>'[1]October - 19'!AX31</f>
        <v>5213.0400000009686</v>
      </c>
      <c r="AR31" s="94">
        <f>'[1]October - 19'!AY31</f>
        <v>5018.160000000149</v>
      </c>
      <c r="AS31" s="94">
        <f>'[1]October - 19'!AZ31</f>
        <v>7789938.2400000002</v>
      </c>
      <c r="AT31" s="254">
        <f>'[1]October - 19'!BA31</f>
        <v>3410.4000000003725</v>
      </c>
      <c r="AU31" s="94">
        <f>'[1]October - 19'!BB31</f>
        <v>3751.4399999994785</v>
      </c>
      <c r="AV31" s="94">
        <f>'[1]October - 19'!BC31</f>
        <v>11488419.6</v>
      </c>
      <c r="AW31" s="255">
        <f>'[1]October - 19'!BD31</f>
        <v>5505.359999999404</v>
      </c>
      <c r="AX31" s="256">
        <f>'[1]October - 19'!BE31</f>
        <v>5895.1200000010431</v>
      </c>
      <c r="AY31" s="492"/>
      <c r="AZ31" s="95">
        <f>'[1]October - 19'!BJ31</f>
        <v>47996500</v>
      </c>
      <c r="BA31" s="181">
        <f>'[1]October - 19'!BK31</f>
        <v>41900</v>
      </c>
      <c r="BB31" s="95">
        <f>'[1]October - 19'!BL31</f>
        <v>82100</v>
      </c>
      <c r="BC31" s="95">
        <f>'[1]October - 19'!BM31</f>
        <v>52638600</v>
      </c>
      <c r="BD31" s="248">
        <f>'[1]October - 19'!BN31</f>
        <v>57700</v>
      </c>
      <c r="BE31" s="95">
        <f>'[1]October - 19'!BO31</f>
        <v>0</v>
      </c>
      <c r="BF31" s="95">
        <f>'[1]October - 19'!BP31</f>
        <v>46066800</v>
      </c>
      <c r="BG31" s="248">
        <f>'[1]October - 19'!BQ31</f>
        <v>0</v>
      </c>
      <c r="BH31" s="95">
        <f>'[1]October - 19'!BR31</f>
        <v>22400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'[1]October - 19'!BS31</f>
        <v>3623380</v>
      </c>
      <c r="BT31" s="187">
        <f>'[1]October - 19'!BT31</f>
        <v>4840</v>
      </c>
      <c r="BU31" s="588"/>
      <c r="BV31" s="88">
        <f>'[1]October - 19'!BV31</f>
        <v>0.41</v>
      </c>
      <c r="BW31" s="244">
        <f>'[1]October - 19'!BW31</f>
        <v>-3.0000000000000027E-2</v>
      </c>
      <c r="BX31" s="88">
        <f>'[1]October - 19'!BX31</f>
        <v>-4.0000000000000036E-2</v>
      </c>
      <c r="BY31" s="89">
        <f>'[1]October - 19'!BY31</f>
        <v>43011</v>
      </c>
      <c r="BZ31" s="193">
        <f>'[1]October - 19'!BZ31</f>
        <v>20</v>
      </c>
      <c r="CA31" s="89">
        <f>'[1]October - 19'!CA31</f>
        <v>38174</v>
      </c>
      <c r="CB31" s="193">
        <f>'[1]October - 19'!CB31</f>
        <v>15</v>
      </c>
      <c r="CC31" s="89">
        <f>'[1]October - 19'!CC31</f>
        <v>12621</v>
      </c>
      <c r="CD31" s="193">
        <f>'[1]October - 19'!CD31</f>
        <v>7</v>
      </c>
      <c r="CE31" s="89">
        <f>'[1]October - 19'!CE31</f>
        <v>15762</v>
      </c>
      <c r="CF31" s="193">
        <f>'[1]October - 19'!CF31</f>
        <v>11</v>
      </c>
      <c r="CG31" s="89">
        <f>'[1]October - 19'!CG31</f>
        <v>18081</v>
      </c>
      <c r="CH31" s="193">
        <f>'[1]October - 19'!CH31</f>
        <v>10</v>
      </c>
      <c r="CI31" s="89">
        <f>'[1]October - 19'!CI31</f>
        <v>38345</v>
      </c>
      <c r="CJ31" s="193">
        <f>'[1]October - 19'!CJ31</f>
        <v>26</v>
      </c>
      <c r="CK31" s="89">
        <f>'[1]October - 19'!CK31</f>
        <v>167883</v>
      </c>
      <c r="CL31" s="249">
        <f>'[1]October - 19'!CL31</f>
        <v>83</v>
      </c>
      <c r="CM31" s="89">
        <f>'[1]October - 19'!CM31</f>
        <v>80</v>
      </c>
      <c r="CN31" s="89">
        <f>'[1]October - 19'!CN31</f>
        <v>119127</v>
      </c>
      <c r="CO31" s="249">
        <f>'[1]October - 19'!CO31</f>
        <v>72</v>
      </c>
      <c r="CP31" s="89">
        <f>'[1]October - 19'!CP31</f>
        <v>64</v>
      </c>
      <c r="CQ31" s="89">
        <f>'[1]October - 19'!CQ31</f>
        <v>215989</v>
      </c>
      <c r="CR31" s="249">
        <f>'[1]October - 19'!CR31</f>
        <v>68</v>
      </c>
      <c r="CS31" s="89">
        <f>'[1]October - 19'!CS31</f>
        <v>14</v>
      </c>
      <c r="CT31" s="89">
        <f>'[1]October - 19'!CT31</f>
        <v>463936</v>
      </c>
      <c r="CU31" s="193">
        <f>'[1]October - 19'!CU31</f>
        <v>188</v>
      </c>
      <c r="CV31" s="516"/>
      <c r="CW31" s="208">
        <f>'[1]October - 19'!CW31</f>
        <v>3047</v>
      </c>
      <c r="CX31" s="200">
        <f>'[1]October - 19'!CX31</f>
        <v>0</v>
      </c>
      <c r="CY31" s="91">
        <f>'[1]October - 19'!CY31</f>
        <v>938</v>
      </c>
      <c r="CZ31" s="200">
        <f>'[1]October - 19'!CZ31</f>
        <v>0</v>
      </c>
      <c r="DA31" s="91">
        <f>'[1]October - 19'!DA31</f>
        <v>17345</v>
      </c>
      <c r="DB31" s="200">
        <f>'[1]October - 19'!DB31</f>
        <v>11</v>
      </c>
      <c r="DC31" s="91">
        <f>'[1]October - 19'!DC31</f>
        <v>18123</v>
      </c>
      <c r="DD31" s="200">
        <f>'[1]October - 19'!DD31</f>
        <v>12</v>
      </c>
      <c r="DE31" s="91">
        <f>'[1]October - 19'!DE31</f>
        <v>12605</v>
      </c>
      <c r="DF31" s="200">
        <f>'[1]October - 19'!DF31</f>
        <v>2</v>
      </c>
      <c r="DG31" s="91">
        <f>'[1]October - 19'!DG31</f>
        <v>16678</v>
      </c>
      <c r="DH31" s="200">
        <f>'[1]October - 19'!DH31</f>
        <v>3</v>
      </c>
      <c r="DI31" s="91">
        <f>'[1]October - 19'!DI31</f>
        <v>825</v>
      </c>
      <c r="DJ31" s="200">
        <f>'[1]October - 19'!DJ31</f>
        <v>0</v>
      </c>
      <c r="DK31" s="91">
        <f>'[1]October - 19'!DK31</f>
        <v>3570</v>
      </c>
      <c r="DL31" s="200">
        <f>'[1]October - 19'!DL31</f>
        <v>0</v>
      </c>
      <c r="DM31" s="91">
        <f>'[1]October - 19'!DM31</f>
        <v>578</v>
      </c>
      <c r="DN31" s="200">
        <f>'[1]October - 19'!DN31</f>
        <v>7</v>
      </c>
      <c r="DO31" s="91">
        <f>'[1]October - 19'!DO31</f>
        <v>743</v>
      </c>
      <c r="DP31" s="200">
        <f>'[1]October - 19'!DP31</f>
        <v>1</v>
      </c>
      <c r="DQ31" s="91">
        <f>'[1]October - 19'!DQ31</f>
        <v>15972</v>
      </c>
      <c r="DR31" s="209">
        <f>'[1]October - 19'!DR31</f>
        <v>27</v>
      </c>
      <c r="DS31" s="532"/>
      <c r="DT31" s="213">
        <f>'[1]October - 19'!DT31</f>
        <v>2621540</v>
      </c>
      <c r="DU31" s="224">
        <f>'[1]October - 19'!DU31</f>
        <v>1501</v>
      </c>
      <c r="DV31" s="93">
        <f>'[1]October - 19'!DV31</f>
        <v>4149</v>
      </c>
      <c r="DW31" s="218">
        <f>'[1]October - 19'!DW31</f>
        <v>4</v>
      </c>
      <c r="DX31" s="93">
        <f>'[1]October - 19'!DX31</f>
        <v>1718546</v>
      </c>
      <c r="DY31" s="218">
        <f>'[1]October - 19'!DY31</f>
        <v>1248</v>
      </c>
      <c r="DZ31" s="93">
        <f>'[1]October - 19'!DZ31</f>
        <v>246696</v>
      </c>
      <c r="EA31" s="218">
        <f>'[1]October - 19'!EA31</f>
        <v>126</v>
      </c>
      <c r="EB31" s="93">
        <f>'[1]October - 19'!ED31</f>
        <v>356694</v>
      </c>
      <c r="EC31" s="218">
        <f>'[1]October - 19'!EE31</f>
        <v>566</v>
      </c>
      <c r="ED31" s="93">
        <f>'[1]October - 19'!EF31</f>
        <v>74673</v>
      </c>
      <c r="EE31" s="232">
        <f>'[1]October - 19'!EG31</f>
        <v>136</v>
      </c>
      <c r="EF31" s="579"/>
      <c r="EG31" s="238">
        <f>'[1]October - 19'!EI31</f>
        <v>6494227</v>
      </c>
      <c r="EH31" s="233">
        <f>'[1]October - 19'!EJ31</f>
        <v>7840</v>
      </c>
      <c r="EI31" s="92">
        <f>'[1]October - 19'!EK31</f>
        <v>572120</v>
      </c>
      <c r="EJ31" s="233">
        <f>'[1]October - 19'!EL31</f>
        <v>450</v>
      </c>
      <c r="EK31" s="92">
        <f>'[1]October - 19'!EM31</f>
        <v>4459400</v>
      </c>
      <c r="EL31" s="233">
        <f>'[1]October - 19'!EN31</f>
        <v>3100</v>
      </c>
      <c r="EM31" s="92">
        <f>'[1]October - 19'!EO31</f>
        <v>1966351</v>
      </c>
      <c r="EN31" s="233">
        <f>'[1]October - 19'!EP31</f>
        <v>790</v>
      </c>
      <c r="EO31" s="92">
        <f>'[1]October - 19'!EQ31</f>
        <v>665220</v>
      </c>
      <c r="EP31" s="233">
        <f>'[1]October - 19'!ER31</f>
        <v>180</v>
      </c>
      <c r="EQ31" s="92">
        <f>'[1]October - 19'!ES31</f>
        <v>10539100</v>
      </c>
      <c r="ER31" s="233">
        <f>'[1]October - 19'!ET31</f>
        <v>5600</v>
      </c>
      <c r="ES31" s="554"/>
      <c r="ET31" s="287">
        <f>'[1]October - 19'!EV31</f>
        <v>26276</v>
      </c>
      <c r="EU31" s="286">
        <f>'[1]October - 19'!$EW$11</f>
        <v>18</v>
      </c>
      <c r="EV31" s="285">
        <f>'[1]October - 19'!EX31</f>
        <v>23010</v>
      </c>
      <c r="EW31" s="286">
        <f>'[1]October - 19'!EY31</f>
        <v>16</v>
      </c>
      <c r="EX31" s="285">
        <f>'[1]October - 19'!FB31</f>
        <v>42703</v>
      </c>
      <c r="EY31" s="286">
        <f>'[1]October - 19'!FA31</f>
        <v>0</v>
      </c>
      <c r="EZ31" s="285">
        <f>'[1]October - 19'!EZ31</f>
        <v>0</v>
      </c>
      <c r="FA31" s="286">
        <f>'[1]October - 19'!FA31</f>
        <v>0</v>
      </c>
      <c r="FB31" s="285">
        <f>'[1]October - 19'!FD31</f>
        <v>18313</v>
      </c>
      <c r="FC31" s="288">
        <f>'[1]October - 19'!FE31</f>
        <v>26</v>
      </c>
    </row>
    <row r="32" spans="1:159" ht="30" customHeight="1" x14ac:dyDescent="0.25">
      <c r="A32" s="210">
        <v>43761</v>
      </c>
      <c r="B32" s="212">
        <f>'[1]October - 19'!B32</f>
        <v>0.73</v>
      </c>
      <c r="C32" s="253">
        <f>'[1]October - 19'!E32</f>
        <v>476598</v>
      </c>
      <c r="D32" s="172">
        <f>'[1]October - 19'!F32</f>
        <v>556</v>
      </c>
      <c r="E32" s="170">
        <f>'[1]October - 19'!G32</f>
        <v>565</v>
      </c>
      <c r="F32" s="170">
        <f>'[1]October - 19'!H32</f>
        <v>657928</v>
      </c>
      <c r="G32" s="172">
        <f>'[1]October - 19'!I32</f>
        <v>326</v>
      </c>
      <c r="H32" s="170">
        <f>'[1]October - 19'!J32</f>
        <v>365</v>
      </c>
      <c r="I32" s="170">
        <f>'[1]October - 19'!K32</f>
        <v>4282</v>
      </c>
      <c r="J32" s="172">
        <f>'[1]October - 19'!L32</f>
        <v>659</v>
      </c>
      <c r="K32" s="170">
        <f>'[1]October - 19'!N32</f>
        <v>594903</v>
      </c>
      <c r="L32" s="172">
        <f>'[1]October - 19'!O32</f>
        <v>406</v>
      </c>
      <c r="M32" s="170">
        <f>'[1]October - 19'!Q32</f>
        <v>156722</v>
      </c>
      <c r="N32" s="172">
        <f>'[1]October - 19'!R32</f>
        <v>0</v>
      </c>
      <c r="O32" s="170">
        <f>'[1]October - 19'!S32</f>
        <v>85740</v>
      </c>
      <c r="P32" s="172">
        <f>'[1]October - 19'!T32</f>
        <v>233</v>
      </c>
      <c r="Q32" s="170">
        <f>'[1]October - 19'!U32</f>
        <v>196</v>
      </c>
      <c r="R32" s="170">
        <f>'[1]October - 19'!V32</f>
        <v>5145</v>
      </c>
      <c r="S32" s="211">
        <f>'[1]October - 19'!W32</f>
        <v>60</v>
      </c>
      <c r="T32" s="475"/>
      <c r="U32" s="171">
        <f>'[1]October - 19'!AB32</f>
        <v>5273014.32</v>
      </c>
      <c r="V32" s="254">
        <f>'[1]October - 19'!AC32</f>
        <v>2387.2800000002608</v>
      </c>
      <c r="W32" s="94">
        <f>'[1]October - 19'!AD32</f>
        <v>2387.2800000002608</v>
      </c>
      <c r="X32" s="94">
        <f>'[1]October - 19'!AE32</f>
        <v>10295607.84</v>
      </c>
      <c r="Y32" s="254">
        <f>'[1]October - 19'!AF32</f>
        <v>4823.2800000011921</v>
      </c>
      <c r="Z32" s="94">
        <f>'[1]October - 19'!AG32</f>
        <v>5310.480000000447</v>
      </c>
      <c r="AA32" s="94">
        <f>'[1]October - 19'!AH32</f>
        <v>9491581.6799999997</v>
      </c>
      <c r="AB32" s="254">
        <f>'[1]October - 19'!AI32</f>
        <v>7941.3600000012666</v>
      </c>
      <c r="AC32" s="94">
        <f>'[1]October - 19'!AJ32</f>
        <v>12277.439999999478</v>
      </c>
      <c r="AD32" s="94">
        <f>'[1]October - 19'!AK32</f>
        <v>12885611.76</v>
      </c>
      <c r="AE32" s="254">
        <f>'[1]October - 19'!AL32</f>
        <v>11741.519999999553</v>
      </c>
      <c r="AF32" s="94">
        <f>'[1]October - 19'!AM32</f>
        <v>779.51999999955297</v>
      </c>
      <c r="AG32" s="94">
        <f>'[1]October - 19'!AN32</f>
        <v>12816088.319999998</v>
      </c>
      <c r="AH32" s="254">
        <f>'[1]October - 19'!AO32</f>
        <v>1461.5999999996275</v>
      </c>
      <c r="AI32" s="94">
        <f>'[1]October - 19'!AP32</f>
        <v>9451.6799999978393</v>
      </c>
      <c r="AJ32" s="94">
        <f>'[1]October - 19'!AQ32</f>
        <v>11494314.719999999</v>
      </c>
      <c r="AK32" s="254">
        <f>'[1]October - 19'!AR32</f>
        <v>6918.2399999983609</v>
      </c>
      <c r="AL32" s="94">
        <f>'[1]October - 19'!AS32</f>
        <v>5651.519999999553</v>
      </c>
      <c r="AM32" s="94">
        <f>'[1]October - 19'!AT32</f>
        <v>10081044.959999999</v>
      </c>
      <c r="AN32" s="254">
        <f>'[1]October - 19'!AU32</f>
        <v>4725.839999999851</v>
      </c>
      <c r="AO32" s="94">
        <f>'[1]October - 19'!AV32</f>
        <v>4823.2800000011921</v>
      </c>
      <c r="AP32" s="94">
        <f>'[1]October - 19'!AW32</f>
        <v>9699128.8800000008</v>
      </c>
      <c r="AQ32" s="254">
        <f>'[1]October - 19'!AX32</f>
        <v>4872</v>
      </c>
      <c r="AR32" s="94">
        <f>'[1]October - 19'!AY32</f>
        <v>5066.8799999998882</v>
      </c>
      <c r="AS32" s="94">
        <f>'[1]October - 19'!AZ32</f>
        <v>7793494.7999999998</v>
      </c>
      <c r="AT32" s="254">
        <f>'[1]October - 19'!BA32</f>
        <v>3556.5599999995902</v>
      </c>
      <c r="AU32" s="94">
        <f>'[1]October - 19'!BB32</f>
        <v>3507.8400000007823</v>
      </c>
      <c r="AV32" s="94">
        <f>'[1]October - 19'!BC32</f>
        <v>11493681.359999999</v>
      </c>
      <c r="AW32" s="255">
        <f>'[1]October - 19'!BD32</f>
        <v>5261.7599999997765</v>
      </c>
      <c r="AX32" s="256">
        <f>'[1]October - 19'!BE32</f>
        <v>5797.679999999702</v>
      </c>
      <c r="AY32" s="492"/>
      <c r="AZ32" s="95">
        <f>'[1]October - 19'!BJ32</f>
        <v>48040600</v>
      </c>
      <c r="BA32" s="181">
        <f>'[1]October - 19'!BK32</f>
        <v>44100</v>
      </c>
      <c r="BB32" s="95">
        <f>'[1]October - 19'!BL32</f>
        <v>40600</v>
      </c>
      <c r="BC32" s="95">
        <f>'[1]October - 19'!BM32</f>
        <v>52697800</v>
      </c>
      <c r="BD32" s="248">
        <f>'[1]October - 19'!BN32</f>
        <v>59200</v>
      </c>
      <c r="BE32" s="95">
        <f>'[1]October - 19'!BO32</f>
        <v>0</v>
      </c>
      <c r="BF32" s="95">
        <f>'[1]October - 19'!BP32</f>
        <v>46066800</v>
      </c>
      <c r="BG32" s="248">
        <f>'[1]October - 19'!BQ32</f>
        <v>0</v>
      </c>
      <c r="BH32" s="95">
        <f>'[1]October - 19'!BR32</f>
        <v>16700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'[1]October - 19'!BS32</f>
        <v>3628980</v>
      </c>
      <c r="BT32" s="187">
        <f>'[1]October - 19'!BT32</f>
        <v>5600</v>
      </c>
      <c r="BU32" s="588"/>
      <c r="BV32" s="88">
        <f>'[1]October - 19'!BV32</f>
        <v>0.55000000000000004</v>
      </c>
      <c r="BW32" s="244">
        <f>'[1]October - 19'!BW32</f>
        <v>0.14000000000000007</v>
      </c>
      <c r="BX32" s="88">
        <f>'[1]October - 19'!BX32</f>
        <v>-4.0000000000000036E-2</v>
      </c>
      <c r="BY32" s="89">
        <f>'[1]October - 19'!BY32</f>
        <v>43031</v>
      </c>
      <c r="BZ32" s="193">
        <f>'[1]October - 19'!BZ32</f>
        <v>20</v>
      </c>
      <c r="CA32" s="89">
        <f>'[1]October - 19'!CA32</f>
        <v>38189</v>
      </c>
      <c r="CB32" s="193">
        <f>'[1]October - 19'!CB32</f>
        <v>15</v>
      </c>
      <c r="CC32" s="89">
        <f>'[1]October - 19'!CC32</f>
        <v>12628</v>
      </c>
      <c r="CD32" s="193">
        <f>'[1]October - 19'!CD32</f>
        <v>7</v>
      </c>
      <c r="CE32" s="89">
        <f>'[1]October - 19'!CE32</f>
        <v>15773</v>
      </c>
      <c r="CF32" s="193">
        <f>'[1]October - 19'!CF32</f>
        <v>11</v>
      </c>
      <c r="CG32" s="89">
        <f>'[1]October - 19'!CG32</f>
        <v>18091</v>
      </c>
      <c r="CH32" s="193">
        <f>'[1]October - 19'!CH32</f>
        <v>10</v>
      </c>
      <c r="CI32" s="89">
        <f>'[1]October - 19'!CI32</f>
        <v>38371</v>
      </c>
      <c r="CJ32" s="193">
        <f>'[1]October - 19'!CJ32</f>
        <v>26</v>
      </c>
      <c r="CK32" s="89">
        <f>'[1]October - 19'!CK32</f>
        <v>167971</v>
      </c>
      <c r="CL32" s="249">
        <f>'[1]October - 19'!CL32</f>
        <v>88</v>
      </c>
      <c r="CM32" s="89">
        <f>'[1]October - 19'!CM32</f>
        <v>81</v>
      </c>
      <c r="CN32" s="89">
        <f>'[1]October - 19'!CN32</f>
        <v>119204</v>
      </c>
      <c r="CO32" s="249">
        <f>'[1]October - 19'!CO32</f>
        <v>77</v>
      </c>
      <c r="CP32" s="89">
        <f>'[1]October - 19'!CP32</f>
        <v>66</v>
      </c>
      <c r="CQ32" s="89">
        <f>'[1]October - 19'!CQ32</f>
        <v>216078</v>
      </c>
      <c r="CR32" s="249">
        <f>'[1]October - 19'!CR32</f>
        <v>89</v>
      </c>
      <c r="CS32" s="89">
        <f>'[1]October - 19'!CS32</f>
        <v>13</v>
      </c>
      <c r="CT32" s="89">
        <f>'[1]October - 19'!CT32</f>
        <v>464134</v>
      </c>
      <c r="CU32" s="193">
        <f>'[1]October - 19'!CU32</f>
        <v>198</v>
      </c>
      <c r="CV32" s="516"/>
      <c r="CW32" s="208">
        <f>'[1]October - 19'!CW32</f>
        <v>3047</v>
      </c>
      <c r="CX32" s="200">
        <f>'[1]October - 19'!CX32</f>
        <v>0</v>
      </c>
      <c r="CY32" s="91">
        <f>'[1]October - 19'!CY32</f>
        <v>938</v>
      </c>
      <c r="CZ32" s="200">
        <f>'[1]October - 19'!CZ32</f>
        <v>0</v>
      </c>
      <c r="DA32" s="91">
        <f>'[1]October - 19'!DA32</f>
        <v>17359</v>
      </c>
      <c r="DB32" s="200">
        <f>'[1]October - 19'!DB32</f>
        <v>14</v>
      </c>
      <c r="DC32" s="91">
        <f>'[1]October - 19'!DC32</f>
        <v>18135</v>
      </c>
      <c r="DD32" s="200">
        <f>'[1]October - 19'!DD32</f>
        <v>12</v>
      </c>
      <c r="DE32" s="91">
        <f>'[1]October - 19'!DE32</f>
        <v>12615</v>
      </c>
      <c r="DF32" s="200">
        <f>'[1]October - 19'!DF32</f>
        <v>10</v>
      </c>
      <c r="DG32" s="91">
        <f>'[1]October - 19'!DG32</f>
        <v>16690</v>
      </c>
      <c r="DH32" s="200">
        <f>'[1]October - 19'!DH32</f>
        <v>12</v>
      </c>
      <c r="DI32" s="91">
        <f>'[1]October - 19'!DI32</f>
        <v>825</v>
      </c>
      <c r="DJ32" s="200">
        <f>'[1]October - 19'!DJ32</f>
        <v>0</v>
      </c>
      <c r="DK32" s="91">
        <f>'[1]October - 19'!DK32</f>
        <v>3570</v>
      </c>
      <c r="DL32" s="200">
        <f>'[1]October - 19'!DL32</f>
        <v>0</v>
      </c>
      <c r="DM32" s="91">
        <f>'[1]October - 19'!DM32</f>
        <v>584</v>
      </c>
      <c r="DN32" s="200">
        <f>'[1]October - 19'!DN32</f>
        <v>6</v>
      </c>
      <c r="DO32" s="91">
        <f>'[1]October - 19'!DO32</f>
        <v>746</v>
      </c>
      <c r="DP32" s="200">
        <f>'[1]October - 19'!DP32</f>
        <v>3</v>
      </c>
      <c r="DQ32" s="91">
        <f>'[1]October - 19'!DQ32</f>
        <v>15999</v>
      </c>
      <c r="DR32" s="209">
        <f>'[1]October - 19'!DR32</f>
        <v>27</v>
      </c>
      <c r="DS32" s="532"/>
      <c r="DT32" s="213">
        <f>'[1]October - 19'!DT32</f>
        <v>2623126</v>
      </c>
      <c r="DU32" s="224">
        <f>'[1]October - 19'!DU32</f>
        <v>1586</v>
      </c>
      <c r="DV32" s="93">
        <f>'[1]October - 19'!DV32</f>
        <v>4154</v>
      </c>
      <c r="DW32" s="218">
        <f>'[1]October - 19'!DW32</f>
        <v>5</v>
      </c>
      <c r="DX32" s="93">
        <f>'[1]October - 19'!DX32</f>
        <v>1719832</v>
      </c>
      <c r="DY32" s="218">
        <f>'[1]October - 19'!DY32</f>
        <v>1286</v>
      </c>
      <c r="DZ32" s="93">
        <f>'[1]October - 19'!DZ32</f>
        <v>246822</v>
      </c>
      <c r="EA32" s="218">
        <f>'[1]October - 19'!EA32</f>
        <v>126</v>
      </c>
      <c r="EB32" s="93">
        <f>'[1]October - 19'!ED32</f>
        <v>357271</v>
      </c>
      <c r="EC32" s="218">
        <f>'[1]October - 19'!EE32</f>
        <v>577</v>
      </c>
      <c r="ED32" s="93">
        <f>'[1]October - 19'!EF32</f>
        <v>74813</v>
      </c>
      <c r="EE32" s="232">
        <f>'[1]October - 19'!EG32</f>
        <v>140</v>
      </c>
      <c r="EF32" s="579"/>
      <c r="EG32" s="238">
        <f>'[1]October - 19'!EI32</f>
        <v>6501827</v>
      </c>
      <c r="EH32" s="233">
        <f>'[1]October - 19'!EJ32</f>
        <v>7600</v>
      </c>
      <c r="EI32" s="92">
        <f>'[1]October - 19'!EK32</f>
        <v>572570</v>
      </c>
      <c r="EJ32" s="233">
        <f>'[1]October - 19'!EL32</f>
        <v>450</v>
      </c>
      <c r="EK32" s="92">
        <f>'[1]October - 19'!EM32</f>
        <v>4463400</v>
      </c>
      <c r="EL32" s="233">
        <f>'[1]October - 19'!EN32</f>
        <v>4000</v>
      </c>
      <c r="EM32" s="92">
        <f>'[1]October - 19'!EO32</f>
        <v>1967141</v>
      </c>
      <c r="EN32" s="233">
        <f>'[1]October - 19'!EP32</f>
        <v>790</v>
      </c>
      <c r="EO32" s="92">
        <f>'[1]October - 19'!EQ32</f>
        <v>665400</v>
      </c>
      <c r="EP32" s="233">
        <f>'[1]October - 19'!ER32</f>
        <v>180</v>
      </c>
      <c r="EQ32" s="92">
        <f>'[1]October - 19'!ES32</f>
        <v>10544700</v>
      </c>
      <c r="ER32" s="233">
        <f>'[1]October - 19'!ET32</f>
        <v>5600</v>
      </c>
      <c r="ES32" s="554"/>
      <c r="ET32" s="287">
        <f>'[1]October - 19'!EV32</f>
        <v>26292</v>
      </c>
      <c r="EU32" s="286">
        <f>'[1]October - 19'!$EW$11</f>
        <v>18</v>
      </c>
      <c r="EV32" s="285">
        <f>'[1]October - 19'!EX32</f>
        <v>23026</v>
      </c>
      <c r="EW32" s="286">
        <f>'[1]October - 19'!EY32</f>
        <v>16</v>
      </c>
      <c r="EX32" s="285">
        <f>'[1]October - 19'!FB32</f>
        <v>42703</v>
      </c>
      <c r="EY32" s="286">
        <f>'[1]October - 19'!FA32</f>
        <v>0</v>
      </c>
      <c r="EZ32" s="285">
        <f>'[1]October - 19'!EZ32</f>
        <v>0</v>
      </c>
      <c r="FA32" s="286">
        <f>'[1]October - 19'!FA32</f>
        <v>0</v>
      </c>
      <c r="FB32" s="285">
        <f>'[1]October - 19'!FD32</f>
        <v>18346</v>
      </c>
      <c r="FC32" s="288">
        <f>'[1]October - 19'!FE32</f>
        <v>33</v>
      </c>
    </row>
    <row r="33" spans="1:160" ht="30" customHeight="1" x14ac:dyDescent="0.25">
      <c r="A33" s="210">
        <v>43762</v>
      </c>
      <c r="B33" s="212">
        <f>'[1]October - 19'!B33</f>
        <v>0</v>
      </c>
      <c r="C33" s="253">
        <f>'[1]October - 19'!E33</f>
        <v>477181</v>
      </c>
      <c r="D33" s="172">
        <f>'[1]October - 19'!F33</f>
        <v>583</v>
      </c>
      <c r="E33" s="170">
        <f>'[1]October - 19'!G33</f>
        <v>539</v>
      </c>
      <c r="F33" s="170">
        <f>'[1]October - 19'!H33</f>
        <v>658264</v>
      </c>
      <c r="G33" s="172">
        <f>'[1]October - 19'!I33</f>
        <v>336</v>
      </c>
      <c r="H33" s="170">
        <f>'[1]October - 19'!J33</f>
        <v>399</v>
      </c>
      <c r="I33" s="170">
        <f>'[1]October - 19'!K33</f>
        <v>4677</v>
      </c>
      <c r="J33" s="172">
        <f>'[1]October - 19'!L33</f>
        <v>395</v>
      </c>
      <c r="K33" s="170">
        <f>'[1]October - 19'!N33</f>
        <v>595291</v>
      </c>
      <c r="L33" s="172">
        <f>'[1]October - 19'!O33</f>
        <v>388</v>
      </c>
      <c r="M33" s="170">
        <f>'[1]October - 19'!Q33</f>
        <v>156722</v>
      </c>
      <c r="N33" s="172">
        <f>'[1]October - 19'!R33</f>
        <v>0</v>
      </c>
      <c r="O33" s="170">
        <f>'[1]October - 19'!S33</f>
        <v>85972</v>
      </c>
      <c r="P33" s="172">
        <f>'[1]October - 19'!T33</f>
        <v>232</v>
      </c>
      <c r="Q33" s="170">
        <f>'[1]October - 19'!U33</f>
        <v>193</v>
      </c>
      <c r="R33" s="170">
        <f>'[1]October - 19'!V33</f>
        <v>5210</v>
      </c>
      <c r="S33" s="211">
        <f>'[1]October - 19'!W33</f>
        <v>65</v>
      </c>
      <c r="T33" s="475"/>
      <c r="U33" s="171">
        <f>'[1]October - 19'!AB33</f>
        <v>5275499.04</v>
      </c>
      <c r="V33" s="254">
        <f>'[1]October - 19'!AC33</f>
        <v>2484.7199999997392</v>
      </c>
      <c r="W33" s="94">
        <f>'[1]October - 19'!AD33</f>
        <v>2258</v>
      </c>
      <c r="X33" s="94">
        <f>'[1]October - 19'!AE33</f>
        <v>10300626</v>
      </c>
      <c r="Y33" s="254">
        <f>'[1]October - 19'!AF33</f>
        <v>5018.160000000149</v>
      </c>
      <c r="Z33" s="94">
        <f>'[1]October - 19'!AG33</f>
        <v>5412</v>
      </c>
      <c r="AA33" s="94">
        <f>'[1]October - 19'!AH33</f>
        <v>9500058.959999999</v>
      </c>
      <c r="AB33" s="254">
        <f>'[1]October - 19'!AI33</f>
        <v>8477.2799999993294</v>
      </c>
      <c r="AC33" s="94">
        <f>'[1]October - 19'!AJ33</f>
        <v>10000</v>
      </c>
      <c r="AD33" s="94">
        <f>'[1]October - 19'!AK33</f>
        <v>12897353.280000001</v>
      </c>
      <c r="AE33" s="254">
        <f>'[1]October - 19'!AL33</f>
        <v>11741.520000001416</v>
      </c>
      <c r="AF33" s="94">
        <f>'[1]October - 19'!AM33</f>
        <v>1000</v>
      </c>
      <c r="AG33" s="94">
        <f>'[1]October - 19'!AN33</f>
        <v>12817598.640000001</v>
      </c>
      <c r="AH33" s="254">
        <f>'[1]October - 19'!AO33</f>
        <v>1510.3200000021607</v>
      </c>
      <c r="AI33" s="94">
        <f>'[1]October - 19'!AP33</f>
        <v>9563</v>
      </c>
      <c r="AJ33" s="94">
        <f>'[1]October - 19'!AQ33</f>
        <v>11501184.24</v>
      </c>
      <c r="AK33" s="254">
        <f>'[1]October - 19'!AR33</f>
        <v>6869.5200000014156</v>
      </c>
      <c r="AL33" s="94">
        <f>'[1]October - 19'!AS33</f>
        <v>5561</v>
      </c>
      <c r="AM33" s="94">
        <f>'[1]October - 19'!AT33</f>
        <v>10086111.84</v>
      </c>
      <c r="AN33" s="254">
        <f>'[1]October - 19'!AU33</f>
        <v>5066.8800000008196</v>
      </c>
      <c r="AO33" s="94">
        <f>'[1]October - 19'!AV33</f>
        <v>4900</v>
      </c>
      <c r="AP33" s="94">
        <f>'[1]October - 19'!AW33</f>
        <v>9704049.5999999996</v>
      </c>
      <c r="AQ33" s="254">
        <f>'[1]October - 19'!AX33</f>
        <v>4920.7199999988079</v>
      </c>
      <c r="AR33" s="94">
        <f>'[1]October - 19'!AY33</f>
        <v>5058</v>
      </c>
      <c r="AS33" s="94">
        <f>'[1]October - 19'!AZ33</f>
        <v>7797051.3599999994</v>
      </c>
      <c r="AT33" s="254">
        <f>'[1]October - 19'!BA33</f>
        <v>3556.5599999995902</v>
      </c>
      <c r="AU33" s="94">
        <f>'[1]October - 19'!BB33</f>
        <v>3600</v>
      </c>
      <c r="AV33" s="94">
        <f>'[1]October - 19'!BC33</f>
        <v>11499186.719999999</v>
      </c>
      <c r="AW33" s="255">
        <f>'[1]October - 19'!BD33</f>
        <v>5505.359999999404</v>
      </c>
      <c r="AX33" s="256">
        <f>'[1]October - 19'!BE33</f>
        <v>5780</v>
      </c>
      <c r="AY33" s="492"/>
      <c r="AZ33" s="95">
        <f>'[1]October - 19'!BJ33</f>
        <v>48084000</v>
      </c>
      <c r="BA33" s="181">
        <f>'[1]October - 19'!BK33</f>
        <v>43400</v>
      </c>
      <c r="BB33" s="95">
        <f>'[1]October - 19'!BL33</f>
        <v>55600</v>
      </c>
      <c r="BC33" s="95">
        <f>'[1]October - 19'!BM33</f>
        <v>52757700</v>
      </c>
      <c r="BD33" s="248">
        <f>'[1]October - 19'!BN33</f>
        <v>59900</v>
      </c>
      <c r="BE33" s="95">
        <f>'[1]October - 19'!BO33</f>
        <v>0</v>
      </c>
      <c r="BF33" s="95">
        <f>'[1]October - 19'!BP33</f>
        <v>46066800</v>
      </c>
      <c r="BG33" s="248">
        <f>'[1]October - 19'!BQ33</f>
        <v>0</v>
      </c>
      <c r="BH33" s="95">
        <f>'[1]October - 19'!BR33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'[1]October - 19'!BS33</f>
        <v>3634510</v>
      </c>
      <c r="BT33" s="187">
        <f>'[1]October - 19'!BT33</f>
        <v>5530</v>
      </c>
      <c r="BU33" s="588"/>
      <c r="BV33" s="88">
        <f>'[1]October - 19'!BV33</f>
        <v>0.48</v>
      </c>
      <c r="BW33" s="244">
        <f>'[1]October - 19'!BW33</f>
        <v>-7.0000000000000062E-2</v>
      </c>
      <c r="BX33" s="88">
        <f>'[1]October - 19'!BX33</f>
        <v>-4.9999999999999989E-2</v>
      </c>
      <c r="BY33" s="89">
        <f>'[1]October - 19'!BY33</f>
        <v>43051</v>
      </c>
      <c r="BZ33" s="193">
        <f>'[1]October - 19'!BZ33</f>
        <v>20</v>
      </c>
      <c r="CA33" s="89">
        <f>'[1]October - 19'!CA33</f>
        <v>38204</v>
      </c>
      <c r="CB33" s="193">
        <f>'[1]October - 19'!CB33</f>
        <v>15</v>
      </c>
      <c r="CC33" s="89">
        <f>'[1]October - 19'!CC33</f>
        <v>12635</v>
      </c>
      <c r="CD33" s="193">
        <f>'[1]October - 19'!CD33</f>
        <v>7</v>
      </c>
      <c r="CE33" s="89">
        <f>'[1]October - 19'!CE33</f>
        <v>15784</v>
      </c>
      <c r="CF33" s="193">
        <f>'[1]October - 19'!CF33</f>
        <v>11</v>
      </c>
      <c r="CG33" s="89">
        <f>'[1]October - 19'!CG33</f>
        <v>18101</v>
      </c>
      <c r="CH33" s="193">
        <f>'[1]October - 19'!CH33</f>
        <v>10</v>
      </c>
      <c r="CI33" s="89">
        <f>'[1]October - 19'!CI33</f>
        <v>38397</v>
      </c>
      <c r="CJ33" s="193">
        <f>'[1]October - 19'!CJ33</f>
        <v>26</v>
      </c>
      <c r="CK33" s="89">
        <f>'[1]October - 19'!CK33</f>
        <v>168056</v>
      </c>
      <c r="CL33" s="249">
        <f>'[1]October - 19'!CL33</f>
        <v>85</v>
      </c>
      <c r="CM33" s="89">
        <f>'[1]October - 19'!CM33</f>
        <v>81</v>
      </c>
      <c r="CN33" s="89">
        <f>'[1]October - 19'!CN33</f>
        <v>119278</v>
      </c>
      <c r="CO33" s="249">
        <f>'[1]October - 19'!CO33</f>
        <v>74</v>
      </c>
      <c r="CP33" s="89">
        <f>'[1]October - 19'!CP33</f>
        <v>71</v>
      </c>
      <c r="CQ33" s="89">
        <f>'[1]October - 19'!CQ33</f>
        <v>216161</v>
      </c>
      <c r="CR33" s="249">
        <f>'[1]October - 19'!CR33</f>
        <v>83</v>
      </c>
      <c r="CS33" s="89">
        <f>'[1]October - 19'!CS33</f>
        <v>14</v>
      </c>
      <c r="CT33" s="89">
        <f>'[1]October - 19'!CT33</f>
        <v>464324</v>
      </c>
      <c r="CU33" s="193">
        <f>'[1]October - 19'!CU33</f>
        <v>190</v>
      </c>
      <c r="CV33" s="516"/>
      <c r="CW33" s="208">
        <f>'[1]October - 19'!CW33</f>
        <v>3047</v>
      </c>
      <c r="CX33" s="200">
        <f>'[1]October - 19'!CX33</f>
        <v>0</v>
      </c>
      <c r="CY33" s="91">
        <f>'[1]October - 19'!CY33</f>
        <v>938</v>
      </c>
      <c r="CZ33" s="200">
        <f>'[1]October - 19'!CZ33</f>
        <v>0</v>
      </c>
      <c r="DA33" s="91">
        <f>'[1]October - 19'!DA33</f>
        <v>17377</v>
      </c>
      <c r="DB33" s="200">
        <f>'[1]October - 19'!DB33</f>
        <v>18</v>
      </c>
      <c r="DC33" s="91">
        <f>'[1]October - 19'!DC33</f>
        <v>18148</v>
      </c>
      <c r="DD33" s="200">
        <f>'[1]October - 19'!DD33</f>
        <v>13</v>
      </c>
      <c r="DE33" s="91">
        <f>'[1]October - 19'!DE33</f>
        <v>12625</v>
      </c>
      <c r="DF33" s="200">
        <f>'[1]October - 19'!DF33</f>
        <v>10</v>
      </c>
      <c r="DG33" s="91">
        <f>'[1]October - 19'!DG33</f>
        <v>16697</v>
      </c>
      <c r="DH33" s="200">
        <f>'[1]October - 19'!DH33</f>
        <v>7</v>
      </c>
      <c r="DI33" s="91">
        <f>'[1]October - 19'!DI33</f>
        <v>825</v>
      </c>
      <c r="DJ33" s="200">
        <f>'[1]October - 19'!DJ33</f>
        <v>0</v>
      </c>
      <c r="DK33" s="91">
        <f>'[1]October - 19'!DK33</f>
        <v>3570</v>
      </c>
      <c r="DL33" s="200">
        <f>'[1]October - 19'!DL33</f>
        <v>0</v>
      </c>
      <c r="DM33" s="91">
        <f>'[1]October - 19'!DM33</f>
        <v>591</v>
      </c>
      <c r="DN33" s="200">
        <f>'[1]October - 19'!DN33</f>
        <v>7</v>
      </c>
      <c r="DO33" s="91">
        <f>'[1]October - 19'!DO33</f>
        <v>748</v>
      </c>
      <c r="DP33" s="200">
        <f>'[1]October - 19'!DP33</f>
        <v>2</v>
      </c>
      <c r="DQ33" s="91">
        <f>'[1]October - 19'!DQ33</f>
        <v>16024</v>
      </c>
      <c r="DR33" s="209">
        <f>'[1]October - 19'!DR33</f>
        <v>25</v>
      </c>
      <c r="DS33" s="532"/>
      <c r="DT33" s="213">
        <f>'[1]October - 19'!DT33</f>
        <v>2624733</v>
      </c>
      <c r="DU33" s="224">
        <f>'[1]October - 19'!DU33</f>
        <v>1607</v>
      </c>
      <c r="DV33" s="93">
        <f>'[1]October - 19'!DV33</f>
        <v>4158</v>
      </c>
      <c r="DW33" s="218">
        <f>'[1]October - 19'!DW33</f>
        <v>4</v>
      </c>
      <c r="DX33" s="93">
        <f>'[1]October - 19'!DX33</f>
        <v>1721075</v>
      </c>
      <c r="DY33" s="218">
        <f>'[1]October - 19'!DY33</f>
        <v>1243</v>
      </c>
      <c r="DZ33" s="93">
        <f>'[1]October - 19'!DZ33</f>
        <v>246947</v>
      </c>
      <c r="EA33" s="218">
        <f>'[1]October - 19'!EA33</f>
        <v>125</v>
      </c>
      <c r="EB33" s="93">
        <f>'[1]October - 19'!ED33</f>
        <v>357832</v>
      </c>
      <c r="EC33" s="218">
        <f>'[1]October - 19'!EE33</f>
        <v>561</v>
      </c>
      <c r="ED33" s="93">
        <f>'[1]October - 19'!EF33</f>
        <v>74952</v>
      </c>
      <c r="EE33" s="232">
        <f>'[1]October - 19'!EG33</f>
        <v>139</v>
      </c>
      <c r="EF33" s="579"/>
      <c r="EG33" s="238">
        <f>'[1]October - 19'!EI33</f>
        <v>6508400</v>
      </c>
      <c r="EH33" s="233">
        <f>'[1]October - 19'!EJ33</f>
        <v>6573</v>
      </c>
      <c r="EI33" s="92">
        <f>'[1]October - 19'!EK33</f>
        <v>572840</v>
      </c>
      <c r="EJ33" s="233">
        <f>'[1]October - 19'!EL33</f>
        <v>270</v>
      </c>
      <c r="EK33" s="92">
        <f>'[1]October - 19'!EM33</f>
        <v>4467500</v>
      </c>
      <c r="EL33" s="233">
        <f>'[1]October - 19'!EN33</f>
        <v>4100</v>
      </c>
      <c r="EM33" s="92">
        <f>'[1]October - 19'!EO33</f>
        <v>1967900</v>
      </c>
      <c r="EN33" s="233">
        <f>'[1]October - 19'!EP33</f>
        <v>759</v>
      </c>
      <c r="EO33" s="92">
        <f>'[1]October - 19'!EQ33</f>
        <v>665540</v>
      </c>
      <c r="EP33" s="233">
        <f>'[1]October - 19'!ER33</f>
        <v>140</v>
      </c>
      <c r="EQ33" s="92">
        <f>'[1]October - 19'!ES33</f>
        <v>10549100</v>
      </c>
      <c r="ER33" s="233">
        <f>'[1]October - 19'!ET33</f>
        <v>4400</v>
      </c>
      <c r="ES33" s="554"/>
      <c r="ET33" s="287">
        <f>'[1]October - 19'!EV33</f>
        <v>26311</v>
      </c>
      <c r="EU33" s="286">
        <f>'[1]October - 19'!$EW$11</f>
        <v>18</v>
      </c>
      <c r="EV33" s="285">
        <f>'[1]October - 19'!EX33</f>
        <v>23044</v>
      </c>
      <c r="EW33" s="286">
        <f>'[1]October - 19'!EY33</f>
        <v>18</v>
      </c>
      <c r="EX33" s="285">
        <f>'[1]October - 19'!FB33</f>
        <v>42703</v>
      </c>
      <c r="EY33" s="286">
        <f>'[1]October - 19'!FA33</f>
        <v>0</v>
      </c>
      <c r="EZ33" s="285">
        <f>'[1]October - 19'!EZ33</f>
        <v>0</v>
      </c>
      <c r="FA33" s="286">
        <f>'[1]October - 19'!FA33</f>
        <v>0</v>
      </c>
      <c r="FB33" s="285">
        <f>'[1]October - 19'!FD33</f>
        <v>18376</v>
      </c>
      <c r="FC33" s="288">
        <f>'[1]October - 19'!FE33</f>
        <v>30</v>
      </c>
    </row>
    <row r="34" spans="1:160" ht="30" customHeight="1" x14ac:dyDescent="0.25">
      <c r="A34" s="210">
        <v>43763</v>
      </c>
      <c r="B34" s="212">
        <f>'[1]October - 19'!B34</f>
        <v>0</v>
      </c>
      <c r="C34" s="253">
        <f>'[1]October - 19'!E34</f>
        <v>477760</v>
      </c>
      <c r="D34" s="172">
        <f>'[1]October - 19'!F34</f>
        <v>579</v>
      </c>
      <c r="E34" s="170">
        <f>'[1]October - 19'!G34</f>
        <v>605</v>
      </c>
      <c r="F34" s="170">
        <f>'[1]October - 19'!H34</f>
        <v>658643</v>
      </c>
      <c r="G34" s="172">
        <f>'[1]October - 19'!I34</f>
        <v>379</v>
      </c>
      <c r="H34" s="170">
        <f>'[1]October - 19'!J34</f>
        <v>423</v>
      </c>
      <c r="I34" s="170">
        <f>'[1]October - 19'!K34</f>
        <v>5042</v>
      </c>
      <c r="J34" s="172">
        <f>'[1]October - 19'!L34</f>
        <v>365</v>
      </c>
      <c r="K34" s="170">
        <f>'[1]October - 19'!N34</f>
        <v>595685</v>
      </c>
      <c r="L34" s="172">
        <f>'[1]October - 19'!O34</f>
        <v>394</v>
      </c>
      <c r="M34" s="170">
        <f>'[1]October - 19'!Q34</f>
        <v>156722</v>
      </c>
      <c r="N34" s="172">
        <f>'[1]October - 19'!R34</f>
        <v>0</v>
      </c>
      <c r="O34" s="170">
        <f>'[1]October - 19'!S34</f>
        <v>86176</v>
      </c>
      <c r="P34" s="172">
        <f>'[1]October - 19'!T34</f>
        <v>204</v>
      </c>
      <c r="Q34" s="170">
        <f>'[1]October - 19'!U34</f>
        <v>220</v>
      </c>
      <c r="R34" s="170">
        <f>'[1]October - 19'!V34</f>
        <v>5260</v>
      </c>
      <c r="S34" s="211">
        <f>'[1]October - 19'!W34</f>
        <v>50</v>
      </c>
      <c r="T34" s="475"/>
      <c r="U34" s="171">
        <f>'[1]October - 19'!AB34</f>
        <v>5278519.68</v>
      </c>
      <c r="V34" s="254">
        <f>'[1]October - 19'!AC34</f>
        <v>3020.6399999996647</v>
      </c>
      <c r="W34" s="94">
        <f>'[1]October - 19'!AD34</f>
        <v>2370.3999999994412</v>
      </c>
      <c r="X34" s="94">
        <f>'[1]October - 19'!AE34</f>
        <v>10305010.799999999</v>
      </c>
      <c r="Y34" s="254">
        <f>'[1]October - 19'!AF34</f>
        <v>4384.7999999988824</v>
      </c>
      <c r="Z34" s="94">
        <f>'[1]October - 19'!AG34</f>
        <v>5403.8400000017136</v>
      </c>
      <c r="AA34" s="94">
        <f>'[1]October - 19'!AH34</f>
        <v>9506392.5599999987</v>
      </c>
      <c r="AB34" s="254">
        <f>'[1]October - 19'!AI34</f>
        <v>6333.5999999996275</v>
      </c>
      <c r="AC34" s="94">
        <f>'[1]October - 19'!AJ34</f>
        <v>13677.919999999925</v>
      </c>
      <c r="AD34" s="94">
        <f>'[1]October - 19'!AK34</f>
        <v>12907292.16</v>
      </c>
      <c r="AE34" s="254">
        <f>'[1]October - 19'!AL34</f>
        <v>9938.8799999989569</v>
      </c>
      <c r="AF34" s="94">
        <f>'[1]October - 19'!AM34</f>
        <v>364.16000000014901</v>
      </c>
      <c r="AG34" s="94">
        <f>'[1]October - 19'!AN34</f>
        <v>12818573.040000001</v>
      </c>
      <c r="AH34" s="254">
        <f>'[1]October - 19'!AO34</f>
        <v>974.40000000037253</v>
      </c>
      <c r="AI34" s="94">
        <f>'[1]October - 19'!AP34</f>
        <v>5637.640000000596</v>
      </c>
      <c r="AJ34" s="94">
        <f>'[1]October - 19'!AQ34</f>
        <v>11507517.84</v>
      </c>
      <c r="AK34" s="254">
        <f>'[1]October - 19'!AR34</f>
        <v>6333.5999999996275</v>
      </c>
      <c r="AL34" s="94">
        <f>'[1]October - 19'!AS34</f>
        <v>6131.8000000007451</v>
      </c>
      <c r="AM34" s="94">
        <f>'[1]October - 19'!AT34</f>
        <v>10090545.359999999</v>
      </c>
      <c r="AN34" s="254">
        <f>'[1]October - 19'!AU34</f>
        <v>4433.519999999553</v>
      </c>
      <c r="AO34" s="94">
        <f>'[1]October - 19'!AV34</f>
        <v>4892.7199999988079</v>
      </c>
      <c r="AP34" s="94">
        <f>'[1]October - 19'!AW34</f>
        <v>9708531.8399999999</v>
      </c>
      <c r="AQ34" s="254">
        <f>'[1]October - 19'!AX34</f>
        <v>4482.2400000002235</v>
      </c>
      <c r="AR34" s="94">
        <f>'[1]October - 19'!AY34</f>
        <v>5027.0400000000373</v>
      </c>
      <c r="AS34" s="94">
        <f>'[1]October - 19'!AZ34</f>
        <v>7800315.5999999996</v>
      </c>
      <c r="AT34" s="254">
        <f>'[1]October - 19'!BA34</f>
        <v>3264.2400000002235</v>
      </c>
      <c r="AU34" s="94">
        <f>'[1]October - 19'!BB34</f>
        <v>3464.3999999994412</v>
      </c>
      <c r="AV34" s="94">
        <f>'[1]October - 19'!BC34</f>
        <v>11504204.880000001</v>
      </c>
      <c r="AW34" s="255">
        <f>'[1]October - 19'!BD34</f>
        <v>5018.1600000020117</v>
      </c>
      <c r="AX34" s="256">
        <f>'[1]October - 19'!BE34</f>
        <v>5500</v>
      </c>
      <c r="AY34" s="492"/>
      <c r="AZ34" s="95">
        <f>'[1]October - 19'!BJ34</f>
        <v>48121400</v>
      </c>
      <c r="BA34" s="181">
        <f>'[1]October - 19'!BK34</f>
        <v>37400</v>
      </c>
      <c r="BB34" s="95">
        <f>'[1]October - 19'!BL34</f>
        <v>73500</v>
      </c>
      <c r="BC34" s="95">
        <f>'[1]October - 19'!BM34</f>
        <v>52809200</v>
      </c>
      <c r="BD34" s="248">
        <f>'[1]October - 19'!BN34</f>
        <v>51500</v>
      </c>
      <c r="BE34" s="95">
        <f>'[1]October - 19'!BO34</f>
        <v>0</v>
      </c>
      <c r="BF34" s="95">
        <f>'[1]October - 19'!BP34</f>
        <v>46066800</v>
      </c>
      <c r="BG34" s="248">
        <f>'[1]October - 19'!BQ34</f>
        <v>0</v>
      </c>
      <c r="BH34" s="95">
        <f>'[1]October - 19'!BR34</f>
        <v>90300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'[1]October - 19'!BS34</f>
        <v>3640380</v>
      </c>
      <c r="BT34" s="187">
        <f>'[1]October - 19'!BT34</f>
        <v>5870</v>
      </c>
      <c r="BU34" s="588"/>
      <c r="BV34" s="88">
        <f>'[1]October - 19'!BV34</f>
        <v>0.46</v>
      </c>
      <c r="BW34" s="244">
        <f>'[1]October - 19'!BW34</f>
        <v>-1.9999999999999962E-2</v>
      </c>
      <c r="BX34" s="88">
        <f>'[1]October - 19'!BX34</f>
        <v>0.26000000000000006</v>
      </c>
      <c r="BY34" s="89">
        <f>'[1]October - 19'!BY34</f>
        <v>43071</v>
      </c>
      <c r="BZ34" s="193">
        <f>'[1]October - 19'!BZ34</f>
        <v>20</v>
      </c>
      <c r="CA34" s="89">
        <f>'[1]October - 19'!CA34</f>
        <v>38219</v>
      </c>
      <c r="CB34" s="193">
        <f>'[1]October - 19'!CB34</f>
        <v>15</v>
      </c>
      <c r="CC34" s="89">
        <f>'[1]October - 19'!CC34</f>
        <v>12642</v>
      </c>
      <c r="CD34" s="193">
        <f>'[1]October - 19'!CD34</f>
        <v>7</v>
      </c>
      <c r="CE34" s="89">
        <f>'[1]October - 19'!CE34</f>
        <v>15795</v>
      </c>
      <c r="CF34" s="193">
        <f>'[1]October - 19'!CF34</f>
        <v>11</v>
      </c>
      <c r="CG34" s="89">
        <f>'[1]October - 19'!CG34</f>
        <v>18111</v>
      </c>
      <c r="CH34" s="193">
        <f>'[1]October - 19'!CH34</f>
        <v>10</v>
      </c>
      <c r="CI34" s="89">
        <f>'[1]October - 19'!CI34</f>
        <v>38423</v>
      </c>
      <c r="CJ34" s="193">
        <f>'[1]October - 19'!CJ34</f>
        <v>26</v>
      </c>
      <c r="CK34" s="89">
        <f>'[1]October - 19'!CK34</f>
        <v>168141</v>
      </c>
      <c r="CL34" s="249">
        <f>'[1]October - 19'!CL34</f>
        <v>85</v>
      </c>
      <c r="CM34" s="89">
        <f>'[1]October - 19'!CM34</f>
        <v>80</v>
      </c>
      <c r="CN34" s="89">
        <f>'[1]October - 19'!CN34</f>
        <v>119355</v>
      </c>
      <c r="CO34" s="249">
        <f>'[1]October - 19'!CO34</f>
        <v>77</v>
      </c>
      <c r="CP34" s="89">
        <f>'[1]October - 19'!CP34</f>
        <v>64</v>
      </c>
      <c r="CQ34" s="89">
        <f>'[1]October - 19'!CQ34</f>
        <v>216265</v>
      </c>
      <c r="CR34" s="249">
        <f>'[1]October - 19'!CR34</f>
        <v>104</v>
      </c>
      <c r="CS34" s="89">
        <f>'[1]October - 19'!CS34</f>
        <v>22</v>
      </c>
      <c r="CT34" s="89">
        <f>'[1]October - 19'!CT34</f>
        <v>464504</v>
      </c>
      <c r="CU34" s="193">
        <f>'[1]October - 19'!CU34</f>
        <v>180</v>
      </c>
      <c r="CV34" s="516"/>
      <c r="CW34" s="208">
        <f>'[1]October - 19'!CW34</f>
        <v>3047</v>
      </c>
      <c r="CX34" s="200">
        <f>'[1]October - 19'!CX34</f>
        <v>0</v>
      </c>
      <c r="CY34" s="91">
        <f>'[1]October - 19'!CY34</f>
        <v>938</v>
      </c>
      <c r="CZ34" s="200">
        <f>'[1]October - 19'!CZ34</f>
        <v>0</v>
      </c>
      <c r="DA34" s="91">
        <f>'[1]October - 19'!DA34</f>
        <v>17396</v>
      </c>
      <c r="DB34" s="200">
        <f>'[1]October - 19'!DB34</f>
        <v>19</v>
      </c>
      <c r="DC34" s="91">
        <f>'[1]October - 19'!DC34</f>
        <v>18160</v>
      </c>
      <c r="DD34" s="200">
        <f>'[1]October - 19'!DD34</f>
        <v>12</v>
      </c>
      <c r="DE34" s="91">
        <f>'[1]October - 19'!DE34</f>
        <v>12635</v>
      </c>
      <c r="DF34" s="200">
        <f>'[1]October - 19'!DF34</f>
        <v>10</v>
      </c>
      <c r="DG34" s="91">
        <f>'[1]October - 19'!DG34</f>
        <v>16703</v>
      </c>
      <c r="DH34" s="200">
        <f>'[1]October - 19'!DH34</f>
        <v>6</v>
      </c>
      <c r="DI34" s="91">
        <f>'[1]October - 19'!DI34</f>
        <v>825</v>
      </c>
      <c r="DJ34" s="200">
        <f>'[1]October - 19'!DJ34</f>
        <v>0</v>
      </c>
      <c r="DK34" s="91">
        <f>'[1]October - 19'!DK34</f>
        <v>3570</v>
      </c>
      <c r="DL34" s="200">
        <f>'[1]October - 19'!DL34</f>
        <v>0</v>
      </c>
      <c r="DM34" s="91">
        <f>'[1]October - 19'!DM34</f>
        <v>597</v>
      </c>
      <c r="DN34" s="200">
        <f>'[1]October - 19'!DN34</f>
        <v>6</v>
      </c>
      <c r="DO34" s="91">
        <f>'[1]October - 19'!DO34</f>
        <v>749</v>
      </c>
      <c r="DP34" s="200">
        <f>'[1]October - 19'!DP34</f>
        <v>1</v>
      </c>
      <c r="DQ34" s="91">
        <f>'[1]October - 19'!DQ34</f>
        <v>16051</v>
      </c>
      <c r="DR34" s="209">
        <f>'[1]October - 19'!DR34</f>
        <v>27</v>
      </c>
      <c r="DS34" s="532"/>
      <c r="DT34" s="213">
        <f>'[1]October - 19'!DT34</f>
        <v>2626343</v>
      </c>
      <c r="DU34" s="224">
        <f>'[1]October - 19'!DU34</f>
        <v>1610</v>
      </c>
      <c r="DV34" s="93">
        <f>'[1]October - 19'!DV34</f>
        <v>4162</v>
      </c>
      <c r="DW34" s="218">
        <f>'[1]October - 19'!DW34</f>
        <v>4</v>
      </c>
      <c r="DX34" s="93">
        <f>'[1]October - 19'!DX34</f>
        <v>1722338</v>
      </c>
      <c r="DY34" s="218">
        <f>'[1]October - 19'!DY34</f>
        <v>1263</v>
      </c>
      <c r="DZ34" s="93">
        <f>'[1]October - 19'!DZ34</f>
        <v>247072</v>
      </c>
      <c r="EA34" s="218">
        <f>'[1]October - 19'!EA34</f>
        <v>125</v>
      </c>
      <c r="EB34" s="93">
        <f>'[1]October - 19'!ED34</f>
        <v>358389</v>
      </c>
      <c r="EC34" s="218">
        <f>'[1]October - 19'!EE34</f>
        <v>557</v>
      </c>
      <c r="ED34" s="93">
        <f>'[1]October - 19'!EF34</f>
        <v>75089</v>
      </c>
      <c r="EE34" s="232">
        <f>'[1]October - 19'!EG34</f>
        <v>137</v>
      </c>
      <c r="EF34" s="579"/>
      <c r="EG34" s="238">
        <f>'[1]October - 19'!EI34</f>
        <v>6515900</v>
      </c>
      <c r="EH34" s="233">
        <f>'[1]October - 19'!EJ34</f>
        <v>7500</v>
      </c>
      <c r="EI34" s="92">
        <f>'[1]October - 19'!EK34</f>
        <v>573270</v>
      </c>
      <c r="EJ34" s="233">
        <f>'[1]October - 19'!EL34</f>
        <v>430</v>
      </c>
      <c r="EK34" s="92">
        <f>'[1]October - 19'!EM34</f>
        <v>4471100</v>
      </c>
      <c r="EL34" s="233">
        <f>'[1]October - 19'!EN34</f>
        <v>3600</v>
      </c>
      <c r="EM34" s="92">
        <f>'[1]October - 19'!EO34</f>
        <v>1968600</v>
      </c>
      <c r="EN34" s="233">
        <f>'[1]October - 19'!EP34</f>
        <v>700</v>
      </c>
      <c r="EO34" s="92">
        <f>'[1]October - 19'!EQ34</f>
        <v>665750</v>
      </c>
      <c r="EP34" s="233">
        <f>'[1]October - 19'!ER34</f>
        <v>210</v>
      </c>
      <c r="EQ34" s="92">
        <f>'[1]October - 19'!ES34</f>
        <v>10555900</v>
      </c>
      <c r="ER34" s="233">
        <f>'[1]October - 19'!ET34</f>
        <v>6800</v>
      </c>
      <c r="ES34" s="554"/>
      <c r="ET34" s="287">
        <f>'[1]October - 19'!EV34</f>
        <v>26329</v>
      </c>
      <c r="EU34" s="286">
        <f>'[1]October - 19'!$EW$11</f>
        <v>18</v>
      </c>
      <c r="EV34" s="285">
        <f>'[1]October - 19'!EX34</f>
        <v>23061</v>
      </c>
      <c r="EW34" s="286">
        <f>'[1]October - 19'!EY34</f>
        <v>17</v>
      </c>
      <c r="EX34" s="285">
        <f>'[1]October - 19'!FB34</f>
        <v>42703</v>
      </c>
      <c r="EY34" s="286">
        <f>'[1]October - 19'!FA34</f>
        <v>0</v>
      </c>
      <c r="EZ34" s="285">
        <f>'[1]October - 19'!EZ34</f>
        <v>0</v>
      </c>
      <c r="FA34" s="286">
        <f>'[1]October - 19'!FA34</f>
        <v>0</v>
      </c>
      <c r="FB34" s="285">
        <f>'[1]October - 19'!FD34</f>
        <v>18407</v>
      </c>
      <c r="FC34" s="288">
        <f>'[1]October - 19'!FE34</f>
        <v>31</v>
      </c>
    </row>
    <row r="35" spans="1:160" ht="30" customHeight="1" x14ac:dyDescent="0.25">
      <c r="A35" s="210">
        <v>43764</v>
      </c>
      <c r="B35" s="212">
        <f>'[1]October - 19'!B35</f>
        <v>0</v>
      </c>
      <c r="C35" s="253">
        <f>'[1]October - 19'!E35</f>
        <v>478313</v>
      </c>
      <c r="D35" s="172">
        <f>'[1]October - 19'!F35</f>
        <v>553</v>
      </c>
      <c r="E35" s="170">
        <f>'[1]October - 19'!G35</f>
        <v>590</v>
      </c>
      <c r="F35" s="170">
        <f>'[1]October - 19'!H35</f>
        <v>658981</v>
      </c>
      <c r="G35" s="172">
        <f>'[1]October - 19'!I35</f>
        <v>338</v>
      </c>
      <c r="H35" s="170">
        <f>'[1]October - 19'!J35</f>
        <v>408</v>
      </c>
      <c r="I35" s="170">
        <f>'[1]October - 19'!K35</f>
        <v>5457</v>
      </c>
      <c r="J35" s="172">
        <f>'[1]October - 19'!L35</f>
        <v>415</v>
      </c>
      <c r="K35" s="170">
        <f>'[1]October - 19'!N35</f>
        <v>596072</v>
      </c>
      <c r="L35" s="172">
        <f>'[1]October - 19'!O35</f>
        <v>387</v>
      </c>
      <c r="M35" s="170">
        <f>'[1]October - 19'!Q35</f>
        <v>156722</v>
      </c>
      <c r="N35" s="172">
        <f>'[1]October - 19'!R35</f>
        <v>0</v>
      </c>
      <c r="O35" s="170">
        <f>'[1]October - 19'!S35</f>
        <v>86376</v>
      </c>
      <c r="P35" s="172">
        <f>'[1]October - 19'!T35</f>
        <v>200</v>
      </c>
      <c r="Q35" s="170">
        <f>'[1]October - 19'!U35</f>
        <v>140</v>
      </c>
      <c r="R35" s="170">
        <f>'[1]October - 19'!V35</f>
        <v>5312</v>
      </c>
      <c r="S35" s="211">
        <f>'[1]October - 19'!W35</f>
        <v>52</v>
      </c>
      <c r="T35" s="475"/>
      <c r="U35" s="171">
        <f>'[1]October - 19'!AB35</f>
        <v>5282027.5200000005</v>
      </c>
      <c r="V35" s="254">
        <f>'[1]October - 19'!AC35</f>
        <v>3507.8400000007823</v>
      </c>
      <c r="W35" s="94">
        <f>'[1]October - 19'!AD35</f>
        <v>1997.5200000004843</v>
      </c>
      <c r="X35" s="94">
        <f>'[1]October - 19'!AE35</f>
        <v>10309980.24</v>
      </c>
      <c r="Y35" s="254">
        <f>'[1]October - 19'!AF35</f>
        <v>4969.4400000013411</v>
      </c>
      <c r="Z35" s="94">
        <f>'[1]October - 19'!AG35</f>
        <v>5213.0399999972433</v>
      </c>
      <c r="AA35" s="94">
        <f>'[1]October - 19'!AH35</f>
        <v>9510192.7199999988</v>
      </c>
      <c r="AB35" s="254">
        <f>'[1]October - 19'!AI35</f>
        <v>3800.160000000149</v>
      </c>
      <c r="AC35" s="94">
        <f>'[1]October - 19'!AJ35</f>
        <v>11303.040000000037</v>
      </c>
      <c r="AD35" s="94">
        <f>'[1]October - 19'!AK35</f>
        <v>12918643.919999998</v>
      </c>
      <c r="AE35" s="254">
        <f>'[1]October - 19'!AL35</f>
        <v>11351.759999997914</v>
      </c>
      <c r="AF35" s="94">
        <f>'[1]October - 19'!AM35</f>
        <v>584.64000000059605</v>
      </c>
      <c r="AG35" s="94">
        <f>'[1]October - 19'!AN35</f>
        <v>12821544.959999999</v>
      </c>
      <c r="AH35" s="254">
        <f>'[1]October - 19'!AO35</f>
        <v>2971.9199999980628</v>
      </c>
      <c r="AI35" s="94">
        <f>'[1]October - 19'!AP35</f>
        <v>6869.519999999553</v>
      </c>
      <c r="AJ35" s="94">
        <f>'[1]October - 19'!AQ35</f>
        <v>11514533.52</v>
      </c>
      <c r="AK35" s="254">
        <f>'[1]October - 19'!AR35</f>
        <v>7015.679999999702</v>
      </c>
      <c r="AL35" s="94">
        <f>'[1]October - 19'!AS35</f>
        <v>5846.3999999985099</v>
      </c>
      <c r="AM35" s="94">
        <f>'[1]October - 19'!AT35</f>
        <v>10095027.6</v>
      </c>
      <c r="AN35" s="254">
        <f>'[1]October - 19'!AU35</f>
        <v>4482.2400000002235</v>
      </c>
      <c r="AO35" s="94">
        <f>'[1]October - 19'!AV35</f>
        <v>4677.1200000010431</v>
      </c>
      <c r="AP35" s="94">
        <f>'[1]October - 19'!AW35</f>
        <v>9713988.4800000004</v>
      </c>
      <c r="AQ35" s="254">
        <f>'[1]October - 19'!AX35</f>
        <v>5456.640000000596</v>
      </c>
      <c r="AR35" s="94">
        <f>'[1]October - 19'!AY35</f>
        <v>5164.3199999993667</v>
      </c>
      <c r="AS35" s="94">
        <f>'[1]October - 19'!AZ35</f>
        <v>7803872.1599999992</v>
      </c>
      <c r="AT35" s="254">
        <f>'[1]October - 19'!BA35</f>
        <v>3556.5599999995902</v>
      </c>
      <c r="AU35" s="94">
        <f>'[1]October - 19'!BB35</f>
        <v>3556.5599999995902</v>
      </c>
      <c r="AV35" s="94">
        <f>'[1]October - 19'!BC35</f>
        <v>11509515.359999999</v>
      </c>
      <c r="AW35" s="255">
        <f>'[1]October - 19'!BD35</f>
        <v>5310.4799999985844</v>
      </c>
      <c r="AX35" s="256">
        <f>'[1]October - 19'!BE35</f>
        <v>6113.0399999991059</v>
      </c>
      <c r="AY35" s="492"/>
      <c r="AZ35" s="95">
        <f>'[1]October - 19'!BJ35</f>
        <v>48135200</v>
      </c>
      <c r="BA35" s="181">
        <f>'[1]October - 19'!BK35</f>
        <v>13800</v>
      </c>
      <c r="BB35" s="95">
        <f>'[1]October - 19'!BL35</f>
        <v>40300</v>
      </c>
      <c r="BC35" s="95">
        <f>'[1]October - 19'!BM35</f>
        <v>52866300</v>
      </c>
      <c r="BD35" s="248">
        <f>'[1]October - 19'!BN35</f>
        <v>57100</v>
      </c>
      <c r="BE35" s="95">
        <f>'[1]October - 19'!BO35</f>
        <v>0</v>
      </c>
      <c r="BF35" s="95">
        <f>'[1]October - 19'!BP35</f>
        <v>46082800</v>
      </c>
      <c r="BG35" s="248">
        <f>'[1]October - 19'!BQ35</f>
        <v>16000</v>
      </c>
      <c r="BH35" s="95">
        <f>'[1]October - 19'!BR35</f>
        <v>30600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'[1]October - 19'!BS35</f>
        <v>3645990</v>
      </c>
      <c r="BT35" s="187">
        <f>'[1]October - 19'!BT35</f>
        <v>5610</v>
      </c>
      <c r="BU35" s="588"/>
      <c r="BV35" s="88">
        <f>'[1]October - 19'!BV35</f>
        <v>0.42</v>
      </c>
      <c r="BW35" s="244">
        <f>'[1]October - 19'!BW35</f>
        <v>-4.0000000000000036E-2</v>
      </c>
      <c r="BX35" s="88">
        <f>'[1]October - 19'!BX35</f>
        <v>-3.0000000000000027E-2</v>
      </c>
      <c r="BY35" s="89">
        <f>'[1]October - 19'!BY35</f>
        <v>43102</v>
      </c>
      <c r="BZ35" s="193">
        <f>'[1]October - 19'!BZ35</f>
        <v>31</v>
      </c>
      <c r="CA35" s="89">
        <f>'[1]October - 19'!CA35</f>
        <v>38241</v>
      </c>
      <c r="CB35" s="193">
        <f>'[1]October - 19'!CB35</f>
        <v>22</v>
      </c>
      <c r="CC35" s="89">
        <f>'[1]October - 19'!CC35</f>
        <v>12649</v>
      </c>
      <c r="CD35" s="193">
        <f>'[1]October - 19'!CD35</f>
        <v>7</v>
      </c>
      <c r="CE35" s="89">
        <f>'[1]October - 19'!CE35</f>
        <v>15800</v>
      </c>
      <c r="CF35" s="193">
        <f>'[1]October - 19'!CF35</f>
        <v>5</v>
      </c>
      <c r="CG35" s="89">
        <f>'[1]October - 19'!CG35</f>
        <v>18111</v>
      </c>
      <c r="CH35" s="193">
        <f>'[1]October - 19'!CH35</f>
        <v>0</v>
      </c>
      <c r="CI35" s="89">
        <f>'[1]October - 19'!CI35</f>
        <v>38459</v>
      </c>
      <c r="CJ35" s="193">
        <f>'[1]October - 19'!CJ35</f>
        <v>36</v>
      </c>
      <c r="CK35" s="89">
        <f>'[1]October - 19'!CK35</f>
        <v>168227</v>
      </c>
      <c r="CL35" s="249">
        <f>'[1]October - 19'!CL35</f>
        <v>86</v>
      </c>
      <c r="CM35" s="89">
        <f>'[1]October - 19'!CM35</f>
        <v>80</v>
      </c>
      <c r="CN35" s="89">
        <f>'[1]October - 19'!CN35</f>
        <v>119433</v>
      </c>
      <c r="CO35" s="249">
        <f>'[1]October - 19'!CO35</f>
        <v>78</v>
      </c>
      <c r="CP35" s="89">
        <f>'[1]October - 19'!CP35</f>
        <v>67</v>
      </c>
      <c r="CQ35" s="89">
        <f>'[1]October - 19'!CQ35</f>
        <v>216373</v>
      </c>
      <c r="CR35" s="249">
        <f>'[1]October - 19'!CR35</f>
        <v>108</v>
      </c>
      <c r="CS35" s="89">
        <f>'[1]October - 19'!CS35</f>
        <v>44</v>
      </c>
      <c r="CT35" s="89">
        <f>'[1]October - 19'!CT35</f>
        <v>464709</v>
      </c>
      <c r="CU35" s="193">
        <f>'[1]October - 19'!CU35</f>
        <v>205</v>
      </c>
      <c r="CV35" s="516"/>
      <c r="CW35" s="208">
        <f>'[1]October - 19'!CW35</f>
        <v>3047</v>
      </c>
      <c r="CX35" s="200">
        <f>'[1]October - 19'!CX35</f>
        <v>0</v>
      </c>
      <c r="CY35" s="91">
        <f>'[1]October - 19'!CY35</f>
        <v>938</v>
      </c>
      <c r="CZ35" s="200">
        <f>'[1]October - 19'!CZ35</f>
        <v>0</v>
      </c>
      <c r="DA35" s="91">
        <f>'[1]October - 19'!DA35</f>
        <v>17411</v>
      </c>
      <c r="DB35" s="200">
        <f>'[1]October - 19'!DB35</f>
        <v>15</v>
      </c>
      <c r="DC35" s="91">
        <f>'[1]October - 19'!DC35</f>
        <v>18171</v>
      </c>
      <c r="DD35" s="200">
        <f>'[1]October - 19'!DD35</f>
        <v>11</v>
      </c>
      <c r="DE35" s="91">
        <f>'[1]October - 19'!DE35</f>
        <v>12643</v>
      </c>
      <c r="DF35" s="200">
        <f>'[1]October - 19'!DF35</f>
        <v>8</v>
      </c>
      <c r="DG35" s="91">
        <f>'[1]October - 19'!DG35</f>
        <v>16713</v>
      </c>
      <c r="DH35" s="200">
        <f>'[1]October - 19'!DH35</f>
        <v>10</v>
      </c>
      <c r="DI35" s="91">
        <f>'[1]October - 19'!DI35</f>
        <v>825</v>
      </c>
      <c r="DJ35" s="200">
        <f>'[1]October - 19'!DJ35</f>
        <v>0</v>
      </c>
      <c r="DK35" s="91">
        <f>'[1]October - 19'!DK35</f>
        <v>3570</v>
      </c>
      <c r="DL35" s="200">
        <f>'[1]October - 19'!DL35</f>
        <v>0</v>
      </c>
      <c r="DM35" s="91">
        <f>'[1]October - 19'!DM35</f>
        <v>605</v>
      </c>
      <c r="DN35" s="200">
        <f>'[1]October - 19'!DN35</f>
        <v>8</v>
      </c>
      <c r="DO35" s="91">
        <f>'[1]October - 19'!DO35</f>
        <v>750</v>
      </c>
      <c r="DP35" s="200">
        <f>'[1]October - 19'!DP35</f>
        <v>1</v>
      </c>
      <c r="DQ35" s="91">
        <f>'[1]October - 19'!DQ35</f>
        <v>16077</v>
      </c>
      <c r="DR35" s="209">
        <f>'[1]October - 19'!DR35</f>
        <v>26</v>
      </c>
      <c r="DS35" s="532"/>
      <c r="DT35" s="213">
        <f>'[1]October - 19'!DT35</f>
        <v>2627843</v>
      </c>
      <c r="DU35" s="224">
        <f>'[1]October - 19'!DU35</f>
        <v>1500</v>
      </c>
      <c r="DV35" s="93">
        <f>'[1]October - 19'!DV35</f>
        <v>4166</v>
      </c>
      <c r="DW35" s="218">
        <f>'[1]October - 19'!DW35</f>
        <v>4</v>
      </c>
      <c r="DX35" s="93">
        <f>'[1]October - 19'!DX35</f>
        <v>1723578</v>
      </c>
      <c r="DY35" s="218">
        <f>'[1]October - 19'!DY35</f>
        <v>1240</v>
      </c>
      <c r="DZ35" s="93">
        <f>'[1]October - 19'!DZ35</f>
        <v>247197</v>
      </c>
      <c r="EA35" s="218">
        <f>'[1]October - 19'!EA35</f>
        <v>125</v>
      </c>
      <c r="EB35" s="93">
        <f>'[1]October - 19'!ED35</f>
        <v>358949</v>
      </c>
      <c r="EC35" s="218">
        <f>'[1]October - 19'!EE35</f>
        <v>560</v>
      </c>
      <c r="ED35" s="93">
        <f>'[1]October - 19'!EF35</f>
        <v>75229</v>
      </c>
      <c r="EE35" s="232">
        <f>'[1]October - 19'!EG35</f>
        <v>140</v>
      </c>
      <c r="EF35" s="579"/>
      <c r="EG35" s="238">
        <f>'[1]October - 19'!EI35</f>
        <v>6522100</v>
      </c>
      <c r="EH35" s="233">
        <f>'[1]October - 19'!EJ35</f>
        <v>6200</v>
      </c>
      <c r="EI35" s="92">
        <f>'[1]October - 19'!EK35</f>
        <v>573650</v>
      </c>
      <c r="EJ35" s="233">
        <f>'[1]October - 19'!EL35</f>
        <v>380</v>
      </c>
      <c r="EK35" s="92">
        <f>'[1]October - 19'!EM35</f>
        <v>4473900</v>
      </c>
      <c r="EL35" s="233">
        <f>'[1]October - 19'!EN35</f>
        <v>2800</v>
      </c>
      <c r="EM35" s="92">
        <f>'[1]October - 19'!EO35</f>
        <v>1969200</v>
      </c>
      <c r="EN35" s="233">
        <f>'[1]October - 19'!EP35</f>
        <v>600</v>
      </c>
      <c r="EO35" s="92">
        <f>'[1]October - 19'!EQ35</f>
        <v>665920</v>
      </c>
      <c r="EP35" s="233">
        <f>'[1]October - 19'!ER35</f>
        <v>170</v>
      </c>
      <c r="EQ35" s="92">
        <f>'[1]October - 19'!ES35</f>
        <v>10560900</v>
      </c>
      <c r="ER35" s="233">
        <f>'[1]October - 19'!ET35</f>
        <v>5000</v>
      </c>
      <c r="ES35" s="554"/>
      <c r="ET35" s="287">
        <f>'[1]October - 19'!EV35</f>
        <v>26348</v>
      </c>
      <c r="EU35" s="286">
        <f>'[1]October - 19'!$EW$11</f>
        <v>18</v>
      </c>
      <c r="EV35" s="285">
        <f>'[1]October - 19'!EX35</f>
        <v>23079</v>
      </c>
      <c r="EW35" s="286">
        <f>'[1]October - 19'!EY35</f>
        <v>18</v>
      </c>
      <c r="EX35" s="285">
        <f>'[1]October - 19'!FB35</f>
        <v>42703</v>
      </c>
      <c r="EY35" s="286">
        <f>'[1]October - 19'!FA35</f>
        <v>0</v>
      </c>
      <c r="EZ35" s="285">
        <f>'[1]October - 19'!EZ35</f>
        <v>0</v>
      </c>
      <c r="FA35" s="286">
        <f>'[1]October - 19'!FA35</f>
        <v>0</v>
      </c>
      <c r="FB35" s="285">
        <f>'[1]October - 19'!FD35</f>
        <v>18437</v>
      </c>
      <c r="FC35" s="288">
        <f>'[1]October - 19'!FE35</f>
        <v>30</v>
      </c>
    </row>
    <row r="36" spans="1:160" ht="30" customHeight="1" x14ac:dyDescent="0.25">
      <c r="A36" s="210">
        <v>43765</v>
      </c>
      <c r="B36" s="212">
        <f>'[1]October - 19'!B36</f>
        <v>0</v>
      </c>
      <c r="C36" s="253">
        <f>'[1]October - 19'!E36</f>
        <v>478849</v>
      </c>
      <c r="D36" s="172">
        <f>'[1]October - 19'!F36</f>
        <v>536</v>
      </c>
      <c r="E36" s="170">
        <f>'[1]October - 19'!G36</f>
        <v>575</v>
      </c>
      <c r="F36" s="170">
        <f>'[1]October - 19'!H36</f>
        <v>659338</v>
      </c>
      <c r="G36" s="172">
        <f>'[1]October - 19'!I36</f>
        <v>357</v>
      </c>
      <c r="H36" s="170">
        <f>'[1]October - 19'!J36</f>
        <v>396</v>
      </c>
      <c r="I36" s="170">
        <f>'[1]October - 19'!K36</f>
        <v>5700</v>
      </c>
      <c r="J36" s="172">
        <f>'[1]October - 19'!L36</f>
        <v>243</v>
      </c>
      <c r="K36" s="170">
        <f>'[1]October - 19'!N36</f>
        <v>596481</v>
      </c>
      <c r="L36" s="172">
        <f>'[1]October - 19'!O36</f>
        <v>409</v>
      </c>
      <c r="M36" s="170">
        <f>'[1]October - 19'!Q36</f>
        <v>156722</v>
      </c>
      <c r="N36" s="172">
        <f>'[1]October - 19'!R36</f>
        <v>0</v>
      </c>
      <c r="O36" s="170">
        <f>'[1]October - 19'!S36</f>
        <v>86562</v>
      </c>
      <c r="P36" s="172">
        <f>'[1]October - 19'!T36</f>
        <v>186</v>
      </c>
      <c r="Q36" s="170">
        <f>'[1]October - 19'!U36</f>
        <v>178</v>
      </c>
      <c r="R36" s="170">
        <f>'[1]October - 19'!V36</f>
        <v>5364</v>
      </c>
      <c r="S36" s="211">
        <f>'[1]October - 19'!W36</f>
        <v>52</v>
      </c>
      <c r="T36" s="475"/>
      <c r="U36" s="171">
        <f>'[1]October - 19'!AB36</f>
        <v>5284950.72</v>
      </c>
      <c r="V36" s="254">
        <f>'[1]October - 19'!AC36</f>
        <v>2923.1999999992549</v>
      </c>
      <c r="W36" s="94">
        <f>'[1]October - 19'!AD36</f>
        <v>2679.5999999996275</v>
      </c>
      <c r="X36" s="94">
        <f>'[1]October - 19'!AE36</f>
        <v>10314803.52</v>
      </c>
      <c r="Y36" s="254">
        <f>'[1]October - 19'!AF36</f>
        <v>4823.2799999993294</v>
      </c>
      <c r="Z36" s="94">
        <f>'[1]October - 19'!AG36</f>
        <v>5651.5200000014156</v>
      </c>
      <c r="AA36" s="94">
        <f>'[1]October - 19'!AH36</f>
        <v>9512190.2400000002</v>
      </c>
      <c r="AB36" s="254">
        <f>'[1]October - 19'!AI36</f>
        <v>1997.5200000014156</v>
      </c>
      <c r="AC36" s="94">
        <f>'[1]October - 19'!AJ36</f>
        <v>8818.320000000298</v>
      </c>
      <c r="AD36" s="94">
        <f>'[1]October - 19'!AK36</f>
        <v>12924880.08</v>
      </c>
      <c r="AE36" s="254">
        <f>'[1]October - 19'!AL36</f>
        <v>6236.1600000020117</v>
      </c>
      <c r="AF36" s="94">
        <f>'[1]October - 19'!AM36</f>
        <v>10815.839999999851</v>
      </c>
      <c r="AG36" s="94">
        <f>'[1]October - 19'!AN36</f>
        <v>12829047.84</v>
      </c>
      <c r="AH36" s="254">
        <f>'[1]October - 19'!AO36</f>
        <v>7502.8800000008196</v>
      </c>
      <c r="AI36" s="94">
        <f>'[1]October - 19'!AP36</f>
        <v>1169.2800000011921</v>
      </c>
      <c r="AJ36" s="94">
        <f>'[1]October - 19'!AQ36</f>
        <v>11520574.799999999</v>
      </c>
      <c r="AK36" s="254">
        <f>'[1]October - 19'!AR36</f>
        <v>6041.2799999993294</v>
      </c>
      <c r="AL36" s="94">
        <f>'[1]October - 19'!AS36</f>
        <v>5895.1200000010431</v>
      </c>
      <c r="AM36" s="94">
        <f>'[1]October - 19'!AT36</f>
        <v>10099704.719999999</v>
      </c>
      <c r="AN36" s="254">
        <f>'[1]October - 19'!AU36</f>
        <v>4677.1199999991804</v>
      </c>
      <c r="AO36" s="94">
        <f>'[1]October - 19'!AV36</f>
        <v>4725.839999999851</v>
      </c>
      <c r="AP36" s="94">
        <f>'[1]October - 19'!AW36</f>
        <v>9718957.9199999999</v>
      </c>
      <c r="AQ36" s="254">
        <f>'[1]October - 19'!AX36</f>
        <v>4969.4399999994785</v>
      </c>
      <c r="AR36" s="94">
        <f>'[1]October - 19'!AY36</f>
        <v>5115.6000000005588</v>
      </c>
      <c r="AS36" s="94">
        <f>'[1]October - 19'!AZ36</f>
        <v>7807185.1200000001</v>
      </c>
      <c r="AT36" s="254">
        <f>'[1]October - 19'!BA36</f>
        <v>3312.9600000008941</v>
      </c>
      <c r="AU36" s="94">
        <f>'[1]October - 19'!BB36</f>
        <v>3848.8799999998882</v>
      </c>
      <c r="AV36" s="94">
        <f>'[1]October - 19'!BC36</f>
        <v>11514533.52</v>
      </c>
      <c r="AW36" s="255">
        <f>'[1]October - 19'!BD36</f>
        <v>5018.160000000149</v>
      </c>
      <c r="AX36" s="256">
        <f>'[1]October - 19'!BE36</f>
        <v>6187.4400000013411</v>
      </c>
      <c r="AY36" s="492"/>
      <c r="AZ36" s="95">
        <f>'[1]October - 19'!BJ36</f>
        <v>48140700</v>
      </c>
      <c r="BA36" s="181">
        <f>'[1]October - 19'!BK36</f>
        <v>5500</v>
      </c>
      <c r="BB36" s="95">
        <f>'[1]October - 19'!BL36</f>
        <v>38400</v>
      </c>
      <c r="BC36" s="95">
        <f>'[1]October - 19'!BM36</f>
        <v>52898800</v>
      </c>
      <c r="BD36" s="248">
        <f>'[1]October - 19'!BN36</f>
        <v>32500</v>
      </c>
      <c r="BE36" s="95">
        <f>'[1]October - 19'!BO36</f>
        <v>46900</v>
      </c>
      <c r="BF36" s="95">
        <f>'[1]October - 19'!BP36</f>
        <v>46117600</v>
      </c>
      <c r="BG36" s="248">
        <f>'[1]October - 19'!BQ36</f>
        <v>34800</v>
      </c>
      <c r="BH36" s="95">
        <f>'[1]October - 19'!BR36</f>
        <v>1000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'[1]October - 19'!BS36</f>
        <v>3651900</v>
      </c>
      <c r="BT36" s="187">
        <f>'[1]October - 19'!BT36</f>
        <v>5910</v>
      </c>
      <c r="BU36" s="588"/>
      <c r="BV36" s="88">
        <f>'[1]October - 19'!BV36</f>
        <v>0.75</v>
      </c>
      <c r="BW36" s="244">
        <f>'[1]October - 19'!BW36</f>
        <v>0.33</v>
      </c>
      <c r="BX36" s="88">
        <f>'[1]October - 19'!BX36</f>
        <v>-5.0000000000000044E-2</v>
      </c>
      <c r="BY36" s="89">
        <f>'[1]October - 19'!BY36</f>
        <v>43119</v>
      </c>
      <c r="BZ36" s="193">
        <f>'[1]October - 19'!BZ36</f>
        <v>17</v>
      </c>
      <c r="CA36" s="89">
        <f>'[1]October - 19'!CA36</f>
        <v>38255</v>
      </c>
      <c r="CB36" s="193">
        <f>'[1]October - 19'!CB36</f>
        <v>14</v>
      </c>
      <c r="CC36" s="89">
        <f>'[1]October - 19'!CC36</f>
        <v>12656</v>
      </c>
      <c r="CD36" s="193">
        <f>'[1]October - 19'!CD36</f>
        <v>7</v>
      </c>
      <c r="CE36" s="89">
        <f>'[1]October - 19'!CE36</f>
        <v>15810</v>
      </c>
      <c r="CF36" s="193">
        <f>'[1]October - 19'!CF36</f>
        <v>10</v>
      </c>
      <c r="CG36" s="89">
        <f>'[1]October - 19'!CG36</f>
        <v>18125</v>
      </c>
      <c r="CH36" s="193">
        <f>'[1]October - 19'!CH36</f>
        <v>14</v>
      </c>
      <c r="CI36" s="89">
        <f>'[1]October - 19'!CI36</f>
        <v>38482</v>
      </c>
      <c r="CJ36" s="193">
        <f>'[1]October - 19'!CJ36</f>
        <v>23</v>
      </c>
      <c r="CK36" s="89">
        <f>'[1]October - 19'!CK36</f>
        <v>168315</v>
      </c>
      <c r="CL36" s="249">
        <f>'[1]October - 19'!CL36</f>
        <v>88</v>
      </c>
      <c r="CM36" s="89">
        <f>'[1]October - 19'!CM36</f>
        <v>84</v>
      </c>
      <c r="CN36" s="89">
        <f>'[1]October - 19'!CN36</f>
        <v>119510</v>
      </c>
      <c r="CO36" s="249">
        <f>'[1]October - 19'!CO36</f>
        <v>77</v>
      </c>
      <c r="CP36" s="89">
        <f>'[1]October - 19'!CP36</f>
        <v>71</v>
      </c>
      <c r="CQ36" s="89">
        <f>'[1]October - 19'!CQ36</f>
        <v>216510</v>
      </c>
      <c r="CR36" s="249">
        <f>'[1]October - 19'!CR36</f>
        <v>137</v>
      </c>
      <c r="CS36" s="89">
        <f>'[1]October - 19'!CS36</f>
        <v>48</v>
      </c>
      <c r="CT36" s="89">
        <f>'[1]October - 19'!CT36</f>
        <v>464907</v>
      </c>
      <c r="CU36" s="193">
        <f>'[1]October - 19'!CU36</f>
        <v>198</v>
      </c>
      <c r="CV36" s="516"/>
      <c r="CW36" s="208">
        <f>'[1]October - 19'!CW36</f>
        <v>3047</v>
      </c>
      <c r="CX36" s="200">
        <f>'[1]October - 19'!CX36</f>
        <v>0</v>
      </c>
      <c r="CY36" s="91">
        <f>'[1]October - 19'!CY36</f>
        <v>938</v>
      </c>
      <c r="CZ36" s="200">
        <f>'[1]October - 19'!CZ36</f>
        <v>0</v>
      </c>
      <c r="DA36" s="91">
        <f>'[1]October - 19'!DA36</f>
        <v>17428</v>
      </c>
      <c r="DB36" s="200">
        <f>'[1]October - 19'!DB36</f>
        <v>17</v>
      </c>
      <c r="DC36" s="91">
        <f>'[1]October - 19'!DC36</f>
        <v>18192</v>
      </c>
      <c r="DD36" s="200">
        <f>'[1]October - 19'!DD36</f>
        <v>21</v>
      </c>
      <c r="DE36" s="91">
        <f>'[1]October - 19'!DE36</f>
        <v>12653</v>
      </c>
      <c r="DF36" s="200">
        <f>'[1]October - 19'!DF36</f>
        <v>10</v>
      </c>
      <c r="DG36" s="91">
        <f>'[1]October - 19'!DG36</f>
        <v>16724</v>
      </c>
      <c r="DH36" s="200">
        <f>'[1]October - 19'!DH36</f>
        <v>11</v>
      </c>
      <c r="DI36" s="91">
        <f>'[1]October - 19'!DI36</f>
        <v>825</v>
      </c>
      <c r="DJ36" s="200">
        <f>'[1]October - 19'!DJ36</f>
        <v>0</v>
      </c>
      <c r="DK36" s="91">
        <f>'[1]October - 19'!DK36</f>
        <v>3570</v>
      </c>
      <c r="DL36" s="200">
        <f>'[1]October - 19'!DL36</f>
        <v>0</v>
      </c>
      <c r="DM36" s="91">
        <f>'[1]October - 19'!DM36</f>
        <v>616</v>
      </c>
      <c r="DN36" s="200">
        <f>'[1]October - 19'!DN36</f>
        <v>11</v>
      </c>
      <c r="DO36" s="91">
        <f>'[1]October - 19'!DO36</f>
        <v>751</v>
      </c>
      <c r="DP36" s="200">
        <f>'[1]October - 19'!DP36</f>
        <v>1</v>
      </c>
      <c r="DQ36" s="91">
        <f>'[1]October - 19'!DQ36</f>
        <v>16108</v>
      </c>
      <c r="DR36" s="209">
        <f>'[1]October - 19'!DR36</f>
        <v>31</v>
      </c>
      <c r="DS36" s="532"/>
      <c r="DT36" s="213">
        <f>'[1]October - 19'!DT36</f>
        <v>2629458</v>
      </c>
      <c r="DU36" s="224">
        <f>'[1]October - 19'!DU36</f>
        <v>1615</v>
      </c>
      <c r="DV36" s="93">
        <f>'[1]October - 19'!DV36</f>
        <v>4170</v>
      </c>
      <c r="DW36" s="218">
        <f>'[1]October - 19'!DW36</f>
        <v>4</v>
      </c>
      <c r="DX36" s="93">
        <f>'[1]October - 19'!DX36</f>
        <v>1724866</v>
      </c>
      <c r="DY36" s="218">
        <f>'[1]October - 19'!DY36</f>
        <v>1288</v>
      </c>
      <c r="DZ36" s="93">
        <f>'[1]October - 19'!DZ36</f>
        <v>247323</v>
      </c>
      <c r="EA36" s="218">
        <f>'[1]October - 19'!EA36</f>
        <v>126</v>
      </c>
      <c r="EB36" s="93">
        <f>'[1]October - 19'!ED36</f>
        <v>359533</v>
      </c>
      <c r="EC36" s="218">
        <f>'[1]October - 19'!EE36</f>
        <v>584</v>
      </c>
      <c r="ED36" s="93">
        <f>'[1]October - 19'!EF36</f>
        <v>75363</v>
      </c>
      <c r="EE36" s="232">
        <f>'[1]October - 19'!EG36</f>
        <v>134</v>
      </c>
      <c r="EF36" s="579"/>
      <c r="EG36" s="238">
        <f>'[1]October - 19'!EI36</f>
        <v>6527800</v>
      </c>
      <c r="EH36" s="233">
        <f>'[1]October - 19'!EJ36</f>
        <v>5700</v>
      </c>
      <c r="EI36" s="92">
        <f>'[1]October - 19'!EK36</f>
        <v>574060</v>
      </c>
      <c r="EJ36" s="233">
        <f>'[1]October - 19'!EL36</f>
        <v>410</v>
      </c>
      <c r="EK36" s="92">
        <f>'[1]October - 19'!EM36</f>
        <v>4476800</v>
      </c>
      <c r="EL36" s="233">
        <f>'[1]October - 19'!EN36</f>
        <v>2900</v>
      </c>
      <c r="EM36" s="92">
        <f>'[1]October - 19'!EO36</f>
        <v>1969800</v>
      </c>
      <c r="EN36" s="233">
        <f>'[1]October - 19'!EP36</f>
        <v>600</v>
      </c>
      <c r="EO36" s="92">
        <f>'[1]October - 19'!EQ36</f>
        <v>666100</v>
      </c>
      <c r="EP36" s="233">
        <f>'[1]October - 19'!ER36</f>
        <v>180</v>
      </c>
      <c r="EQ36" s="92">
        <f>'[1]October - 19'!ES36</f>
        <v>10564300</v>
      </c>
      <c r="ER36" s="233">
        <f>'[1]October - 19'!ET36</f>
        <v>3400</v>
      </c>
      <c r="ES36" s="554"/>
      <c r="ET36" s="287">
        <f>'[1]October - 19'!EV36</f>
        <v>26364</v>
      </c>
      <c r="EU36" s="286">
        <f>'[1]October - 19'!$EW$11</f>
        <v>18</v>
      </c>
      <c r="EV36" s="285">
        <f>'[1]October - 19'!EX36</f>
        <v>23097</v>
      </c>
      <c r="EW36" s="286">
        <f>'[1]October - 19'!EY36</f>
        <v>18</v>
      </c>
      <c r="EX36" s="285">
        <f>'[1]October - 19'!FB36</f>
        <v>42703</v>
      </c>
      <c r="EY36" s="286">
        <f>'[1]October - 19'!FA36</f>
        <v>0</v>
      </c>
      <c r="EZ36" s="285">
        <f>'[1]October - 19'!EZ36</f>
        <v>0</v>
      </c>
      <c r="FA36" s="286">
        <f>'[1]October - 19'!FA36</f>
        <v>0</v>
      </c>
      <c r="FB36" s="285">
        <f>'[1]October - 19'!FD36</f>
        <v>18465</v>
      </c>
      <c r="FC36" s="288">
        <f>'[1]October - 19'!FE36</f>
        <v>28</v>
      </c>
    </row>
    <row r="37" spans="1:160" ht="30" customHeight="1" x14ac:dyDescent="0.25">
      <c r="A37" s="210">
        <v>43766</v>
      </c>
      <c r="B37" s="212">
        <f>'[1]October - 19'!B37</f>
        <v>0</v>
      </c>
      <c r="C37" s="253">
        <f>'[1]October - 19'!E37</f>
        <v>479364</v>
      </c>
      <c r="D37" s="172">
        <f>'[1]October - 19'!F37</f>
        <v>515</v>
      </c>
      <c r="E37" s="170">
        <f>'[1]October - 19'!G37</f>
        <v>594</v>
      </c>
      <c r="F37" s="170">
        <f>'[1]October - 19'!H37</f>
        <v>659659</v>
      </c>
      <c r="G37" s="172">
        <f>'[1]October - 19'!I37</f>
        <v>321</v>
      </c>
      <c r="H37" s="170">
        <f>'[1]October - 19'!J37</f>
        <v>389</v>
      </c>
      <c r="I37" s="170">
        <f>'[1]October - 19'!K37</f>
        <v>6096</v>
      </c>
      <c r="J37" s="172">
        <f>'[1]October - 19'!L37</f>
        <v>396</v>
      </c>
      <c r="K37" s="170">
        <f>'[1]October - 19'!N37</f>
        <v>596879</v>
      </c>
      <c r="L37" s="172">
        <f>'[1]October - 19'!O37</f>
        <v>398</v>
      </c>
      <c r="M37" s="170">
        <f>'[1]October - 19'!Q37</f>
        <v>156722</v>
      </c>
      <c r="N37" s="172">
        <f>'[1]October - 19'!R37</f>
        <v>0</v>
      </c>
      <c r="O37" s="170">
        <f>'[1]October - 19'!S37</f>
        <v>86727</v>
      </c>
      <c r="P37" s="172">
        <f>'[1]October - 19'!T37</f>
        <v>165</v>
      </c>
      <c r="Q37" s="170">
        <f>'[1]October - 19'!U37</f>
        <v>188</v>
      </c>
      <c r="R37" s="170">
        <f>'[1]October - 19'!V37</f>
        <v>5408</v>
      </c>
      <c r="S37" s="211">
        <f>'[1]October - 19'!W37</f>
        <v>44</v>
      </c>
      <c r="T37" s="475"/>
      <c r="U37" s="171">
        <f>'[1]October - 19'!AB37</f>
        <v>5288068.8</v>
      </c>
      <c r="V37" s="254">
        <f>'[1]October - 19'!AC37</f>
        <v>3118.0800000000745</v>
      </c>
      <c r="W37" s="94">
        <f>'[1]October - 19'!AD37</f>
        <v>2241.1199999991804</v>
      </c>
      <c r="X37" s="94">
        <f>'[1]October - 19'!AE37</f>
        <v>10319919.119999999</v>
      </c>
      <c r="Y37" s="254">
        <f>'[1]October - 19'!AF37</f>
        <v>5115.5999999996275</v>
      </c>
      <c r="Z37" s="94">
        <f>'[1]October - 19'!AG37</f>
        <v>5261.7599999997765</v>
      </c>
      <c r="AA37" s="94">
        <f>'[1]October - 19'!AH37</f>
        <v>9513115.9199999999</v>
      </c>
      <c r="AB37" s="254">
        <f>'[1]October - 19'!AI37</f>
        <v>925.67999999970198</v>
      </c>
      <c r="AC37" s="94">
        <f>'[1]October - 19'!AJ37</f>
        <v>7210.5599999995902</v>
      </c>
      <c r="AD37" s="94">
        <f>'[1]October - 19'!AK37</f>
        <v>12926682.719999999</v>
      </c>
      <c r="AE37" s="254">
        <f>'[1]October - 19'!AL37</f>
        <v>1802.6399999987334</v>
      </c>
      <c r="AF37" s="94">
        <f>'[1]October - 19'!AM37</f>
        <v>10377.359999999404</v>
      </c>
      <c r="AG37" s="94">
        <f>'[1]October - 19'!AN37</f>
        <v>12841374</v>
      </c>
      <c r="AH37" s="254">
        <f>'[1]October - 19'!AO37</f>
        <v>12326.160000000149</v>
      </c>
      <c r="AI37" s="94">
        <f>'[1]October - 19'!AP37</f>
        <v>779.51999999955297</v>
      </c>
      <c r="AJ37" s="94">
        <f>'[1]October - 19'!AQ37</f>
        <v>11527395.6</v>
      </c>
      <c r="AK37" s="254">
        <f>'[1]October - 19'!AR37</f>
        <v>6820.8000000007451</v>
      </c>
      <c r="AL37" s="94">
        <f>'[1]October - 19'!AS37</f>
        <v>5700.2400000002235</v>
      </c>
      <c r="AM37" s="94">
        <f>'[1]October - 19'!AT37</f>
        <v>10104528</v>
      </c>
      <c r="AN37" s="254">
        <f>'[1]October - 19'!AU37</f>
        <v>4823.2800000011921</v>
      </c>
      <c r="AO37" s="94">
        <f>'[1]October - 19'!AV37</f>
        <v>4920.7200000006706</v>
      </c>
      <c r="AP37" s="94">
        <f>'[1]October - 19'!AW37</f>
        <v>9723976.0800000001</v>
      </c>
      <c r="AQ37" s="254">
        <f>'[1]October - 19'!AX37</f>
        <v>5018.160000000149</v>
      </c>
      <c r="AR37" s="94">
        <f>'[1]October - 19'!AY37</f>
        <v>5066.8800000008196</v>
      </c>
      <c r="AS37" s="94">
        <f>'[1]October - 19'!AZ37</f>
        <v>7810108.3200000003</v>
      </c>
      <c r="AT37" s="254">
        <f>'[1]October - 19'!BA37</f>
        <v>2923.2000000001863</v>
      </c>
      <c r="AU37" s="94">
        <f>'[1]October - 19'!BB37</f>
        <v>3800.1600000010803</v>
      </c>
      <c r="AV37" s="94">
        <f>'[1]October - 19'!BC37</f>
        <v>11520185.040000001</v>
      </c>
      <c r="AW37" s="255">
        <f>'[1]October - 19'!BD37</f>
        <v>5651.5200000014156</v>
      </c>
      <c r="AX37" s="256">
        <f>'[1]October - 19'!BE37</f>
        <v>5895.1199999991804</v>
      </c>
      <c r="AY37" s="492"/>
      <c r="AZ37" s="95">
        <f>'[1]October - 19'!BJ37</f>
        <v>48140700</v>
      </c>
      <c r="BA37" s="181">
        <f>'[1]October - 19'!BK37</f>
        <v>0</v>
      </c>
      <c r="BB37" s="95">
        <f>'[1]October - 19'!BL37</f>
        <v>38500</v>
      </c>
      <c r="BC37" s="95">
        <f>'[1]October - 19'!BM37</f>
        <v>52907800</v>
      </c>
      <c r="BD37" s="248">
        <f>'[1]October - 19'!BN37</f>
        <v>9000</v>
      </c>
      <c r="BE37" s="95">
        <f>'[1]October - 19'!BO37</f>
        <v>50300</v>
      </c>
      <c r="BF37" s="95">
        <f>'[1]October - 19'!BP37</f>
        <v>46173700</v>
      </c>
      <c r="BG37" s="248">
        <f>'[1]October - 19'!BQ37</f>
        <v>56100</v>
      </c>
      <c r="BH37" s="95">
        <f>'[1]October - 19'!BR37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'[1]October - 19'!BS37</f>
        <v>3657150</v>
      </c>
      <c r="BT37" s="187">
        <f>'[1]October - 19'!BT37</f>
        <v>5250</v>
      </c>
      <c r="BU37" s="588"/>
      <c r="BV37" s="88">
        <f>'[1]October - 19'!BV37</f>
        <v>0.67</v>
      </c>
      <c r="BW37" s="244">
        <f>'[1]October - 19'!BW37</f>
        <v>-7.999999999999996E-2</v>
      </c>
      <c r="BX37" s="88">
        <f>'[1]October - 19'!BX37</f>
        <v>-4.9999999999999933E-2</v>
      </c>
      <c r="BY37" s="89">
        <f>'[1]October - 19'!BY37</f>
        <v>43141</v>
      </c>
      <c r="BZ37" s="193">
        <f>'[1]October - 19'!BZ37</f>
        <v>22</v>
      </c>
      <c r="CA37" s="89">
        <f>'[1]October - 19'!CA37</f>
        <v>38268</v>
      </c>
      <c r="CB37" s="193">
        <f>'[1]October - 19'!CB37</f>
        <v>13</v>
      </c>
      <c r="CC37" s="89">
        <f>'[1]October - 19'!CC37</f>
        <v>12663</v>
      </c>
      <c r="CD37" s="193">
        <f>'[1]October - 19'!CD37</f>
        <v>7</v>
      </c>
      <c r="CE37" s="89">
        <f>'[1]October - 19'!CE37</f>
        <v>15820</v>
      </c>
      <c r="CF37" s="193">
        <f>'[1]October - 19'!CF37</f>
        <v>10</v>
      </c>
      <c r="CG37" s="89">
        <f>'[1]October - 19'!CG37</f>
        <v>18134</v>
      </c>
      <c r="CH37" s="193">
        <f>'[1]October - 19'!CH37</f>
        <v>9</v>
      </c>
      <c r="CI37" s="89">
        <f>'[1]October - 19'!CI37</f>
        <v>38510</v>
      </c>
      <c r="CJ37" s="193">
        <f>'[1]October - 19'!CJ37</f>
        <v>28</v>
      </c>
      <c r="CK37" s="89">
        <f>'[1]October - 19'!CK37</f>
        <v>168398</v>
      </c>
      <c r="CL37" s="249">
        <f>'[1]October - 19'!CL37</f>
        <v>83</v>
      </c>
      <c r="CM37" s="89">
        <f>'[1]October - 19'!CM37</f>
        <v>79</v>
      </c>
      <c r="CN37" s="89">
        <f>'[1]October - 19'!CN37</f>
        <v>119593</v>
      </c>
      <c r="CO37" s="249">
        <f>'[1]October - 19'!CO37</f>
        <v>83</v>
      </c>
      <c r="CP37" s="89">
        <f>'[1]October - 19'!CP37</f>
        <v>71</v>
      </c>
      <c r="CQ37" s="89">
        <f>'[1]October - 19'!CQ37</f>
        <v>216656</v>
      </c>
      <c r="CR37" s="249">
        <f>'[1]October - 19'!CR37</f>
        <v>146</v>
      </c>
      <c r="CS37" s="89">
        <f>'[1]October - 19'!CS37</f>
        <v>21</v>
      </c>
      <c r="CT37" s="89">
        <f>'[1]October - 19'!CT37</f>
        <v>465094</v>
      </c>
      <c r="CU37" s="193">
        <f>'[1]October - 19'!CU37</f>
        <v>187</v>
      </c>
      <c r="CV37" s="516"/>
      <c r="CW37" s="208">
        <f>'[1]October - 19'!CW37</f>
        <v>3047</v>
      </c>
      <c r="CX37" s="200">
        <f>'[1]October - 19'!CX37</f>
        <v>0</v>
      </c>
      <c r="CY37" s="91">
        <f>'[1]October - 19'!CY37</f>
        <v>938</v>
      </c>
      <c r="CZ37" s="200">
        <f>'[1]October - 19'!CZ37</f>
        <v>0</v>
      </c>
      <c r="DA37" s="91">
        <f>'[1]October - 19'!DA37</f>
        <v>17441</v>
      </c>
      <c r="DB37" s="200">
        <f>'[1]October - 19'!DB37</f>
        <v>13</v>
      </c>
      <c r="DC37" s="91">
        <f>'[1]October - 19'!DC37</f>
        <v>18203</v>
      </c>
      <c r="DD37" s="200">
        <f>'[1]October - 19'!DD37</f>
        <v>11</v>
      </c>
      <c r="DE37" s="91">
        <f>'[1]October - 19'!DE37</f>
        <v>12656</v>
      </c>
      <c r="DF37" s="200">
        <f>'[1]October - 19'!DF37</f>
        <v>3</v>
      </c>
      <c r="DG37" s="91">
        <f>'[1]October - 19'!DG37</f>
        <v>16732</v>
      </c>
      <c r="DH37" s="200">
        <f>'[1]October - 19'!DH37</f>
        <v>8</v>
      </c>
      <c r="DI37" s="91">
        <f>'[1]October - 19'!DI37</f>
        <v>825</v>
      </c>
      <c r="DJ37" s="200">
        <f>'[1]October - 19'!DJ37</f>
        <v>0</v>
      </c>
      <c r="DK37" s="91">
        <f>'[1]October - 19'!DK37</f>
        <v>3570</v>
      </c>
      <c r="DL37" s="200">
        <f>'[1]October - 19'!DL37</f>
        <v>0</v>
      </c>
      <c r="DM37" s="91">
        <f>'[1]October - 19'!DM37</f>
        <v>624</v>
      </c>
      <c r="DN37" s="200">
        <f>'[1]October - 19'!DN37</f>
        <v>8</v>
      </c>
      <c r="DO37" s="91">
        <f>'[1]October - 19'!DO37</f>
        <v>752</v>
      </c>
      <c r="DP37" s="200">
        <f>'[1]October - 19'!DP37</f>
        <v>1</v>
      </c>
      <c r="DQ37" s="91">
        <f>'[1]October - 19'!DQ37</f>
        <v>16135</v>
      </c>
      <c r="DR37" s="209">
        <f>'[1]October - 19'!DR37</f>
        <v>27</v>
      </c>
      <c r="DS37" s="532"/>
      <c r="DT37" s="213">
        <f>'[1]October - 19'!DT37</f>
        <v>2630984</v>
      </c>
      <c r="DU37" s="224">
        <f>'[1]October - 19'!DU37</f>
        <v>1526</v>
      </c>
      <c r="DV37" s="93">
        <f>'[1]October - 19'!DV37</f>
        <v>4177</v>
      </c>
      <c r="DW37" s="218">
        <f>'[1]October - 19'!DW37</f>
        <v>7</v>
      </c>
      <c r="DX37" s="93">
        <f>'[1]October - 19'!DX37</f>
        <v>1726100</v>
      </c>
      <c r="DY37" s="218">
        <f>'[1]October - 19'!DY37</f>
        <v>1234</v>
      </c>
      <c r="DZ37" s="93">
        <f>'[1]October - 19'!DZ37</f>
        <v>247447</v>
      </c>
      <c r="EA37" s="218">
        <f>'[1]October - 19'!EA37</f>
        <v>124</v>
      </c>
      <c r="EB37" s="93">
        <f>'[1]October - 19'!ED37</f>
        <v>360109</v>
      </c>
      <c r="EC37" s="218">
        <f>'[1]October - 19'!EE37</f>
        <v>576</v>
      </c>
      <c r="ED37" s="93">
        <f>'[1]October - 19'!EF37</f>
        <v>75500</v>
      </c>
      <c r="EE37" s="232">
        <f>'[1]October - 19'!EG37</f>
        <v>137</v>
      </c>
      <c r="EF37" s="579"/>
      <c r="EG37" s="238">
        <f>'[1]October - 19'!EI37</f>
        <v>6530900</v>
      </c>
      <c r="EH37" s="233">
        <f>'[1]October - 19'!EJ37</f>
        <v>3100</v>
      </c>
      <c r="EI37" s="92">
        <f>'[1]October - 19'!EK37</f>
        <v>574330</v>
      </c>
      <c r="EJ37" s="233">
        <f>'[1]October - 19'!EL37</f>
        <v>270</v>
      </c>
      <c r="EK37" s="92">
        <f>'[1]October - 19'!EM37</f>
        <v>4478400</v>
      </c>
      <c r="EL37" s="233">
        <f>'[1]October - 19'!EN37</f>
        <v>1600</v>
      </c>
      <c r="EM37" s="92">
        <f>'[1]October - 19'!EO37</f>
        <v>1970200</v>
      </c>
      <c r="EN37" s="233">
        <f>'[1]October - 19'!EP37</f>
        <v>400</v>
      </c>
      <c r="EO37" s="92">
        <f>'[1]October - 19'!EQ37</f>
        <v>666220</v>
      </c>
      <c r="EP37" s="233">
        <f>'[1]October - 19'!ER37</f>
        <v>120</v>
      </c>
      <c r="EQ37" s="92">
        <f>'[1]October - 19'!ES37</f>
        <v>10566370</v>
      </c>
      <c r="ER37" s="233">
        <f>'[1]October - 19'!ET37</f>
        <v>2070</v>
      </c>
      <c r="ES37" s="554"/>
      <c r="ET37" s="287">
        <f>'[1]October - 19'!EV37</f>
        <v>26382</v>
      </c>
      <c r="EU37" s="286">
        <f>'[1]October - 19'!$EW$11</f>
        <v>18</v>
      </c>
      <c r="EV37" s="285">
        <f>'[1]October - 19'!EX37</f>
        <v>23111</v>
      </c>
      <c r="EW37" s="286">
        <f>'[1]October - 19'!EY37</f>
        <v>14</v>
      </c>
      <c r="EX37" s="285">
        <f>'[1]October - 19'!FB37</f>
        <v>42703</v>
      </c>
      <c r="EY37" s="286">
        <f>'[1]October - 19'!FA37</f>
        <v>0</v>
      </c>
      <c r="EZ37" s="285">
        <f>'[1]October - 19'!EZ37</f>
        <v>0</v>
      </c>
      <c r="FA37" s="286">
        <f>'[1]October - 19'!FA37</f>
        <v>0</v>
      </c>
      <c r="FB37" s="285">
        <f>'[1]October - 19'!FD37</f>
        <v>18497</v>
      </c>
      <c r="FC37" s="288">
        <f>'[1]October - 19'!FE37</f>
        <v>32</v>
      </c>
    </row>
    <row r="38" spans="1:160" ht="30" customHeight="1" x14ac:dyDescent="0.25">
      <c r="A38" s="210">
        <v>43767</v>
      </c>
      <c r="B38" s="212">
        <f>'[1]October - 19'!B38</f>
        <v>0</v>
      </c>
      <c r="C38" s="253">
        <f>'[1]October - 19'!E38</f>
        <v>479904</v>
      </c>
      <c r="D38" s="172">
        <f>'[1]October - 19'!F38</f>
        <v>540</v>
      </c>
      <c r="E38" s="170">
        <f>'[1]October - 19'!G38</f>
        <v>589</v>
      </c>
      <c r="F38" s="170">
        <f>'[1]October - 19'!H38</f>
        <v>660043</v>
      </c>
      <c r="G38" s="172">
        <f>'[1]October - 19'!I38</f>
        <v>384</v>
      </c>
      <c r="H38" s="170">
        <f>'[1]October - 19'!J38</f>
        <v>420</v>
      </c>
      <c r="I38" s="170">
        <f>'[1]October - 19'!K38</f>
        <v>6550</v>
      </c>
      <c r="J38" s="172">
        <f>'[1]October - 19'!L38</f>
        <v>454</v>
      </c>
      <c r="K38" s="170">
        <f>'[1]October - 19'!N38</f>
        <v>597311</v>
      </c>
      <c r="L38" s="172">
        <f>'[1]October - 19'!O38</f>
        <v>432</v>
      </c>
      <c r="M38" s="170">
        <f>'[1]October - 19'!Q38</f>
        <v>156722</v>
      </c>
      <c r="N38" s="172">
        <f>'[1]October - 19'!R38</f>
        <v>0</v>
      </c>
      <c r="O38" s="170">
        <f>'[1]October - 19'!S38</f>
        <v>86910</v>
      </c>
      <c r="P38" s="172">
        <f>'[1]October - 19'!T38</f>
        <v>183</v>
      </c>
      <c r="Q38" s="170">
        <f>'[1]October - 19'!U38</f>
        <v>160</v>
      </c>
      <c r="R38" s="170">
        <f>'[1]October - 19'!V38</f>
        <v>5457</v>
      </c>
      <c r="S38" s="211">
        <f>'[1]October - 19'!W38</f>
        <v>49</v>
      </c>
      <c r="T38" s="475"/>
      <c r="U38" s="171">
        <f>'[1]October - 19'!AB38</f>
        <v>5290943.2799999993</v>
      </c>
      <c r="V38" s="254">
        <f>'[1]October - 19'!AC38</f>
        <v>2874.4799999995157</v>
      </c>
      <c r="W38" s="94">
        <f>'[1]October - 19'!AD38</f>
        <v>3069.3600000012666</v>
      </c>
      <c r="X38" s="94">
        <f>'[1]October - 19'!AE38</f>
        <v>10324791.119999999</v>
      </c>
      <c r="Y38" s="254">
        <f>'[1]October - 19'!AF38</f>
        <v>4872</v>
      </c>
      <c r="Z38" s="94">
        <f>'[1]October - 19'!AG38</f>
        <v>5407.9199999999255</v>
      </c>
      <c r="AA38" s="94">
        <f>'[1]October - 19'!AH38</f>
        <v>9514090.3199999984</v>
      </c>
      <c r="AB38" s="254">
        <f>'[1]October - 19'!AI38</f>
        <v>974.39999999850988</v>
      </c>
      <c r="AC38" s="94">
        <f>'[1]October - 19'!AJ38</f>
        <v>6820.8000000007451</v>
      </c>
      <c r="AD38" s="94">
        <f>'[1]October - 19'!AK38</f>
        <v>12931018.799999999</v>
      </c>
      <c r="AE38" s="254">
        <f>'[1]October - 19'!AL38</f>
        <v>4336.0800000000745</v>
      </c>
      <c r="AF38" s="94">
        <f>'[1]October - 19'!AM38</f>
        <v>8964.480000000447</v>
      </c>
      <c r="AG38" s="94">
        <f>'[1]October - 19'!AN38</f>
        <v>12851702.640000001</v>
      </c>
      <c r="AH38" s="254">
        <f>'[1]October - 19'!AO38</f>
        <v>10328.640000000596</v>
      </c>
      <c r="AI38" s="94">
        <f>'[1]October - 19'!AP38</f>
        <v>0</v>
      </c>
      <c r="AJ38" s="94">
        <f>'[1]October - 19'!AQ38</f>
        <v>11533680.48</v>
      </c>
      <c r="AK38" s="254">
        <f>'[1]October - 19'!AR38</f>
        <v>6284.8800000008196</v>
      </c>
      <c r="AL38" s="94">
        <f>'[1]October - 19'!AS38</f>
        <v>5748.9600000008941</v>
      </c>
      <c r="AM38" s="94">
        <f>'[1]October - 19'!AT38</f>
        <v>10109058.959999999</v>
      </c>
      <c r="AN38" s="254">
        <f>'[1]October - 19'!AU38</f>
        <v>4530.9599999990314</v>
      </c>
      <c r="AO38" s="94">
        <f>'[1]October - 19'!AV38</f>
        <v>4482.2399999983609</v>
      </c>
      <c r="AP38" s="94">
        <f>'[1]October - 19'!AW38</f>
        <v>9728750.6400000006</v>
      </c>
      <c r="AQ38" s="254">
        <f>'[1]October - 19'!AX38</f>
        <v>4774.5600000005215</v>
      </c>
      <c r="AR38" s="94">
        <f>'[1]October - 19'!AY38</f>
        <v>5213.0399999991059</v>
      </c>
      <c r="AS38" s="94">
        <f>'[1]October - 19'!AZ38</f>
        <v>7813470</v>
      </c>
      <c r="AT38" s="254">
        <f>'[1]October - 19'!BA38</f>
        <v>3361.679999999702</v>
      </c>
      <c r="AU38" s="94">
        <f>'[1]October - 19'!BB38</f>
        <v>3702.7199999997392</v>
      </c>
      <c r="AV38" s="94">
        <f>'[1]October - 19'!BC38</f>
        <v>11525349.359999999</v>
      </c>
      <c r="AW38" s="255">
        <f>'[1]October - 19'!BD38</f>
        <v>5164.3199999984354</v>
      </c>
      <c r="AX38" s="256">
        <f>'[1]October - 19'!BE38</f>
        <v>5992.5599999986589</v>
      </c>
      <c r="AY38" s="492"/>
      <c r="AZ38" s="95">
        <f>'[1]October - 19'!BJ38</f>
        <v>48140700</v>
      </c>
      <c r="BA38" s="181">
        <f>'[1]October - 19'!BK38</f>
        <v>0</v>
      </c>
      <c r="BB38" s="95">
        <f>'[1]October - 19'!BL38</f>
        <v>33100</v>
      </c>
      <c r="BC38" s="95">
        <f>'[1]October - 19'!BM38</f>
        <v>52930300</v>
      </c>
      <c r="BD38" s="248">
        <f>'[1]October - 19'!BN38</f>
        <v>22500</v>
      </c>
      <c r="BE38" s="95">
        <f>'[1]October - 19'!BO38</f>
        <v>55700</v>
      </c>
      <c r="BF38" s="95">
        <f>'[1]October - 19'!BP38</f>
        <v>46226300</v>
      </c>
      <c r="BG38" s="248">
        <f>'[1]October - 19'!BQ38</f>
        <v>52600</v>
      </c>
      <c r="BH38" s="95">
        <f>'[1]October - 19'!BR38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'[1]October - 19'!BS38</f>
        <v>3663370</v>
      </c>
      <c r="BT38" s="187">
        <f>'[1]October - 19'!BT38</f>
        <v>6220</v>
      </c>
      <c r="BU38" s="588"/>
      <c r="BV38" s="88">
        <f>'[1]October - 19'!BV38</f>
        <v>0.6</v>
      </c>
      <c r="BW38" s="244">
        <f>'[1]October - 19'!BW38</f>
        <v>-7.0000000000000062E-2</v>
      </c>
      <c r="BX38" s="88">
        <f>'[1]October - 19'!BX38</f>
        <v>-5.0000000000000044E-2</v>
      </c>
      <c r="BY38" s="89">
        <f>'[1]October - 19'!BY38</f>
        <v>43169</v>
      </c>
      <c r="BZ38" s="193">
        <f>'[1]October - 19'!BZ38</f>
        <v>28</v>
      </c>
      <c r="CA38" s="89">
        <f>'[1]October - 19'!CA38</f>
        <v>38287</v>
      </c>
      <c r="CB38" s="193">
        <f>'[1]October - 19'!CB38</f>
        <v>19</v>
      </c>
      <c r="CC38" s="89">
        <f>'[1]October - 19'!CC38</f>
        <v>12672</v>
      </c>
      <c r="CD38" s="193">
        <f>'[1]October - 19'!CD38</f>
        <v>9</v>
      </c>
      <c r="CE38" s="89">
        <f>'[1]October - 19'!CE38</f>
        <v>15831</v>
      </c>
      <c r="CF38" s="193">
        <f>'[1]October - 19'!CF38</f>
        <v>11</v>
      </c>
      <c r="CG38" s="89">
        <f>'[1]October - 19'!CG38</f>
        <v>18148</v>
      </c>
      <c r="CH38" s="193">
        <f>'[1]October - 19'!CH38</f>
        <v>14</v>
      </c>
      <c r="CI38" s="89">
        <f>'[1]October - 19'!CI38</f>
        <v>38544</v>
      </c>
      <c r="CJ38" s="193">
        <f>'[1]October - 19'!CJ38</f>
        <v>34</v>
      </c>
      <c r="CK38" s="89">
        <f>'[1]October - 19'!CK38</f>
        <v>168490</v>
      </c>
      <c r="CL38" s="249">
        <f>'[1]October - 19'!CL38</f>
        <v>92</v>
      </c>
      <c r="CM38" s="89">
        <f>'[1]October - 19'!CM38</f>
        <v>80</v>
      </c>
      <c r="CN38" s="89">
        <f>'[1]October - 19'!CN38</f>
        <v>119668</v>
      </c>
      <c r="CO38" s="249">
        <f>'[1]October - 19'!CO38</f>
        <v>75</v>
      </c>
      <c r="CP38" s="89">
        <f>'[1]October - 19'!CP38</f>
        <v>75</v>
      </c>
      <c r="CQ38" s="89">
        <f>'[1]October - 19'!CQ38</f>
        <v>216792</v>
      </c>
      <c r="CR38" s="249">
        <f>'[1]October - 19'!CR38</f>
        <v>136</v>
      </c>
      <c r="CS38" s="89">
        <f>'[1]October - 19'!CS38</f>
        <v>20</v>
      </c>
      <c r="CT38" s="89">
        <f>'[1]October - 19'!CT38</f>
        <v>465298</v>
      </c>
      <c r="CU38" s="193">
        <f>'[1]October - 19'!CU38</f>
        <v>204</v>
      </c>
      <c r="CV38" s="516"/>
      <c r="CW38" s="208">
        <f>'[1]October - 19'!CW38</f>
        <v>3047</v>
      </c>
      <c r="CX38" s="200">
        <f>'[1]October - 19'!CX38</f>
        <v>0</v>
      </c>
      <c r="CY38" s="91">
        <f>'[1]October - 19'!CY38</f>
        <v>938</v>
      </c>
      <c r="CZ38" s="200">
        <f>'[1]October - 19'!CZ38</f>
        <v>0</v>
      </c>
      <c r="DA38" s="91">
        <f>'[1]October - 19'!DA38</f>
        <v>17455</v>
      </c>
      <c r="DB38" s="200">
        <f>'[1]October - 19'!DB38</f>
        <v>14</v>
      </c>
      <c r="DC38" s="91">
        <f>'[1]October - 19'!DC38</f>
        <v>18217</v>
      </c>
      <c r="DD38" s="200">
        <f>'[1]October - 19'!DD38</f>
        <v>14</v>
      </c>
      <c r="DE38" s="91">
        <f>'[1]October - 19'!DE38</f>
        <v>12668</v>
      </c>
      <c r="DF38" s="200">
        <f>'[1]October - 19'!DF38</f>
        <v>12</v>
      </c>
      <c r="DG38" s="91">
        <f>'[1]October - 19'!DG38</f>
        <v>16739</v>
      </c>
      <c r="DH38" s="200">
        <f>'[1]October - 19'!DH38</f>
        <v>7</v>
      </c>
      <c r="DI38" s="91">
        <f>'[1]October - 19'!DI38</f>
        <v>825</v>
      </c>
      <c r="DJ38" s="200">
        <f>'[1]October - 19'!DJ38</f>
        <v>0</v>
      </c>
      <c r="DK38" s="91">
        <f>'[1]October - 19'!DK38</f>
        <v>3570</v>
      </c>
      <c r="DL38" s="200">
        <f>'[1]October - 19'!DL38</f>
        <v>0</v>
      </c>
      <c r="DM38" s="91">
        <f>'[1]October - 19'!DM38</f>
        <v>632</v>
      </c>
      <c r="DN38" s="200">
        <f>'[1]October - 19'!DN38</f>
        <v>8</v>
      </c>
      <c r="DO38" s="91">
        <f>'[1]October - 19'!DO38</f>
        <v>753</v>
      </c>
      <c r="DP38" s="200">
        <f>'[1]October - 19'!DP38</f>
        <v>1</v>
      </c>
      <c r="DQ38" s="91">
        <f>'[1]October - 19'!DQ38</f>
        <v>16162</v>
      </c>
      <c r="DR38" s="209">
        <f>'[1]October - 19'!DR38</f>
        <v>27</v>
      </c>
      <c r="DS38" s="532"/>
      <c r="DT38" s="213">
        <f>'[1]October - 19'!DT38</f>
        <v>2632518</v>
      </c>
      <c r="DU38" s="224">
        <f>'[1]October - 19'!DU38</f>
        <v>1534</v>
      </c>
      <c r="DV38" s="93">
        <f>'[1]October - 19'!DV38</f>
        <v>4181</v>
      </c>
      <c r="DW38" s="218">
        <f>'[1]October - 19'!DW38</f>
        <v>4</v>
      </c>
      <c r="DX38" s="93">
        <f>'[1]October - 19'!DX38</f>
        <v>1727316</v>
      </c>
      <c r="DY38" s="218">
        <f>'[1]October - 19'!DY38</f>
        <v>1216</v>
      </c>
      <c r="DZ38" s="93">
        <f>'[1]October - 19'!DZ38</f>
        <v>247586</v>
      </c>
      <c r="EA38" s="218">
        <f>'[1]October - 19'!EA38</f>
        <v>139</v>
      </c>
      <c r="EB38" s="93">
        <f>'[1]October - 19'!ED38</f>
        <v>360709</v>
      </c>
      <c r="EC38" s="218">
        <f>'[1]October - 19'!EE38</f>
        <v>600</v>
      </c>
      <c r="ED38" s="93">
        <f>'[1]October - 19'!EF38</f>
        <v>75641</v>
      </c>
      <c r="EE38" s="232">
        <f>'[1]October - 19'!EG38</f>
        <v>141</v>
      </c>
      <c r="EF38" s="579"/>
      <c r="EG38" s="238">
        <f>'[1]October - 19'!EI38</f>
        <v>6536200</v>
      </c>
      <c r="EH38" s="233">
        <f>'[1]October - 19'!EJ38</f>
        <v>5300</v>
      </c>
      <c r="EI38" s="92">
        <f>'[1]October - 19'!EK38</f>
        <v>574710</v>
      </c>
      <c r="EJ38" s="233">
        <f>'[1]October - 19'!EL38</f>
        <v>380</v>
      </c>
      <c r="EK38" s="92">
        <f>'[1]October - 19'!EM38</f>
        <v>4481200</v>
      </c>
      <c r="EL38" s="233">
        <f>'[1]October - 19'!EN38</f>
        <v>2800</v>
      </c>
      <c r="EM38" s="92">
        <f>'[1]October - 19'!EO38</f>
        <v>1970700</v>
      </c>
      <c r="EN38" s="233">
        <f>'[1]October - 19'!EP38</f>
        <v>500</v>
      </c>
      <c r="EO38" s="92">
        <f>'[1]October - 19'!EQ38</f>
        <v>666390</v>
      </c>
      <c r="EP38" s="233">
        <f>'[1]October - 19'!ER38</f>
        <v>170</v>
      </c>
      <c r="EQ38" s="92">
        <f>'[1]October - 19'!ES38</f>
        <v>10571100</v>
      </c>
      <c r="ER38" s="233">
        <f>'[1]October - 19'!ET38</f>
        <v>4730</v>
      </c>
      <c r="ES38" s="554"/>
      <c r="ET38" s="287">
        <f>'[1]October - 19'!EV38</f>
        <v>26400</v>
      </c>
      <c r="EU38" s="286">
        <f>'[1]October - 19'!$EW$11</f>
        <v>18</v>
      </c>
      <c r="EV38" s="285">
        <f>'[1]October - 19'!EX38</f>
        <v>23132</v>
      </c>
      <c r="EW38" s="286">
        <f>'[1]October - 19'!EY38</f>
        <v>21</v>
      </c>
      <c r="EX38" s="285">
        <f>'[1]October - 19'!FB38</f>
        <v>42703</v>
      </c>
      <c r="EY38" s="286">
        <f>'[1]October - 19'!FA38</f>
        <v>0</v>
      </c>
      <c r="EZ38" s="285">
        <f>'[1]October - 19'!EZ38</f>
        <v>0</v>
      </c>
      <c r="FA38" s="286">
        <f>'[1]October - 19'!FA38</f>
        <v>0</v>
      </c>
      <c r="FB38" s="285">
        <f>'[1]October - 19'!FD38</f>
        <v>18526</v>
      </c>
      <c r="FC38" s="288">
        <f>'[1]October - 19'!FE38</f>
        <v>29</v>
      </c>
    </row>
    <row r="39" spans="1:160" ht="30" customHeight="1" x14ac:dyDescent="0.25">
      <c r="A39" s="210">
        <v>43768</v>
      </c>
      <c r="B39" s="212">
        <f>'[1]October - 19'!B39</f>
        <v>0</v>
      </c>
      <c r="C39" s="253">
        <f>'[1]October - 19'!E39</f>
        <v>480499</v>
      </c>
      <c r="D39" s="172">
        <f>'[1]October - 19'!F39</f>
        <v>595</v>
      </c>
      <c r="E39" s="170">
        <f>'[1]October - 19'!G39</f>
        <v>525</v>
      </c>
      <c r="F39" s="170">
        <f>'[1]October - 19'!H39</f>
        <v>660423</v>
      </c>
      <c r="G39" s="172">
        <f>'[1]October - 19'!I39</f>
        <v>380</v>
      </c>
      <c r="H39" s="170">
        <f>'[1]October - 19'!J39</f>
        <v>476</v>
      </c>
      <c r="I39" s="170">
        <f>'[1]October - 19'!K39</f>
        <v>7006</v>
      </c>
      <c r="J39" s="172">
        <f>'[1]October - 19'!L39</f>
        <v>456</v>
      </c>
      <c r="K39" s="170">
        <f>'[1]October - 19'!N39</f>
        <v>597714</v>
      </c>
      <c r="L39" s="172">
        <f>'[1]October - 19'!O39</f>
        <v>403</v>
      </c>
      <c r="M39" s="170">
        <f>'[1]October - 19'!Q39</f>
        <v>156722</v>
      </c>
      <c r="N39" s="172">
        <f>'[1]October - 19'!R39</f>
        <v>0</v>
      </c>
      <c r="O39" s="170">
        <f>'[1]October - 19'!S39</f>
        <v>87098</v>
      </c>
      <c r="P39" s="172">
        <f>'[1]October - 19'!T39</f>
        <v>188</v>
      </c>
      <c r="Q39" s="170">
        <f>'[1]October - 19'!U39</f>
        <v>177</v>
      </c>
      <c r="R39" s="170">
        <f>'[1]October - 19'!V39</f>
        <v>5501</v>
      </c>
      <c r="S39" s="211">
        <f>'[1]October - 19'!W39</f>
        <v>44</v>
      </c>
      <c r="T39" s="475"/>
      <c r="U39" s="171">
        <f>'[1]October - 19'!AB39</f>
        <v>5293963.92</v>
      </c>
      <c r="V39" s="254">
        <f>'[1]October - 19'!AC39</f>
        <v>3020.640000000596</v>
      </c>
      <c r="W39" s="94">
        <f>'[1]October - 19'!AD39</f>
        <v>2289.8399999989197</v>
      </c>
      <c r="X39" s="94">
        <f>'[1]October - 19'!AE39</f>
        <v>10329614.4</v>
      </c>
      <c r="Y39" s="254">
        <f>'[1]October - 19'!AF39</f>
        <v>4823.2800000011921</v>
      </c>
      <c r="Z39" s="94">
        <f>'[1]October - 19'!AG39</f>
        <v>5407.9199999999255</v>
      </c>
      <c r="AA39" s="94">
        <f>'[1]October - 19'!AH39</f>
        <v>9515113.4399999995</v>
      </c>
      <c r="AB39" s="254">
        <f>'[1]October - 19'!AI39</f>
        <v>1023.1200000010431</v>
      </c>
      <c r="AC39" s="94">
        <f>'[1]October - 19'!AJ39</f>
        <v>2533.4400000004098</v>
      </c>
      <c r="AD39" s="94">
        <f>'[1]October - 19'!AK39</f>
        <v>12936036.959999999</v>
      </c>
      <c r="AE39" s="254">
        <f>'[1]October - 19'!AL39</f>
        <v>5018.160000000149</v>
      </c>
      <c r="AF39" s="94">
        <f>'[1]October - 19'!AM39</f>
        <v>9549.1199999991804</v>
      </c>
      <c r="AG39" s="94">
        <f>'[1]October - 19'!AN39</f>
        <v>12862810.799999999</v>
      </c>
      <c r="AH39" s="254">
        <f>'[1]October - 19'!AO39</f>
        <v>11108.159999998286</v>
      </c>
      <c r="AI39" s="94">
        <f>'[1]October - 19'!AP39</f>
        <v>9013.1999999992549</v>
      </c>
      <c r="AJ39" s="94">
        <f>'[1]October - 19'!AQ39</f>
        <v>11540208.959999999</v>
      </c>
      <c r="AK39" s="254">
        <f>'[1]October - 19'!AR39</f>
        <v>6528.4799999985844</v>
      </c>
      <c r="AL39" s="94">
        <f>'[1]October - 19'!AS39</f>
        <v>5748.9599999990314</v>
      </c>
      <c r="AM39" s="94">
        <f>'[1]October - 19'!AT39</f>
        <v>10114223.280000001</v>
      </c>
      <c r="AN39" s="254">
        <f>'[1]October - 19'!AU39</f>
        <v>5164.3200000021607</v>
      </c>
      <c r="AO39" s="94">
        <f>'[1]October - 19'!AV39</f>
        <v>4725.839999999851</v>
      </c>
      <c r="AP39" s="94">
        <f>'[1]October - 19'!AW39</f>
        <v>9733720.0800000001</v>
      </c>
      <c r="AQ39" s="254">
        <f>'[1]October - 19'!AX39</f>
        <v>4969.4399999994785</v>
      </c>
      <c r="AR39" s="94">
        <f>'[1]October - 19'!AY39</f>
        <v>5164.320000000298</v>
      </c>
      <c r="AS39" s="94">
        <f>'[1]October - 19'!AZ39</f>
        <v>7816734.2400000002</v>
      </c>
      <c r="AT39" s="254">
        <f>'[1]October - 19'!BA39</f>
        <v>3264.2400000002235</v>
      </c>
      <c r="AU39" s="94">
        <f>'[1]October - 19'!BB39</f>
        <v>3654</v>
      </c>
      <c r="AV39" s="94">
        <f>'[1]October - 19'!BC39</f>
        <v>11530854.719999999</v>
      </c>
      <c r="AW39" s="255">
        <f>'[1]October - 19'!BD39</f>
        <v>5505.359999999404</v>
      </c>
      <c r="AX39" s="256">
        <f>'[1]October - 19'!BE39</f>
        <v>6187.4400000013411</v>
      </c>
      <c r="AY39" s="492"/>
      <c r="AZ39" s="280">
        <f>'[1]October - 19'!BJ39</f>
        <v>48140700</v>
      </c>
      <c r="BA39" s="181">
        <f>'[1]October - 19'!BK39</f>
        <v>0</v>
      </c>
      <c r="BB39" s="95">
        <f>'[1]October - 19'!BL39</f>
        <v>7700</v>
      </c>
      <c r="BC39" s="95">
        <f>'[1]October - 19'!BM39</f>
        <v>52956100</v>
      </c>
      <c r="BD39" s="248">
        <f>'[1]October - 19'!BN39</f>
        <v>25800</v>
      </c>
      <c r="BE39" s="95">
        <f>'[1]October - 19'!BO39</f>
        <v>29300</v>
      </c>
      <c r="BF39" s="95">
        <f>'[1]October - 19'!BP39</f>
        <v>46280900</v>
      </c>
      <c r="BG39" s="248">
        <f>'[1]October - 19'!BQ39</f>
        <v>54600</v>
      </c>
      <c r="BH39" s="95">
        <f>'[1]October - 19'!BR39</f>
        <v>38600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'[1]October - 19'!BS39</f>
        <v>3669950</v>
      </c>
      <c r="BT39" s="281">
        <f>'[1]October - 19'!BT39</f>
        <v>6580</v>
      </c>
      <c r="BU39" s="589"/>
      <c r="BV39" s="278">
        <f>'[1]October - 19'!BV39</f>
        <v>0.56999999999999995</v>
      </c>
      <c r="BW39" s="244">
        <f>'[1]October - 19'!BW39</f>
        <v>-3.0000000000000027E-2</v>
      </c>
      <c r="BX39" s="88">
        <f>'[1]October - 19'!BX39</f>
        <v>-4.9999999999999989E-2</v>
      </c>
      <c r="BY39" s="89">
        <f>'[1]October - 19'!BY39</f>
        <v>43188</v>
      </c>
      <c r="BZ39" s="193">
        <f>'[1]October - 19'!BZ39</f>
        <v>19</v>
      </c>
      <c r="CA39" s="89">
        <f>'[1]October - 19'!CA39</f>
        <v>38302</v>
      </c>
      <c r="CB39" s="193">
        <f>'[1]October - 19'!CB39</f>
        <v>15</v>
      </c>
      <c r="CC39" s="89">
        <f>'[1]October - 19'!CC39</f>
        <v>12679</v>
      </c>
      <c r="CD39" s="193">
        <f>'[1]October - 19'!CD39</f>
        <v>7</v>
      </c>
      <c r="CE39" s="89">
        <f>'[1]October - 19'!CE39</f>
        <v>15841</v>
      </c>
      <c r="CF39" s="193">
        <f>'[1]October - 19'!CF39</f>
        <v>10</v>
      </c>
      <c r="CG39" s="89">
        <f>'[1]October - 19'!CG39</f>
        <v>18163</v>
      </c>
      <c r="CH39" s="193">
        <f>'[1]October - 19'!CH39</f>
        <v>15</v>
      </c>
      <c r="CI39" s="89">
        <f>'[1]October - 19'!CI39</f>
        <v>38572</v>
      </c>
      <c r="CJ39" s="193">
        <f>'[1]October - 19'!CJ39</f>
        <v>28</v>
      </c>
      <c r="CK39" s="89">
        <f>'[1]October - 19'!CK39</f>
        <v>168573</v>
      </c>
      <c r="CL39" s="249">
        <f>'[1]October - 19'!CL39</f>
        <v>83</v>
      </c>
      <c r="CM39" s="89">
        <f>'[1]October - 19'!CM39</f>
        <v>80</v>
      </c>
      <c r="CN39" s="89">
        <f>'[1]October - 19'!CN39</f>
        <v>119747</v>
      </c>
      <c r="CO39" s="249">
        <f>'[1]October - 19'!CO39</f>
        <v>79</v>
      </c>
      <c r="CP39" s="89">
        <f>'[1]October - 19'!CP39</f>
        <v>69</v>
      </c>
      <c r="CQ39" s="89">
        <f>'[1]October - 19'!CQ39</f>
        <v>216906</v>
      </c>
      <c r="CR39" s="249">
        <f>'[1]October - 19'!CR39</f>
        <v>114</v>
      </c>
      <c r="CS39" s="89">
        <f>'[1]October - 19'!CS39</f>
        <v>20</v>
      </c>
      <c r="CT39" s="89">
        <f>'[1]October - 19'!CT39</f>
        <v>465485</v>
      </c>
      <c r="CU39" s="279">
        <f>'[1]October - 19'!CU39</f>
        <v>187</v>
      </c>
      <c r="CV39" s="516"/>
      <c r="CW39" s="208">
        <f>'[1]October - 19'!CW39</f>
        <v>3047</v>
      </c>
      <c r="CX39" s="200">
        <f>'[1]October - 19'!CX39</f>
        <v>0</v>
      </c>
      <c r="CY39" s="91">
        <f>'[1]October - 19'!CY39</f>
        <v>938</v>
      </c>
      <c r="CZ39" s="200">
        <f>'[1]October - 19'!CZ39</f>
        <v>0</v>
      </c>
      <c r="DA39" s="91">
        <f>'[1]October - 19'!DA39</f>
        <v>17472</v>
      </c>
      <c r="DB39" s="200">
        <f>'[1]October - 19'!DB39</f>
        <v>17</v>
      </c>
      <c r="DC39" s="91">
        <f>'[1]October - 19'!DC39</f>
        <v>18235</v>
      </c>
      <c r="DD39" s="200">
        <f>'[1]October - 19'!DD39</f>
        <v>18</v>
      </c>
      <c r="DE39" s="91">
        <f>'[1]October - 19'!DE39</f>
        <v>12679</v>
      </c>
      <c r="DF39" s="200">
        <f>'[1]October - 19'!DF39</f>
        <v>11</v>
      </c>
      <c r="DG39" s="91">
        <f>'[1]October - 19'!DG39</f>
        <v>16746</v>
      </c>
      <c r="DH39" s="200">
        <f>'[1]October - 19'!DH39</f>
        <v>7</v>
      </c>
      <c r="DI39" s="91">
        <f>'[1]October - 19'!DI39</f>
        <v>825</v>
      </c>
      <c r="DJ39" s="200">
        <f>'[1]October - 19'!DJ39</f>
        <v>0</v>
      </c>
      <c r="DK39" s="91">
        <f>'[1]October - 19'!DK39</f>
        <v>3570</v>
      </c>
      <c r="DL39" s="200">
        <f>'[1]October - 19'!DL39</f>
        <v>0</v>
      </c>
      <c r="DM39" s="91">
        <f>'[1]October - 19'!DM39</f>
        <v>639</v>
      </c>
      <c r="DN39" s="200">
        <f>'[1]October - 19'!DN39</f>
        <v>7</v>
      </c>
      <c r="DO39" s="91">
        <f>'[1]October - 19'!DO39</f>
        <v>756</v>
      </c>
      <c r="DP39" s="200">
        <f>'[1]October - 19'!DP39</f>
        <v>3</v>
      </c>
      <c r="DQ39" s="91">
        <f>'[1]October - 19'!DQ39</f>
        <v>16189</v>
      </c>
      <c r="DR39" s="209">
        <f>'[1]October - 19'!DR39</f>
        <v>27</v>
      </c>
      <c r="DS39" s="532"/>
      <c r="DT39" s="213">
        <f>'[1]October - 19'!DT39</f>
        <v>2634075</v>
      </c>
      <c r="DU39" s="224">
        <f>'[1]October - 19'!DU39</f>
        <v>1557</v>
      </c>
      <c r="DV39" s="93">
        <f>'[1]October - 19'!DV39</f>
        <v>4186</v>
      </c>
      <c r="DW39" s="218">
        <f>'[1]October - 19'!DW39</f>
        <v>5</v>
      </c>
      <c r="DX39" s="93">
        <f>'[1]October - 19'!DX39</f>
        <v>1728558</v>
      </c>
      <c r="DY39" s="218">
        <f>'[1]October - 19'!DY39</f>
        <v>1242</v>
      </c>
      <c r="DZ39" s="93">
        <f>'[1]October - 19'!DZ39</f>
        <v>247730</v>
      </c>
      <c r="EA39" s="218">
        <f>'[1]October - 19'!EA39</f>
        <v>144</v>
      </c>
      <c r="EB39" s="93">
        <f>'[1]October - 19'!ED39</f>
        <v>361277</v>
      </c>
      <c r="EC39" s="218">
        <f>'[1]October - 19'!EE39</f>
        <v>568</v>
      </c>
      <c r="ED39" s="93">
        <f>'[1]October - 19'!EF39</f>
        <v>75781</v>
      </c>
      <c r="EE39" s="232">
        <f>'[1]October - 19'!EG39</f>
        <v>140</v>
      </c>
      <c r="EF39" s="579"/>
      <c r="EG39" s="238">
        <f>'[1]October - 19'!EI39</f>
        <v>6541800</v>
      </c>
      <c r="EH39" s="233">
        <f>'[1]October - 19'!EJ39</f>
        <v>5600</v>
      </c>
      <c r="EI39" s="92">
        <f>'[1]October - 19'!EK39</f>
        <v>575060</v>
      </c>
      <c r="EJ39" s="233">
        <f>'[1]October - 19'!EL39</f>
        <v>350</v>
      </c>
      <c r="EK39" s="92">
        <f>'[1]October - 19'!EM39</f>
        <v>4484100</v>
      </c>
      <c r="EL39" s="233">
        <f>'[1]October - 19'!EN39</f>
        <v>2900</v>
      </c>
      <c r="EM39" s="92">
        <f>'[1]October - 19'!EO39</f>
        <v>1971300</v>
      </c>
      <c r="EN39" s="233">
        <f>'[1]October - 19'!EP39</f>
        <v>600</v>
      </c>
      <c r="EO39" s="92">
        <f>'[1]October - 19'!EQ39</f>
        <v>666570</v>
      </c>
      <c r="EP39" s="233">
        <f>'[1]October - 19'!ER39</f>
        <v>180</v>
      </c>
      <c r="EQ39" s="92">
        <f>'[1]October - 19'!ES39</f>
        <v>10576300</v>
      </c>
      <c r="ER39" s="233">
        <f>'[1]October - 19'!ET39</f>
        <v>5200</v>
      </c>
      <c r="ES39" s="554"/>
      <c r="ET39" s="287">
        <f>'[1]October - 19'!EV39</f>
        <v>26420</v>
      </c>
      <c r="EU39" s="286">
        <f>'[1]October - 19'!$EW$11</f>
        <v>18</v>
      </c>
      <c r="EV39" s="285">
        <f>'[1]October - 19'!EX39</f>
        <v>23149</v>
      </c>
      <c r="EW39" s="286">
        <f>'[1]October - 19'!EY39</f>
        <v>17</v>
      </c>
      <c r="EX39" s="285">
        <f>'[1]October - 19'!FB39</f>
        <v>42703</v>
      </c>
      <c r="EY39" s="286">
        <f>'[1]October - 19'!FA39</f>
        <v>0</v>
      </c>
      <c r="EZ39" s="285">
        <f>'[1]October - 19'!EZ39</f>
        <v>0</v>
      </c>
      <c r="FA39" s="286">
        <f>'[1]October - 19'!FA39</f>
        <v>0</v>
      </c>
      <c r="FB39" s="285">
        <f>'[1]October - 19'!FD39</f>
        <v>18554</v>
      </c>
      <c r="FC39" s="288">
        <f>'[1]October - 19'!FE39</f>
        <v>28</v>
      </c>
    </row>
    <row r="40" spans="1:160" ht="30" customHeight="1" thickBot="1" x14ac:dyDescent="0.45">
      <c r="A40" s="210">
        <v>43769</v>
      </c>
      <c r="B40" s="212">
        <f>'[1]October - 19'!B40</f>
        <v>0</v>
      </c>
      <c r="C40" s="253">
        <f>'[1]October - 19'!E40</f>
        <v>481042</v>
      </c>
      <c r="D40" s="172">
        <f>'[1]October - 19'!F40</f>
        <v>543</v>
      </c>
      <c r="E40" s="170">
        <f>'[1]October - 19'!G40</f>
        <v>561</v>
      </c>
      <c r="F40" s="170">
        <f>'[1]October - 19'!H40</f>
        <v>660799</v>
      </c>
      <c r="G40" s="172">
        <f>'[1]October - 19'!I40</f>
        <v>376</v>
      </c>
      <c r="H40" s="170">
        <f>'[1]October - 19'!J40</f>
        <v>301</v>
      </c>
      <c r="I40" s="170">
        <f>'[1]October - 19'!K40</f>
        <v>7478</v>
      </c>
      <c r="J40" s="172">
        <f>'[1]October - 19'!L40</f>
        <v>472</v>
      </c>
      <c r="K40" s="170">
        <f>'[1]October - 19'!N40</f>
        <v>598099</v>
      </c>
      <c r="L40" s="172">
        <f>'[1]October - 19'!O40</f>
        <v>385</v>
      </c>
      <c r="M40" s="170">
        <f>'[1]October - 19'!Q40</f>
        <v>156722</v>
      </c>
      <c r="N40" s="172">
        <f>'[1]October - 19'!R40</f>
        <v>0</v>
      </c>
      <c r="O40" s="170">
        <f>'[1]October - 19'!S40</f>
        <v>87262</v>
      </c>
      <c r="P40" s="172">
        <f>'[1]October - 19'!T40</f>
        <v>164</v>
      </c>
      <c r="Q40" s="170">
        <f>'[1]October - 19'!U40</f>
        <v>102</v>
      </c>
      <c r="R40" s="170">
        <f>'[1]October - 19'!V40</f>
        <v>5514</v>
      </c>
      <c r="S40" s="211">
        <f>'[1]October - 19'!W40</f>
        <v>13</v>
      </c>
      <c r="T40" s="296"/>
      <c r="U40" s="171">
        <f>'[1]October - 19'!AB40</f>
        <v>5296935.84</v>
      </c>
      <c r="V40" s="298">
        <f>'[1]October - 19'!AC40</f>
        <v>2971.9199999999255</v>
      </c>
      <c r="W40" s="94">
        <f>'[1]October - 19'!AD40</f>
        <v>2387.2800000011921</v>
      </c>
      <c r="X40" s="94">
        <f>'[1]October - 19'!AE40</f>
        <v>10334535.119999999</v>
      </c>
      <c r="Y40" s="298">
        <f>'[1]October - 19'!AF40</f>
        <v>4920.7199999988079</v>
      </c>
      <c r="Z40" s="94">
        <f>'[1]October - 19'!AG40</f>
        <v>5602.8000000007451</v>
      </c>
      <c r="AA40" s="94">
        <f>'[1]October - 19'!AH40</f>
        <v>9522713.7599999998</v>
      </c>
      <c r="AB40" s="298">
        <f>'[1]October - 19'!AI40</f>
        <v>7600.320000000298</v>
      </c>
      <c r="AC40" s="94">
        <f>'[1]October - 19'!AJ40</f>
        <v>9744</v>
      </c>
      <c r="AD40" s="94">
        <f>'[1]October - 19'!AK40</f>
        <v>12937011.359999999</v>
      </c>
      <c r="AE40" s="298">
        <f>'[1]October - 19'!AL40</f>
        <v>974.40000000037253</v>
      </c>
      <c r="AF40" s="94">
        <f>'[1]October - 19'!AM40</f>
        <v>2094.9600000008941</v>
      </c>
      <c r="AG40" s="94">
        <f>'[1]October - 19'!AN40</f>
        <v>12873821.52</v>
      </c>
      <c r="AH40" s="298">
        <f>'[1]October - 19'!AO40</f>
        <v>11010.720000000671</v>
      </c>
      <c r="AI40" s="94">
        <f>'[1]October - 19'!AP40</f>
        <v>4238.640000000596</v>
      </c>
      <c r="AJ40" s="94">
        <f>'[1]October - 19'!AQ40</f>
        <v>11547078.48</v>
      </c>
      <c r="AK40" s="298">
        <f>'[1]October - 19'!AR40</f>
        <v>6869.5200000014156</v>
      </c>
      <c r="AL40" s="94">
        <f>'[1]October - 19'!AS40</f>
        <v>5992.5600000005215</v>
      </c>
      <c r="AM40" s="94">
        <f>'[1]October - 19'!AT40</f>
        <v>10119095.280000001</v>
      </c>
      <c r="AN40" s="298">
        <f>'[1]October - 19'!AU40</f>
        <v>4872</v>
      </c>
      <c r="AO40" s="94">
        <f>'[1]October - 19'!AV40</f>
        <v>4823.2800000011921</v>
      </c>
      <c r="AP40" s="94">
        <f>'[1]October - 19'!AW40</f>
        <v>9738543.3599999994</v>
      </c>
      <c r="AQ40" s="298">
        <f>'[1]October - 19'!AX40</f>
        <v>4823.2799999993294</v>
      </c>
      <c r="AR40" s="94">
        <f>'[1]October - 19'!AY40</f>
        <v>5359.2000000001863</v>
      </c>
      <c r="AS40" s="94">
        <f>'[1]October - 19'!AZ40</f>
        <v>7819998.4799999995</v>
      </c>
      <c r="AT40" s="298">
        <f>'[1]October - 19'!BA40</f>
        <v>3264.2399999992922</v>
      </c>
      <c r="AU40" s="94">
        <f>'[1]October - 19'!BB40</f>
        <v>3556.5599999995902</v>
      </c>
      <c r="AV40" s="94">
        <f>'[1]October - 19'!BC40</f>
        <v>11536652.4</v>
      </c>
      <c r="AW40" s="255">
        <f>'[1]October - 19'!BD40</f>
        <v>5797.6800000015646</v>
      </c>
      <c r="AX40" s="256">
        <f>'[1]October - 19'!BE40</f>
        <v>6138.7200000006706</v>
      </c>
      <c r="AY40" s="297"/>
      <c r="AZ40" s="280">
        <f>'[1]October - 19'!BJ40</f>
        <v>48140700</v>
      </c>
      <c r="BA40" s="181">
        <f>'[1]October - 19'!BK40</f>
        <v>0</v>
      </c>
      <c r="BB40" s="95">
        <f>'[1]October - 19'!BL40</f>
        <v>41200</v>
      </c>
      <c r="BC40" s="95">
        <f>'[1]October - 19'!BM40</f>
        <v>52958600</v>
      </c>
      <c r="BD40" s="248">
        <f>'[1]October - 19'!BN40</f>
        <v>2500</v>
      </c>
      <c r="BE40" s="95">
        <f>'[1]October - 19'!BO40</f>
        <v>2500</v>
      </c>
      <c r="BF40" s="95">
        <f>'[1]October - 19'!BP40</f>
        <v>46332300</v>
      </c>
      <c r="BG40" s="248">
        <f>'[1]October - 19'!BQ40</f>
        <v>51400</v>
      </c>
      <c r="BH40" s="95">
        <f>'[1]October - 19'!BR40</f>
        <v>58900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'[1]October - 19'!BS40</f>
        <v>3675920</v>
      </c>
      <c r="BT40" s="281">
        <f>'[1]October - 19'!BT40</f>
        <v>5970</v>
      </c>
      <c r="BU40" s="299"/>
      <c r="BV40" s="278">
        <f>'[1]October - 19'!BV40</f>
        <v>0.78</v>
      </c>
      <c r="BW40" s="244">
        <f>'[1]October - 19'!BW40</f>
        <v>0.21000000000000008</v>
      </c>
      <c r="BX40" s="88">
        <f>'[1]October - 19'!BX40</f>
        <v>-4.9999999999999989E-2</v>
      </c>
      <c r="BY40" s="89">
        <f>'[1]October - 19'!BY40</f>
        <v>43210</v>
      </c>
      <c r="BZ40" s="193">
        <f>'[1]October - 19'!BZ40</f>
        <v>22</v>
      </c>
      <c r="CA40" s="89">
        <f>'[1]October - 19'!CA40</f>
        <v>38318</v>
      </c>
      <c r="CB40" s="193">
        <f>'[1]October - 19'!CB40</f>
        <v>16</v>
      </c>
      <c r="CC40" s="89">
        <f>'[1]October - 19'!CC40</f>
        <v>12687</v>
      </c>
      <c r="CD40" s="193">
        <f>'[1]October - 19'!CD40</f>
        <v>8</v>
      </c>
      <c r="CE40" s="89">
        <f>'[1]October - 19'!CE40</f>
        <v>15851</v>
      </c>
      <c r="CF40" s="193">
        <f>'[1]October - 19'!CF40</f>
        <v>10</v>
      </c>
      <c r="CG40" s="89">
        <f>'[1]October - 19'!CG40</f>
        <v>18175</v>
      </c>
      <c r="CH40" s="193">
        <f>'[1]October - 19'!CH40</f>
        <v>12</v>
      </c>
      <c r="CI40" s="89">
        <f>'[1]October - 19'!CI40</f>
        <v>38605</v>
      </c>
      <c r="CJ40" s="193">
        <f>'[1]October - 19'!CJ40</f>
        <v>33</v>
      </c>
      <c r="CK40" s="89">
        <f>'[1]October - 19'!CK40</f>
        <v>168662</v>
      </c>
      <c r="CL40" s="249">
        <f>'[1]October - 19'!CL40</f>
        <v>89</v>
      </c>
      <c r="CM40" s="89">
        <f>'[1]October - 19'!CM40</f>
        <v>87</v>
      </c>
      <c r="CN40" s="89">
        <f>'[1]October - 19'!CN40</f>
        <v>119824</v>
      </c>
      <c r="CO40" s="249">
        <f>'[1]October - 19'!CO40</f>
        <v>77</v>
      </c>
      <c r="CP40" s="89">
        <f>'[1]October - 19'!CP40</f>
        <v>70</v>
      </c>
      <c r="CQ40" s="89">
        <f>'[1]October - 19'!CQ40</f>
        <v>216990</v>
      </c>
      <c r="CR40" s="249">
        <f>'[1]October - 19'!CR40</f>
        <v>84</v>
      </c>
      <c r="CS40" s="89">
        <f>'[1]October - 19'!CS40</f>
        <v>61</v>
      </c>
      <c r="CT40" s="89">
        <f>'[1]October - 19'!CT40</f>
        <v>465687</v>
      </c>
      <c r="CU40" s="279">
        <f>'[1]October - 19'!CU40</f>
        <v>202</v>
      </c>
      <c r="CV40" s="516"/>
      <c r="CW40" s="208">
        <f>'[1]October - 19'!CW40</f>
        <v>3047</v>
      </c>
      <c r="CX40" s="200">
        <f>'[1]October - 19'!CX40</f>
        <v>0</v>
      </c>
      <c r="CY40" s="91">
        <f>'[1]October - 19'!CY40</f>
        <v>938</v>
      </c>
      <c r="CZ40" s="200">
        <f>'[1]October - 19'!CZ40</f>
        <v>0</v>
      </c>
      <c r="DA40" s="91">
        <f>'[1]October - 19'!DA40</f>
        <v>17491</v>
      </c>
      <c r="DB40" s="200">
        <f>'[1]October - 19'!DB40</f>
        <v>19</v>
      </c>
      <c r="DC40" s="91">
        <f>'[1]October - 19'!DC40</f>
        <v>18253</v>
      </c>
      <c r="DD40" s="200">
        <f>'[1]October - 19'!DD40</f>
        <v>18</v>
      </c>
      <c r="DE40" s="91">
        <f>'[1]October - 19'!DE40</f>
        <v>12691</v>
      </c>
      <c r="DF40" s="200">
        <f>'[1]October - 19'!DF40</f>
        <v>12</v>
      </c>
      <c r="DG40" s="91">
        <f>'[1]October - 19'!DG40</f>
        <v>16752</v>
      </c>
      <c r="DH40" s="200">
        <f>'[1]October - 19'!DH40</f>
        <v>6</v>
      </c>
      <c r="DI40" s="91">
        <f>'[1]October - 19'!DI40</f>
        <v>825</v>
      </c>
      <c r="DJ40" s="200">
        <f>'[1]October - 19'!DJ40</f>
        <v>0</v>
      </c>
      <c r="DK40" s="91">
        <f>'[1]October - 19'!DK40</f>
        <v>3570</v>
      </c>
      <c r="DL40" s="200">
        <f>'[1]October - 19'!DL40</f>
        <v>0</v>
      </c>
      <c r="DM40" s="91">
        <f>'[1]October - 19'!DM40</f>
        <v>643</v>
      </c>
      <c r="DN40" s="200">
        <f>'[1]October - 19'!DN40</f>
        <v>4</v>
      </c>
      <c r="DO40" s="91">
        <f>'[1]October - 19'!DO40</f>
        <v>761</v>
      </c>
      <c r="DP40" s="200">
        <f>'[1]October - 19'!DP40</f>
        <v>5</v>
      </c>
      <c r="DQ40" s="91">
        <f>'[1]October - 19'!DQ40</f>
        <v>16216</v>
      </c>
      <c r="DR40" s="209">
        <f>'[1]October - 19'!DR40</f>
        <v>27</v>
      </c>
      <c r="DS40" s="532"/>
      <c r="DT40" s="213">
        <f>'[1]October - 19'!DT40</f>
        <v>2635719</v>
      </c>
      <c r="DU40" s="224">
        <f>'[1]October - 19'!DU40</f>
        <v>1644</v>
      </c>
      <c r="DV40" s="93">
        <f>'[1]October - 19'!DV40</f>
        <v>4191</v>
      </c>
      <c r="DW40" s="218">
        <f>'[1]October - 19'!DW40</f>
        <v>5</v>
      </c>
      <c r="DX40" s="93">
        <f>'[1]October - 19'!DX40</f>
        <v>1729807</v>
      </c>
      <c r="DY40" s="218">
        <f>'[1]October - 19'!DY40</f>
        <v>1249</v>
      </c>
      <c r="DZ40" s="93">
        <f>'[1]October - 19'!DZ40</f>
        <v>247871</v>
      </c>
      <c r="EA40" s="218">
        <f>'[1]October - 19'!EA40</f>
        <v>141</v>
      </c>
      <c r="EB40" s="93">
        <f>'[1]October - 19'!ED40</f>
        <v>361848</v>
      </c>
      <c r="EC40" s="218">
        <f>'[1]October - 19'!EE40</f>
        <v>571</v>
      </c>
      <c r="ED40" s="93">
        <f>'[1]October - 19'!EF40</f>
        <v>75923</v>
      </c>
      <c r="EE40" s="232">
        <f>'[1]October - 19'!EG40</f>
        <v>142</v>
      </c>
      <c r="EF40" s="579"/>
      <c r="EG40" s="238">
        <f>'[1]October - 19'!EI40</f>
        <v>6549200</v>
      </c>
      <c r="EH40" s="233">
        <f>'[1]October - 19'!EJ40</f>
        <v>7400</v>
      </c>
      <c r="EI40" s="92">
        <f>'[1]October - 19'!EK40</f>
        <v>575500</v>
      </c>
      <c r="EJ40" s="233">
        <f>'[1]October - 19'!EL40</f>
        <v>440</v>
      </c>
      <c r="EK40" s="92">
        <f>'[1]October - 19'!EM40</f>
        <v>4487600</v>
      </c>
      <c r="EL40" s="233">
        <f>'[1]October - 19'!EN40</f>
        <v>3500</v>
      </c>
      <c r="EM40" s="92">
        <f>'[1]October - 19'!EO40</f>
        <v>1971600</v>
      </c>
      <c r="EN40" s="233">
        <f>'[1]October - 19'!EP40</f>
        <v>300</v>
      </c>
      <c r="EO40" s="92">
        <f>'[1]October - 19'!EQ40</f>
        <v>666670</v>
      </c>
      <c r="EP40" s="233">
        <f>'[1]October - 19'!ER40</f>
        <v>100</v>
      </c>
      <c r="EQ40" s="92">
        <f>'[1]October - 19'!ES40</f>
        <v>10583100</v>
      </c>
      <c r="ER40" s="233">
        <f>'[1]October - 19'!ET40</f>
        <v>6800</v>
      </c>
      <c r="ES40" s="555"/>
      <c r="ET40" s="287">
        <f>'[1]October - 19'!EV40</f>
        <v>26439</v>
      </c>
      <c r="EU40" s="286">
        <f>'[1]October - 19'!$EW$11</f>
        <v>18</v>
      </c>
      <c r="EV40" s="285">
        <f>'[1]October - 19'!EX40</f>
        <v>23167</v>
      </c>
      <c r="EW40" s="286">
        <f>'[1]October - 19'!EY40</f>
        <v>18</v>
      </c>
      <c r="EX40" s="285">
        <f>'[1]October - 19'!FB40</f>
        <v>42703</v>
      </c>
      <c r="EY40" s="286">
        <f>'[1]October - 19'!FA40</f>
        <v>0</v>
      </c>
      <c r="EZ40" s="285">
        <f>'[1]October - 19'!EZ40</f>
        <v>0</v>
      </c>
      <c r="FA40" s="286">
        <f>'[1]October - 19'!FA40</f>
        <v>0</v>
      </c>
      <c r="FB40" s="285">
        <f>'[1]October - 19'!FD40</f>
        <v>18586</v>
      </c>
      <c r="FC40" s="288">
        <f>'[1]October - 19'!FE40</f>
        <v>32</v>
      </c>
    </row>
    <row r="41" spans="1:160" s="29" customFormat="1" ht="14.25" customHeight="1" thickBot="1" x14ac:dyDescent="0.35">
      <c r="A41" s="426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8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9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30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516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518"/>
      <c r="DI41" s="518"/>
      <c r="DJ41" s="518"/>
      <c r="DK41" s="518"/>
      <c r="DL41" s="518"/>
      <c r="DM41" s="518"/>
      <c r="DN41" s="518"/>
      <c r="DO41" s="518"/>
      <c r="DP41" s="518"/>
      <c r="DQ41" s="518"/>
      <c r="DR41" s="519"/>
      <c r="DS41" s="533"/>
      <c r="DT41" s="534"/>
      <c r="DU41" s="535"/>
      <c r="DV41" s="535"/>
      <c r="DW41" s="535"/>
      <c r="DX41" s="535"/>
      <c r="DY41" s="535"/>
      <c r="DZ41" s="535"/>
      <c r="EA41" s="535"/>
      <c r="EB41" s="535"/>
      <c r="EC41" s="535"/>
      <c r="ED41" s="535"/>
      <c r="EE41" s="536"/>
      <c r="EF41" s="580"/>
      <c r="EG41" s="561"/>
      <c r="EH41" s="561"/>
      <c r="EI41" s="561"/>
      <c r="EJ41" s="561"/>
      <c r="EK41" s="561"/>
      <c r="EL41" s="561"/>
      <c r="EM41" s="561"/>
      <c r="EN41" s="561"/>
      <c r="EO41" s="561"/>
      <c r="EP41" s="561"/>
      <c r="EQ41" s="561"/>
      <c r="ER41" s="561"/>
      <c r="ES41" s="555"/>
      <c r="ET41" s="562"/>
      <c r="EU41" s="562"/>
      <c r="EV41" s="562"/>
      <c r="EW41" s="562"/>
      <c r="EX41" s="562"/>
      <c r="EY41" s="562"/>
      <c r="EZ41" s="562"/>
      <c r="FA41" s="562"/>
      <c r="FB41" s="562"/>
      <c r="FC41" s="562"/>
      <c r="FD41" s="28"/>
    </row>
    <row r="42" spans="1:160" ht="28.5" customHeight="1" thickBot="1" x14ac:dyDescent="0.35">
      <c r="A42" s="406" t="s">
        <v>136</v>
      </c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8"/>
      <c r="T42" s="409"/>
      <c r="U42" s="412" t="s">
        <v>110</v>
      </c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2"/>
      <c r="AL42" s="412"/>
      <c r="AM42" s="412"/>
      <c r="AN42" s="412"/>
      <c r="AO42" s="412"/>
      <c r="AP42" s="412"/>
      <c r="AQ42" s="412"/>
      <c r="AR42" s="412"/>
      <c r="AS42" s="412"/>
      <c r="AT42" s="412"/>
      <c r="AU42" s="412"/>
      <c r="AV42" s="412"/>
      <c r="AW42" s="412"/>
      <c r="AX42" s="412"/>
      <c r="AY42" s="413"/>
      <c r="AZ42" s="414" t="s">
        <v>137</v>
      </c>
      <c r="BA42" s="415"/>
      <c r="BB42" s="415"/>
      <c r="BC42" s="415"/>
      <c r="BD42" s="415"/>
      <c r="BE42" s="415"/>
      <c r="BF42" s="415"/>
      <c r="BG42" s="415"/>
      <c r="BH42" s="416"/>
      <c r="BI42" s="417"/>
      <c r="BJ42" s="418"/>
      <c r="BK42" s="418"/>
      <c r="BL42" s="418"/>
      <c r="BM42" s="418"/>
      <c r="BN42" s="418"/>
      <c r="BO42" s="418"/>
      <c r="BP42" s="418"/>
      <c r="BQ42" s="418"/>
      <c r="BR42" s="419"/>
      <c r="BS42" s="420" t="s">
        <v>138</v>
      </c>
      <c r="BT42" s="421"/>
      <c r="BU42" s="30"/>
      <c r="BV42" s="573" t="s">
        <v>111</v>
      </c>
      <c r="BW42" s="574"/>
      <c r="BX42" s="574"/>
      <c r="BY42" s="574"/>
      <c r="BZ42" s="574"/>
      <c r="CA42" s="574"/>
      <c r="CB42" s="574"/>
      <c r="CC42" s="574"/>
      <c r="CD42" s="574"/>
      <c r="CE42" s="574"/>
      <c r="CF42" s="574"/>
      <c r="CG42" s="574"/>
      <c r="CH42" s="574"/>
      <c r="CI42" s="574"/>
      <c r="CJ42" s="574"/>
      <c r="CK42" s="574"/>
      <c r="CL42" s="574"/>
      <c r="CM42" s="574"/>
      <c r="CN42" s="574"/>
      <c r="CO42" s="574"/>
      <c r="CP42" s="574"/>
      <c r="CQ42" s="574"/>
      <c r="CR42" s="574"/>
      <c r="CS42" s="574"/>
      <c r="CT42" s="574"/>
      <c r="CU42" s="575"/>
      <c r="CV42" s="516"/>
      <c r="CW42" s="422"/>
      <c r="CX42" s="423"/>
      <c r="CY42" s="423"/>
      <c r="CZ42" s="423"/>
      <c r="DA42" s="423"/>
      <c r="DB42" s="423"/>
      <c r="DC42" s="423"/>
      <c r="DD42" s="423"/>
      <c r="DE42" s="423"/>
      <c r="DF42" s="423"/>
      <c r="DG42" s="423"/>
      <c r="DH42" s="423"/>
      <c r="DI42" s="423"/>
      <c r="DJ42" s="423"/>
      <c r="DK42" s="423"/>
      <c r="DL42" s="423"/>
      <c r="DM42" s="423"/>
      <c r="DN42" s="423"/>
      <c r="DO42" s="423"/>
      <c r="DP42" s="423"/>
      <c r="DQ42" s="423"/>
      <c r="DR42" s="424"/>
      <c r="DS42" s="533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80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555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425" t="s">
        <v>31</v>
      </c>
      <c r="B43" s="425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139</v>
      </c>
      <c r="P43" s="385"/>
      <c r="Q43" s="385"/>
      <c r="R43" s="385"/>
      <c r="S43" s="385"/>
      <c r="T43" s="410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6" t="s">
        <v>140</v>
      </c>
      <c r="BA43" s="577"/>
      <c r="BB43" s="577"/>
      <c r="BC43" s="577" t="s">
        <v>141</v>
      </c>
      <c r="BD43" s="577"/>
      <c r="BE43" s="577"/>
      <c r="BF43" s="577" t="s">
        <v>142</v>
      </c>
      <c r="BG43" s="577"/>
      <c r="BH43" s="577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143</v>
      </c>
      <c r="BT43" s="389"/>
      <c r="BU43" s="394"/>
      <c r="BV43" s="395" t="s">
        <v>13</v>
      </c>
      <c r="BW43" s="396"/>
      <c r="BX43" s="97"/>
      <c r="BY43" s="397" t="s">
        <v>126</v>
      </c>
      <c r="BZ43" s="397"/>
      <c r="CA43" s="392" t="s">
        <v>127</v>
      </c>
      <c r="CB43" s="393"/>
      <c r="CC43" s="392" t="s">
        <v>128</v>
      </c>
      <c r="CD43" s="393"/>
      <c r="CE43" s="392" t="s">
        <v>129</v>
      </c>
      <c r="CF43" s="393"/>
      <c r="CG43" s="392" t="s">
        <v>130</v>
      </c>
      <c r="CH43" s="393"/>
      <c r="CI43" s="392" t="s">
        <v>131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144</v>
      </c>
      <c r="CR43" s="404"/>
      <c r="CS43" s="405"/>
      <c r="CT43" s="375" t="s">
        <v>145</v>
      </c>
      <c r="CU43" s="376"/>
      <c r="CV43" s="516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533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580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555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431" t="s">
        <v>146</v>
      </c>
      <c r="B44" s="431"/>
      <c r="C44" s="432">
        <f>SUM(E9:E24)</f>
        <v>8186</v>
      </c>
      <c r="D44" s="433"/>
      <c r="E44" s="434"/>
      <c r="F44" s="435">
        <f>SUM(H9:H24)</f>
        <v>5312</v>
      </c>
      <c r="G44" s="436"/>
      <c r="H44" s="437"/>
      <c r="I44" s="435"/>
      <c r="J44" s="437"/>
      <c r="K44" s="438"/>
      <c r="L44" s="439"/>
      <c r="M44" s="440"/>
      <c r="N44" s="440"/>
      <c r="O44" s="435">
        <f>SUM(Q9:Q24)</f>
        <v>3068</v>
      </c>
      <c r="P44" s="436"/>
      <c r="Q44" s="437"/>
      <c r="R44" s="441"/>
      <c r="S44" s="442"/>
      <c r="T44" s="410"/>
      <c r="U44" s="381">
        <f>SUM(W9:W24)</f>
        <v>39268.300000000374</v>
      </c>
      <c r="V44" s="382"/>
      <c r="W44" s="383"/>
      <c r="X44" s="381">
        <f>SUM(Z9:Z24)</f>
        <v>79754.599999999627</v>
      </c>
      <c r="Y44" s="382"/>
      <c r="Z44" s="383"/>
      <c r="AA44" s="381">
        <f>SUM(AC9:AC24)</f>
        <v>117561.4</v>
      </c>
      <c r="AB44" s="382"/>
      <c r="AC44" s="383"/>
      <c r="AD44" s="381">
        <f>SUM(AF9:AF24)</f>
        <v>111227.68000000119</v>
      </c>
      <c r="AE44" s="382"/>
      <c r="AF44" s="383"/>
      <c r="AG44" s="381">
        <f>SUM(AI9:AI24)</f>
        <v>95198.88</v>
      </c>
      <c r="AH44" s="382"/>
      <c r="AI44" s="383"/>
      <c r="AJ44" s="381">
        <f>SUM(AL9:AL24)</f>
        <v>88670.500000000524</v>
      </c>
      <c r="AK44" s="382"/>
      <c r="AL44" s="383"/>
      <c r="AM44" s="381">
        <f>SUM(AO9:AO24)</f>
        <v>77367.35999999888</v>
      </c>
      <c r="AN44" s="382"/>
      <c r="AO44" s="383"/>
      <c r="AP44" s="381">
        <f>SUM(AR9:AR24)</f>
        <v>75905.7600000003</v>
      </c>
      <c r="AQ44" s="382"/>
      <c r="AR44" s="383"/>
      <c r="AS44" s="381">
        <f>SUM(AU9:AU24)</f>
        <v>55053.499999999105</v>
      </c>
      <c r="AT44" s="382"/>
      <c r="AU44" s="383"/>
      <c r="AV44" s="381">
        <f>SUM(AX9:AX24)</f>
        <v>86722.080000001937</v>
      </c>
      <c r="AW44" s="382"/>
      <c r="AX44" s="382"/>
      <c r="AY44" s="387"/>
      <c r="AZ44" s="382">
        <f>SUM(BB9:BB24)</f>
        <v>650000</v>
      </c>
      <c r="BA44" s="382"/>
      <c r="BB44" s="382"/>
      <c r="BC44" s="381">
        <f>SUM(BE9:BE24)</f>
        <v>403600</v>
      </c>
      <c r="BD44" s="382"/>
      <c r="BE44" s="382"/>
      <c r="BF44" s="377">
        <f>SUM(BH9:BH24)</f>
        <v>406900</v>
      </c>
      <c r="BG44" s="377"/>
      <c r="BH44" s="377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394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77">
        <f>SUM(CM9:CM24)</f>
        <v>1186</v>
      </c>
      <c r="CL44" s="377"/>
      <c r="CM44" s="377"/>
      <c r="CN44" s="377">
        <f>SUM(CP9:CP24)</f>
        <v>865</v>
      </c>
      <c r="CO44" s="377"/>
      <c r="CP44" s="377"/>
      <c r="CQ44" s="377">
        <f>SUM(CS9:CS24)</f>
        <v>296</v>
      </c>
      <c r="CR44" s="377"/>
      <c r="CS44" s="377"/>
      <c r="CT44" s="102"/>
      <c r="CU44" s="198"/>
      <c r="CV44" s="516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533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580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555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592" t="s">
        <v>147</v>
      </c>
      <c r="B45" s="592"/>
      <c r="C45" s="593">
        <f>SUM(D9:D24)</f>
        <v>8218</v>
      </c>
      <c r="D45" s="593"/>
      <c r="E45" s="594"/>
      <c r="F45" s="593">
        <f>SUM(G9:G24)</f>
        <v>4666</v>
      </c>
      <c r="G45" s="593"/>
      <c r="H45" s="594"/>
      <c r="I45" s="595"/>
      <c r="J45" s="595"/>
      <c r="K45" s="595"/>
      <c r="L45" s="595"/>
      <c r="M45" s="595"/>
      <c r="N45" s="595"/>
      <c r="O45" s="593">
        <f>SUM(P9:P24)</f>
        <v>3424</v>
      </c>
      <c r="P45" s="593"/>
      <c r="Q45" s="594"/>
      <c r="R45" s="596"/>
      <c r="S45" s="597"/>
      <c r="T45" s="411"/>
      <c r="U45" s="366">
        <f>SUM(V9:V24)</f>
        <v>41558.159999999218</v>
      </c>
      <c r="V45" s="366"/>
      <c r="W45" s="367"/>
      <c r="X45" s="366">
        <f>SUM(Y9:Y24)</f>
        <v>74492.879999998957</v>
      </c>
      <c r="Y45" s="366"/>
      <c r="Z45" s="367"/>
      <c r="AA45" s="366">
        <f>SUM(AB9:AB24)</f>
        <v>88037.039999999106</v>
      </c>
      <c r="AB45" s="366"/>
      <c r="AC45" s="367"/>
      <c r="AD45" s="366">
        <f>SUM(AE9:AE24)</f>
        <v>114686.87999999896</v>
      </c>
      <c r="AE45" s="366"/>
      <c r="AF45" s="367"/>
      <c r="AG45" s="366">
        <f>SUM(AH9:AH24)</f>
        <v>118146</v>
      </c>
      <c r="AH45" s="366"/>
      <c r="AI45" s="367"/>
      <c r="AJ45" s="366">
        <f>SUM(AK9:AK24)</f>
        <v>110691.83999999799</v>
      </c>
      <c r="AK45" s="366"/>
      <c r="AL45" s="367"/>
      <c r="AM45" s="366">
        <f>SUM(AN9:AN24)</f>
        <v>72982.560000000522</v>
      </c>
      <c r="AN45" s="366"/>
      <c r="AO45" s="367"/>
      <c r="AP45" s="366">
        <f>SUM(AQ9:AQ24)</f>
        <v>73859.520000001416</v>
      </c>
      <c r="AQ45" s="366"/>
      <c r="AR45" s="367"/>
      <c r="AS45" s="366">
        <f>SUM(AT9:AT24)</f>
        <v>50620.080000001006</v>
      </c>
      <c r="AT45" s="366"/>
      <c r="AU45" s="367"/>
      <c r="AV45" s="366">
        <f>SUM(AW9:AW24)</f>
        <v>76734</v>
      </c>
      <c r="AW45" s="366"/>
      <c r="AX45" s="366"/>
      <c r="AY45" s="387"/>
      <c r="AZ45" s="367">
        <f>SUM(BA9:BA24)</f>
        <v>404900</v>
      </c>
      <c r="BA45" s="377"/>
      <c r="BB45" s="377"/>
      <c r="BC45" s="377">
        <f>SUM(BD9:BD24)</f>
        <v>562900</v>
      </c>
      <c r="BD45" s="377"/>
      <c r="BE45" s="377"/>
      <c r="BF45" s="377">
        <f>SUM(BG9:BG24)</f>
        <v>528200</v>
      </c>
      <c r="BG45" s="377"/>
      <c r="BH45" s="377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394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77">
        <f>SUM(CL9:CL24)</f>
        <v>1297</v>
      </c>
      <c r="CL45" s="377"/>
      <c r="CM45" s="377"/>
      <c r="CN45" s="377">
        <f>SUM(CO9:CO24)</f>
        <v>1012</v>
      </c>
      <c r="CO45" s="377"/>
      <c r="CP45" s="377"/>
      <c r="CQ45" s="377">
        <f>SUM(CR9:CR24)</f>
        <v>139</v>
      </c>
      <c r="CR45" s="377"/>
      <c r="CS45" s="377"/>
      <c r="CT45" s="107"/>
      <c r="CU45" s="199"/>
      <c r="CV45" s="516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533"/>
      <c r="DT45" s="378" t="s">
        <v>108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387"/>
      <c r="AZ46" s="598">
        <f>AZ44-AZ45</f>
        <v>245100</v>
      </c>
      <c r="BA46" s="599"/>
      <c r="BB46" s="599"/>
      <c r="BC46" s="598">
        <f>BC45-BC44</f>
        <v>159300</v>
      </c>
      <c r="BD46" s="599"/>
      <c r="BE46" s="599"/>
      <c r="BF46" s="598">
        <f>BF45-BF44</f>
        <v>121300</v>
      </c>
      <c r="BG46" s="599"/>
      <c r="BH46" s="5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6"/>
    </row>
    <row r="47" spans="1:160" ht="33.75" customHeight="1" x14ac:dyDescent="0.25">
      <c r="A47" s="374" t="s">
        <v>148</v>
      </c>
      <c r="B47" s="374"/>
      <c r="C47" s="362">
        <f>SUM(E9:E39)</f>
        <v>16657</v>
      </c>
      <c r="D47" s="363"/>
      <c r="E47" s="364"/>
      <c r="F47" s="362">
        <f>SUM(H9:H39)</f>
        <v>11274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5819</v>
      </c>
      <c r="P47" s="368"/>
      <c r="Q47" s="368"/>
      <c r="R47" s="362">
        <v>476</v>
      </c>
      <c r="S47" s="363"/>
      <c r="T47" s="369"/>
      <c r="U47" s="365">
        <f>SUM(W9:W39)</f>
        <v>79705.899999999994</v>
      </c>
      <c r="V47" s="366"/>
      <c r="W47" s="367"/>
      <c r="X47" s="365">
        <f>SUM(Z9:Z39)</f>
        <v>160434.91999999993</v>
      </c>
      <c r="Y47" s="366"/>
      <c r="Z47" s="367"/>
      <c r="AA47" s="365">
        <f>SUM(AC9:AC39)</f>
        <v>226499.32000000085</v>
      </c>
      <c r="AB47" s="366"/>
      <c r="AC47" s="367"/>
      <c r="AD47" s="365">
        <f>SUM(AF9:AF39)</f>
        <v>185574.39999999999</v>
      </c>
      <c r="AE47" s="366"/>
      <c r="AF47" s="367"/>
      <c r="AG47" s="365">
        <f>SUM(AI9:AI39)</f>
        <v>204282.95999999822</v>
      </c>
      <c r="AH47" s="366"/>
      <c r="AI47" s="367"/>
      <c r="AJ47" s="365">
        <f>SUM(AL9:AL39)</f>
        <v>176512.66000000067</v>
      </c>
      <c r="AK47" s="366"/>
      <c r="AL47" s="367"/>
      <c r="AM47" s="365">
        <f>SUM(AO9:AO39)</f>
        <v>150837.11999999866</v>
      </c>
      <c r="AN47" s="366"/>
      <c r="AO47" s="367"/>
      <c r="AP47" s="365">
        <f>SUM(AR9:AR39)</f>
        <v>152201.28000000078</v>
      </c>
      <c r="AQ47" s="366"/>
      <c r="AR47" s="367"/>
      <c r="AS47" s="365">
        <f>SUM(AU9:AU39)</f>
        <v>109035.25999999981</v>
      </c>
      <c r="AT47" s="366"/>
      <c r="AU47" s="367"/>
      <c r="AV47" s="365">
        <f>SUM(AX9:AX39)</f>
        <v>174954.00000000186</v>
      </c>
      <c r="AW47" s="366"/>
      <c r="AX47" s="366"/>
      <c r="AY47" s="387"/>
      <c r="AZ47" s="351">
        <v>347300</v>
      </c>
      <c r="BA47" s="351"/>
      <c r="BB47" s="352"/>
      <c r="BC47" s="350">
        <v>361100</v>
      </c>
      <c r="BD47" s="351"/>
      <c r="BE47" s="352"/>
      <c r="BF47" s="350">
        <v>558842</v>
      </c>
      <c r="BG47" s="351"/>
      <c r="BH47" s="35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603">
        <v>131110</v>
      </c>
      <c r="BT47" s="604"/>
      <c r="BU47" s="394"/>
      <c r="BV47" s="605"/>
      <c r="BW47" s="605"/>
      <c r="BX47" s="116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2393</v>
      </c>
      <c r="CL47" s="366"/>
      <c r="CM47" s="367"/>
      <c r="CN47" s="365">
        <f>SUM(CP9:CP39)</f>
        <v>1871</v>
      </c>
      <c r="CO47" s="366"/>
      <c r="CP47" s="367"/>
      <c r="CQ47" s="365">
        <f>SUM(CS9:CS39)</f>
        <v>596</v>
      </c>
      <c r="CR47" s="366"/>
      <c r="CS47" s="367"/>
      <c r="CT47" s="600">
        <v>3894</v>
      </c>
      <c r="CU47" s="601"/>
      <c r="CV47" s="516"/>
      <c r="DJ47" s="4">
        <v>487.2</v>
      </c>
    </row>
    <row r="48" spans="1:160" ht="30" customHeight="1" x14ac:dyDescent="0.25">
      <c r="A48" s="341" t="s">
        <v>149</v>
      </c>
      <c r="B48" s="341"/>
      <c r="C48" s="362">
        <f>SUM(D10:D39)</f>
        <v>15995</v>
      </c>
      <c r="D48" s="363"/>
      <c r="E48" s="364"/>
      <c r="F48" s="362">
        <f>SUM(G9:G39)</f>
        <v>9849</v>
      </c>
      <c r="G48" s="363"/>
      <c r="H48" s="364"/>
      <c r="I48" s="362">
        <f>SUM(J10:J39)</f>
        <v>-51538</v>
      </c>
      <c r="J48" s="364"/>
      <c r="K48" s="362">
        <f>SUM(L9:L39)</f>
        <v>11294</v>
      </c>
      <c r="L48" s="364"/>
      <c r="M48" s="362"/>
      <c r="N48" s="364"/>
      <c r="O48" s="362">
        <f>SUM(P9:P39)</f>
        <v>6552</v>
      </c>
      <c r="P48" s="363"/>
      <c r="Q48" s="364"/>
      <c r="R48" s="362">
        <f>SUM(S9:S39)</f>
        <v>1599</v>
      </c>
      <c r="S48" s="363"/>
      <c r="T48" s="369"/>
      <c r="U48" s="370">
        <f>SUM(V9:V39)</f>
        <v>83993.279999999329</v>
      </c>
      <c r="V48" s="371"/>
      <c r="W48" s="372"/>
      <c r="X48" s="370">
        <f>SUM(Y9:Y39)</f>
        <v>147524.16000000015</v>
      </c>
      <c r="Y48" s="371"/>
      <c r="Z48" s="372"/>
      <c r="AA48" s="359">
        <f>SUM(AB9:AB39)</f>
        <v>190397.75999999978</v>
      </c>
      <c r="AB48" s="360"/>
      <c r="AC48" s="361"/>
      <c r="AD48" s="359">
        <f>SUM(AE9:AE39)</f>
        <v>221724.71999999881</v>
      </c>
      <c r="AE48" s="360"/>
      <c r="AF48" s="361"/>
      <c r="AG48" s="359">
        <f>SUM(AH9:AH39)</f>
        <v>193223.51999999769</v>
      </c>
      <c r="AH48" s="360"/>
      <c r="AI48" s="361"/>
      <c r="AJ48" s="359">
        <f>SUM(AK9:AK39)</f>
        <v>212857.67999999784</v>
      </c>
      <c r="AK48" s="360"/>
      <c r="AL48" s="361"/>
      <c r="AM48" s="359">
        <f>SUM(AN9:AN39)</f>
        <v>144162.48000000231</v>
      </c>
      <c r="AN48" s="360"/>
      <c r="AO48" s="361"/>
      <c r="AP48" s="359">
        <f>SUM(AQ9:AQ39)</f>
        <v>148157.52000000142</v>
      </c>
      <c r="AQ48" s="360"/>
      <c r="AR48" s="361"/>
      <c r="AS48" s="359">
        <f>SUM(AT9:AT39)</f>
        <v>100801.68000000063</v>
      </c>
      <c r="AT48" s="360"/>
      <c r="AU48" s="361"/>
      <c r="AV48" s="359">
        <f>SUM(AW9:AW39)</f>
        <v>156245.03999999911</v>
      </c>
      <c r="AW48" s="360"/>
      <c r="AX48" s="360"/>
      <c r="AY48" s="387"/>
      <c r="AZ48" s="351">
        <f>SUM(BA9:BA39)</f>
        <v>910300</v>
      </c>
      <c r="BA48" s="351"/>
      <c r="BB48" s="352"/>
      <c r="BC48" s="350">
        <f>SUM(BD9:BD39)</f>
        <v>1086800</v>
      </c>
      <c r="BD48" s="351"/>
      <c r="BE48" s="117"/>
      <c r="BF48" s="350">
        <f>SUM(BT9:BT39)</f>
        <v>169910</v>
      </c>
      <c r="BG48" s="351"/>
      <c r="BH48" s="35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602">
        <f>SUM(BT9:BT39)</f>
        <v>169910</v>
      </c>
      <c r="BT48" s="602"/>
      <c r="BU48" s="394"/>
      <c r="BV48" s="606"/>
      <c r="BW48" s="607"/>
      <c r="BX48" s="119"/>
      <c r="BY48" s="347">
        <f>SUM(BZ9:BZ39)</f>
        <v>615</v>
      </c>
      <c r="BZ48" s="348"/>
      <c r="CA48" s="347">
        <f>SUM(CB9:CB39)</f>
        <v>479</v>
      </c>
      <c r="CB48" s="348"/>
      <c r="CC48" s="347">
        <f>SUM(CD9:CD39)</f>
        <v>209</v>
      </c>
      <c r="CD48" s="348"/>
      <c r="CE48" s="347">
        <f>SUM(CF9:CF39)</f>
        <v>306</v>
      </c>
      <c r="CF48" s="348"/>
      <c r="CG48" s="347">
        <f>SUM(CH9:CH39)</f>
        <v>301</v>
      </c>
      <c r="CH48" s="348"/>
      <c r="CI48" s="347">
        <f>SUM(CJ9:CJ39)</f>
        <v>769</v>
      </c>
      <c r="CJ48" s="348"/>
      <c r="CK48" s="347">
        <f>SUM(CL9:CL39)</f>
        <v>2572</v>
      </c>
      <c r="CL48" s="349"/>
      <c r="CM48" s="348"/>
      <c r="CN48" s="347">
        <f>SUM(CO9:CO39)</f>
        <v>2108</v>
      </c>
      <c r="CO48" s="349"/>
      <c r="CP48" s="348"/>
      <c r="CQ48" s="347">
        <f>SUM(CR9:CR39)</f>
        <v>1549</v>
      </c>
      <c r="CR48" s="349"/>
      <c r="CS48" s="348"/>
      <c r="CT48" s="347">
        <f>SUM(CU9:CU39)</f>
        <v>5470</v>
      </c>
      <c r="CU48" s="349"/>
      <c r="CV48" s="516"/>
    </row>
    <row r="49" spans="1:159" ht="30" customHeight="1" x14ac:dyDescent="0.25">
      <c r="A49" s="608" t="s">
        <v>46</v>
      </c>
      <c r="B49" s="608"/>
      <c r="C49" s="342">
        <f>C47-C48</f>
        <v>662</v>
      </c>
      <c r="D49" s="343"/>
      <c r="E49" s="358"/>
      <c r="F49" s="342">
        <f>F47-F48</f>
        <v>1425</v>
      </c>
      <c r="G49" s="343"/>
      <c r="H49" s="358"/>
      <c r="I49" s="342">
        <f>I47-I48</f>
        <v>58586.9</v>
      </c>
      <c r="J49" s="358"/>
      <c r="K49" s="342">
        <f>K47-K48</f>
        <v>-3591.7999999999884</v>
      </c>
      <c r="L49" s="358"/>
      <c r="M49" s="342"/>
      <c r="N49" s="358"/>
      <c r="O49" s="373">
        <f>O47-O48</f>
        <v>-733</v>
      </c>
      <c r="P49" s="373"/>
      <c r="Q49" s="373"/>
      <c r="R49" s="342">
        <f>R47-R48</f>
        <v>-1123</v>
      </c>
      <c r="S49" s="343"/>
      <c r="T49" s="369"/>
      <c r="U49" s="344">
        <f>U48-U47</f>
        <v>4287.3799999993353</v>
      </c>
      <c r="V49" s="345"/>
      <c r="W49" s="346"/>
      <c r="X49" s="344">
        <f>X47-X48</f>
        <v>12910.759999999776</v>
      </c>
      <c r="Y49" s="345"/>
      <c r="Z49" s="346"/>
      <c r="AA49" s="344">
        <f>AA47-AA48</f>
        <v>36101.560000001075</v>
      </c>
      <c r="AB49" s="345"/>
      <c r="AC49" s="346"/>
      <c r="AD49" s="344">
        <f>AD47-AD48</f>
        <v>-36150.319999998814</v>
      </c>
      <c r="AE49" s="345"/>
      <c r="AF49" s="346"/>
      <c r="AG49" s="344">
        <f>AG47-AG48</f>
        <v>11059.440000000526</v>
      </c>
      <c r="AH49" s="345"/>
      <c r="AI49" s="346"/>
      <c r="AJ49" s="344">
        <f>AJ47-AJ48</f>
        <v>-36345.019999997166</v>
      </c>
      <c r="AK49" s="345"/>
      <c r="AL49" s="346"/>
      <c r="AM49" s="344">
        <f>AM47-AM48</f>
        <v>6674.6399999963469</v>
      </c>
      <c r="AN49" s="345"/>
      <c r="AO49" s="346"/>
      <c r="AP49" s="344">
        <f>AP47-AP48</f>
        <v>4043.759999999369</v>
      </c>
      <c r="AQ49" s="345"/>
      <c r="AR49" s="346"/>
      <c r="AS49" s="344">
        <f>AS47-AS48</f>
        <v>8233.5799999991723</v>
      </c>
      <c r="AT49" s="345"/>
      <c r="AU49" s="346"/>
      <c r="AV49" s="344">
        <f>AV47-AV48</f>
        <v>18708.960000002757</v>
      </c>
      <c r="AW49" s="345"/>
      <c r="AX49" s="345"/>
      <c r="AY49" s="387"/>
      <c r="AZ49" s="351">
        <f>AZ48-AZ47</f>
        <v>563000</v>
      </c>
      <c r="BA49" s="351"/>
      <c r="BB49" s="352"/>
      <c r="BC49" s="350">
        <f>BC48-BC47</f>
        <v>725700</v>
      </c>
      <c r="BD49" s="351"/>
      <c r="BE49" s="117"/>
      <c r="BF49" s="350">
        <f>BF48-BF47</f>
        <v>-388932</v>
      </c>
      <c r="BG49" s="351"/>
      <c r="BH49" s="35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50"/>
      <c r="BT49" s="352"/>
      <c r="BU49" s="394"/>
      <c r="BV49" s="353"/>
      <c r="BW49" s="35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55">
        <f>CK47-CK48</f>
        <v>-179</v>
      </c>
      <c r="CL49" s="356"/>
      <c r="CM49" s="357"/>
      <c r="CN49" s="355">
        <f>CN47-CN48</f>
        <v>-237</v>
      </c>
      <c r="CO49" s="356"/>
      <c r="CP49" s="357"/>
      <c r="CQ49" s="355">
        <f>CQ47-CQ48</f>
        <v>-953</v>
      </c>
      <c r="CR49" s="356"/>
      <c r="CS49" s="357"/>
      <c r="CT49" s="609">
        <f>CT47-CT48</f>
        <v>-1576</v>
      </c>
      <c r="CU49" s="355"/>
      <c r="CV49" s="516"/>
    </row>
    <row r="50" spans="1:159" ht="31.5" customHeight="1" thickBot="1" x14ac:dyDescent="0.3">
      <c r="A50" s="610" t="s">
        <v>150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151</v>
      </c>
      <c r="V50" s="612"/>
      <c r="W50" s="612"/>
      <c r="X50" s="612"/>
      <c r="Y50" s="612"/>
      <c r="Z50" s="613"/>
      <c r="AA50" s="330">
        <f>SUM(U47,X47,AA47,AD47,AG47,AJ47,AM47,AP47,AS47,AV47)</f>
        <v>1620037.8200000008</v>
      </c>
      <c r="AB50" s="331"/>
      <c r="AC50" s="331"/>
      <c r="AD50" s="331"/>
      <c r="AE50" s="331"/>
      <c r="AF50" s="332"/>
      <c r="AG50" s="614" t="s">
        <v>152</v>
      </c>
      <c r="AH50" s="615"/>
      <c r="AI50" s="615"/>
      <c r="AJ50" s="615"/>
      <c r="AK50" s="615"/>
      <c r="AL50" s="616"/>
      <c r="AM50" s="617">
        <f>SUM(U48,X48,AA48,AD48,AG48,AJ48,AM48,AP48,AS48,AV48)</f>
        <v>1599087.8399999971</v>
      </c>
      <c r="AN50" s="618"/>
      <c r="AO50" s="618"/>
      <c r="AP50" s="618"/>
      <c r="AQ50" s="618"/>
      <c r="AR50" s="619"/>
      <c r="AS50" s="337" t="s">
        <v>153</v>
      </c>
      <c r="AT50" s="338"/>
      <c r="AU50" s="339"/>
      <c r="AV50" s="337">
        <f>AA50-AM50</f>
        <v>20949.980000003707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13"/>
      <c r="BT50" s="314"/>
      <c r="BU50" s="394"/>
      <c r="BV50" s="353"/>
      <c r="BW50" s="35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7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154</v>
      </c>
      <c r="V51" s="328"/>
      <c r="W51" s="328"/>
      <c r="X51" s="328"/>
      <c r="Y51" s="328"/>
      <c r="Z51" s="329"/>
      <c r="AA51" s="330">
        <f>SUM(U44:AX44)</f>
        <v>826730.06000000192</v>
      </c>
      <c r="AB51" s="331"/>
      <c r="AC51" s="331"/>
      <c r="AD51" s="331"/>
      <c r="AE51" s="331"/>
      <c r="AF51" s="332"/>
      <c r="AG51" s="333" t="s">
        <v>155</v>
      </c>
      <c r="AH51" s="334"/>
      <c r="AI51" s="334"/>
      <c r="AJ51" s="334"/>
      <c r="AK51" s="334"/>
      <c r="AL51" s="335"/>
      <c r="AM51" s="336">
        <f>SUM(U45:AX45)</f>
        <v>821808.95999999717</v>
      </c>
      <c r="AN51" s="336"/>
      <c r="AO51" s="336"/>
      <c r="AP51" s="336"/>
      <c r="AQ51" s="336"/>
      <c r="AR51" s="336"/>
      <c r="AS51" s="337" t="s">
        <v>153</v>
      </c>
      <c r="AT51" s="338"/>
      <c r="AU51" s="339"/>
      <c r="AV51" s="337">
        <f>AA51-AM51</f>
        <v>4921.1000000047497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2167010</v>
      </c>
      <c r="BD51" s="312"/>
      <c r="BE51" s="340"/>
      <c r="BF51" s="311">
        <v>643100</v>
      </c>
      <c r="BG51" s="312"/>
      <c r="BH51" s="312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13"/>
      <c r="BT51" s="314"/>
      <c r="BU51" s="394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5"/>
      <c r="L52" s="316"/>
      <c r="M52" s="316"/>
      <c r="N52" s="316"/>
      <c r="O52" s="316"/>
      <c r="P52" s="36"/>
      <c r="Q52" s="36"/>
      <c r="R52" s="126"/>
      <c r="S52" s="37"/>
      <c r="T52" s="38"/>
      <c r="U52" s="318"/>
      <c r="V52" s="318"/>
      <c r="W52" s="39"/>
      <c r="X52" s="319"/>
      <c r="Y52" s="319"/>
      <c r="Z52" s="7"/>
      <c r="AA52" s="127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9"/>
      <c r="T54" s="38"/>
      <c r="U54" s="324"/>
      <c r="V54" s="324"/>
      <c r="W54" s="324"/>
      <c r="X54" s="324"/>
      <c r="Y54" s="324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325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23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22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300"/>
      <c r="D58" s="158"/>
      <c r="E58" s="301"/>
      <c r="F58" s="45"/>
      <c r="G58" s="301"/>
      <c r="H58" s="129"/>
      <c r="I58" s="300"/>
      <c r="J58" s="162"/>
      <c r="K58" s="300"/>
      <c r="L58" s="165"/>
      <c r="M58" s="300"/>
      <c r="N58" s="162"/>
      <c r="O58" s="300"/>
      <c r="P58" s="162"/>
      <c r="Q58" s="301"/>
      <c r="R58" s="130"/>
      <c r="S58" s="143"/>
      <c r="T58" s="47"/>
      <c r="U58" s="130"/>
      <c r="V58" s="48"/>
      <c r="W58" s="301"/>
      <c r="X58" s="325"/>
      <c r="Y58" s="61"/>
      <c r="Z58" s="301"/>
      <c r="AA58" s="49"/>
      <c r="AB58" s="305"/>
      <c r="AC58" s="45"/>
      <c r="AD58" s="300"/>
      <c r="AE58" s="143"/>
      <c r="AF58" s="301"/>
      <c r="AG58" s="45"/>
      <c r="AH58" s="301"/>
      <c r="AI58" s="45"/>
      <c r="AJ58" s="300"/>
      <c r="AK58" s="323"/>
      <c r="AL58" s="51"/>
      <c r="AM58" s="300"/>
      <c r="AN58" s="173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80"/>
      <c r="BB58" s="301"/>
      <c r="BC58" s="55"/>
      <c r="BD58" s="308"/>
      <c r="BE58" s="55"/>
      <c r="BF58" s="300"/>
      <c r="BG58" s="180"/>
      <c r="BH58" s="301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300"/>
      <c r="D59" s="159"/>
      <c r="E59" s="301"/>
      <c r="F59" s="57"/>
      <c r="G59" s="301"/>
      <c r="H59" s="131"/>
      <c r="I59" s="300"/>
      <c r="J59" s="146"/>
      <c r="K59" s="300"/>
      <c r="L59" s="146"/>
      <c r="M59" s="300"/>
      <c r="N59" s="167"/>
      <c r="O59" s="300"/>
      <c r="P59" s="162"/>
      <c r="Q59" s="301"/>
      <c r="R59" s="130"/>
      <c r="S59" s="143"/>
      <c r="T59" s="47"/>
      <c r="U59" s="130"/>
      <c r="V59" s="48"/>
      <c r="W59" s="301"/>
      <c r="X59" s="325"/>
      <c r="Y59" s="146"/>
      <c r="Z59" s="301"/>
      <c r="AA59" s="49"/>
      <c r="AB59" s="305"/>
      <c r="AC59" s="57"/>
      <c r="AD59" s="300"/>
      <c r="AE59" s="143"/>
      <c r="AF59" s="301"/>
      <c r="AG59" s="57"/>
      <c r="AH59" s="301"/>
      <c r="AI59" s="57"/>
      <c r="AJ59" s="300"/>
      <c r="AK59" s="323"/>
      <c r="AL59" s="51"/>
      <c r="AM59" s="300"/>
      <c r="AN59" s="174"/>
      <c r="AO59" s="301"/>
      <c r="AP59" s="52"/>
      <c r="AQ59" s="301"/>
      <c r="AR59" s="58"/>
      <c r="AS59" s="300"/>
      <c r="AT59" s="174"/>
      <c r="AU59" s="301"/>
      <c r="AV59" s="59"/>
      <c r="AW59" s="305"/>
      <c r="AX59" s="322"/>
      <c r="AY59" s="60"/>
      <c r="AZ59" s="300"/>
      <c r="BA59" s="180"/>
      <c r="BB59" s="301"/>
      <c r="BC59" s="55"/>
      <c r="BD59" s="308"/>
      <c r="BE59" s="55"/>
      <c r="BF59" s="300"/>
      <c r="BG59" s="180"/>
      <c r="BH59" s="301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23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22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325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23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22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23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22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23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22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325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23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22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25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23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22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325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23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22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25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23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22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25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23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22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25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23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22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25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23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22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25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23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22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25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23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22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25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23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22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25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23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22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25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23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22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25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23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22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25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23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22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25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23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22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25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23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22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25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23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22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25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23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22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325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23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22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23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22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23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22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23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22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23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22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23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22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23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22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23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22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325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23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22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25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23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22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325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23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22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2019-11-03T06:16:50Z</dcterms:modified>
</cp:coreProperties>
</file>