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37" i="3" l="1"/>
  <c r="AQ36" i="3"/>
  <c r="AQ35" i="3"/>
  <c r="AQ34" i="3"/>
  <c r="AQ33" i="3"/>
  <c r="AQ32" i="3"/>
  <c r="AQ31" i="3"/>
  <c r="AQ30" i="3"/>
  <c r="AQ29" i="3"/>
  <c r="AQ28" i="3"/>
  <c r="AQ27" i="3"/>
  <c r="AQ26" i="3"/>
  <c r="AQ25" i="3"/>
  <c r="AQ24" i="3"/>
  <c r="AQ23" i="3"/>
  <c r="AQ22" i="3"/>
  <c r="AQ21" i="3"/>
  <c r="AQ20" i="3"/>
  <c r="AQ19" i="3"/>
  <c r="AN42" i="3" l="1"/>
  <c r="AL42" i="3"/>
  <c r="AJ42" i="3"/>
  <c r="AH42" i="3"/>
  <c r="AF42" i="3"/>
  <c r="AB42" i="3"/>
  <c r="X42" i="3"/>
  <c r="T42" i="3"/>
  <c r="P42" i="3"/>
  <c r="N42" i="3"/>
  <c r="L42" i="3"/>
  <c r="H42" i="3"/>
  <c r="F42" i="3"/>
  <c r="D42" i="3"/>
  <c r="F41" i="9" l="1"/>
  <c r="E41" i="9"/>
  <c r="D41" i="9"/>
  <c r="C41" i="9"/>
  <c r="H26" i="5" l="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P37" i="4"/>
  <c r="L37" i="4"/>
  <c r="N37" i="4" s="1"/>
  <c r="J37" i="4"/>
  <c r="H37" i="4"/>
  <c r="F37" i="4"/>
  <c r="D37" i="4"/>
  <c r="AN38" i="3"/>
  <c r="AL38" i="3"/>
  <c r="AJ38" i="3"/>
  <c r="AH38" i="3"/>
  <c r="AF38" i="3"/>
  <c r="AB38" i="3"/>
  <c r="X38" i="3"/>
  <c r="T38" i="3"/>
  <c r="P38" i="3"/>
  <c r="N38" i="3"/>
  <c r="L38" i="3"/>
  <c r="H38" i="3"/>
  <c r="F38" i="3"/>
  <c r="D38" i="3"/>
  <c r="AD38" i="3" l="1"/>
  <c r="AC38" i="3"/>
  <c r="R38" i="3"/>
  <c r="Q38" i="3"/>
  <c r="J38" i="3"/>
  <c r="I38" i="3"/>
  <c r="AP38" i="3" s="1"/>
  <c r="E33" i="8" s="1"/>
  <c r="V38" i="3"/>
  <c r="U38" i="3"/>
  <c r="Z38" i="3"/>
  <c r="Y38" i="3"/>
  <c r="R37" i="4"/>
  <c r="H33" i="8" s="1"/>
  <c r="E39" i="5"/>
  <c r="S37" i="4"/>
  <c r="I33" i="8" s="1"/>
  <c r="BI39" i="5"/>
  <c r="L33" i="8" s="1"/>
  <c r="BH39" i="5"/>
  <c r="K33" i="8" s="1"/>
  <c r="M37" i="4"/>
  <c r="I24" i="4"/>
  <c r="I21" i="4"/>
  <c r="I19" i="4"/>
  <c r="AQ38" i="3" l="1"/>
  <c r="F33" i="8" s="1"/>
  <c r="AM10" i="3"/>
  <c r="AK10" i="3"/>
  <c r="AK11" i="3" s="1"/>
  <c r="AG10" i="3"/>
  <c r="AG11" i="3" s="1"/>
  <c r="AI10" i="3"/>
  <c r="AI11" i="3" s="1"/>
  <c r="AI12" i="3" s="1"/>
  <c r="AM11" i="3" l="1"/>
  <c r="AM12" i="3" s="1"/>
  <c r="AK12" i="3"/>
  <c r="AG12" i="3"/>
  <c r="J32" i="5"/>
  <c r="AE11" i="3" l="1"/>
  <c r="AE12" i="3" s="1"/>
  <c r="AA11" i="3"/>
  <c r="AA12" i="3" s="1"/>
  <c r="W11" i="3"/>
  <c r="W12" i="3" s="1"/>
  <c r="S11" i="3"/>
  <c r="S12" i="3" s="1"/>
  <c r="O11" i="3"/>
  <c r="O12" i="3" s="1"/>
  <c r="M11" i="3"/>
  <c r="M12" i="3" s="1"/>
  <c r="K11" i="3"/>
  <c r="K12" i="3" s="1"/>
  <c r="G11" i="3"/>
  <c r="G12" i="3" s="1"/>
  <c r="E11" i="3"/>
  <c r="E12" i="3" s="1"/>
  <c r="C11" i="3"/>
  <c r="C12" i="3" s="1"/>
  <c r="H21" i="4" l="1"/>
  <c r="H20" i="4"/>
  <c r="J15" i="5" l="1"/>
  <c r="H12" i="4"/>
  <c r="AN33" i="3" l="1"/>
  <c r="AJ35" i="5"/>
  <c r="BB30" i="5" l="1"/>
  <c r="L9" i="5" l="1"/>
  <c r="N6" i="4" l="1"/>
  <c r="M6" i="4"/>
  <c r="T33" i="3" l="1"/>
  <c r="T32" i="3"/>
  <c r="T31" i="3"/>
  <c r="T30" i="3"/>
  <c r="V30" i="3" l="1"/>
  <c r="U30" i="3"/>
  <c r="U31" i="3"/>
  <c r="V31" i="3"/>
  <c r="U32" i="3"/>
  <c r="V32" i="3"/>
  <c r="U33" i="3"/>
  <c r="V33" i="3"/>
  <c r="T29" i="3"/>
  <c r="U29" i="3" l="1"/>
  <c r="V29" i="3"/>
  <c r="X31" i="5"/>
  <c r="H16" i="5" l="1"/>
  <c r="R15" i="5" l="1"/>
  <c r="L7" i="4" l="1"/>
  <c r="N7" i="4" l="1"/>
  <c r="M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6" i="4"/>
  <c r="H35" i="4"/>
  <c r="H34" i="4"/>
  <c r="H33" i="4"/>
  <c r="H32" i="4"/>
  <c r="H31" i="4"/>
  <c r="H30" i="4"/>
  <c r="H29" i="4"/>
  <c r="H28" i="4"/>
  <c r="H27" i="4"/>
  <c r="H26" i="4"/>
  <c r="H25" i="4"/>
  <c r="H24" i="4"/>
  <c r="H23" i="4"/>
  <c r="H22" i="4"/>
  <c r="H19" i="4"/>
  <c r="H18" i="4"/>
  <c r="H17" i="4"/>
  <c r="H16" i="4"/>
  <c r="H15" i="4"/>
  <c r="H14" i="4"/>
  <c r="H13" i="4"/>
  <c r="H11" i="4"/>
  <c r="H10" i="4"/>
  <c r="H9" i="4"/>
  <c r="H8" i="4"/>
  <c r="H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N37" i="3"/>
  <c r="AN36" i="3"/>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7" i="3"/>
  <c r="T36" i="3"/>
  <c r="T35" i="3"/>
  <c r="T34" i="3"/>
  <c r="T28" i="3"/>
  <c r="T27" i="3"/>
  <c r="T26" i="3"/>
  <c r="T25" i="3"/>
  <c r="T24" i="3"/>
  <c r="T23" i="3"/>
  <c r="T22" i="3"/>
  <c r="T21" i="3"/>
  <c r="T20" i="3"/>
  <c r="T19" i="3"/>
  <c r="T18" i="3"/>
  <c r="T17" i="3"/>
  <c r="T16" i="3"/>
  <c r="T15" i="3"/>
  <c r="T14" i="3"/>
  <c r="T13" i="3"/>
  <c r="T12" i="3"/>
  <c r="T11" i="3"/>
  <c r="T10" i="3"/>
  <c r="T9" i="3"/>
  <c r="T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I15" i="3" l="1"/>
  <c r="J15" i="3"/>
  <c r="I23" i="3"/>
  <c r="J23" i="3"/>
  <c r="I31" i="3"/>
  <c r="J31" i="3"/>
  <c r="Q9" i="3"/>
  <c r="R9" i="3"/>
  <c r="D39" i="3"/>
  <c r="J12" i="3"/>
  <c r="I12" i="3"/>
  <c r="I20" i="3"/>
  <c r="J20" i="3"/>
  <c r="I28" i="3"/>
  <c r="J28" i="3"/>
  <c r="I36" i="3"/>
  <c r="J36" i="3"/>
  <c r="Q14" i="3"/>
  <c r="R14" i="3"/>
  <c r="Q22" i="3"/>
  <c r="R22" i="3"/>
  <c r="Q30" i="3"/>
  <c r="R30" i="3"/>
  <c r="V12" i="3"/>
  <c r="U12" i="3"/>
  <c r="U20" i="3"/>
  <c r="V20" i="3"/>
  <c r="U24" i="3"/>
  <c r="V24" i="3"/>
  <c r="U37" i="3"/>
  <c r="V37" i="3"/>
  <c r="Z15" i="3"/>
  <c r="Y15" i="3"/>
  <c r="Z23" i="3"/>
  <c r="Y23" i="3"/>
  <c r="Z31" i="3"/>
  <c r="Y31" i="3"/>
  <c r="AC9" i="3"/>
  <c r="AD9" i="3"/>
  <c r="AC17" i="3"/>
  <c r="AD17" i="3"/>
  <c r="AC25" i="3"/>
  <c r="AD25" i="3"/>
  <c r="AC33" i="3"/>
  <c r="AD33" i="3"/>
  <c r="I9" i="3"/>
  <c r="J9" i="3"/>
  <c r="I13" i="3"/>
  <c r="J13" i="3"/>
  <c r="I17" i="3"/>
  <c r="J17" i="3"/>
  <c r="I21" i="3"/>
  <c r="J21" i="3"/>
  <c r="I25" i="3"/>
  <c r="J25" i="3"/>
  <c r="I29" i="3"/>
  <c r="J29" i="3"/>
  <c r="I33" i="3"/>
  <c r="J33" i="3"/>
  <c r="I37" i="3"/>
  <c r="J37" i="3"/>
  <c r="R11" i="3"/>
  <c r="Q11" i="3"/>
  <c r="R15" i="3"/>
  <c r="Q15" i="3"/>
  <c r="R19" i="3"/>
  <c r="Q19" i="3"/>
  <c r="R23" i="3"/>
  <c r="Q23" i="3"/>
  <c r="Q27" i="3"/>
  <c r="R27" i="3"/>
  <c r="R31" i="3"/>
  <c r="Q31" i="3"/>
  <c r="R35" i="3"/>
  <c r="Q35" i="3"/>
  <c r="U9" i="3"/>
  <c r="V9" i="3"/>
  <c r="U13" i="3"/>
  <c r="V13" i="3"/>
  <c r="U17" i="3"/>
  <c r="V17" i="3"/>
  <c r="U21" i="3"/>
  <c r="V21" i="3"/>
  <c r="U25" i="3"/>
  <c r="V25" i="3"/>
  <c r="V34" i="3"/>
  <c r="U34" i="3"/>
  <c r="Y8" i="3"/>
  <c r="Z8" i="3"/>
  <c r="X39" i="3"/>
  <c r="Y12" i="3"/>
  <c r="Z12" i="3"/>
  <c r="Y16" i="3"/>
  <c r="Z16" i="3"/>
  <c r="Y20" i="3"/>
  <c r="Z20" i="3"/>
  <c r="Y24" i="3"/>
  <c r="Z24" i="3"/>
  <c r="Y28" i="3"/>
  <c r="Z28" i="3"/>
  <c r="Y32" i="3"/>
  <c r="Z32" i="3"/>
  <c r="Y36" i="3"/>
  <c r="Z36" i="3"/>
  <c r="AC10" i="3"/>
  <c r="AD10" i="3"/>
  <c r="AD14" i="3"/>
  <c r="AC14" i="3"/>
  <c r="AC18" i="3"/>
  <c r="AD18" i="3"/>
  <c r="AD22" i="3"/>
  <c r="AC22" i="3"/>
  <c r="AD26" i="3"/>
  <c r="AC26" i="3"/>
  <c r="AD30" i="3"/>
  <c r="AC30" i="3"/>
  <c r="AC34" i="3"/>
  <c r="AD34" i="3"/>
  <c r="AF39" i="3"/>
  <c r="AJ39" i="3"/>
  <c r="AN39" i="3"/>
  <c r="I11" i="3"/>
  <c r="AP11" i="3" s="1"/>
  <c r="E6" i="8" s="1"/>
  <c r="J11" i="3"/>
  <c r="I19" i="3"/>
  <c r="J19" i="3"/>
  <c r="I27" i="3"/>
  <c r="J27" i="3"/>
  <c r="I35" i="3"/>
  <c r="J35" i="3"/>
  <c r="I8" i="3"/>
  <c r="J8" i="3"/>
  <c r="H39" i="3"/>
  <c r="I16" i="3"/>
  <c r="J16" i="3"/>
  <c r="J24" i="3"/>
  <c r="I24" i="3"/>
  <c r="J32" i="3"/>
  <c r="I32" i="3"/>
  <c r="N39" i="3"/>
  <c r="Q10" i="3"/>
  <c r="R10" i="3"/>
  <c r="Q18" i="3"/>
  <c r="R18" i="3"/>
  <c r="Q26" i="3"/>
  <c r="R26" i="3"/>
  <c r="Q34" i="3"/>
  <c r="R34" i="3"/>
  <c r="U8" i="3"/>
  <c r="V8" i="3"/>
  <c r="T39" i="3"/>
  <c r="U16" i="3"/>
  <c r="V16" i="3"/>
  <c r="V28" i="3"/>
  <c r="U28" i="3"/>
  <c r="Z11" i="3"/>
  <c r="Y11" i="3"/>
  <c r="Z19" i="3"/>
  <c r="Y19" i="3"/>
  <c r="Z27" i="3"/>
  <c r="Y27" i="3"/>
  <c r="Z35" i="3"/>
  <c r="Y35" i="3"/>
  <c r="AC13" i="3"/>
  <c r="AD13" i="3"/>
  <c r="AC21" i="3"/>
  <c r="AD21" i="3"/>
  <c r="AC29" i="3"/>
  <c r="AD29" i="3"/>
  <c r="AC37" i="3"/>
  <c r="AD37" i="3"/>
  <c r="F39" i="3"/>
  <c r="J10" i="3"/>
  <c r="I10" i="3"/>
  <c r="J14" i="3"/>
  <c r="I14" i="3"/>
  <c r="J18" i="3"/>
  <c r="I18" i="3"/>
  <c r="AP18" i="3" s="1"/>
  <c r="E13" i="8" s="1"/>
  <c r="J22" i="3"/>
  <c r="I22" i="3"/>
  <c r="J26" i="3"/>
  <c r="I26" i="3"/>
  <c r="J30" i="3"/>
  <c r="I30" i="3"/>
  <c r="I34" i="3"/>
  <c r="AP34" i="3" s="1"/>
  <c r="E29" i="8" s="1"/>
  <c r="J34" i="3"/>
  <c r="L39" i="3"/>
  <c r="Q8" i="3"/>
  <c r="R8" i="3"/>
  <c r="P39" i="3"/>
  <c r="Q12" i="3"/>
  <c r="R12" i="3"/>
  <c r="Q16" i="3"/>
  <c r="R16" i="3"/>
  <c r="Q20" i="3"/>
  <c r="R20" i="3"/>
  <c r="Q24" i="3"/>
  <c r="R24" i="3"/>
  <c r="Q28" i="3"/>
  <c r="R28" i="3"/>
  <c r="Q32" i="3"/>
  <c r="R32" i="3"/>
  <c r="Q36" i="3"/>
  <c r="R36" i="3"/>
  <c r="V10" i="3"/>
  <c r="U10" i="3"/>
  <c r="V14" i="3"/>
  <c r="U14" i="3"/>
  <c r="V18" i="3"/>
  <c r="U18" i="3"/>
  <c r="V22" i="3"/>
  <c r="U22" i="3"/>
  <c r="V26" i="3"/>
  <c r="U26" i="3"/>
  <c r="U35" i="3"/>
  <c r="V35" i="3"/>
  <c r="Y9" i="3"/>
  <c r="Z9" i="3"/>
  <c r="Z13" i="3"/>
  <c r="Y13" i="3"/>
  <c r="Y17" i="3"/>
  <c r="Z17" i="3"/>
  <c r="Y21" i="3"/>
  <c r="Z21" i="3"/>
  <c r="Y25" i="3"/>
  <c r="Z25" i="3"/>
  <c r="Z29" i="3"/>
  <c r="Y29" i="3"/>
  <c r="Y33" i="3"/>
  <c r="Z33" i="3"/>
  <c r="Z37" i="3"/>
  <c r="Y37" i="3"/>
  <c r="AC11" i="3"/>
  <c r="AD11" i="3"/>
  <c r="AC15" i="3"/>
  <c r="AD15" i="3"/>
  <c r="AC19" i="3"/>
  <c r="AD19" i="3"/>
  <c r="AC23" i="3"/>
  <c r="AD23" i="3"/>
  <c r="AC27" i="3"/>
  <c r="AD27" i="3"/>
  <c r="AC31" i="3"/>
  <c r="AD31" i="3"/>
  <c r="AC35" i="3"/>
  <c r="AD35" i="3"/>
  <c r="Q13" i="3"/>
  <c r="R13" i="3"/>
  <c r="R17" i="3"/>
  <c r="Q17" i="3"/>
  <c r="Q21" i="3"/>
  <c r="R21" i="3"/>
  <c r="R25" i="3"/>
  <c r="Q25" i="3"/>
  <c r="Q29" i="3"/>
  <c r="R29" i="3"/>
  <c r="R33" i="3"/>
  <c r="Q33" i="3"/>
  <c r="Q37" i="3"/>
  <c r="R37" i="3"/>
  <c r="U11" i="3"/>
  <c r="V11" i="3"/>
  <c r="U15" i="3"/>
  <c r="V15" i="3"/>
  <c r="U19" i="3"/>
  <c r="V19" i="3"/>
  <c r="U23" i="3"/>
  <c r="V23" i="3"/>
  <c r="U27" i="3"/>
  <c r="V27" i="3"/>
  <c r="V36" i="3"/>
  <c r="U36" i="3"/>
  <c r="Y10" i="3"/>
  <c r="Z10" i="3"/>
  <c r="Y14" i="3"/>
  <c r="Z14" i="3"/>
  <c r="Y18" i="3"/>
  <c r="Z18" i="3"/>
  <c r="Y22" i="3"/>
  <c r="Z22" i="3"/>
  <c r="Y26" i="3"/>
  <c r="Z26" i="3"/>
  <c r="Y30" i="3"/>
  <c r="Z30" i="3"/>
  <c r="Y34" i="3"/>
  <c r="Z34" i="3"/>
  <c r="AD8" i="3"/>
  <c r="AC8" i="3"/>
  <c r="AB39" i="3"/>
  <c r="AC12" i="3"/>
  <c r="AD12" i="3"/>
  <c r="AD16" i="3"/>
  <c r="AC16" i="3"/>
  <c r="AC20" i="3"/>
  <c r="AD20" i="3"/>
  <c r="AD24" i="3"/>
  <c r="AC24" i="3"/>
  <c r="AC28" i="3"/>
  <c r="AD28" i="3"/>
  <c r="AD32" i="3"/>
  <c r="AC32" i="3"/>
  <c r="AC36" i="3"/>
  <c r="AD36" i="3"/>
  <c r="AH39" i="3"/>
  <c r="AL39" i="3"/>
  <c r="M12" i="4"/>
  <c r="N26" i="4"/>
  <c r="M32" i="4"/>
  <c r="M8" i="4"/>
  <c r="M18" i="4"/>
  <c r="N22" i="4"/>
  <c r="M28" i="4"/>
  <c r="M34" i="4"/>
  <c r="M10" i="4"/>
  <c r="M24" i="4"/>
  <c r="M30" i="4"/>
  <c r="M20" i="4"/>
  <c r="M36" i="4"/>
  <c r="M16" i="4"/>
  <c r="M14" i="4"/>
  <c r="F38" i="4"/>
  <c r="D38" i="4"/>
  <c r="J38" i="4"/>
  <c r="P38" i="4"/>
  <c r="L38" i="4"/>
  <c r="M9" i="4"/>
  <c r="M11" i="4"/>
  <c r="M13" i="4"/>
  <c r="M15" i="4"/>
  <c r="M17" i="4"/>
  <c r="M19" i="4"/>
  <c r="M21" i="4"/>
  <c r="M23" i="4"/>
  <c r="M25" i="4"/>
  <c r="M27" i="4"/>
  <c r="M29" i="4"/>
  <c r="M31" i="4"/>
  <c r="M33" i="4"/>
  <c r="M35" i="4"/>
  <c r="H38" i="4"/>
  <c r="N9" i="4"/>
  <c r="AZ11" i="5"/>
  <c r="AT12" i="5"/>
  <c r="AJ11" i="5"/>
  <c r="AN11" i="5"/>
  <c r="AP11" i="5"/>
  <c r="AV12" i="5"/>
  <c r="AP26" i="3" l="1"/>
  <c r="E21" i="8" s="1"/>
  <c r="AP10" i="3"/>
  <c r="AP29" i="3"/>
  <c r="E24" i="8" s="1"/>
  <c r="AP13" i="3"/>
  <c r="E8" i="8" s="1"/>
  <c r="AP20" i="3"/>
  <c r="E15" i="8" s="1"/>
  <c r="AP32" i="3"/>
  <c r="E27" i="8" s="1"/>
  <c r="AP8" i="3"/>
  <c r="AP27" i="3"/>
  <c r="E22" i="8" s="1"/>
  <c r="AP22" i="3"/>
  <c r="E17" i="8" s="1"/>
  <c r="AP16" i="3"/>
  <c r="E11" i="8" s="1"/>
  <c r="F30" i="8"/>
  <c r="F14" i="8"/>
  <c r="AQ11" i="3"/>
  <c r="F6" i="8" s="1"/>
  <c r="AP33" i="3"/>
  <c r="E28" i="8" s="1"/>
  <c r="AP25" i="3"/>
  <c r="E20" i="8" s="1"/>
  <c r="AP17" i="3"/>
  <c r="E12" i="8" s="1"/>
  <c r="AP9" i="3"/>
  <c r="E4" i="8" s="1"/>
  <c r="AP30" i="3"/>
  <c r="E25" i="8" s="1"/>
  <c r="AP14" i="3"/>
  <c r="E9" i="8" s="1"/>
  <c r="AP37" i="3"/>
  <c r="E32" i="8" s="1"/>
  <c r="AP21" i="3"/>
  <c r="E16" i="8" s="1"/>
  <c r="AP35" i="3"/>
  <c r="E30" i="8" s="1"/>
  <c r="AP36" i="3"/>
  <c r="E31" i="8" s="1"/>
  <c r="AP28" i="3"/>
  <c r="E23" i="8" s="1"/>
  <c r="AP12" i="3"/>
  <c r="E7" i="8" s="1"/>
  <c r="AP24" i="3"/>
  <c r="E19" i="8" s="1"/>
  <c r="AP19" i="3"/>
  <c r="E14" i="8" s="1"/>
  <c r="AP23" i="3"/>
  <c r="E18" i="8" s="1"/>
  <c r="AP31" i="3"/>
  <c r="E26" i="8" s="1"/>
  <c r="AP15" i="3"/>
  <c r="E10" i="8" s="1"/>
  <c r="F17" i="8"/>
  <c r="F27" i="8"/>
  <c r="AQ16" i="3"/>
  <c r="F11" i="8" s="1"/>
  <c r="F21" i="8"/>
  <c r="AQ9" i="3"/>
  <c r="F4" i="8" s="1"/>
  <c r="F28" i="8"/>
  <c r="F20" i="8"/>
  <c r="AQ17" i="3"/>
  <c r="F12" i="8" s="1"/>
  <c r="AQ8" i="3"/>
  <c r="F26" i="8"/>
  <c r="F18" i="8"/>
  <c r="AQ15" i="3"/>
  <c r="F10" i="8" s="1"/>
  <c r="F25" i="8"/>
  <c r="AQ14" i="3"/>
  <c r="F9" i="8" s="1"/>
  <c r="F19" i="8"/>
  <c r="AQ10" i="3"/>
  <c r="F32" i="8"/>
  <c r="F24" i="8"/>
  <c r="F16" i="8"/>
  <c r="AQ13" i="3"/>
  <c r="F8" i="8" s="1"/>
  <c r="F31" i="8"/>
  <c r="F23" i="8"/>
  <c r="F15" i="8"/>
  <c r="AQ12" i="3"/>
  <c r="F7" i="8" s="1"/>
  <c r="F29" i="8"/>
  <c r="AQ18" i="3"/>
  <c r="F13" i="8" s="1"/>
  <c r="F22" i="8"/>
  <c r="F5" i="8"/>
  <c r="E5" i="8"/>
  <c r="X11" i="5"/>
  <c r="AD11" i="5"/>
  <c r="AF11" i="5"/>
  <c r="N9" i="5"/>
  <c r="J9" i="5"/>
  <c r="N10" i="5"/>
  <c r="L11" i="5"/>
  <c r="L10" i="5"/>
  <c r="J11" i="5"/>
  <c r="J10" i="5"/>
  <c r="H11" i="5"/>
  <c r="H10" i="5"/>
  <c r="H9" i="5"/>
  <c r="D11" i="5"/>
  <c r="D10" i="5"/>
  <c r="D9" i="5"/>
  <c r="AQ39" i="3" l="1"/>
  <c r="AP39" i="3"/>
  <c r="F3" i="8"/>
  <c r="AR39" i="3"/>
  <c r="E9" i="5"/>
  <c r="F9" i="5"/>
  <c r="F10" i="5"/>
  <c r="E10" i="5"/>
  <c r="F11" i="5"/>
  <c r="E11" i="5"/>
  <c r="AR12" i="5"/>
  <c r="AR14" i="5"/>
  <c r="AR13" i="5"/>
  <c r="AR11" i="5"/>
  <c r="T10" i="5" l="1"/>
  <c r="V10" i="5"/>
  <c r="AD27" i="5" l="1"/>
  <c r="R7" i="4" l="1"/>
  <c r="R8" i="4"/>
  <c r="H4" i="8" s="1"/>
  <c r="S8" i="4"/>
  <c r="I4" i="8" s="1"/>
  <c r="R9" i="4"/>
  <c r="H5" i="8" s="1"/>
  <c r="R10" i="4"/>
  <c r="H6" i="8" s="1"/>
  <c r="S10" i="4"/>
  <c r="I6" i="8" s="1"/>
  <c r="R11" i="4"/>
  <c r="H7" i="8" s="1"/>
  <c r="R12" i="4"/>
  <c r="H8" i="8" s="1"/>
  <c r="S12" i="4"/>
  <c r="I8" i="8" s="1"/>
  <c r="R13" i="4"/>
  <c r="H9" i="8" s="1"/>
  <c r="R14" i="4"/>
  <c r="H10" i="8" s="1"/>
  <c r="S14" i="4"/>
  <c r="I10" i="8" s="1"/>
  <c r="R15" i="4"/>
  <c r="H11" i="8" s="1"/>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1" i="5"/>
  <c r="J30" i="5"/>
  <c r="J29" i="5"/>
  <c r="J28" i="5"/>
  <c r="J27" i="5"/>
  <c r="J26" i="5"/>
  <c r="J25" i="5"/>
  <c r="J24" i="5"/>
  <c r="J23" i="5"/>
  <c r="J22" i="5"/>
  <c r="J21" i="5"/>
  <c r="J20" i="5"/>
  <c r="J19" i="5"/>
  <c r="J18" i="5"/>
  <c r="J17" i="5"/>
  <c r="J16"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R10" i="5"/>
  <c r="P10" i="5"/>
  <c r="S35" i="4" l="1"/>
  <c r="I31" i="8" s="1"/>
  <c r="BI10" i="5"/>
  <c r="L4" i="8" s="1"/>
  <c r="BH10" i="5"/>
  <c r="K4" i="8" s="1"/>
  <c r="R35" i="4"/>
  <c r="H31" i="8" s="1"/>
  <c r="AZ22" i="5"/>
  <c r="AZ21" i="5"/>
  <c r="AZ20" i="5"/>
  <c r="AZ19" i="5"/>
  <c r="AZ18" i="5"/>
  <c r="AZ23" i="5"/>
  <c r="AD19" i="5"/>
  <c r="AR17" i="5" l="1"/>
  <c r="AR16" i="5"/>
  <c r="AT36" i="5" l="1"/>
  <c r="AJ33" i="5" l="1"/>
  <c r="AT30" i="5" l="1"/>
  <c r="V11" i="5" l="1"/>
  <c r="V9" i="5"/>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BI25" i="5" s="1"/>
  <c r="L19" i="8" s="1"/>
  <c r="E28" i="5"/>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F32" i="5"/>
  <c r="BI32" i="5" s="1"/>
  <c r="L26" i="8" s="1"/>
  <c r="E36" i="5"/>
  <c r="BH36" i="5" s="1"/>
  <c r="K30" i="8" s="1"/>
  <c r="F36" i="5"/>
  <c r="BI36" i="5" s="1"/>
  <c r="L30" i="8" s="1"/>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E18" i="5"/>
  <c r="BH18" i="5" s="1"/>
  <c r="K12" i="8" s="1"/>
  <c r="F23" i="5"/>
  <c r="BI23" i="5" s="1"/>
  <c r="L17" i="8" s="1"/>
  <c r="E23" i="5"/>
  <c r="F31" i="5"/>
  <c r="BI31" i="5" s="1"/>
  <c r="L25" i="8" s="1"/>
  <c r="E31" i="5"/>
  <c r="BH31" i="5" s="1"/>
  <c r="K25" i="8" s="1"/>
  <c r="F37" i="5"/>
  <c r="BI37" i="5" s="1"/>
  <c r="L31" i="8" s="1"/>
  <c r="E37" i="5"/>
  <c r="BH37" i="5" s="1"/>
  <c r="K31" i="8"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K29" i="8" s="1"/>
  <c r="E38" i="5"/>
  <c r="BH38" i="5" s="1"/>
  <c r="K32" i="8" s="1"/>
  <c r="F38" i="5"/>
  <c r="BI38" i="5" s="1"/>
  <c r="L32" i="8" s="1"/>
  <c r="BI9" i="5"/>
  <c r="L3" i="8" s="1"/>
  <c r="BH9" i="5"/>
  <c r="BH25" i="5"/>
  <c r="K19" i="8" s="1"/>
  <c r="BH32" i="5"/>
  <c r="K26" i="8" s="1"/>
  <c r="BI18" i="5"/>
  <c r="L12" i="8" s="1"/>
  <c r="S32" i="4"/>
  <c r="I28" i="8" s="1"/>
  <c r="S36" i="4"/>
  <c r="I32" i="8" s="1"/>
  <c r="S33" i="4"/>
  <c r="I29" i="8" s="1"/>
  <c r="S31" i="4"/>
  <c r="I27" i="8" s="1"/>
  <c r="S28" i="4"/>
  <c r="I24" i="8" s="1"/>
  <c r="S26" i="4"/>
  <c r="I22" i="8" s="1"/>
  <c r="R36" i="4"/>
  <c r="H32" i="8" s="1"/>
  <c r="S18" i="4"/>
  <c r="I14" i="8" s="1"/>
  <c r="S23" i="4"/>
  <c r="I19" i="8" s="1"/>
  <c r="S25" i="4"/>
  <c r="I21" i="8" s="1"/>
  <c r="S30" i="4"/>
  <c r="I26" i="8" s="1"/>
  <c r="R32" i="4"/>
  <c r="H28" i="8" s="1"/>
  <c r="R34" i="4"/>
  <c r="H30" i="8" s="1"/>
  <c r="R16" i="4"/>
  <c r="H12" i="8" s="1"/>
  <c r="R22" i="4"/>
  <c r="H18" i="8" s="1"/>
  <c r="S34" i="4"/>
  <c r="I30" i="8" s="1"/>
  <c r="R33" i="4"/>
  <c r="H29" i="8" s="1"/>
  <c r="R30" i="4"/>
  <c r="H26" i="8" s="1"/>
  <c r="R31" i="4"/>
  <c r="H27" i="8" s="1"/>
  <c r="R29" i="4"/>
  <c r="H25" i="8" s="1"/>
  <c r="S29" i="4"/>
  <c r="I25" i="8" s="1"/>
  <c r="R28" i="4"/>
  <c r="H24" i="8" s="1"/>
  <c r="S27" i="4"/>
  <c r="I23" i="8" s="1"/>
  <c r="R27" i="4"/>
  <c r="H23" i="8" s="1"/>
  <c r="R26" i="4"/>
  <c r="H22" i="8" s="1"/>
  <c r="R25" i="4"/>
  <c r="H21" i="8" s="1"/>
  <c r="S24" i="4"/>
  <c r="I20" i="8" s="1"/>
  <c r="R23" i="4"/>
  <c r="H19" i="8" s="1"/>
  <c r="R24" i="4"/>
  <c r="H20" i="8" s="1"/>
  <c r="S21" i="4"/>
  <c r="I17" i="8" s="1"/>
  <c r="S22" i="4"/>
  <c r="I18" i="8" s="1"/>
  <c r="S20" i="4"/>
  <c r="I16" i="8" s="1"/>
  <c r="S19" i="4"/>
  <c r="I15" i="8" s="1"/>
  <c r="R21" i="4"/>
  <c r="H17" i="8" s="1"/>
  <c r="R20" i="4"/>
  <c r="H16" i="8" s="1"/>
  <c r="R19" i="4"/>
  <c r="H15" i="8" s="1"/>
  <c r="R18" i="4"/>
  <c r="H14" i="8" s="1"/>
  <c r="BH23" i="5"/>
  <c r="K17" i="8" s="1"/>
  <c r="S17" i="4"/>
  <c r="I13" i="8" s="1"/>
  <c r="R17" i="4"/>
  <c r="H13" i="8" s="1"/>
  <c r="BI11" i="5"/>
  <c r="L5" i="8" s="1"/>
  <c r="BH11" i="5"/>
  <c r="K5" i="8" s="1"/>
  <c r="BH28" i="5"/>
  <c r="K22" i="8" s="1"/>
  <c r="S16" i="4"/>
  <c r="I12" i="8" s="1"/>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G41" i="9" l="1"/>
  <c r="N33" i="8"/>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N8" i="8"/>
  <c r="K7" i="10" s="1"/>
  <c r="O4" i="8"/>
  <c r="L3" i="10" s="1"/>
  <c r="N4" i="8"/>
  <c r="K3" i="10" s="1"/>
  <c r="O3" i="8"/>
  <c r="L2" i="10" s="1"/>
  <c r="O8" i="8" l="1"/>
  <c r="L7" i="10" s="1"/>
  <c r="H41" i="9"/>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alcChain>
</file>

<file path=xl/sharedStrings.xml><?xml version="1.0" encoding="utf-8"?>
<sst xmlns="http://schemas.openxmlformats.org/spreadsheetml/2006/main" count="1417" uniqueCount="406">
  <si>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</si>
  <si>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</si>
  <si>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</si>
  <si>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</si>
  <si>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</si>
  <si>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</si>
  <si>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</si>
  <si>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</si>
  <si>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</si>
  <si>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</si>
  <si>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</si>
  <si>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</si>
  <si>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</si>
  <si>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</si>
  <si>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</si>
  <si>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</si>
  <si>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</si>
  <si>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</si>
  <si>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</si>
  <si>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</si>
  <si>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</si>
  <si>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</si>
  <si>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</si>
  <si>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</si>
  <si>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</si>
  <si>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</si>
  <si>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</si>
  <si>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</si>
  <si>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</si>
  <si>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</si>
  <si>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</si>
  <si>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</si>
  <si>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</si>
  <si>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</si>
  <si>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</si>
  <si>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</si>
  <si>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</si>
  <si>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</si>
  <si>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</si>
  <si>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</si>
  <si>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</si>
  <si>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</si>
  <si>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</si>
  <si>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</si>
  <si>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</si>
  <si>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</si>
  <si>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</si>
  <si>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</si>
  <si>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</si>
  <si>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</si>
  <si>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</si>
  <si>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</si>
  <si>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</si>
  <si>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</si>
  <si>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</si>
  <si>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</si>
  <si>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</si>
  <si>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</si>
  <si>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</si>
  <si>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</si>
  <si>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</si>
  <si>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</si>
  <si>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</si>
  <si>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</si>
  <si>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</si>
  <si>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</si>
  <si>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</si>
  <si>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</si>
  <si>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</si>
  <si>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</si>
  <si>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</si>
  <si>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</si>
  <si>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</si>
  <si>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</si>
  <si>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</si>
  <si>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</si>
  <si>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</si>
  <si>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</si>
  <si>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</si>
  <si>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</si>
  <si>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</si>
  <si>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</si>
  <si>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</si>
  <si>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</si>
  <si>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</si>
  <si>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</si>
  <si>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</si>
  <si>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</si>
  <si>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</si>
  <si>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</si>
  <si>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</si>
  <si>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</si>
  <si>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</si>
  <si>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</si>
  <si>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</si>
  <si>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</si>
  <si>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</si>
  <si>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</si>
  <si>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</si>
  <si>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</si>
  <si>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</si>
  <si>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</si>
  <si>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</si>
  <si>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</si>
  <si>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</si>
  <si>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</si>
  <si>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</si>
  <si>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</si>
  <si>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</si>
  <si>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</si>
  <si>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</si>
  <si>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</si>
  <si>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</si>
  <si>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</si>
  <si>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</si>
  <si>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</si>
  <si>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</si>
  <si>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</si>
  <si>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</si>
  <si>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</si>
  <si>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</si>
  <si>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</si>
  <si>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</si>
  <si>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</si>
  <si>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</si>
  <si>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</si>
  <si>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</si>
  <si>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</si>
  <si>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</si>
  <si>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</si>
  <si>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</si>
  <si>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</si>
  <si>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</si>
  <si>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</si>
  <si>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</si>
  <si>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</si>
  <si>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</si>
  <si>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</si>
  <si>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</si>
  <si>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</si>
  <si>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</si>
  <si>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</si>
  <si>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</si>
  <si>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</si>
  <si>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</si>
  <si>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</si>
  <si>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</si>
  <si>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</si>
  <si>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</si>
  <si>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</si>
  <si>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</si>
  <si>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</si>
  <si>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</si>
  <si>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</si>
  <si>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</si>
  <si>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</si>
  <si>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</si>
  <si>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</si>
  <si>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</si>
  <si>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</si>
  <si>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</si>
  <si>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</si>
  <si>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</si>
  <si>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</si>
  <si>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</si>
  <si>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</si>
  <si>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</si>
  <si>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</si>
  <si>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</si>
  <si>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</si>
  <si>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</si>
  <si>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</si>
  <si>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</si>
  <si>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</si>
  <si>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</si>
  <si>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</si>
  <si>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</si>
  <si>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</si>
  <si>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</si>
  <si>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</si>
  <si>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</si>
  <si>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</si>
  <si>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</si>
  <si>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</si>
  <si>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</si>
  <si>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</si>
  <si>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</si>
  <si>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</si>
  <si>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</si>
  <si>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</si>
  <si>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</si>
  <si>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</si>
  <si>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</si>
  <si>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</si>
  <si>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</si>
  <si>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</si>
  <si>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</si>
  <si>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</si>
  <si>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</si>
  <si>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</si>
  <si>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</si>
  <si>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</si>
  <si>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</si>
  <si>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</si>
  <si>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</si>
  <si>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</si>
  <si>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</si>
  <si>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</si>
  <si>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</si>
  <si>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</si>
  <si>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</si>
  <si>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</si>
  <si>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</si>
  <si>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</si>
  <si>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</si>
  <si>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</si>
  <si>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</si>
  <si>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</si>
  <si>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</si>
  <si>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</si>
  <si>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</si>
  <si>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</si>
  <si>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</si>
  <si>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</si>
  <si>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</si>
  <si>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</si>
  <si>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</si>
  <si>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</si>
  <si>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</si>
  <si>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</si>
  <si>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</si>
  <si>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</si>
  <si>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</si>
  <si>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</si>
  <si>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</si>
  <si>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</si>
  <si>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</si>
  <si>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</si>
  <si>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</si>
  <si>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</si>
  <si>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</si>
  <si>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</si>
  <si>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</si>
  <si>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</si>
  <si>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</si>
  <si>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</si>
  <si>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</si>
  <si>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</si>
  <si>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</si>
  <si>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</si>
  <si>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</si>
  <si>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</si>
  <si>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</si>
  <si>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</si>
  <si>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</si>
  <si>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</si>
  <si>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</si>
  <si>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</si>
  <si>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</si>
  <si>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</si>
  <si>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</si>
  <si>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</si>
  <si>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</si>
  <si>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</si>
  <si>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</si>
  <si>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</si>
  <si>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</si>
  <si>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</si>
  <si>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</si>
  <si>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</si>
  <si>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</si>
  <si>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</si>
  <si>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</si>
  <si>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</si>
  <si>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</si>
  <si>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</si>
  <si>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</si>
  <si>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</si>
  <si>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</si>
  <si>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</si>
  <si>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</si>
  <si>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</si>
  <si>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</si>
  <si>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</si>
  <si>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</si>
  <si>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</si>
  <si>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</si>
  <si>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</si>
  <si>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</si>
  <si>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</si>
  <si>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</si>
  <si>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</si>
  <si>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</si>
  <si>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</si>
  <si>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</si>
  <si>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</si>
  <si>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</si>
  <si>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</si>
  <si>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</si>
  <si>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</si>
  <si>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</si>
  <si>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</si>
  <si>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</si>
  <si>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</si>
  <si>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</si>
  <si>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</si>
  <si>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</si>
  <si>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</si>
  <si>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</si>
  <si>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</si>
  <si>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</si>
  <si>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</si>
  <si>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</si>
  <si>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</si>
  <si>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</si>
  <si>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</si>
  <si>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</si>
  <si>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</si>
  <si>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</si>
  <si>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</si>
  <si>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</si>
  <si>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</si>
  <si>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</si>
  <si>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</si>
  <si>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</si>
  <si>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</si>
  <si>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</si>
  <si>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</si>
  <si>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</si>
  <si>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</si>
  <si>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</si>
  <si>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</si>
  <si>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</si>
  <si>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</si>
  <si>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</si>
  <si>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</si>
  <si>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</si>
  <si>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</si>
  <si>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</si>
  <si>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</si>
  <si>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</si>
  <si>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</si>
  <si>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</si>
  <si>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</si>
  <si>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</si>
  <si>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</si>
  <si>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</si>
  <si>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</si>
  <si>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</si>
  <si>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</si>
  <si>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</si>
  <si>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</si>
  <si>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</si>
  <si>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</si>
  <si>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</si>
  <si>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</si>
  <si>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</si>
  <si>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</si>
  <si>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</si>
  <si>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</si>
  <si>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</si>
  <si>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</si>
  <si>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</si>
  <si>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</si>
  <si>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</si>
  <si>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</si>
  <si>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</si>
  <si>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</si>
  <si>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</si>
  <si>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</si>
  <si>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</si>
  <si>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</si>
  <si>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</si>
  <si>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</si>
  <si>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</si>
  <si>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</si>
  <si>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</si>
  <si>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</si>
  <si>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</si>
  <si>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</si>
  <si>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</si>
  <si>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</si>
  <si>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</si>
  <si>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</si>
  <si>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</si>
  <si>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</si>
  <si>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</si>
  <si>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</si>
  <si>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</si>
  <si>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</si>
  <si>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</si>
  <si>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</si>
  <si>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</si>
  <si>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</si>
  <si>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</si>
  <si>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</si>
  <si>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</si>
  <si>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</si>
  <si>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</si>
  <si>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</si>
  <si>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</si>
  <si>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</si>
  <si>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</si>
  <si>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Dec 2022</t>
  </si>
  <si>
    <t>Daily Record</t>
  </si>
  <si>
    <t>Monthly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</si>
</sst>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right/>
      <top/>
      <bottom style="thin">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3">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4"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49" fillId="4" borderId="2" xfId="0" applyFont="1" applyFill="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Border="1" applyAlignment="1" applyProtection="1">
      <alignment horizontal="center" vertical="center"/>
      <protection locked="0"/>
    </xf>
    <xf numFmtId="165" fontId="22" fillId="0" borderId="2" xfId="0" applyNumberFormat="1" applyFont="1" applyFill="1" applyBorder="1" applyAlignment="1" applyProtection="1">
      <alignment horizontal="center" vertical="center"/>
      <protection locked="0"/>
    </xf>
    <xf numFmtId="0" fontId="50" fillId="6" borderId="2" xfId="0" applyFont="1" applyFill="1" applyBorder="1" applyAlignment="1">
      <alignment horizontal="center" vertical="center"/>
    </xf>
    <xf numFmtId="1" fontId="1" fillId="0" borderId="0" xfId="0" applyNumberFormat="1" applyFont="1"/>
    <xf numFmtId="43" fontId="1" fillId="0" borderId="0" xfId="1" applyFont="1"/>
    <xf numFmtId="0" fontId="6" fillId="0" borderId="2" xfId="0" applyFont="1" applyBorder="1" applyAlignment="1">
      <alignment horizontal="center" vertical="center"/>
    </xf>
    <xf numFmtId="0" fontId="4" fillId="0" borderId="2" xfId="0" applyFont="1" applyBorder="1" applyAlignment="1">
      <alignment horizontal="center" vertical="center"/>
    </xf>
    <xf numFmtId="164" fontId="9" fillId="0" borderId="0" xfId="0" applyNumberFormat="1" applyFont="1" applyFill="1" applyAlignment="1">
      <alignment horizontal="center" vertical="center"/>
    </xf>
    <xf numFmtId="0" fontId="51" fillId="0" borderId="0" xfId="0" applyFont="1" applyFill="1" applyBorder="1" applyAlignment="1" applyProtection="1">
      <alignment horizontal="center" vertical="center"/>
      <protection locked="0"/>
    </xf>
    <xf numFmtId="0" fontId="44" fillId="0" borderId="0" xfId="0" applyFont="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43" fontId="9" fillId="0" borderId="11" xfId="1" applyFont="1" applyFill="1" applyBorder="1" applyAlignment="1">
      <alignment horizontal="center" vertical="center"/>
    </xf>
    <xf numFmtId="43" fontId="9" fillId="0" borderId="50" xfId="1"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C1" workbookViewId="0">
      <selection activeCell="Q15" sqref="Q1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7" t="s">
        <v>3</v>
      </c>
      <c r="B1" s="167" t="s">
        <v>4</v>
      </c>
      <c r="C1" s="168" t="s">
        <v>5</v>
      </c>
      <c r="D1" s="167" t="s">
        <v>64</v>
      </c>
      <c r="E1" s="169" t="s">
        <v>394</v>
      </c>
      <c r="F1" s="170" t="s">
        <v>395</v>
      </c>
      <c r="G1" s="169" t="s">
        <v>401</v>
      </c>
      <c r="H1" s="170" t="s">
        <v>396</v>
      </c>
      <c r="I1" s="169" t="s">
        <v>397</v>
      </c>
      <c r="J1" s="171" t="s">
        <v>398</v>
      </c>
      <c r="K1" s="169" t="s">
        <v>399</v>
      </c>
      <c r="L1" s="169" t="s">
        <v>63</v>
      </c>
    </row>
    <row r="2" spans="1:12">
      <c r="A2" s="172" t="s">
        <v>400</v>
      </c>
      <c r="B2" s="173">
        <v>1</v>
      </c>
      <c r="C2" s="174">
        <v>12</v>
      </c>
      <c r="D2" s="173">
        <v>2022</v>
      </c>
      <c r="E2" s="114">
        <f>Combine!G3</f>
        <v>63535.1</v>
      </c>
      <c r="F2" s="175">
        <v>1.9459154093868276</v>
      </c>
      <c r="G2" s="114">
        <f>Combine!M3</f>
        <v>6171.9956487956497</v>
      </c>
      <c r="H2" s="176">
        <v>9.4525541387733796</v>
      </c>
      <c r="I2" s="114">
        <f>Combine!J3</f>
        <v>883.75</v>
      </c>
      <c r="J2" s="175">
        <v>8.3787077622729171</v>
      </c>
      <c r="K2" s="114">
        <f>Combine!N3</f>
        <v>589</v>
      </c>
      <c r="L2" s="114">
        <f>Combine!O3</f>
        <v>1183</v>
      </c>
    </row>
    <row r="3" spans="1:12">
      <c r="A3" s="172" t="s">
        <v>400</v>
      </c>
      <c r="B3" s="173">
        <v>2</v>
      </c>
      <c r="C3" s="174">
        <v>12</v>
      </c>
      <c r="D3" s="173">
        <v>2022</v>
      </c>
      <c r="E3" s="114">
        <f>Combine!G4</f>
        <v>61027.1</v>
      </c>
      <c r="F3" s="175">
        <v>1.9459154093868276</v>
      </c>
      <c r="G3" s="114">
        <f>Combine!M4</f>
        <v>6979.3317793317792</v>
      </c>
      <c r="H3" s="176">
        <v>9.4525541387733796</v>
      </c>
      <c r="I3" s="114">
        <f>Combine!J4</f>
        <v>929.5</v>
      </c>
      <c r="J3" s="175">
        <v>8.3787077622729171</v>
      </c>
      <c r="K3" s="114">
        <f>Combine!N4</f>
        <v>568</v>
      </c>
      <c r="L3" s="114">
        <f>Combine!O4</f>
        <v>1183</v>
      </c>
    </row>
    <row r="4" spans="1:12">
      <c r="A4" s="172" t="s">
        <v>400</v>
      </c>
      <c r="B4" s="173">
        <v>3</v>
      </c>
      <c r="C4" s="174">
        <v>12</v>
      </c>
      <c r="D4" s="173">
        <v>2022</v>
      </c>
      <c r="E4" s="114">
        <f>Combine!G5</f>
        <v>69752.100000000006</v>
      </c>
      <c r="F4" s="175">
        <v>1.9459154093868276</v>
      </c>
      <c r="G4" s="114">
        <f>Combine!M5</f>
        <v>8036.052836052836</v>
      </c>
      <c r="H4" s="176">
        <v>9.4525541387733796</v>
      </c>
      <c r="I4" s="114">
        <f>Combine!J5</f>
        <v>937.25</v>
      </c>
      <c r="J4" s="175">
        <v>8.3787077622729171</v>
      </c>
      <c r="K4" s="114">
        <f>Combine!N5</f>
        <v>596</v>
      </c>
      <c r="L4" s="114">
        <f>Combine!O5</f>
        <v>1249</v>
      </c>
    </row>
    <row r="5" spans="1:12">
      <c r="A5" s="172" t="s">
        <v>400</v>
      </c>
      <c r="B5" s="173">
        <v>4</v>
      </c>
      <c r="C5" s="174">
        <v>12</v>
      </c>
      <c r="D5" s="173">
        <v>2022</v>
      </c>
      <c r="E5" s="114">
        <f>Combine!G6</f>
        <v>63081.633333332509</v>
      </c>
      <c r="F5" s="175">
        <v>1.9459154093868276</v>
      </c>
      <c r="G5" s="114">
        <f>Combine!M6</f>
        <v>7245.3768453768453</v>
      </c>
      <c r="H5" s="176">
        <v>9.4525541387733796</v>
      </c>
      <c r="I5" s="114">
        <f>Combine!J6</f>
        <v>1110.55</v>
      </c>
      <c r="J5" s="175">
        <v>8.3787077622729171</v>
      </c>
      <c r="K5" s="114">
        <f>Combine!N6</f>
        <v>574</v>
      </c>
      <c r="L5" s="114">
        <f>Combine!O6</f>
        <v>1195</v>
      </c>
    </row>
    <row r="6" spans="1:12">
      <c r="A6" s="172" t="s">
        <v>400</v>
      </c>
      <c r="B6" s="173">
        <v>5</v>
      </c>
      <c r="C6" s="174">
        <v>12</v>
      </c>
      <c r="D6" s="173">
        <v>2022</v>
      </c>
      <c r="E6" s="114">
        <f>Combine!G7</f>
        <v>63071.633333332509</v>
      </c>
      <c r="F6" s="175">
        <v>1.9459154093868276</v>
      </c>
      <c r="G6" s="114">
        <f>Combine!M7</f>
        <v>6518.1041181041182</v>
      </c>
      <c r="H6" s="176">
        <v>9.4525541387733796</v>
      </c>
      <c r="I6" s="114">
        <f>Combine!J7</f>
        <v>778.25</v>
      </c>
      <c r="J6" s="175">
        <v>8.3787077622729171</v>
      </c>
      <c r="K6" s="114">
        <f>Combine!N7</f>
        <v>582</v>
      </c>
      <c r="L6" s="114">
        <f>Combine!O7</f>
        <v>1203</v>
      </c>
    </row>
    <row r="7" spans="1:12">
      <c r="A7" s="172" t="s">
        <v>400</v>
      </c>
      <c r="B7" s="173">
        <v>6</v>
      </c>
      <c r="C7" s="174">
        <v>12</v>
      </c>
      <c r="D7" s="173">
        <v>2022</v>
      </c>
      <c r="E7" s="114">
        <f>Combine!G8</f>
        <v>63091.633333334976</v>
      </c>
      <c r="F7" s="175">
        <v>1.9459154093868276</v>
      </c>
      <c r="G7" s="114">
        <f>Combine!M8</f>
        <v>6514.3745143745145</v>
      </c>
      <c r="H7" s="176">
        <v>9.4525541387733796</v>
      </c>
      <c r="I7" s="114">
        <f>Combine!J8</f>
        <v>725.25</v>
      </c>
      <c r="J7" s="175">
        <v>8.3787077622729171</v>
      </c>
      <c r="K7" s="114">
        <f>Combine!N8</f>
        <v>584</v>
      </c>
      <c r="L7" s="114">
        <f>Combine!O8</f>
        <v>1194</v>
      </c>
    </row>
    <row r="8" spans="1:12">
      <c r="A8" s="172" t="s">
        <v>400</v>
      </c>
      <c r="B8" s="173">
        <v>7</v>
      </c>
      <c r="C8" s="174">
        <v>12</v>
      </c>
      <c r="D8" s="173">
        <v>2022</v>
      </c>
      <c r="E8" s="114">
        <f>Combine!G9</f>
        <v>64986.299999999996</v>
      </c>
      <c r="F8" s="175">
        <v>1.9459154093868276</v>
      </c>
      <c r="G8" s="114">
        <f>Combine!M9</f>
        <v>6673.8523698523704</v>
      </c>
      <c r="H8" s="176">
        <v>9.4525541387733796</v>
      </c>
      <c r="I8" s="114">
        <f>Combine!J9</f>
        <v>699.05</v>
      </c>
      <c r="J8" s="175">
        <v>8.3787077622729171</v>
      </c>
      <c r="K8" s="114">
        <f>Combine!N9</f>
        <v>585</v>
      </c>
      <c r="L8" s="114">
        <f>Combine!O9</f>
        <v>1202</v>
      </c>
    </row>
    <row r="9" spans="1:12">
      <c r="A9" s="172" t="s">
        <v>400</v>
      </c>
      <c r="B9" s="173">
        <v>8</v>
      </c>
      <c r="C9" s="174">
        <v>12</v>
      </c>
      <c r="D9" s="173">
        <v>2022</v>
      </c>
      <c r="E9" s="114">
        <f>Combine!G10</f>
        <v>65084.299999999988</v>
      </c>
      <c r="F9" s="175">
        <v>1.9459154093868276</v>
      </c>
      <c r="G9" s="114">
        <f>Combine!M10</f>
        <v>6090.3993783993783</v>
      </c>
      <c r="H9" s="176">
        <v>9.4525541387733796</v>
      </c>
      <c r="I9" s="114">
        <f>Combine!J10</f>
        <v>754.73199999999997</v>
      </c>
      <c r="J9" s="175">
        <v>8.3787077622729171</v>
      </c>
      <c r="K9" s="114">
        <f>Combine!N10</f>
        <v>598</v>
      </c>
      <c r="L9" s="114">
        <f>Combine!O10</f>
        <v>1222</v>
      </c>
    </row>
    <row r="10" spans="1:12">
      <c r="A10" s="172" t="s">
        <v>400</v>
      </c>
      <c r="B10" s="173">
        <v>9</v>
      </c>
      <c r="C10" s="174">
        <v>12</v>
      </c>
      <c r="D10" s="173">
        <v>2022</v>
      </c>
      <c r="E10" s="114">
        <f>Combine!G11</f>
        <v>67304.700000000012</v>
      </c>
      <c r="F10" s="175">
        <v>1.9459154093868276</v>
      </c>
      <c r="G10" s="114">
        <f>Combine!M11</f>
        <v>6168.556954156953</v>
      </c>
      <c r="H10" s="176">
        <v>9.4525541387733796</v>
      </c>
      <c r="I10" s="114">
        <f>Combine!J11</f>
        <v>704.51800000000003</v>
      </c>
      <c r="J10" s="175">
        <v>8.3787077622729171</v>
      </c>
      <c r="K10" s="114">
        <f>Combine!N11</f>
        <v>576</v>
      </c>
      <c r="L10" s="114">
        <f>Combine!O11</f>
        <v>1209</v>
      </c>
    </row>
    <row r="11" spans="1:12">
      <c r="A11" s="172" t="s">
        <v>400</v>
      </c>
      <c r="B11" s="173">
        <v>10</v>
      </c>
      <c r="C11" s="174">
        <v>12</v>
      </c>
      <c r="D11" s="173">
        <v>2022</v>
      </c>
      <c r="E11" s="114">
        <f>Combine!G12</f>
        <v>67646.8</v>
      </c>
      <c r="F11" s="175">
        <v>1.9459154093868276</v>
      </c>
      <c r="G11" s="114">
        <f>Combine!M12</f>
        <v>6428.1634809634825</v>
      </c>
      <c r="H11" s="176">
        <v>9.4525541387733796</v>
      </c>
      <c r="I11" s="114">
        <f>Combine!J12</f>
        <v>757.9</v>
      </c>
      <c r="J11" s="175">
        <v>8.3787077622729171</v>
      </c>
      <c r="K11" s="114">
        <f>Combine!N12</f>
        <v>578</v>
      </c>
      <c r="L11" s="114">
        <f>Combine!O12</f>
        <v>1228</v>
      </c>
    </row>
    <row r="12" spans="1:12">
      <c r="A12" s="172" t="s">
        <v>400</v>
      </c>
      <c r="B12" s="173">
        <v>11</v>
      </c>
      <c r="C12" s="174">
        <v>12</v>
      </c>
      <c r="D12" s="173">
        <v>2022</v>
      </c>
      <c r="E12" s="114">
        <f>Combine!G13</f>
        <v>62045.099999999991</v>
      </c>
      <c r="F12" s="175">
        <v>1.9459154093868276</v>
      </c>
      <c r="G12" s="114">
        <f>Combine!M13</f>
        <v>6885.8393162393158</v>
      </c>
      <c r="H12" s="176">
        <v>9.4525541387733796</v>
      </c>
      <c r="I12" s="114">
        <f>Combine!J13</f>
        <v>786.35</v>
      </c>
      <c r="J12" s="175">
        <v>8.3787077622729171</v>
      </c>
      <c r="K12" s="114">
        <f>Combine!N13</f>
        <v>541</v>
      </c>
      <c r="L12" s="114">
        <f>Combine!O13</f>
        <v>1154</v>
      </c>
    </row>
    <row r="13" spans="1:12">
      <c r="A13" s="172" t="s">
        <v>400</v>
      </c>
      <c r="B13" s="173">
        <v>12</v>
      </c>
      <c r="C13" s="174">
        <v>12</v>
      </c>
      <c r="D13" s="173">
        <v>2022</v>
      </c>
      <c r="E13" s="114">
        <f>Combine!G14</f>
        <v>61700</v>
      </c>
      <c r="F13" s="175">
        <v>1.9459154093868276</v>
      </c>
      <c r="G13" s="114">
        <f>Combine!M14</f>
        <v>6716.7316239316215</v>
      </c>
      <c r="H13" s="176">
        <v>9.4525541387733796</v>
      </c>
      <c r="I13" s="114">
        <f>Combine!J14</f>
        <v>750.55</v>
      </c>
      <c r="J13" s="175">
        <v>8.3787077622729171</v>
      </c>
      <c r="K13" s="114">
        <f>Combine!N14</f>
        <v>543</v>
      </c>
      <c r="L13" s="114">
        <f>Combine!O14</f>
        <v>1156</v>
      </c>
    </row>
    <row r="14" spans="1:12">
      <c r="A14" s="172" t="s">
        <v>400</v>
      </c>
      <c r="B14" s="173">
        <v>13</v>
      </c>
      <c r="C14" s="174">
        <v>12</v>
      </c>
      <c r="D14" s="173">
        <v>2022</v>
      </c>
      <c r="E14" s="114">
        <f>Combine!G15</f>
        <v>63020</v>
      </c>
      <c r="F14" s="175">
        <v>1.9459154093868276</v>
      </c>
      <c r="G14" s="114">
        <f>Combine!M15</f>
        <v>6917.8107226107231</v>
      </c>
      <c r="H14" s="176">
        <v>9.4525541387733796</v>
      </c>
      <c r="I14" s="114">
        <f>Combine!J15</f>
        <v>705.05</v>
      </c>
      <c r="J14" s="175">
        <v>8.3787077622729171</v>
      </c>
      <c r="K14" s="114">
        <f>Combine!N15</f>
        <v>534</v>
      </c>
      <c r="L14" s="114">
        <f>Combine!O15</f>
        <v>1128</v>
      </c>
    </row>
    <row r="15" spans="1:12">
      <c r="A15" s="172" t="s">
        <v>400</v>
      </c>
      <c r="B15" s="173">
        <v>14</v>
      </c>
      <c r="C15" s="174">
        <v>12</v>
      </c>
      <c r="D15" s="173">
        <v>2022</v>
      </c>
      <c r="E15" s="114">
        <f>Combine!G16</f>
        <v>67810</v>
      </c>
      <c r="F15" s="175">
        <v>1.9459154093868276</v>
      </c>
      <c r="G15" s="114">
        <f>Combine!M16</f>
        <v>7030.3167055167069</v>
      </c>
      <c r="H15" s="176">
        <v>9.4525541387733796</v>
      </c>
      <c r="I15" s="114">
        <f>Combine!J16</f>
        <v>727.6</v>
      </c>
      <c r="J15" s="175">
        <v>8.3787077622729171</v>
      </c>
      <c r="K15" s="114">
        <f>Combine!N16</f>
        <v>550</v>
      </c>
      <c r="L15" s="114">
        <f>Combine!O16</f>
        <v>1167</v>
      </c>
    </row>
    <row r="16" spans="1:12">
      <c r="A16" s="172" t="s">
        <v>400</v>
      </c>
      <c r="B16" s="173">
        <v>15</v>
      </c>
      <c r="C16" s="174">
        <v>12</v>
      </c>
      <c r="D16" s="173">
        <v>2022</v>
      </c>
      <c r="E16" s="114">
        <f>Combine!G17</f>
        <v>68820</v>
      </c>
      <c r="F16" s="175">
        <v>1.9459154093868276</v>
      </c>
      <c r="G16" s="114">
        <f>Combine!M17</f>
        <v>8190.8786324786306</v>
      </c>
      <c r="H16" s="176">
        <v>9.4525541387733796</v>
      </c>
      <c r="I16" s="114">
        <f>Combine!J17</f>
        <v>713.572</v>
      </c>
      <c r="J16" s="175">
        <v>8.3787077622729171</v>
      </c>
      <c r="K16" s="114">
        <f>Combine!N17</f>
        <v>548</v>
      </c>
      <c r="L16" s="114">
        <f>Combine!O17</f>
        <v>1169</v>
      </c>
    </row>
    <row r="17" spans="1:12">
      <c r="A17" s="172" t="s">
        <v>400</v>
      </c>
      <c r="B17" s="173">
        <v>16</v>
      </c>
      <c r="C17" s="174">
        <v>12</v>
      </c>
      <c r="D17" s="173">
        <v>2022</v>
      </c>
      <c r="E17" s="114">
        <f>Combine!G18</f>
        <v>69170</v>
      </c>
      <c r="F17" s="175">
        <v>1.9459154093868276</v>
      </c>
      <c r="G17" s="114">
        <f>Combine!M18</f>
        <v>7442.0562548562557</v>
      </c>
      <c r="H17" s="176">
        <v>9.4525541387733796</v>
      </c>
      <c r="I17" s="114">
        <f>Combine!J18</f>
        <v>760.56799999999998</v>
      </c>
      <c r="J17" s="175">
        <v>8.3787077622729171</v>
      </c>
      <c r="K17" s="114">
        <f>Combine!N18</f>
        <v>581</v>
      </c>
      <c r="L17" s="114">
        <f>Combine!O18</f>
        <v>1256</v>
      </c>
    </row>
    <row r="18" spans="1:12">
      <c r="A18" s="172" t="s">
        <v>400</v>
      </c>
      <c r="B18" s="173">
        <v>17</v>
      </c>
      <c r="C18" s="174">
        <v>12</v>
      </c>
      <c r="D18" s="173">
        <v>2022</v>
      </c>
      <c r="E18" s="114">
        <f>Combine!G19</f>
        <v>70650</v>
      </c>
      <c r="F18" s="175">
        <v>1.9459154093868276</v>
      </c>
      <c r="G18" s="114">
        <f>Combine!M19</f>
        <v>7256.5345765345783</v>
      </c>
      <c r="H18" s="176">
        <v>9.4525541387733796</v>
      </c>
      <c r="I18" s="114">
        <f>Combine!J19</f>
        <v>744.54209999999989</v>
      </c>
      <c r="J18" s="175">
        <v>8.3787077622729171</v>
      </c>
      <c r="K18" s="114">
        <f>Combine!N19</f>
        <v>591</v>
      </c>
      <c r="L18" s="114">
        <f>Combine!O19</f>
        <v>1297</v>
      </c>
    </row>
    <row r="19" spans="1:12">
      <c r="A19" s="172" t="s">
        <v>400</v>
      </c>
      <c r="B19" s="173">
        <v>18</v>
      </c>
      <c r="C19" s="174">
        <v>12</v>
      </c>
      <c r="D19" s="173">
        <v>2022</v>
      </c>
      <c r="E19" s="114">
        <f>Combine!G20</f>
        <v>69050</v>
      </c>
      <c r="F19" s="175">
        <v>1.9459154093868276</v>
      </c>
      <c r="G19" s="114">
        <f>Combine!M20</f>
        <v>8244.9143745143756</v>
      </c>
      <c r="H19" s="176">
        <v>9.4525541387733796</v>
      </c>
      <c r="I19" s="114">
        <f>Combine!J20</f>
        <v>872.86789999999996</v>
      </c>
      <c r="J19" s="175">
        <v>8.3787077622729171</v>
      </c>
      <c r="K19" s="114">
        <f>Combine!N20</f>
        <v>542</v>
      </c>
      <c r="L19" s="114">
        <f>Combine!O20</f>
        <v>1192</v>
      </c>
    </row>
    <row r="20" spans="1:12">
      <c r="A20" s="172" t="s">
        <v>400</v>
      </c>
      <c r="B20" s="173">
        <v>19</v>
      </c>
      <c r="C20" s="174">
        <v>12</v>
      </c>
      <c r="D20" s="173">
        <v>2022</v>
      </c>
      <c r="E20" s="114">
        <f>Combine!G21</f>
        <v>63630</v>
      </c>
      <c r="F20" s="175">
        <v>1.9459154093868276</v>
      </c>
      <c r="G20" s="114">
        <f>Combine!M21</f>
        <v>8118.2247086247089</v>
      </c>
      <c r="H20" s="176">
        <v>9.4525541387733796</v>
      </c>
      <c r="I20" s="114">
        <f>Combine!J21</f>
        <v>764.5</v>
      </c>
      <c r="J20" s="175">
        <v>8.3787077622729171</v>
      </c>
      <c r="K20" s="114">
        <f>Combine!N21</f>
        <v>571</v>
      </c>
      <c r="L20" s="114">
        <f>Combine!O21</f>
        <v>1243</v>
      </c>
    </row>
    <row r="21" spans="1:12">
      <c r="A21" s="172" t="s">
        <v>400</v>
      </c>
      <c r="B21" s="173">
        <v>20</v>
      </c>
      <c r="C21" s="174">
        <v>12</v>
      </c>
      <c r="D21" s="173">
        <v>2022</v>
      </c>
      <c r="E21" s="114">
        <f>Combine!G22</f>
        <v>64509.999999999985</v>
      </c>
      <c r="F21" s="175">
        <v>1.9459154093868276</v>
      </c>
      <c r="G21" s="114">
        <f>Combine!M22</f>
        <v>7619.5965811965834</v>
      </c>
      <c r="H21" s="176">
        <v>9.4525541387733796</v>
      </c>
      <c r="I21" s="114">
        <f>Combine!J22</f>
        <v>720.6</v>
      </c>
      <c r="J21" s="175">
        <v>8.3787077622729171</v>
      </c>
      <c r="K21" s="114">
        <f>Combine!N22</f>
        <v>576</v>
      </c>
      <c r="L21" s="114">
        <f>Combine!O22</f>
        <v>1252</v>
      </c>
    </row>
    <row r="22" spans="1:12">
      <c r="A22" s="172" t="s">
        <v>400</v>
      </c>
      <c r="B22" s="173">
        <v>21</v>
      </c>
      <c r="C22" s="174">
        <v>12</v>
      </c>
      <c r="D22" s="173">
        <v>2022</v>
      </c>
      <c r="E22" s="114">
        <f>Combine!G23</f>
        <v>62760</v>
      </c>
      <c r="F22" s="175">
        <v>1.9459154093868276</v>
      </c>
      <c r="G22" s="114">
        <f>Combine!M23</f>
        <v>7619.3790209790204</v>
      </c>
      <c r="H22" s="176">
        <v>9.4525541387733796</v>
      </c>
      <c r="I22" s="114">
        <f>Combine!J23</f>
        <v>693.85</v>
      </c>
      <c r="J22" s="175">
        <v>8.3787077622729171</v>
      </c>
      <c r="K22" s="114">
        <f>Combine!N23</f>
        <v>560</v>
      </c>
      <c r="L22" s="114">
        <f>Combine!O23</f>
        <v>1222</v>
      </c>
    </row>
    <row r="23" spans="1:12">
      <c r="A23" s="172" t="s">
        <v>400</v>
      </c>
      <c r="B23" s="173">
        <v>22</v>
      </c>
      <c r="C23" s="174">
        <v>12</v>
      </c>
      <c r="D23" s="173">
        <v>2022</v>
      </c>
      <c r="E23" s="114">
        <f>Combine!G24</f>
        <v>61950</v>
      </c>
      <c r="F23" s="175">
        <v>1.9459154093868276</v>
      </c>
      <c r="G23" s="114">
        <f>Combine!M24</f>
        <v>6906.4341880341881</v>
      </c>
      <c r="H23" s="176">
        <v>9.4525541387733796</v>
      </c>
      <c r="I23" s="114">
        <f>Combine!J24</f>
        <v>810.04</v>
      </c>
      <c r="J23" s="175">
        <v>8.3787077622729171</v>
      </c>
      <c r="K23" s="114">
        <f>Combine!N24</f>
        <v>562</v>
      </c>
      <c r="L23" s="114">
        <f>Combine!O24</f>
        <v>1238</v>
      </c>
    </row>
    <row r="24" spans="1:12">
      <c r="A24" s="172" t="s">
        <v>400</v>
      </c>
      <c r="B24" s="173">
        <v>23</v>
      </c>
      <c r="C24" s="174">
        <v>12</v>
      </c>
      <c r="D24" s="173">
        <v>2022</v>
      </c>
      <c r="E24" s="114">
        <f>Combine!G25</f>
        <v>62790</v>
      </c>
      <c r="F24" s="175">
        <v>1.9459154093868276</v>
      </c>
      <c r="G24" s="114">
        <f>Combine!M25</f>
        <v>7511.9776223776225</v>
      </c>
      <c r="H24" s="176">
        <v>9.4525541387733796</v>
      </c>
      <c r="I24" s="114">
        <f>Combine!J25</f>
        <v>796.59400000000005</v>
      </c>
      <c r="J24" s="175">
        <v>8.3787077622729171</v>
      </c>
      <c r="K24" s="114">
        <f>Combine!N25</f>
        <v>592</v>
      </c>
      <c r="L24" s="114">
        <f>Combine!O25</f>
        <v>1321</v>
      </c>
    </row>
    <row r="25" spans="1:12">
      <c r="A25" s="172" t="s">
        <v>400</v>
      </c>
      <c r="B25" s="173">
        <v>24</v>
      </c>
      <c r="C25" s="174">
        <v>12</v>
      </c>
      <c r="D25" s="173">
        <v>2022</v>
      </c>
      <c r="E25" s="114">
        <f>Combine!G26</f>
        <v>64640</v>
      </c>
      <c r="F25" s="175">
        <v>1.9459154093868276</v>
      </c>
      <c r="G25" s="114">
        <f>Combine!M26</f>
        <v>6849.3849261849255</v>
      </c>
      <c r="H25" s="176">
        <v>9.4525541387733796</v>
      </c>
      <c r="I25" s="114">
        <f>Combine!J26</f>
        <v>788.66599999999994</v>
      </c>
      <c r="J25" s="175">
        <v>8.3787077622729171</v>
      </c>
      <c r="K25" s="114">
        <f>Combine!N26</f>
        <v>597</v>
      </c>
      <c r="L25" s="114">
        <f>Combine!O26</f>
        <v>1356</v>
      </c>
    </row>
    <row r="26" spans="1:12">
      <c r="A26" s="172" t="s">
        <v>400</v>
      </c>
      <c r="B26" s="173">
        <v>25</v>
      </c>
      <c r="C26" s="174">
        <v>12</v>
      </c>
      <c r="D26" s="173">
        <v>2022</v>
      </c>
      <c r="E26" s="114">
        <f>Combine!G27</f>
        <v>61350</v>
      </c>
      <c r="F26" s="175">
        <v>1.9459154093868276</v>
      </c>
      <c r="G26" s="114">
        <f>Combine!M27</f>
        <v>6554.4341880341881</v>
      </c>
      <c r="H26" s="176">
        <v>9.4525541387733796</v>
      </c>
      <c r="I26" s="114">
        <f>Combine!J27</f>
        <v>782.1</v>
      </c>
      <c r="J26" s="175">
        <v>8.3787077622729171</v>
      </c>
      <c r="K26" s="114">
        <f>Combine!N27</f>
        <v>580</v>
      </c>
      <c r="L26" s="114">
        <f>Combine!O27</f>
        <v>1335</v>
      </c>
    </row>
    <row r="27" spans="1:12">
      <c r="A27" s="172" t="s">
        <v>400</v>
      </c>
      <c r="B27" s="173">
        <v>26</v>
      </c>
      <c r="C27" s="174">
        <v>12</v>
      </c>
      <c r="D27" s="173">
        <v>2022</v>
      </c>
      <c r="E27" s="114">
        <f>Combine!G28</f>
        <v>62810</v>
      </c>
      <c r="F27" s="175">
        <v>1.9459154093868276</v>
      </c>
      <c r="G27" s="114">
        <f>Combine!M28</f>
        <v>7025.3302253302254</v>
      </c>
      <c r="H27" s="176">
        <v>9.4525541387733796</v>
      </c>
      <c r="I27" s="114">
        <f>Combine!J28</f>
        <v>780.85</v>
      </c>
      <c r="J27" s="175">
        <v>8.3787077622729171</v>
      </c>
      <c r="K27" s="114">
        <f>Combine!N28</f>
        <v>564</v>
      </c>
      <c r="L27" s="114">
        <f>Combine!O28</f>
        <v>1298</v>
      </c>
    </row>
    <row r="28" spans="1:12">
      <c r="A28" s="172" t="s">
        <v>400</v>
      </c>
      <c r="B28" s="173">
        <v>27</v>
      </c>
      <c r="C28" s="174">
        <v>12</v>
      </c>
      <c r="D28" s="173">
        <v>2022</v>
      </c>
      <c r="E28" s="114">
        <f>Combine!G29</f>
        <v>62700</v>
      </c>
      <c r="F28" s="175">
        <v>1.9459154093868276</v>
      </c>
      <c r="G28" s="114">
        <f>Combine!M29</f>
        <v>7226.7288267288268</v>
      </c>
      <c r="H28" s="176">
        <v>9.4525541387733796</v>
      </c>
      <c r="I28" s="114">
        <f>Combine!J29</f>
        <v>779.3</v>
      </c>
      <c r="J28" s="175">
        <v>8.3787077622729171</v>
      </c>
      <c r="K28" s="114">
        <f>Combine!N29</f>
        <v>587</v>
      </c>
      <c r="L28" s="114">
        <f>Combine!O29</f>
        <v>1343</v>
      </c>
    </row>
    <row r="29" spans="1:12">
      <c r="A29" s="172" t="s">
        <v>400</v>
      </c>
      <c r="B29" s="173">
        <v>28</v>
      </c>
      <c r="C29" s="174">
        <v>12</v>
      </c>
      <c r="D29" s="173">
        <v>2022</v>
      </c>
      <c r="E29" s="114">
        <f>Combine!G30</f>
        <v>65680</v>
      </c>
      <c r="F29" s="175">
        <v>1.9459154093868276</v>
      </c>
      <c r="G29" s="114">
        <f>Combine!M30</f>
        <v>7055.167055167055</v>
      </c>
      <c r="H29" s="176">
        <v>9.4525541387733796</v>
      </c>
      <c r="I29" s="114">
        <f>Combine!J30</f>
        <v>743.9</v>
      </c>
      <c r="J29" s="175">
        <v>8.3787077622729171</v>
      </c>
      <c r="K29" s="114">
        <f>Combine!N30</f>
        <v>576</v>
      </c>
      <c r="L29" s="114">
        <f>Combine!O30</f>
        <v>1297</v>
      </c>
    </row>
    <row r="30" spans="1:12">
      <c r="A30" s="172" t="s">
        <v>400</v>
      </c>
      <c r="B30" s="173">
        <v>29</v>
      </c>
      <c r="C30" s="174">
        <v>12</v>
      </c>
      <c r="D30" s="173">
        <v>2022</v>
      </c>
      <c r="E30" s="114">
        <f>Combine!G31</f>
        <v>64060</v>
      </c>
      <c r="F30" s="175">
        <v>1.9459154093868276</v>
      </c>
      <c r="G30" s="114">
        <f>Combine!M31</f>
        <v>7089.9766899766901</v>
      </c>
      <c r="H30" s="176">
        <v>9.4525541387733796</v>
      </c>
      <c r="I30" s="114">
        <f>Combine!J31</f>
        <v>875.05</v>
      </c>
      <c r="J30" s="175">
        <v>8.3787077622729171</v>
      </c>
      <c r="K30" s="114">
        <f>Combine!N31</f>
        <v>584</v>
      </c>
      <c r="L30" s="114">
        <f>Combine!O31</f>
        <v>1315</v>
      </c>
    </row>
    <row r="31" spans="1:12">
      <c r="A31" s="172" t="s">
        <v>400</v>
      </c>
      <c r="B31" s="173">
        <v>30</v>
      </c>
      <c r="C31" s="174">
        <v>12</v>
      </c>
      <c r="D31" s="173">
        <v>2022</v>
      </c>
      <c r="E31" s="114">
        <f>Combine!G32</f>
        <v>63800</v>
      </c>
      <c r="F31" s="175">
        <v>1.9459154093868276</v>
      </c>
      <c r="G31" s="114">
        <f>Combine!M32</f>
        <v>7085.0038850038854</v>
      </c>
      <c r="H31" s="176">
        <v>9.4525541387733796</v>
      </c>
      <c r="I31" s="114">
        <f>Combine!J32</f>
        <v>1636.4</v>
      </c>
      <c r="J31" s="175">
        <v>8.3787077622729171</v>
      </c>
      <c r="K31" s="114">
        <f>Combine!N32</f>
        <v>564</v>
      </c>
      <c r="L31" s="114">
        <f>Combine!O32</f>
        <v>1278</v>
      </c>
    </row>
    <row r="32" spans="1:12">
      <c r="A32" s="172" t="s">
        <v>400</v>
      </c>
      <c r="B32" s="173">
        <v>31</v>
      </c>
      <c r="C32" s="174">
        <v>12</v>
      </c>
      <c r="D32" s="173">
        <v>2022</v>
      </c>
      <c r="E32" s="114">
        <f>Combine!G33</f>
        <v>61970</v>
      </c>
      <c r="F32" s="175">
        <v>1.9459154093868276</v>
      </c>
      <c r="G32" s="114">
        <f>Combine!M33</f>
        <v>7393.3177933177931</v>
      </c>
      <c r="H32" s="176">
        <v>9.4525541387733796</v>
      </c>
      <c r="I32" s="114">
        <f>Combine!J33</f>
        <v>1526.4</v>
      </c>
      <c r="J32" s="175">
        <v>8.3787077622729171</v>
      </c>
      <c r="K32" s="114">
        <f>Combine!N33</f>
        <v>586</v>
      </c>
      <c r="L32" s="114">
        <f>Combine!O33</f>
        <v>1311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12" activePane="bottomRight" state="frozen"/>
      <selection activeCell="B1" sqref="B1"/>
      <selection pane="topRight" activeCell="E1" sqref="E1"/>
      <selection pane="bottomLeft" activeCell="B3" sqref="B3"/>
      <selection pane="bottomRight" activeCell="L39" sqref="L39"/>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206" t="s">
        <v>66</v>
      </c>
      <c r="O1" s="207"/>
      <c r="P1" s="208"/>
    </row>
    <row r="2" spans="1:17" s="2" customFormat="1" ht="60" customHeight="1">
      <c r="A2" s="4" t="s">
        <v>3</v>
      </c>
      <c r="B2" s="5" t="s">
        <v>4</v>
      </c>
      <c r="C2" s="5" t="s">
        <v>5</v>
      </c>
      <c r="D2" s="112"/>
      <c r="E2" s="117" t="s">
        <v>6</v>
      </c>
      <c r="F2" s="137" t="s">
        <v>6</v>
      </c>
      <c r="G2" s="141" t="s">
        <v>6</v>
      </c>
      <c r="H2" s="142" t="s">
        <v>9</v>
      </c>
      <c r="I2" s="138" t="s">
        <v>9</v>
      </c>
      <c r="J2" s="141" t="s">
        <v>9</v>
      </c>
      <c r="K2" s="117" t="s">
        <v>7</v>
      </c>
      <c r="L2" s="104">
        <v>335</v>
      </c>
      <c r="M2" s="122" t="s">
        <v>8</v>
      </c>
      <c r="N2" s="148" t="s">
        <v>10</v>
      </c>
      <c r="O2" s="5" t="s">
        <v>11</v>
      </c>
      <c r="P2" s="147" t="s">
        <v>12</v>
      </c>
      <c r="Q2" s="139" t="s">
        <v>393</v>
      </c>
    </row>
    <row r="3" spans="1:17" ht="15.75">
      <c r="A3" s="7" t="s">
        <v>14</v>
      </c>
      <c r="B3" s="7">
        <v>1</v>
      </c>
      <c r="C3" s="7">
        <v>12</v>
      </c>
      <c r="D3" s="113">
        <v>2022</v>
      </c>
      <c r="E3" s="140">
        <f>'Athens Daily - EL'!AP8</f>
        <v>37568.199999999997</v>
      </c>
      <c r="F3" s="140">
        <f>'Athens Daily - EL'!AQ8</f>
        <v>25966.9</v>
      </c>
      <c r="G3" s="123">
        <f>SUM(E3,F3)</f>
        <v>63535.1</v>
      </c>
      <c r="H3" s="140">
        <f>'Athens Daily - Water'!R7</f>
        <v>683</v>
      </c>
      <c r="I3" s="140">
        <f>'Athens Daily - Water'!S7</f>
        <v>200.75</v>
      </c>
      <c r="J3" s="119">
        <f t="shared" ref="J3:J33" si="0">SUM(H3,I3)</f>
        <v>883.75</v>
      </c>
      <c r="K3" s="140">
        <f>'Athens Daily - Gas'!BH9</f>
        <v>152937.55200000003</v>
      </c>
      <c r="L3" s="140">
        <f>'Athens Daily - Gas'!BI9</f>
        <v>85363.200000000012</v>
      </c>
      <c r="M3" s="123">
        <f>SUM(K3,L3)/38.61</f>
        <v>6171.9956487956497</v>
      </c>
      <c r="N3" s="146">
        <f>Occ!G10</f>
        <v>589</v>
      </c>
      <c r="O3" s="97">
        <f>Occ!H10</f>
        <v>1183</v>
      </c>
      <c r="P3" s="145">
        <v>918</v>
      </c>
      <c r="Q3" s="154"/>
    </row>
    <row r="4" spans="1:17" ht="15.75">
      <c r="A4" s="7" t="s">
        <v>14</v>
      </c>
      <c r="B4" s="7">
        <v>2</v>
      </c>
      <c r="C4" s="7">
        <v>12</v>
      </c>
      <c r="D4" s="113">
        <v>2022</v>
      </c>
      <c r="E4" s="140">
        <f>'Athens Daily - EL'!AP9</f>
        <v>35903</v>
      </c>
      <c r="F4" s="140">
        <f>'Athens Daily - EL'!AQ9</f>
        <v>25124.1</v>
      </c>
      <c r="G4" s="123">
        <f t="shared" ref="G4:G33" si="1">SUM(E4,F4)</f>
        <v>61027.1</v>
      </c>
      <c r="H4" s="140">
        <f>'Athens Daily - Water'!R8</f>
        <v>716</v>
      </c>
      <c r="I4" s="140">
        <f>'Athens Daily - Water'!S8</f>
        <v>213.5</v>
      </c>
      <c r="J4" s="119">
        <f t="shared" si="0"/>
        <v>929.5</v>
      </c>
      <c r="K4" s="140">
        <f>'Athens Daily - Gas'!BH10</f>
        <v>171686.39999999999</v>
      </c>
      <c r="L4" s="140">
        <f>'Athens Daily - Gas'!BI10</f>
        <v>97785.600000000006</v>
      </c>
      <c r="M4" s="123">
        <f t="shared" ref="M4:M33" si="2">SUM(K4,L4)/38.61</f>
        <v>6979.3317793317792</v>
      </c>
      <c r="N4" s="146">
        <f>Occ!G11</f>
        <v>568</v>
      </c>
      <c r="O4" s="97">
        <f>Occ!H11</f>
        <v>1183</v>
      </c>
      <c r="P4" s="145">
        <v>918</v>
      </c>
      <c r="Q4" s="154"/>
    </row>
    <row r="5" spans="1:17" ht="15.75">
      <c r="A5" s="7" t="s">
        <v>14</v>
      </c>
      <c r="B5" s="7">
        <v>3</v>
      </c>
      <c r="C5" s="7">
        <v>12</v>
      </c>
      <c r="D5" s="113">
        <v>2022</v>
      </c>
      <c r="E5" s="140">
        <f>'Athens Daily - EL'!AP10</f>
        <v>41930.699999999997</v>
      </c>
      <c r="F5" s="140">
        <f>'Athens Daily - EL'!AQ10</f>
        <v>27821.4</v>
      </c>
      <c r="G5" s="123">
        <f t="shared" si="1"/>
        <v>69752.100000000006</v>
      </c>
      <c r="H5" s="140">
        <f>'Athens Daily - Water'!R9</f>
        <v>734</v>
      </c>
      <c r="I5" s="140">
        <f>'Athens Daily - Water'!S9</f>
        <v>203.25</v>
      </c>
      <c r="J5" s="119">
        <f t="shared" si="0"/>
        <v>937.25</v>
      </c>
      <c r="K5" s="140">
        <f>'Athens Daily - Gas'!BH11</f>
        <v>209500.79999999999</v>
      </c>
      <c r="L5" s="140">
        <f>'Athens Daily - Gas'!BI11</f>
        <v>100771.2</v>
      </c>
      <c r="M5" s="123">
        <f t="shared" si="2"/>
        <v>8036.052836052836</v>
      </c>
      <c r="N5" s="146">
        <f>Occ!G12</f>
        <v>596</v>
      </c>
      <c r="O5" s="97">
        <f>Occ!H12</f>
        <v>1249</v>
      </c>
      <c r="P5" s="145">
        <v>918</v>
      </c>
      <c r="Q5" s="154"/>
    </row>
    <row r="6" spans="1:17" ht="15.75">
      <c r="A6" s="7" t="s">
        <v>14</v>
      </c>
      <c r="B6" s="7">
        <v>4</v>
      </c>
      <c r="C6" s="7">
        <v>12</v>
      </c>
      <c r="D6" s="113">
        <v>2022</v>
      </c>
      <c r="E6" s="140">
        <f>'Athens Daily - EL'!AP11</f>
        <v>36645.199999999371</v>
      </c>
      <c r="F6" s="140">
        <f>'Athens Daily - EL'!AQ11</f>
        <v>26436.433333333138</v>
      </c>
      <c r="G6" s="123">
        <f t="shared" si="1"/>
        <v>63081.633333332509</v>
      </c>
      <c r="H6" s="140">
        <f>'Athens Daily - Water'!R10</f>
        <v>857</v>
      </c>
      <c r="I6" s="140">
        <f>'Athens Daily - Water'!S10</f>
        <v>253.55</v>
      </c>
      <c r="J6" s="119">
        <f t="shared" si="0"/>
        <v>1110.55</v>
      </c>
      <c r="K6" s="140">
        <f>'Athens Daily - Gas'!BH12</f>
        <v>181152</v>
      </c>
      <c r="L6" s="140">
        <f>'Athens Daily - Gas'!BI12</f>
        <v>98592</v>
      </c>
      <c r="M6" s="123">
        <f t="shared" si="2"/>
        <v>7245.3768453768453</v>
      </c>
      <c r="N6" s="146">
        <f>Occ!G13</f>
        <v>574</v>
      </c>
      <c r="O6" s="97">
        <f>Occ!H13</f>
        <v>1195</v>
      </c>
      <c r="P6" s="145">
        <v>918</v>
      </c>
      <c r="Q6" s="154"/>
    </row>
    <row r="7" spans="1:17" ht="15.75">
      <c r="A7" s="7" t="s">
        <v>14</v>
      </c>
      <c r="B7" s="7">
        <v>5</v>
      </c>
      <c r="C7" s="7">
        <v>12</v>
      </c>
      <c r="D7" s="113">
        <v>2022</v>
      </c>
      <c r="E7" s="140">
        <f>'Athens Daily - EL'!AP12</f>
        <v>36645.199999999371</v>
      </c>
      <c r="F7" s="140">
        <f>'Athens Daily - EL'!AQ12</f>
        <v>26426.433333333138</v>
      </c>
      <c r="G7" s="123">
        <f t="shared" si="1"/>
        <v>63071.633333332509</v>
      </c>
      <c r="H7" s="140">
        <f>'Athens Daily - Water'!R11</f>
        <v>580</v>
      </c>
      <c r="I7" s="140">
        <f>'Athens Daily - Water'!S11</f>
        <v>198.25</v>
      </c>
      <c r="J7" s="119">
        <f t="shared" si="0"/>
        <v>778.25</v>
      </c>
      <c r="K7" s="140">
        <f>'Athens Daily - Gas'!BH13</f>
        <v>162182.39999999999</v>
      </c>
      <c r="L7" s="140">
        <f>'Athens Daily - Gas'!BI13</f>
        <v>89481.600000000006</v>
      </c>
      <c r="M7" s="123">
        <f t="shared" si="2"/>
        <v>6518.1041181041182</v>
      </c>
      <c r="N7" s="146">
        <f>Occ!G14</f>
        <v>582</v>
      </c>
      <c r="O7" s="97">
        <f>Occ!H14</f>
        <v>1203</v>
      </c>
      <c r="P7" s="145">
        <v>918</v>
      </c>
      <c r="Q7" s="154"/>
    </row>
    <row r="8" spans="1:17" ht="15.75">
      <c r="A8" s="7" t="s">
        <v>14</v>
      </c>
      <c r="B8" s="7">
        <v>6</v>
      </c>
      <c r="C8" s="7">
        <v>12</v>
      </c>
      <c r="D8" s="113">
        <v>2022</v>
      </c>
      <c r="E8" s="140">
        <f>'Athens Daily - EL'!AP13</f>
        <v>36645.200000001249</v>
      </c>
      <c r="F8" s="140">
        <f>'Athens Daily - EL'!AQ13</f>
        <v>26446.433333333727</v>
      </c>
      <c r="G8" s="123">
        <f t="shared" si="1"/>
        <v>63091.633333334976</v>
      </c>
      <c r="H8" s="140">
        <f>'Athens Daily - Water'!R12</f>
        <v>507</v>
      </c>
      <c r="I8" s="140">
        <f>'Athens Daily - Water'!S12</f>
        <v>218.25</v>
      </c>
      <c r="J8" s="119">
        <f t="shared" si="0"/>
        <v>725.25</v>
      </c>
      <c r="K8" s="140">
        <f>'Athens Daily - Gas'!BH14</f>
        <v>158860.79999999999</v>
      </c>
      <c r="L8" s="140">
        <f>'Athens Daily - Gas'!BI14</f>
        <v>92659.200000000012</v>
      </c>
      <c r="M8" s="123">
        <f t="shared" si="2"/>
        <v>6514.3745143745145</v>
      </c>
      <c r="N8" s="146">
        <f>Occ!G15</f>
        <v>584</v>
      </c>
      <c r="O8" s="97">
        <f>Occ!H15</f>
        <v>1194</v>
      </c>
      <c r="P8" s="145">
        <v>918</v>
      </c>
      <c r="Q8" s="154"/>
    </row>
    <row r="9" spans="1:17" ht="15.75">
      <c r="A9" s="7" t="s">
        <v>14</v>
      </c>
      <c r="B9" s="7">
        <v>7</v>
      </c>
      <c r="C9" s="7">
        <v>12</v>
      </c>
      <c r="D9" s="113">
        <v>2022</v>
      </c>
      <c r="E9" s="140">
        <f>'Athens Daily - EL'!AP14</f>
        <v>38277.799999999996</v>
      </c>
      <c r="F9" s="140">
        <f>'Athens Daily - EL'!AQ14</f>
        <v>26708.5</v>
      </c>
      <c r="G9" s="123">
        <f t="shared" si="1"/>
        <v>64986.299999999996</v>
      </c>
      <c r="H9" s="140">
        <f>'Athens Daily - Water'!R13</f>
        <v>501</v>
      </c>
      <c r="I9" s="140">
        <f>'Athens Daily - Water'!S13</f>
        <v>198.05</v>
      </c>
      <c r="J9" s="119">
        <f t="shared" si="0"/>
        <v>699.05</v>
      </c>
      <c r="K9" s="140">
        <f>'Athens Daily - Gas'!BH15</f>
        <v>162579.84000000003</v>
      </c>
      <c r="L9" s="140">
        <f>'Athens Daily - Gas'!BI15</f>
        <v>95097.600000000006</v>
      </c>
      <c r="M9" s="123">
        <f t="shared" si="2"/>
        <v>6673.8523698523704</v>
      </c>
      <c r="N9" s="146">
        <f>Occ!G16</f>
        <v>585</v>
      </c>
      <c r="O9" s="97">
        <f>Occ!H16</f>
        <v>1202</v>
      </c>
      <c r="P9" s="145">
        <v>918</v>
      </c>
      <c r="Q9" s="154"/>
    </row>
    <row r="10" spans="1:17">
      <c r="A10" s="7" t="s">
        <v>14</v>
      </c>
      <c r="B10" s="7">
        <v>8</v>
      </c>
      <c r="C10" s="7">
        <v>12</v>
      </c>
      <c r="D10" s="113">
        <v>2022</v>
      </c>
      <c r="E10" s="140">
        <f>'Athens Daily - EL'!AP15</f>
        <v>38899.599999999991</v>
      </c>
      <c r="F10" s="140">
        <f>'Athens Daily - EL'!AQ15</f>
        <v>26184.7</v>
      </c>
      <c r="G10" s="123">
        <f t="shared" si="1"/>
        <v>65084.299999999988</v>
      </c>
      <c r="H10" s="140">
        <f>'Athens Daily - Water'!R14</f>
        <v>536.43200000000002</v>
      </c>
      <c r="I10" s="140">
        <f>'Athens Daily - Water'!S14</f>
        <v>218.3</v>
      </c>
      <c r="J10" s="119">
        <f t="shared" si="0"/>
        <v>754.73199999999997</v>
      </c>
      <c r="K10" s="140">
        <f>'Athens Daily - Gas'!BH16</f>
        <v>150199.91999999998</v>
      </c>
      <c r="L10" s="140">
        <f>'Athens Daily - Gas'!BI16</f>
        <v>84950.399999999994</v>
      </c>
      <c r="M10" s="123">
        <f t="shared" si="2"/>
        <v>6090.3993783993783</v>
      </c>
      <c r="N10" s="146">
        <f>Occ!G17</f>
        <v>598</v>
      </c>
      <c r="O10" s="97">
        <f>Occ!H17</f>
        <v>1222</v>
      </c>
      <c r="P10" s="145">
        <v>918</v>
      </c>
      <c r="Q10" s="95"/>
    </row>
    <row r="11" spans="1:17">
      <c r="A11" s="7" t="s">
        <v>14</v>
      </c>
      <c r="B11" s="7">
        <v>9</v>
      </c>
      <c r="C11" s="7">
        <v>12</v>
      </c>
      <c r="D11" s="113">
        <v>2022</v>
      </c>
      <c r="E11" s="140">
        <f>'Athens Daily - EL'!AP16</f>
        <v>40247.700000000012</v>
      </c>
      <c r="F11" s="140">
        <f>'Athens Daily - EL'!AQ16</f>
        <v>27057</v>
      </c>
      <c r="G11" s="123">
        <f t="shared" si="1"/>
        <v>67304.700000000012</v>
      </c>
      <c r="H11" s="140">
        <f>'Athens Daily - Water'!R15</f>
        <v>500.56799999999998</v>
      </c>
      <c r="I11" s="140">
        <f>'Athens Daily - Water'!S15</f>
        <v>203.95</v>
      </c>
      <c r="J11" s="119">
        <f t="shared" si="0"/>
        <v>704.51800000000003</v>
      </c>
      <c r="K11" s="140">
        <f>'Athens Daily - Gas'!BH17</f>
        <v>153419.18399999995</v>
      </c>
      <c r="L11" s="140">
        <f>'Athens Daily - Gas'!BI17</f>
        <v>84748.800000000003</v>
      </c>
      <c r="M11" s="123">
        <f t="shared" si="2"/>
        <v>6168.556954156953</v>
      </c>
      <c r="N11" s="146">
        <f>Occ!G18</f>
        <v>576</v>
      </c>
      <c r="O11" s="97">
        <f>Occ!H18</f>
        <v>1209</v>
      </c>
      <c r="P11" s="145">
        <v>918</v>
      </c>
      <c r="Q11" s="95"/>
    </row>
    <row r="12" spans="1:17" ht="15.75">
      <c r="A12" s="7" t="s">
        <v>14</v>
      </c>
      <c r="B12" s="7">
        <v>10</v>
      </c>
      <c r="C12" s="7">
        <v>12</v>
      </c>
      <c r="D12" s="113">
        <v>2022</v>
      </c>
      <c r="E12" s="140">
        <f>'Athens Daily - EL'!AP17</f>
        <v>40338.6</v>
      </c>
      <c r="F12" s="140">
        <f>'Athens Daily - EL'!AQ17</f>
        <v>27308.2</v>
      </c>
      <c r="G12" s="123">
        <f t="shared" si="1"/>
        <v>67646.8</v>
      </c>
      <c r="H12" s="140">
        <f>'Athens Daily - Water'!R16</f>
        <v>547</v>
      </c>
      <c r="I12" s="140">
        <f>'Athens Daily - Water'!S16</f>
        <v>210.9</v>
      </c>
      <c r="J12" s="119">
        <f t="shared" si="0"/>
        <v>757.9</v>
      </c>
      <c r="K12" s="140">
        <f>'Athens Daily - Gas'!BH18</f>
        <v>161388.19200000004</v>
      </c>
      <c r="L12" s="140">
        <f>'Athens Daily - Gas'!BI18</f>
        <v>86803.200000000012</v>
      </c>
      <c r="M12" s="123">
        <f t="shared" si="2"/>
        <v>6428.1634809634825</v>
      </c>
      <c r="N12" s="146">
        <f>Occ!G19</f>
        <v>578</v>
      </c>
      <c r="O12" s="97">
        <f>Occ!H19</f>
        <v>1228</v>
      </c>
      <c r="P12" s="145">
        <v>918</v>
      </c>
      <c r="Q12" s="154"/>
    </row>
    <row r="13" spans="1:17" ht="15.75">
      <c r="A13" s="7" t="s">
        <v>14</v>
      </c>
      <c r="B13" s="7">
        <v>11</v>
      </c>
      <c r="C13" s="7">
        <v>12</v>
      </c>
      <c r="D13" s="113">
        <v>2022</v>
      </c>
      <c r="E13" s="140">
        <f>'Athens Daily - EL'!AP18</f>
        <v>36782.399999999994</v>
      </c>
      <c r="F13" s="140">
        <f>'Athens Daily - EL'!AQ18</f>
        <v>25262.7</v>
      </c>
      <c r="G13" s="123">
        <f t="shared" si="1"/>
        <v>62045.099999999991</v>
      </c>
      <c r="H13" s="140">
        <f>'Athens Daily - Water'!R17</f>
        <v>556</v>
      </c>
      <c r="I13" s="140">
        <f>'Athens Daily - Water'!S17</f>
        <v>230.35000000000002</v>
      </c>
      <c r="J13" s="119">
        <f t="shared" si="0"/>
        <v>786.35</v>
      </c>
      <c r="K13" s="140">
        <f>'Athens Daily - Gas'!BH19</f>
        <v>171119.856</v>
      </c>
      <c r="L13" s="140">
        <f>'Athens Daily - Gas'!BI19</f>
        <v>94742.400000000009</v>
      </c>
      <c r="M13" s="123">
        <f t="shared" si="2"/>
        <v>6885.8393162393158</v>
      </c>
      <c r="N13" s="146">
        <f>Occ!G20</f>
        <v>541</v>
      </c>
      <c r="O13" s="97">
        <f>Occ!H20</f>
        <v>1154</v>
      </c>
      <c r="P13" s="145">
        <v>918</v>
      </c>
      <c r="Q13" s="154"/>
    </row>
    <row r="14" spans="1:17" ht="15.75">
      <c r="A14" s="7" t="s">
        <v>14</v>
      </c>
      <c r="B14" s="7">
        <v>12</v>
      </c>
      <c r="C14" s="7">
        <v>12</v>
      </c>
      <c r="D14" s="113">
        <v>2022</v>
      </c>
      <c r="E14" s="140">
        <f>'Athens Daily - EL'!AP19</f>
        <v>35250.400000000001</v>
      </c>
      <c r="F14" s="140">
        <f>'Athens Daily - EL'!AQ19</f>
        <v>26449.599999999999</v>
      </c>
      <c r="G14" s="123">
        <f t="shared" si="1"/>
        <v>61700</v>
      </c>
      <c r="H14" s="140">
        <f>'Athens Daily - Water'!R18</f>
        <v>543</v>
      </c>
      <c r="I14" s="140">
        <f>'Athens Daily - Water'!S18</f>
        <v>207.55</v>
      </c>
      <c r="J14" s="119">
        <f t="shared" si="0"/>
        <v>750.55</v>
      </c>
      <c r="K14" s="140">
        <f>'Athens Daily - Gas'!BH20</f>
        <v>168430.60799999992</v>
      </c>
      <c r="L14" s="140">
        <f>'Athens Daily - Gas'!BI20</f>
        <v>90902.400000000009</v>
      </c>
      <c r="M14" s="123">
        <f t="shared" si="2"/>
        <v>6716.7316239316215</v>
      </c>
      <c r="N14" s="146">
        <f>Occ!G21</f>
        <v>543</v>
      </c>
      <c r="O14" s="97">
        <f>Occ!H21</f>
        <v>1156</v>
      </c>
      <c r="P14" s="145">
        <v>918</v>
      </c>
      <c r="Q14" s="154"/>
    </row>
    <row r="15" spans="1:17">
      <c r="A15" s="7" t="s">
        <v>14</v>
      </c>
      <c r="B15" s="7">
        <v>13</v>
      </c>
      <c r="C15" s="7">
        <v>12</v>
      </c>
      <c r="D15" s="113">
        <v>2022</v>
      </c>
      <c r="E15" s="140">
        <f>'Athens Daily - EL'!AP20</f>
        <v>36359.800000000003</v>
      </c>
      <c r="F15" s="140">
        <f>'Athens Daily - EL'!AQ20</f>
        <v>26660.2</v>
      </c>
      <c r="G15" s="123">
        <f t="shared" si="1"/>
        <v>63020</v>
      </c>
      <c r="H15" s="140">
        <f>'Athens Daily - Water'!R19</f>
        <v>487</v>
      </c>
      <c r="I15" s="140">
        <f>'Athens Daily - Water'!S19</f>
        <v>218.05</v>
      </c>
      <c r="J15" s="119">
        <f t="shared" si="0"/>
        <v>705.05</v>
      </c>
      <c r="K15" s="140">
        <f>'Athens Daily - Gas'!BH21</f>
        <v>166949.47200000004</v>
      </c>
      <c r="L15" s="140">
        <f>'Athens Daily - Gas'!BI21</f>
        <v>100147.2</v>
      </c>
      <c r="M15" s="123">
        <f t="shared" si="2"/>
        <v>6917.8107226107231</v>
      </c>
      <c r="N15" s="146">
        <f>Occ!G22</f>
        <v>534</v>
      </c>
      <c r="O15" s="97">
        <f>Occ!H22</f>
        <v>1128</v>
      </c>
      <c r="P15" s="145">
        <v>918</v>
      </c>
      <c r="Q15" s="151"/>
    </row>
    <row r="16" spans="1:17">
      <c r="A16" s="7" t="s">
        <v>14</v>
      </c>
      <c r="B16" s="7">
        <v>14</v>
      </c>
      <c r="C16" s="7">
        <v>12</v>
      </c>
      <c r="D16" s="113">
        <v>2022</v>
      </c>
      <c r="E16" s="140">
        <f>'Athens Daily - EL'!AP21</f>
        <v>38964.700000000004</v>
      </c>
      <c r="F16" s="140">
        <f>'Athens Daily - EL'!AQ21</f>
        <v>28845.3</v>
      </c>
      <c r="G16" s="123">
        <f t="shared" si="1"/>
        <v>67810</v>
      </c>
      <c r="H16" s="140">
        <f>'Athens Daily - Water'!R20</f>
        <v>504</v>
      </c>
      <c r="I16" s="140">
        <f>'Athens Daily - Water'!S20</f>
        <v>223.60000000000002</v>
      </c>
      <c r="J16" s="119">
        <f t="shared" si="0"/>
        <v>727.6</v>
      </c>
      <c r="K16" s="140">
        <f>'Athens Daily - Gas'!BH22</f>
        <v>167664.52800000002</v>
      </c>
      <c r="L16" s="140">
        <f>'Athens Daily - Gas'!BI22</f>
        <v>103776</v>
      </c>
      <c r="M16" s="123">
        <f t="shared" si="2"/>
        <v>7030.3167055167069</v>
      </c>
      <c r="N16" s="146">
        <f>Occ!G23</f>
        <v>550</v>
      </c>
      <c r="O16" s="97">
        <f>Occ!H23</f>
        <v>1167</v>
      </c>
      <c r="P16" s="145">
        <v>918</v>
      </c>
      <c r="Q16" s="151"/>
    </row>
    <row r="17" spans="1:17">
      <c r="A17" s="7" t="s">
        <v>14</v>
      </c>
      <c r="B17" s="7">
        <v>15</v>
      </c>
      <c r="C17" s="7">
        <v>12</v>
      </c>
      <c r="D17" s="113">
        <v>2022</v>
      </c>
      <c r="E17" s="140">
        <f>'Athens Daily - EL'!AP22</f>
        <v>39371.099999999991</v>
      </c>
      <c r="F17" s="140">
        <f>'Athens Daily - EL'!AQ22</f>
        <v>29448.9</v>
      </c>
      <c r="G17" s="123">
        <f t="shared" si="1"/>
        <v>68820</v>
      </c>
      <c r="H17" s="140">
        <f>'Athens Daily - Water'!R21</f>
        <v>501.97199999999998</v>
      </c>
      <c r="I17" s="140">
        <f>'Athens Daily - Water'!S21</f>
        <v>211.60000000000002</v>
      </c>
      <c r="J17" s="119">
        <f t="shared" si="0"/>
        <v>713.572</v>
      </c>
      <c r="K17" s="140">
        <f>'Athens Daily - Gas'!BH23</f>
        <v>196710.62399999992</v>
      </c>
      <c r="L17" s="140">
        <f>'Athens Daily - Gas'!BI23</f>
        <v>119539.20000000001</v>
      </c>
      <c r="M17" s="123">
        <f t="shared" si="2"/>
        <v>8190.8786324786306</v>
      </c>
      <c r="N17" s="146">
        <f>Occ!G24</f>
        <v>548</v>
      </c>
      <c r="O17" s="97">
        <f>Occ!H24</f>
        <v>1169</v>
      </c>
      <c r="P17" s="145">
        <v>918</v>
      </c>
      <c r="Q17" s="151"/>
    </row>
    <row r="18" spans="1:17">
      <c r="A18" s="7" t="s">
        <v>14</v>
      </c>
      <c r="B18" s="7">
        <v>16</v>
      </c>
      <c r="C18" s="7">
        <v>12</v>
      </c>
      <c r="D18" s="113">
        <v>2022</v>
      </c>
      <c r="E18" s="140">
        <f>'Athens Daily - EL'!AP23</f>
        <v>39837.600000000006</v>
      </c>
      <c r="F18" s="140">
        <f>'Athens Daily - EL'!AQ23</f>
        <v>29332.400000000001</v>
      </c>
      <c r="G18" s="123">
        <f t="shared" si="1"/>
        <v>69170</v>
      </c>
      <c r="H18" s="140">
        <f>'Athens Daily - Water'!R22</f>
        <v>540.36800000000005</v>
      </c>
      <c r="I18" s="140">
        <f>'Athens Daily - Water'!S22</f>
        <v>220.2</v>
      </c>
      <c r="J18" s="119">
        <f t="shared" si="0"/>
        <v>760.56799999999998</v>
      </c>
      <c r="K18" s="140">
        <f>'Athens Daily - Gas'!BH24</f>
        <v>180777.79199999999</v>
      </c>
      <c r="L18" s="140">
        <f>'Athens Daily - Gas'!BI24</f>
        <v>106560</v>
      </c>
      <c r="M18" s="123">
        <f t="shared" si="2"/>
        <v>7442.0562548562557</v>
      </c>
      <c r="N18" s="146">
        <f>Occ!G25</f>
        <v>581</v>
      </c>
      <c r="O18" s="97">
        <f>Occ!H25</f>
        <v>1256</v>
      </c>
      <c r="P18" s="145">
        <v>918</v>
      </c>
      <c r="Q18" s="150"/>
    </row>
    <row r="19" spans="1:17">
      <c r="A19" s="7" t="s">
        <v>14</v>
      </c>
      <c r="B19" s="7">
        <v>17</v>
      </c>
      <c r="C19" s="7">
        <v>12</v>
      </c>
      <c r="D19" s="113">
        <v>2022</v>
      </c>
      <c r="E19" s="140">
        <f>'Athens Daily - EL'!AP24</f>
        <v>40882</v>
      </c>
      <c r="F19" s="140">
        <f>'Athens Daily - EL'!AQ24</f>
        <v>29768</v>
      </c>
      <c r="G19" s="123">
        <f t="shared" si="1"/>
        <v>70650</v>
      </c>
      <c r="H19" s="140">
        <f>'Athens Daily - Water'!R23</f>
        <v>547.84209999999996</v>
      </c>
      <c r="I19" s="140">
        <f>'Athens Daily - Water'!S23</f>
        <v>196.7</v>
      </c>
      <c r="J19" s="119">
        <f t="shared" si="0"/>
        <v>744.54209999999989</v>
      </c>
      <c r="K19" s="140">
        <f>'Athens Daily - Gas'!BH25</f>
        <v>178011.6</v>
      </c>
      <c r="L19" s="140">
        <f>'Athens Daily - Gas'!BI25</f>
        <v>102163.20000000001</v>
      </c>
      <c r="M19" s="123">
        <f t="shared" si="2"/>
        <v>7256.5345765345783</v>
      </c>
      <c r="N19" s="146">
        <f>Occ!G26</f>
        <v>591</v>
      </c>
      <c r="O19" s="97">
        <f>Occ!H26</f>
        <v>1297</v>
      </c>
      <c r="P19" s="145">
        <v>918</v>
      </c>
      <c r="Q19" s="150"/>
    </row>
    <row r="20" spans="1:17">
      <c r="A20" s="7" t="s">
        <v>14</v>
      </c>
      <c r="B20" s="7">
        <v>18</v>
      </c>
      <c r="C20" s="7">
        <v>12</v>
      </c>
      <c r="D20" s="113">
        <v>2022</v>
      </c>
      <c r="E20" s="140">
        <f>'Athens Daily - EL'!AP25</f>
        <v>39673.199999999997</v>
      </c>
      <c r="F20" s="140">
        <f>'Athens Daily - EL'!AQ25</f>
        <v>29376.799999999999</v>
      </c>
      <c r="G20" s="123">
        <f t="shared" si="1"/>
        <v>69050</v>
      </c>
      <c r="H20" s="140">
        <f>'Athens Daily - Water'!R24</f>
        <v>641.81790000000001</v>
      </c>
      <c r="I20" s="140">
        <f>'Athens Daily - Water'!S24</f>
        <v>231.05</v>
      </c>
      <c r="J20" s="119">
        <f t="shared" si="0"/>
        <v>872.86789999999996</v>
      </c>
      <c r="K20" s="140">
        <f>'Athens Daily - Gas'!BH26</f>
        <v>202137.74400000001</v>
      </c>
      <c r="L20" s="140">
        <f>'Athens Daily - Gas'!BI26</f>
        <v>116198.40000000001</v>
      </c>
      <c r="M20" s="123">
        <f t="shared" si="2"/>
        <v>8244.9143745143756</v>
      </c>
      <c r="N20" s="146">
        <f>Occ!G27</f>
        <v>542</v>
      </c>
      <c r="O20" s="97">
        <f>Occ!H27</f>
        <v>1192</v>
      </c>
      <c r="P20" s="145">
        <v>918</v>
      </c>
      <c r="Q20" s="150"/>
    </row>
    <row r="21" spans="1:17">
      <c r="A21" s="7" t="s">
        <v>14</v>
      </c>
      <c r="B21" s="7">
        <v>19</v>
      </c>
      <c r="C21" s="7">
        <v>12</v>
      </c>
      <c r="D21" s="113">
        <v>2022</v>
      </c>
      <c r="E21" s="140">
        <f>'Athens Daily - EL'!AP26</f>
        <v>35764</v>
      </c>
      <c r="F21" s="140">
        <f>'Athens Daily - EL'!AQ26</f>
        <v>27866</v>
      </c>
      <c r="G21" s="123">
        <f t="shared" si="1"/>
        <v>63630</v>
      </c>
      <c r="H21" s="140">
        <f>'Athens Daily - Water'!R25</f>
        <v>559</v>
      </c>
      <c r="I21" s="140">
        <f>'Athens Daily - Water'!S25</f>
        <v>205.5</v>
      </c>
      <c r="J21" s="119">
        <f t="shared" si="0"/>
        <v>764.5</v>
      </c>
      <c r="K21" s="140">
        <f>'Athens Daily - Gas'!BH27</f>
        <v>196334.25599999999</v>
      </c>
      <c r="L21" s="140">
        <f>'Athens Daily - Gas'!BI27</f>
        <v>117110.40000000001</v>
      </c>
      <c r="M21" s="123">
        <f t="shared" si="2"/>
        <v>8118.2247086247089</v>
      </c>
      <c r="N21" s="146">
        <f>Occ!G28</f>
        <v>571</v>
      </c>
      <c r="O21" s="97">
        <f>Occ!H28</f>
        <v>1243</v>
      </c>
      <c r="P21" s="145">
        <v>918</v>
      </c>
      <c r="Q21" s="150"/>
    </row>
    <row r="22" spans="1:17">
      <c r="A22" s="7" t="s">
        <v>14</v>
      </c>
      <c r="B22" s="7">
        <v>20</v>
      </c>
      <c r="C22" s="7">
        <v>12</v>
      </c>
      <c r="D22" s="113">
        <v>2022</v>
      </c>
      <c r="E22" s="140">
        <f>'Athens Daily - EL'!AP27</f>
        <v>36627.19999999999</v>
      </c>
      <c r="F22" s="140">
        <f>'Athens Daily - EL'!AQ27</f>
        <v>27882.799999999999</v>
      </c>
      <c r="G22" s="123">
        <f t="shared" si="1"/>
        <v>64509.999999999985</v>
      </c>
      <c r="H22" s="140">
        <f>'Athens Daily - Water'!R26</f>
        <v>494</v>
      </c>
      <c r="I22" s="140">
        <f>'Athens Daily - Water'!S26</f>
        <v>226.60000000000002</v>
      </c>
      <c r="J22" s="119">
        <f t="shared" si="0"/>
        <v>720.6</v>
      </c>
      <c r="K22" s="140">
        <f>'Athens Daily - Gas'!BH28</f>
        <v>189005.42400000003</v>
      </c>
      <c r="L22" s="140">
        <f>'Athens Daily - Gas'!BI28</f>
        <v>105187.20000000001</v>
      </c>
      <c r="M22" s="123">
        <f t="shared" si="2"/>
        <v>7619.5965811965834</v>
      </c>
      <c r="N22" s="146">
        <f>Occ!G29</f>
        <v>576</v>
      </c>
      <c r="O22" s="97">
        <f>Occ!H29</f>
        <v>1252</v>
      </c>
      <c r="P22" s="145">
        <v>918</v>
      </c>
      <c r="Q22" s="151"/>
    </row>
    <row r="23" spans="1:17">
      <c r="A23" s="7" t="s">
        <v>14</v>
      </c>
      <c r="B23" s="7">
        <v>21</v>
      </c>
      <c r="C23" s="7">
        <v>12</v>
      </c>
      <c r="D23" s="113">
        <v>2022</v>
      </c>
      <c r="E23" s="140">
        <f>'Athens Daily - EL'!AP28</f>
        <v>35790.700000000004</v>
      </c>
      <c r="F23" s="140">
        <f>'Athens Daily - EL'!AQ28</f>
        <v>26969.3</v>
      </c>
      <c r="G23" s="123">
        <f t="shared" si="1"/>
        <v>62760</v>
      </c>
      <c r="H23" s="140">
        <f>'Athens Daily - Water'!R27</f>
        <v>499</v>
      </c>
      <c r="I23" s="140">
        <f>'Athens Daily - Water'!S27</f>
        <v>194.85000000000002</v>
      </c>
      <c r="J23" s="119">
        <f t="shared" si="0"/>
        <v>693.85</v>
      </c>
      <c r="K23" s="140">
        <f>'Athens Daily - Gas'!BH29</f>
        <v>172849.82399999996</v>
      </c>
      <c r="L23" s="140">
        <f>'Athens Daily - Gas'!BI29</f>
        <v>121334.40000000001</v>
      </c>
      <c r="M23" s="123">
        <f t="shared" si="2"/>
        <v>7619.3790209790204</v>
      </c>
      <c r="N23" s="146">
        <f>Occ!G30</f>
        <v>560</v>
      </c>
      <c r="O23" s="97">
        <f>Occ!H30</f>
        <v>1222</v>
      </c>
      <c r="P23" s="145">
        <v>918</v>
      </c>
      <c r="Q23" s="151"/>
    </row>
    <row r="24" spans="1:17">
      <c r="A24" s="7" t="s">
        <v>14</v>
      </c>
      <c r="B24" s="7">
        <v>22</v>
      </c>
      <c r="C24" s="7">
        <v>12</v>
      </c>
      <c r="D24" s="113">
        <v>2022</v>
      </c>
      <c r="E24" s="140">
        <f>'Athens Daily - EL'!AP29</f>
        <v>35325.200000000004</v>
      </c>
      <c r="F24" s="140">
        <f>'Athens Daily - EL'!AQ29</f>
        <v>26624.799999999999</v>
      </c>
      <c r="G24" s="123">
        <f t="shared" si="1"/>
        <v>61950</v>
      </c>
      <c r="H24" s="140">
        <f>'Athens Daily - Water'!R28</f>
        <v>530.79</v>
      </c>
      <c r="I24" s="140">
        <f>'Athens Daily - Water'!S28</f>
        <v>279.25</v>
      </c>
      <c r="J24" s="119">
        <f t="shared" si="0"/>
        <v>810.04</v>
      </c>
      <c r="K24" s="140">
        <f>'Athens Daily - Gas'!BH30</f>
        <v>171079.82399999996</v>
      </c>
      <c r="L24" s="140">
        <f>'Athens Daily - Gas'!BI30</f>
        <v>95577.600000000006</v>
      </c>
      <c r="M24" s="123">
        <f t="shared" si="2"/>
        <v>6906.4341880341881</v>
      </c>
      <c r="N24" s="146">
        <f>Occ!G31</f>
        <v>562</v>
      </c>
      <c r="O24" s="97">
        <f>Occ!H31</f>
        <v>1238</v>
      </c>
      <c r="P24" s="145">
        <v>918</v>
      </c>
      <c r="Q24" s="151"/>
    </row>
    <row r="25" spans="1:17">
      <c r="A25" s="7" t="s">
        <v>14</v>
      </c>
      <c r="B25" s="7">
        <v>23</v>
      </c>
      <c r="C25" s="7">
        <v>12</v>
      </c>
      <c r="D25" s="113">
        <v>2022</v>
      </c>
      <c r="E25" s="140">
        <f>'Athens Daily - EL'!AP30</f>
        <v>36541.200000000004</v>
      </c>
      <c r="F25" s="140">
        <f>'Athens Daily - EL'!AQ30</f>
        <v>26248.799999999999</v>
      </c>
      <c r="G25" s="123">
        <f t="shared" si="1"/>
        <v>62790</v>
      </c>
      <c r="H25" s="140">
        <f>'Athens Daily - Water'!R29</f>
        <v>572.24400000000003</v>
      </c>
      <c r="I25" s="140">
        <f>'Athens Daily - Water'!S29</f>
        <v>224.35000000000002</v>
      </c>
      <c r="J25" s="119">
        <f t="shared" si="0"/>
        <v>796.59400000000005</v>
      </c>
      <c r="K25" s="140">
        <f>'Athens Daily - Gas'!BH31</f>
        <v>182709.45600000001</v>
      </c>
      <c r="L25" s="140">
        <f>'Athens Daily - Gas'!BI31</f>
        <v>107328</v>
      </c>
      <c r="M25" s="123">
        <f t="shared" si="2"/>
        <v>7511.9776223776225</v>
      </c>
      <c r="N25" s="146">
        <f>Occ!G32</f>
        <v>592</v>
      </c>
      <c r="O25" s="97">
        <f>Occ!H32</f>
        <v>1321</v>
      </c>
      <c r="P25" s="145">
        <v>918</v>
      </c>
      <c r="Q25" s="151"/>
    </row>
    <row r="26" spans="1:17">
      <c r="A26" s="7" t="s">
        <v>14</v>
      </c>
      <c r="B26" s="7">
        <v>24</v>
      </c>
      <c r="C26" s="7">
        <v>12</v>
      </c>
      <c r="D26" s="113">
        <v>2022</v>
      </c>
      <c r="E26" s="140">
        <f>'Athens Daily - EL'!AP31</f>
        <v>37263.700000000004</v>
      </c>
      <c r="F26" s="140">
        <f>'Athens Daily - EL'!AQ31</f>
        <v>27376.3</v>
      </c>
      <c r="G26" s="123">
        <f t="shared" si="1"/>
        <v>64640</v>
      </c>
      <c r="H26" s="140">
        <f>'Athens Daily - Water'!R30</f>
        <v>593.36599999999999</v>
      </c>
      <c r="I26" s="140">
        <f>'Athens Daily - Water'!S30</f>
        <v>195.3</v>
      </c>
      <c r="J26" s="119">
        <f t="shared" si="0"/>
        <v>788.66599999999994</v>
      </c>
      <c r="K26" s="140">
        <f>'Athens Daily - Gas'!BH32</f>
        <v>169309.152</v>
      </c>
      <c r="L26" s="140">
        <f>'Athens Daily - Gas'!BI32</f>
        <v>95145.600000000006</v>
      </c>
      <c r="M26" s="123">
        <f t="shared" si="2"/>
        <v>6849.3849261849255</v>
      </c>
      <c r="N26" s="146">
        <f>Occ!G33</f>
        <v>597</v>
      </c>
      <c r="O26" s="97">
        <f>Occ!H33</f>
        <v>1356</v>
      </c>
      <c r="P26" s="145">
        <v>918</v>
      </c>
      <c r="Q26" s="151"/>
    </row>
    <row r="27" spans="1:17">
      <c r="A27" s="7" t="s">
        <v>14</v>
      </c>
      <c r="B27" s="7">
        <v>25</v>
      </c>
      <c r="C27" s="7">
        <v>12</v>
      </c>
      <c r="D27" s="113">
        <v>2022</v>
      </c>
      <c r="E27" s="140">
        <f>'Athens Daily - EL'!AP32</f>
        <v>35981.5</v>
      </c>
      <c r="F27" s="140">
        <f>'Athens Daily - EL'!AQ32</f>
        <v>25368.5</v>
      </c>
      <c r="G27" s="123">
        <f t="shared" si="1"/>
        <v>61350</v>
      </c>
      <c r="H27" s="140">
        <f>'Athens Daily - Water'!R31</f>
        <v>564.6</v>
      </c>
      <c r="I27" s="140">
        <f>'Athens Daily - Water'!S31</f>
        <v>217.5</v>
      </c>
      <c r="J27" s="119">
        <f t="shared" si="0"/>
        <v>782.1</v>
      </c>
      <c r="K27" s="140">
        <f>'Athens Daily - Gas'!BH33</f>
        <v>160762.704</v>
      </c>
      <c r="L27" s="140">
        <f>'Athens Daily - Gas'!BI33</f>
        <v>92304</v>
      </c>
      <c r="M27" s="123">
        <f t="shared" si="2"/>
        <v>6554.4341880341881</v>
      </c>
      <c r="N27" s="146">
        <f>Occ!G34</f>
        <v>580</v>
      </c>
      <c r="O27" s="97">
        <f>Occ!H34</f>
        <v>1335</v>
      </c>
      <c r="P27" s="145">
        <v>918</v>
      </c>
      <c r="Q27" s="149"/>
    </row>
    <row r="28" spans="1:17">
      <c r="A28" s="7" t="s">
        <v>14</v>
      </c>
      <c r="B28" s="7">
        <v>26</v>
      </c>
      <c r="C28" s="7">
        <v>12</v>
      </c>
      <c r="D28" s="113">
        <v>2022</v>
      </c>
      <c r="E28" s="140">
        <f>'Athens Daily - EL'!AP33</f>
        <v>36163.700000000004</v>
      </c>
      <c r="F28" s="140">
        <f>'Athens Daily - EL'!AQ33</f>
        <v>26646.299999999996</v>
      </c>
      <c r="G28" s="123">
        <f t="shared" si="1"/>
        <v>62810</v>
      </c>
      <c r="H28" s="140">
        <f>'Athens Daily - Water'!R32</f>
        <v>575</v>
      </c>
      <c r="I28" s="140">
        <f>'Athens Daily - Water'!S32</f>
        <v>205.85000000000002</v>
      </c>
      <c r="J28" s="119">
        <f t="shared" si="0"/>
        <v>780.85</v>
      </c>
      <c r="K28" s="140">
        <f>'Athens Daily - Gas'!BH34</f>
        <v>171110.39999999999</v>
      </c>
      <c r="L28" s="140">
        <f>'Athens Daily - Gas'!BI34</f>
        <v>100137.60000000001</v>
      </c>
      <c r="M28" s="123">
        <f t="shared" si="2"/>
        <v>7025.3302253302254</v>
      </c>
      <c r="N28" s="146">
        <f>Occ!G35</f>
        <v>564</v>
      </c>
      <c r="O28" s="97">
        <f>Occ!H35</f>
        <v>1298</v>
      </c>
      <c r="P28" s="145">
        <v>918</v>
      </c>
      <c r="Q28" s="149"/>
    </row>
    <row r="29" spans="1:17">
      <c r="A29" s="7" t="s">
        <v>14</v>
      </c>
      <c r="B29" s="7">
        <v>27</v>
      </c>
      <c r="C29" s="7">
        <v>12</v>
      </c>
      <c r="D29" s="113">
        <v>2022</v>
      </c>
      <c r="E29" s="140">
        <f>'Athens Daily - EL'!AP34</f>
        <v>36378.799999999996</v>
      </c>
      <c r="F29" s="140">
        <f>'Athens Daily - EL'!AQ34</f>
        <v>26321.200000000001</v>
      </c>
      <c r="G29" s="123">
        <f t="shared" si="1"/>
        <v>62700</v>
      </c>
      <c r="H29" s="140">
        <f>'Athens Daily - Water'!R33</f>
        <v>557</v>
      </c>
      <c r="I29" s="140">
        <f>'Athens Daily - Water'!S33</f>
        <v>222.3</v>
      </c>
      <c r="J29" s="119">
        <f t="shared" si="0"/>
        <v>779.3</v>
      </c>
      <c r="K29" s="140">
        <f>'Athens Daily - Gas'!BH35</f>
        <v>177168</v>
      </c>
      <c r="L29" s="140">
        <f>'Athens Daily - Gas'!BI35</f>
        <v>101856</v>
      </c>
      <c r="M29" s="123">
        <f t="shared" si="2"/>
        <v>7226.7288267288268</v>
      </c>
      <c r="N29" s="146">
        <f>Occ!G36</f>
        <v>587</v>
      </c>
      <c r="O29" s="97">
        <f>Occ!H36</f>
        <v>1343</v>
      </c>
      <c r="P29" s="145">
        <v>918</v>
      </c>
      <c r="Q29" s="149"/>
    </row>
    <row r="30" spans="1:17">
      <c r="A30" s="7" t="s">
        <v>14</v>
      </c>
      <c r="B30" s="7">
        <v>28</v>
      </c>
      <c r="C30" s="7">
        <v>12</v>
      </c>
      <c r="D30" s="113">
        <v>2022</v>
      </c>
      <c r="E30" s="140">
        <f>'Athens Daily - EL'!AP35</f>
        <v>37479.899999999994</v>
      </c>
      <c r="F30" s="140">
        <f>'Athens Daily - EL'!AQ35</f>
        <v>28200.100000000002</v>
      </c>
      <c r="G30" s="123">
        <f t="shared" si="1"/>
        <v>65680</v>
      </c>
      <c r="H30" s="140">
        <f>'Athens Daily - Water'!R34</f>
        <v>547</v>
      </c>
      <c r="I30" s="140">
        <f>'Athens Daily - Water'!S34</f>
        <v>196.9</v>
      </c>
      <c r="J30" s="119">
        <f t="shared" si="0"/>
        <v>743.9</v>
      </c>
      <c r="K30" s="140">
        <f>'Athens Daily - Gas'!BH36</f>
        <v>170803.20000000001</v>
      </c>
      <c r="L30" s="140">
        <f>'Athens Daily - Gas'!BI36</f>
        <v>101596.8</v>
      </c>
      <c r="M30" s="123">
        <f t="shared" si="2"/>
        <v>7055.167055167055</v>
      </c>
      <c r="N30" s="146">
        <f>Occ!G37</f>
        <v>576</v>
      </c>
      <c r="O30" s="97">
        <f>Occ!H37</f>
        <v>1297</v>
      </c>
      <c r="P30" s="145">
        <v>918</v>
      </c>
      <c r="Q30" s="149"/>
    </row>
    <row r="31" spans="1:17">
      <c r="A31" s="7" t="s">
        <v>14</v>
      </c>
      <c r="B31" s="7">
        <v>29</v>
      </c>
      <c r="C31" s="7">
        <v>12</v>
      </c>
      <c r="D31" s="113">
        <v>2022</v>
      </c>
      <c r="E31" s="140">
        <f>'Athens Daily - EL'!AP36</f>
        <v>37069</v>
      </c>
      <c r="F31" s="140">
        <f>'Athens Daily - EL'!AQ36</f>
        <v>26991</v>
      </c>
      <c r="G31" s="123">
        <f t="shared" si="1"/>
        <v>64060</v>
      </c>
      <c r="H31" s="140">
        <f>'Athens Daily - Water'!R35</f>
        <v>664</v>
      </c>
      <c r="I31" s="140">
        <f>'Athens Daily - Water'!S35</f>
        <v>211.05</v>
      </c>
      <c r="J31" s="119">
        <f t="shared" si="0"/>
        <v>875.05</v>
      </c>
      <c r="K31" s="140">
        <f>'Athens Daily - Gas'!BH37</f>
        <v>168537.59999999998</v>
      </c>
      <c r="L31" s="140">
        <f>'Athens Daily - Gas'!BI37</f>
        <v>105206.40000000001</v>
      </c>
      <c r="M31" s="123">
        <f t="shared" si="2"/>
        <v>7089.9766899766901</v>
      </c>
      <c r="N31" s="146">
        <f>Occ!G38</f>
        <v>584</v>
      </c>
      <c r="O31" s="97">
        <f>Occ!H38</f>
        <v>1315</v>
      </c>
      <c r="P31" s="145">
        <v>918</v>
      </c>
      <c r="Q31" s="149"/>
    </row>
    <row r="32" spans="1:17">
      <c r="A32" s="7" t="s">
        <v>14</v>
      </c>
      <c r="B32" s="7">
        <v>30</v>
      </c>
      <c r="C32" s="7">
        <v>12</v>
      </c>
      <c r="D32" s="113">
        <v>2022</v>
      </c>
      <c r="E32" s="140">
        <f>'Athens Daily - EL'!AP37</f>
        <v>37006.800000000003</v>
      </c>
      <c r="F32" s="140">
        <f>'Athens Daily - EL'!AQ37</f>
        <v>26793.200000000001</v>
      </c>
      <c r="G32" s="123">
        <f t="shared" si="1"/>
        <v>63800</v>
      </c>
      <c r="H32" s="140">
        <f>'Athens Daily - Water'!R36</f>
        <v>1202</v>
      </c>
      <c r="I32" s="140">
        <f>'Athens Daily - Water'!S36</f>
        <v>434.4</v>
      </c>
      <c r="J32" s="119">
        <f t="shared" si="0"/>
        <v>1636.4</v>
      </c>
      <c r="K32" s="140">
        <f>'Athens Daily - Gas'!BH38</f>
        <v>175996.79999999999</v>
      </c>
      <c r="L32" s="140">
        <f>'Athens Daily - Gas'!BI38</f>
        <v>97555.199999999997</v>
      </c>
      <c r="M32" s="123">
        <f t="shared" si="2"/>
        <v>7085.0038850038854</v>
      </c>
      <c r="N32" s="146">
        <f>Occ!G39</f>
        <v>564</v>
      </c>
      <c r="O32" s="97">
        <f>Occ!H39</f>
        <v>1278</v>
      </c>
      <c r="P32" s="145">
        <v>918</v>
      </c>
      <c r="Q32" s="149"/>
    </row>
    <row r="33" spans="1:17" ht="15.75" thickBot="1">
      <c r="A33" s="7" t="s">
        <v>14</v>
      </c>
      <c r="B33" s="7">
        <v>31</v>
      </c>
      <c r="C33" s="7">
        <v>12</v>
      </c>
      <c r="D33" s="113">
        <v>2022</v>
      </c>
      <c r="E33" s="140">
        <f>'Athens Daily - EL'!AP38</f>
        <v>35809.499999999993</v>
      </c>
      <c r="F33" s="140">
        <f>'Athens Daily - EL'!AQ38</f>
        <v>26160.500000000004</v>
      </c>
      <c r="G33" s="124">
        <f t="shared" si="1"/>
        <v>61970</v>
      </c>
      <c r="H33" s="140">
        <f>'Athens Daily - Water'!R37</f>
        <v>1100</v>
      </c>
      <c r="I33" s="140">
        <f>'Athens Daily - Water'!S37</f>
        <v>426.4</v>
      </c>
      <c r="J33" s="120">
        <f t="shared" si="0"/>
        <v>1526.4</v>
      </c>
      <c r="K33" s="140">
        <f>'Athens Daily - Gas'!BH39</f>
        <v>180931.20000000001</v>
      </c>
      <c r="L33" s="140">
        <f>'Athens Daily - Gas'!BI39</f>
        <v>104524.8</v>
      </c>
      <c r="M33" s="124">
        <f t="shared" si="2"/>
        <v>7393.3177933177931</v>
      </c>
      <c r="N33" s="153">
        <f>Occ!G40</f>
        <v>586</v>
      </c>
      <c r="O33" s="144">
        <f>Occ!H40</f>
        <v>1311</v>
      </c>
      <c r="P33" s="143">
        <v>918</v>
      </c>
      <c r="Q33" s="149"/>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28" activePane="bottomRight" state="frozen"/>
      <selection activeCell="A4" sqref="A4"/>
      <selection pane="topRight" activeCell="C4" sqref="C4"/>
      <selection pane="bottomLeft" activeCell="A10" sqref="A10"/>
      <selection pane="bottomRight" activeCell="D26" sqref="D26"/>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403</v>
      </c>
      <c r="D7" s="126"/>
      <c r="E7" s="126"/>
      <c r="F7" s="126"/>
      <c r="G7" s="126"/>
      <c r="H7" s="126"/>
      <c r="I7" s="126"/>
      <c r="J7" s="125"/>
      <c r="K7" s="125"/>
      <c r="L7" s="125"/>
      <c r="M7" s="125"/>
      <c r="N7" s="125"/>
    </row>
    <row r="8" spans="1:14" ht="15.75" thickBot="1">
      <c r="A8" s="125"/>
      <c r="B8" s="125" t="s">
        <v>21</v>
      </c>
      <c r="C8" s="129"/>
      <c r="D8" s="129"/>
      <c r="E8" s="129"/>
      <c r="F8" s="129"/>
      <c r="G8" s="209" t="s">
        <v>22</v>
      </c>
      <c r="H8" s="210"/>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8">
        <v>200</v>
      </c>
      <c r="D10" s="159">
        <v>289</v>
      </c>
      <c r="E10" s="135">
        <v>389</v>
      </c>
      <c r="F10" s="136">
        <v>894</v>
      </c>
      <c r="G10" s="152">
        <f>SUM(C10+E10)</f>
        <v>589</v>
      </c>
      <c r="H10" s="136">
        <f>D10+F10</f>
        <v>1183</v>
      </c>
      <c r="I10" s="133">
        <v>918</v>
      </c>
      <c r="J10" s="125"/>
      <c r="K10" s="125"/>
      <c r="L10" s="125"/>
      <c r="M10" s="125"/>
      <c r="N10" s="125"/>
    </row>
    <row r="11" spans="1:14">
      <c r="A11" s="125"/>
      <c r="B11" s="134" t="s">
        <v>29</v>
      </c>
      <c r="C11" s="158">
        <v>178</v>
      </c>
      <c r="D11" s="159">
        <v>281</v>
      </c>
      <c r="E11" s="135">
        <v>390</v>
      </c>
      <c r="F11" s="136">
        <v>902</v>
      </c>
      <c r="G11" s="152">
        <f t="shared" ref="G11:G40" si="0">SUM(C11+E11)</f>
        <v>568</v>
      </c>
      <c r="H11" s="136">
        <f t="shared" ref="H11:H14" si="1">D11+F11</f>
        <v>1183</v>
      </c>
      <c r="I11" s="133">
        <v>918</v>
      </c>
      <c r="J11" s="125"/>
      <c r="K11" s="125"/>
      <c r="L11" s="125"/>
      <c r="M11" s="125"/>
      <c r="N11" s="125"/>
    </row>
    <row r="12" spans="1:14">
      <c r="A12" s="125"/>
      <c r="B12" s="134" t="s">
        <v>30</v>
      </c>
      <c r="C12" s="158">
        <v>208</v>
      </c>
      <c r="D12" s="159">
        <v>349</v>
      </c>
      <c r="E12" s="135">
        <v>388</v>
      </c>
      <c r="F12" s="136">
        <v>900</v>
      </c>
      <c r="G12" s="152">
        <f t="shared" si="0"/>
        <v>596</v>
      </c>
      <c r="H12" s="136">
        <f t="shared" si="1"/>
        <v>1249</v>
      </c>
      <c r="I12" s="133">
        <v>918</v>
      </c>
      <c r="J12" s="125"/>
      <c r="K12" s="125"/>
      <c r="L12" s="125"/>
      <c r="M12" s="125"/>
      <c r="N12" s="125"/>
    </row>
    <row r="13" spans="1:14">
      <c r="A13" s="125"/>
      <c r="B13" s="134" t="s">
        <v>31</v>
      </c>
      <c r="C13" s="158">
        <v>185</v>
      </c>
      <c r="D13" s="159">
        <v>293</v>
      </c>
      <c r="E13" s="135">
        <v>389</v>
      </c>
      <c r="F13" s="136">
        <v>902</v>
      </c>
      <c r="G13" s="152">
        <f t="shared" si="0"/>
        <v>574</v>
      </c>
      <c r="H13" s="136">
        <f t="shared" si="1"/>
        <v>1195</v>
      </c>
      <c r="I13" s="133">
        <v>918</v>
      </c>
      <c r="J13" s="125"/>
      <c r="K13" s="125"/>
      <c r="L13" s="125"/>
      <c r="M13" s="125"/>
      <c r="N13" s="125"/>
    </row>
    <row r="14" spans="1:14">
      <c r="A14" s="125"/>
      <c r="B14" s="134" t="s">
        <v>32</v>
      </c>
      <c r="C14" s="158">
        <v>195</v>
      </c>
      <c r="D14" s="159">
        <v>302</v>
      </c>
      <c r="E14" s="135">
        <v>387</v>
      </c>
      <c r="F14" s="136">
        <v>901</v>
      </c>
      <c r="G14" s="152">
        <f t="shared" si="0"/>
        <v>582</v>
      </c>
      <c r="H14" s="136">
        <f t="shared" si="1"/>
        <v>1203</v>
      </c>
      <c r="I14" s="133">
        <v>918</v>
      </c>
      <c r="J14" s="125"/>
      <c r="K14" s="125"/>
      <c r="L14" s="125"/>
      <c r="M14" s="125"/>
      <c r="N14" s="125"/>
    </row>
    <row r="15" spans="1:14">
      <c r="A15" s="125"/>
      <c r="B15" s="134" t="s">
        <v>33</v>
      </c>
      <c r="C15" s="158">
        <v>198</v>
      </c>
      <c r="D15" s="159">
        <v>300</v>
      </c>
      <c r="E15" s="135">
        <v>386</v>
      </c>
      <c r="F15" s="136">
        <v>894</v>
      </c>
      <c r="G15" s="152">
        <f t="shared" si="0"/>
        <v>584</v>
      </c>
      <c r="H15" s="136">
        <f t="shared" ref="H15:H40" si="2">D15+F15</f>
        <v>1194</v>
      </c>
      <c r="I15" s="133">
        <v>918</v>
      </c>
      <c r="J15" s="125"/>
      <c r="K15" s="125"/>
      <c r="L15" s="125"/>
      <c r="M15" s="125"/>
      <c r="N15" s="125"/>
    </row>
    <row r="16" spans="1:14">
      <c r="A16" s="125"/>
      <c r="B16" s="134" t="s">
        <v>34</v>
      </c>
      <c r="C16" s="158">
        <v>200</v>
      </c>
      <c r="D16" s="159">
        <v>311</v>
      </c>
      <c r="E16" s="135">
        <v>385</v>
      </c>
      <c r="F16" s="136">
        <v>891</v>
      </c>
      <c r="G16" s="152">
        <f t="shared" si="0"/>
        <v>585</v>
      </c>
      <c r="H16" s="136">
        <f t="shared" si="2"/>
        <v>1202</v>
      </c>
      <c r="I16" s="133">
        <v>918</v>
      </c>
      <c r="J16" s="125"/>
      <c r="K16" s="125"/>
      <c r="L16" s="125"/>
      <c r="M16" s="125"/>
      <c r="N16" s="125"/>
    </row>
    <row r="17" spans="1:14">
      <c r="A17" s="125"/>
      <c r="B17" s="134" t="s">
        <v>35</v>
      </c>
      <c r="C17" s="158">
        <v>215</v>
      </c>
      <c r="D17" s="159">
        <v>336</v>
      </c>
      <c r="E17" s="135">
        <v>383</v>
      </c>
      <c r="F17" s="136">
        <v>886</v>
      </c>
      <c r="G17" s="152">
        <f t="shared" si="0"/>
        <v>598</v>
      </c>
      <c r="H17" s="136">
        <f t="shared" si="2"/>
        <v>1222</v>
      </c>
      <c r="I17" s="133">
        <v>918</v>
      </c>
      <c r="J17" s="125"/>
      <c r="K17" s="125"/>
      <c r="L17" s="125"/>
      <c r="M17" s="125"/>
      <c r="N17" s="125"/>
    </row>
    <row r="18" spans="1:14">
      <c r="A18" s="125"/>
      <c r="B18" s="134" t="s">
        <v>36</v>
      </c>
      <c r="C18" s="158">
        <v>194</v>
      </c>
      <c r="D18" s="159">
        <v>324</v>
      </c>
      <c r="E18" s="135">
        <v>382</v>
      </c>
      <c r="F18" s="136">
        <v>885</v>
      </c>
      <c r="G18" s="152">
        <f t="shared" si="0"/>
        <v>576</v>
      </c>
      <c r="H18" s="136">
        <f t="shared" si="2"/>
        <v>1209</v>
      </c>
      <c r="I18" s="133">
        <v>918</v>
      </c>
      <c r="J18" s="125"/>
      <c r="K18" s="125"/>
      <c r="L18" s="125"/>
      <c r="M18" s="125"/>
      <c r="N18" s="125"/>
    </row>
    <row r="19" spans="1:14">
      <c r="A19" s="125"/>
      <c r="B19" s="134" t="s">
        <v>37</v>
      </c>
      <c r="C19" s="158">
        <v>197</v>
      </c>
      <c r="D19" s="159">
        <v>345</v>
      </c>
      <c r="E19" s="135">
        <v>381</v>
      </c>
      <c r="F19" s="136">
        <v>883</v>
      </c>
      <c r="G19" s="152">
        <f t="shared" si="0"/>
        <v>578</v>
      </c>
      <c r="H19" s="136">
        <f t="shared" si="2"/>
        <v>1228</v>
      </c>
      <c r="I19" s="133">
        <v>918</v>
      </c>
      <c r="J19" s="125"/>
      <c r="K19" s="125"/>
      <c r="L19" s="125"/>
      <c r="M19" s="125"/>
      <c r="N19" s="125"/>
    </row>
    <row r="20" spans="1:14">
      <c r="A20" s="125"/>
      <c r="B20" s="134" t="s">
        <v>38</v>
      </c>
      <c r="C20" s="158">
        <v>157</v>
      </c>
      <c r="D20" s="159">
        <v>259</v>
      </c>
      <c r="E20" s="135">
        <v>384</v>
      </c>
      <c r="F20" s="136">
        <v>895</v>
      </c>
      <c r="G20" s="152">
        <f t="shared" si="0"/>
        <v>541</v>
      </c>
      <c r="H20" s="136">
        <f t="shared" si="2"/>
        <v>1154</v>
      </c>
      <c r="I20" s="133">
        <v>918</v>
      </c>
      <c r="J20" s="125"/>
      <c r="K20" s="125"/>
      <c r="L20" s="125"/>
      <c r="M20" s="125"/>
      <c r="N20" s="125"/>
    </row>
    <row r="21" spans="1:14">
      <c r="A21" s="125"/>
      <c r="B21" s="134" t="s">
        <v>39</v>
      </c>
      <c r="C21" s="158">
        <v>158</v>
      </c>
      <c r="D21" s="159">
        <v>258</v>
      </c>
      <c r="E21" s="152">
        <v>385</v>
      </c>
      <c r="F21" s="136">
        <v>898</v>
      </c>
      <c r="G21" s="152">
        <f t="shared" ref="G21:G34" si="3">SUM(C21+E21)</f>
        <v>543</v>
      </c>
      <c r="H21" s="136">
        <f t="shared" ref="H21:H34" si="4">D21+F21</f>
        <v>1156</v>
      </c>
      <c r="I21" s="133">
        <v>918</v>
      </c>
      <c r="J21" s="125"/>
      <c r="K21" s="125"/>
      <c r="L21" s="125"/>
      <c r="M21" s="125"/>
      <c r="N21" s="125"/>
    </row>
    <row r="22" spans="1:14">
      <c r="A22" s="125"/>
      <c r="B22" s="134" t="s">
        <v>40</v>
      </c>
      <c r="C22" s="158">
        <v>153</v>
      </c>
      <c r="D22" s="159">
        <v>245</v>
      </c>
      <c r="E22" s="152">
        <v>381</v>
      </c>
      <c r="F22" s="136">
        <v>883</v>
      </c>
      <c r="G22" s="152">
        <f t="shared" si="3"/>
        <v>534</v>
      </c>
      <c r="H22" s="136">
        <f t="shared" si="4"/>
        <v>1128</v>
      </c>
      <c r="I22" s="133">
        <v>918</v>
      </c>
      <c r="J22" s="125"/>
      <c r="K22" s="125"/>
      <c r="L22" s="125"/>
      <c r="M22" s="125"/>
      <c r="N22" s="125"/>
    </row>
    <row r="23" spans="1:14">
      <c r="A23" s="125"/>
      <c r="B23" s="134" t="s">
        <v>41</v>
      </c>
      <c r="C23" s="158">
        <v>166</v>
      </c>
      <c r="D23" s="159">
        <v>275</v>
      </c>
      <c r="E23" s="152">
        <v>384</v>
      </c>
      <c r="F23" s="136">
        <v>892</v>
      </c>
      <c r="G23" s="152">
        <f t="shared" si="3"/>
        <v>550</v>
      </c>
      <c r="H23" s="136">
        <f t="shared" si="4"/>
        <v>1167</v>
      </c>
      <c r="I23" s="133">
        <v>918</v>
      </c>
      <c r="J23" s="125"/>
      <c r="K23" s="125"/>
      <c r="L23" s="125"/>
      <c r="M23" s="125"/>
      <c r="N23" s="125"/>
    </row>
    <row r="24" spans="1:14">
      <c r="A24" s="125"/>
      <c r="B24" s="134" t="s">
        <v>42</v>
      </c>
      <c r="C24" s="158">
        <v>161</v>
      </c>
      <c r="D24" s="159">
        <v>270</v>
      </c>
      <c r="E24" s="152">
        <v>387</v>
      </c>
      <c r="F24" s="136">
        <v>899</v>
      </c>
      <c r="G24" s="152">
        <f t="shared" si="3"/>
        <v>548</v>
      </c>
      <c r="H24" s="136">
        <f t="shared" si="4"/>
        <v>1169</v>
      </c>
      <c r="I24" s="133">
        <v>918</v>
      </c>
      <c r="J24" s="125"/>
      <c r="K24" s="125"/>
      <c r="L24" s="125"/>
      <c r="M24" s="125"/>
      <c r="N24" s="125"/>
    </row>
    <row r="25" spans="1:14">
      <c r="A25" s="125"/>
      <c r="B25" s="134" t="s">
        <v>43</v>
      </c>
      <c r="C25" s="158">
        <v>193</v>
      </c>
      <c r="D25" s="159">
        <v>352</v>
      </c>
      <c r="E25" s="152">
        <v>388</v>
      </c>
      <c r="F25" s="136">
        <v>904</v>
      </c>
      <c r="G25" s="152">
        <f t="shared" si="3"/>
        <v>581</v>
      </c>
      <c r="H25" s="136">
        <f t="shared" si="4"/>
        <v>1256</v>
      </c>
      <c r="I25" s="133">
        <v>918</v>
      </c>
      <c r="J25" s="125"/>
      <c r="K25" s="125"/>
      <c r="L25" s="125"/>
      <c r="M25" s="125"/>
      <c r="N25" s="125"/>
    </row>
    <row r="26" spans="1:14">
      <c r="A26" s="125"/>
      <c r="B26" s="134" t="s">
        <v>44</v>
      </c>
      <c r="C26" s="158">
        <v>203</v>
      </c>
      <c r="D26" s="159">
        <v>391</v>
      </c>
      <c r="E26" s="152">
        <v>388</v>
      </c>
      <c r="F26" s="136">
        <v>906</v>
      </c>
      <c r="G26" s="152">
        <f t="shared" si="3"/>
        <v>591</v>
      </c>
      <c r="H26" s="136">
        <f t="shared" si="4"/>
        <v>1297</v>
      </c>
      <c r="I26" s="133">
        <v>918</v>
      </c>
      <c r="J26" s="125"/>
      <c r="K26" s="125"/>
      <c r="L26" s="125"/>
      <c r="M26" s="125"/>
      <c r="N26" s="125"/>
    </row>
    <row r="27" spans="1:14">
      <c r="A27" s="125"/>
      <c r="B27" s="134" t="s">
        <v>45</v>
      </c>
      <c r="C27" s="158">
        <v>153</v>
      </c>
      <c r="D27" s="159">
        <v>286</v>
      </c>
      <c r="E27" s="152">
        <v>389</v>
      </c>
      <c r="F27" s="136">
        <v>906</v>
      </c>
      <c r="G27" s="152">
        <f t="shared" si="3"/>
        <v>542</v>
      </c>
      <c r="H27" s="136">
        <f t="shared" si="4"/>
        <v>1192</v>
      </c>
      <c r="I27" s="133">
        <v>918</v>
      </c>
      <c r="J27" s="125"/>
      <c r="K27" s="125"/>
      <c r="L27" s="125"/>
      <c r="M27" s="125"/>
      <c r="N27" s="125"/>
    </row>
    <row r="28" spans="1:14">
      <c r="A28" s="125"/>
      <c r="B28" s="134" t="s">
        <v>46</v>
      </c>
      <c r="C28" s="158">
        <v>179</v>
      </c>
      <c r="D28" s="159">
        <v>333</v>
      </c>
      <c r="E28" s="152">
        <v>392</v>
      </c>
      <c r="F28" s="136">
        <v>910</v>
      </c>
      <c r="G28" s="152">
        <f t="shared" si="3"/>
        <v>571</v>
      </c>
      <c r="H28" s="136">
        <f t="shared" si="4"/>
        <v>1243</v>
      </c>
      <c r="I28" s="133">
        <v>918</v>
      </c>
      <c r="J28" s="125"/>
      <c r="K28" s="125"/>
      <c r="L28" s="125"/>
      <c r="M28" s="125"/>
      <c r="N28" s="125"/>
    </row>
    <row r="29" spans="1:14">
      <c r="A29" s="125"/>
      <c r="B29" s="134" t="s">
        <v>47</v>
      </c>
      <c r="C29" s="135">
        <v>189</v>
      </c>
      <c r="D29" s="136">
        <v>357</v>
      </c>
      <c r="E29" s="152">
        <v>387</v>
      </c>
      <c r="F29" s="136">
        <v>895</v>
      </c>
      <c r="G29" s="152">
        <f t="shared" si="3"/>
        <v>576</v>
      </c>
      <c r="H29" s="136">
        <f t="shared" si="4"/>
        <v>1252</v>
      </c>
      <c r="I29" s="133">
        <v>918</v>
      </c>
      <c r="J29" s="125"/>
      <c r="K29" s="125"/>
      <c r="L29" s="125"/>
      <c r="M29" s="125"/>
      <c r="N29" s="125"/>
    </row>
    <row r="30" spans="1:14">
      <c r="A30" s="125"/>
      <c r="B30" s="134" t="s">
        <v>48</v>
      </c>
      <c r="C30" s="135">
        <v>168</v>
      </c>
      <c r="D30" s="136">
        <v>313</v>
      </c>
      <c r="E30" s="152">
        <v>392</v>
      </c>
      <c r="F30" s="136">
        <v>909</v>
      </c>
      <c r="G30" s="152">
        <f t="shared" si="3"/>
        <v>560</v>
      </c>
      <c r="H30" s="136">
        <f t="shared" si="4"/>
        <v>1222</v>
      </c>
      <c r="I30" s="133">
        <v>918</v>
      </c>
      <c r="J30" s="125"/>
      <c r="K30" s="125"/>
      <c r="L30" s="125"/>
      <c r="M30" s="125"/>
      <c r="N30" s="125"/>
    </row>
    <row r="31" spans="1:14">
      <c r="A31" s="125"/>
      <c r="B31" s="134" t="s">
        <v>49</v>
      </c>
      <c r="C31" s="135">
        <v>173</v>
      </c>
      <c r="D31" s="136">
        <v>330</v>
      </c>
      <c r="E31" s="152">
        <v>389</v>
      </c>
      <c r="F31" s="136">
        <v>908</v>
      </c>
      <c r="G31" s="152">
        <f t="shared" si="3"/>
        <v>562</v>
      </c>
      <c r="H31" s="136">
        <f t="shared" si="4"/>
        <v>1238</v>
      </c>
      <c r="I31" s="133">
        <v>918</v>
      </c>
      <c r="J31" s="125"/>
      <c r="K31" s="125"/>
      <c r="L31" s="125"/>
      <c r="M31" s="125"/>
      <c r="N31" s="125"/>
    </row>
    <row r="32" spans="1:14">
      <c r="A32" s="125"/>
      <c r="B32" s="134" t="s">
        <v>50</v>
      </c>
      <c r="C32" s="135">
        <v>203</v>
      </c>
      <c r="D32" s="136">
        <v>402</v>
      </c>
      <c r="E32" s="152">
        <v>389</v>
      </c>
      <c r="F32" s="136">
        <v>919</v>
      </c>
      <c r="G32" s="152">
        <f t="shared" si="3"/>
        <v>592</v>
      </c>
      <c r="H32" s="136">
        <f t="shared" si="4"/>
        <v>1321</v>
      </c>
      <c r="I32" s="133">
        <v>918</v>
      </c>
      <c r="J32" s="125"/>
      <c r="K32" s="125"/>
      <c r="L32" s="125"/>
      <c r="M32" s="125"/>
      <c r="N32" s="125"/>
    </row>
    <row r="33" spans="1:14">
      <c r="A33" s="125"/>
      <c r="B33" s="134" t="s">
        <v>51</v>
      </c>
      <c r="C33" s="135">
        <v>207</v>
      </c>
      <c r="D33" s="136">
        <v>431</v>
      </c>
      <c r="E33" s="152">
        <v>390</v>
      </c>
      <c r="F33" s="136">
        <v>925</v>
      </c>
      <c r="G33" s="152">
        <f t="shared" si="3"/>
        <v>597</v>
      </c>
      <c r="H33" s="136">
        <f t="shared" si="4"/>
        <v>1356</v>
      </c>
      <c r="I33" s="133">
        <v>918</v>
      </c>
      <c r="J33" s="125"/>
      <c r="K33" s="125"/>
      <c r="L33" s="125"/>
      <c r="M33" s="125"/>
      <c r="N33" s="125"/>
    </row>
    <row r="34" spans="1:14">
      <c r="A34" s="125"/>
      <c r="B34" s="134" t="s">
        <v>52</v>
      </c>
      <c r="C34" s="135">
        <v>188</v>
      </c>
      <c r="D34" s="136">
        <v>404</v>
      </c>
      <c r="E34" s="152">
        <v>392</v>
      </c>
      <c r="F34" s="136">
        <v>931</v>
      </c>
      <c r="G34" s="152">
        <f t="shared" si="3"/>
        <v>580</v>
      </c>
      <c r="H34" s="136">
        <f t="shared" si="4"/>
        <v>1335</v>
      </c>
      <c r="I34" s="133">
        <v>918</v>
      </c>
      <c r="J34" s="125"/>
      <c r="K34" s="125"/>
      <c r="L34" s="125"/>
      <c r="M34" s="125"/>
      <c r="N34" s="125"/>
    </row>
    <row r="35" spans="1:14">
      <c r="A35" s="125"/>
      <c r="B35" s="134" t="s">
        <v>53</v>
      </c>
      <c r="C35" s="135">
        <v>173</v>
      </c>
      <c r="D35" s="136">
        <v>366</v>
      </c>
      <c r="E35" s="135">
        <v>391</v>
      </c>
      <c r="F35" s="136">
        <v>932</v>
      </c>
      <c r="G35" s="152">
        <f t="shared" si="0"/>
        <v>564</v>
      </c>
      <c r="H35" s="136">
        <f t="shared" si="2"/>
        <v>1298</v>
      </c>
      <c r="I35" s="133">
        <v>918</v>
      </c>
      <c r="J35" s="125"/>
      <c r="K35" s="125"/>
      <c r="L35" s="125"/>
      <c r="M35" s="125"/>
      <c r="N35" s="125"/>
    </row>
    <row r="36" spans="1:14">
      <c r="A36" s="125"/>
      <c r="B36" s="134" t="s">
        <v>54</v>
      </c>
      <c r="C36" s="135">
        <v>195</v>
      </c>
      <c r="D36" s="136">
        <v>410</v>
      </c>
      <c r="E36" s="135">
        <v>392</v>
      </c>
      <c r="F36" s="136">
        <v>933</v>
      </c>
      <c r="G36" s="152">
        <f t="shared" si="0"/>
        <v>587</v>
      </c>
      <c r="H36" s="136">
        <f t="shared" si="2"/>
        <v>1343</v>
      </c>
      <c r="I36" s="133">
        <v>918</v>
      </c>
      <c r="J36" s="125"/>
      <c r="K36" s="125"/>
      <c r="L36" s="125"/>
      <c r="M36" s="125"/>
      <c r="N36" s="125"/>
    </row>
    <row r="37" spans="1:14">
      <c r="A37" s="125"/>
      <c r="B37" s="134" t="s">
        <v>55</v>
      </c>
      <c r="C37" s="135">
        <v>185</v>
      </c>
      <c r="D37" s="136">
        <v>369</v>
      </c>
      <c r="E37" s="135">
        <v>391</v>
      </c>
      <c r="F37" s="136">
        <v>928</v>
      </c>
      <c r="G37" s="152">
        <f t="shared" si="0"/>
        <v>576</v>
      </c>
      <c r="H37" s="136">
        <f t="shared" si="2"/>
        <v>1297</v>
      </c>
      <c r="I37" s="133">
        <v>918</v>
      </c>
      <c r="J37" s="125"/>
      <c r="K37" s="125"/>
      <c r="L37" s="125"/>
      <c r="M37" s="125"/>
      <c r="N37" s="125"/>
    </row>
    <row r="38" spans="1:14" s="162" customFormat="1">
      <c r="A38" s="156"/>
      <c r="B38" s="157" t="s">
        <v>56</v>
      </c>
      <c r="C38" s="158">
        <v>192</v>
      </c>
      <c r="D38" s="159">
        <v>385</v>
      </c>
      <c r="E38" s="158">
        <v>392</v>
      </c>
      <c r="F38" s="159">
        <v>930</v>
      </c>
      <c r="G38" s="160">
        <f t="shared" si="0"/>
        <v>584</v>
      </c>
      <c r="H38" s="159">
        <f t="shared" si="2"/>
        <v>1315</v>
      </c>
      <c r="I38" s="161">
        <v>918</v>
      </c>
      <c r="J38" s="156"/>
      <c r="K38" s="156"/>
      <c r="L38" s="156"/>
      <c r="M38" s="156"/>
      <c r="N38" s="156"/>
    </row>
    <row r="39" spans="1:14" s="162" customFormat="1">
      <c r="A39" s="156"/>
      <c r="B39" s="157" t="s">
        <v>57</v>
      </c>
      <c r="C39" s="158">
        <v>169</v>
      </c>
      <c r="D39" s="159">
        <v>343</v>
      </c>
      <c r="E39" s="158">
        <v>395</v>
      </c>
      <c r="F39" s="159">
        <v>935</v>
      </c>
      <c r="G39" s="160">
        <f t="shared" si="0"/>
        <v>564</v>
      </c>
      <c r="H39" s="159">
        <f t="shared" si="2"/>
        <v>1278</v>
      </c>
      <c r="I39" s="161">
        <v>918</v>
      </c>
      <c r="J39" s="156"/>
      <c r="K39" s="156"/>
      <c r="L39" s="156"/>
      <c r="M39" s="156"/>
      <c r="N39" s="156"/>
    </row>
    <row r="40" spans="1:14" s="162" customFormat="1" ht="15.75" thickBot="1">
      <c r="A40" s="156"/>
      <c r="B40" s="157" t="s">
        <v>58</v>
      </c>
      <c r="C40" s="163">
        <v>205</v>
      </c>
      <c r="D40" s="164">
        <v>417</v>
      </c>
      <c r="E40" s="163">
        <v>381</v>
      </c>
      <c r="F40" s="164">
        <v>894</v>
      </c>
      <c r="G40" s="165">
        <f t="shared" si="0"/>
        <v>586</v>
      </c>
      <c r="H40" s="164">
        <f t="shared" si="2"/>
        <v>1311</v>
      </c>
      <c r="I40" s="161">
        <v>918</v>
      </c>
      <c r="J40" s="156"/>
      <c r="K40" s="156"/>
      <c r="L40" s="156"/>
      <c r="M40" s="156"/>
      <c r="N40" s="156"/>
    </row>
    <row r="41" spans="1:14">
      <c r="C41" s="111">
        <f t="shared" ref="C41:F41" si="5">SUM(C10:C40)</f>
        <v>5740</v>
      </c>
      <c r="D41" s="111">
        <f t="shared" si="5"/>
        <v>10326</v>
      </c>
      <c r="E41" s="111">
        <f t="shared" si="5"/>
        <v>12019</v>
      </c>
      <c r="F41" s="111">
        <f t="shared" si="5"/>
        <v>28070</v>
      </c>
      <c r="G41" s="3">
        <f>SUM(G10:G40)</f>
        <v>17759</v>
      </c>
      <c r="H41" s="111">
        <f>SUM(H10:H40)</f>
        <v>38396</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7">
        <f>'Athens Daily - EL'!AP8</f>
        <v>37568.199999999997</v>
      </c>
      <c r="F2" s="97"/>
      <c r="G2" s="97">
        <f>'Athens Daily - Gas'!BH9</f>
        <v>152937.55200000003</v>
      </c>
      <c r="H2" s="97">
        <f>G2/38.3</f>
        <v>3993.1475718015677</v>
      </c>
      <c r="I2" s="97"/>
      <c r="J2" s="97">
        <f>'Athens Daily - Water'!R7</f>
        <v>683</v>
      </c>
      <c r="K2" s="97"/>
      <c r="L2" s="98">
        <v>142</v>
      </c>
      <c r="M2" s="97">
        <f>L2*2</f>
        <v>284</v>
      </c>
      <c r="N2" s="95">
        <v>10</v>
      </c>
    </row>
    <row r="3" spans="1:14">
      <c r="A3" s="7" t="s">
        <v>14</v>
      </c>
      <c r="B3" s="7">
        <v>2</v>
      </c>
      <c r="C3" s="7">
        <v>1</v>
      </c>
      <c r="D3" s="7">
        <v>2021</v>
      </c>
      <c r="E3" s="97">
        <f>'Athens Daily - EL'!AP9</f>
        <v>35903</v>
      </c>
      <c r="F3" s="97"/>
      <c r="G3" s="97">
        <f>'Athens Daily - Gas'!BH11</f>
        <v>209500.79999999999</v>
      </c>
      <c r="H3" s="97">
        <f t="shared" ref="H3:H32" si="0">G3/38.3</f>
        <v>5469.9947780678849</v>
      </c>
      <c r="I3" s="97"/>
      <c r="J3" s="97">
        <f>'Athens Daily - Water'!R8</f>
        <v>716</v>
      </c>
      <c r="K3" s="97"/>
      <c r="L3" s="98">
        <v>102</v>
      </c>
      <c r="M3" s="97">
        <f t="shared" ref="M3:M32" si="1">L3*2</f>
        <v>204</v>
      </c>
      <c r="N3" s="95">
        <v>12</v>
      </c>
    </row>
    <row r="4" spans="1:14">
      <c r="A4" s="7" t="s">
        <v>14</v>
      </c>
      <c r="B4" s="7">
        <v>3</v>
      </c>
      <c r="C4" s="7">
        <v>1</v>
      </c>
      <c r="D4" s="7">
        <v>2021</v>
      </c>
      <c r="E4" s="97">
        <f>'Athens Daily - EL'!AP10</f>
        <v>41930.699999999997</v>
      </c>
      <c r="F4" s="97"/>
      <c r="G4" s="97">
        <f>'Athens Daily - Gas'!BH12</f>
        <v>181152</v>
      </c>
      <c r="H4" s="97">
        <f t="shared" si="0"/>
        <v>4729.8172323759791</v>
      </c>
      <c r="I4" s="97"/>
      <c r="J4" s="97">
        <f>'Athens Daily - Water'!R9</f>
        <v>734</v>
      </c>
      <c r="K4" s="97"/>
      <c r="L4" s="98">
        <v>55</v>
      </c>
      <c r="M4" s="97">
        <f t="shared" si="1"/>
        <v>110</v>
      </c>
      <c r="N4" s="95">
        <v>15</v>
      </c>
    </row>
    <row r="5" spans="1:14">
      <c r="A5" s="7" t="s">
        <v>14</v>
      </c>
      <c r="B5" s="7">
        <v>4</v>
      </c>
      <c r="C5" s="7">
        <v>1</v>
      </c>
      <c r="D5" s="7">
        <v>2021</v>
      </c>
      <c r="E5" s="97">
        <f>'Athens Daily - EL'!AP11</f>
        <v>36645.199999999371</v>
      </c>
      <c r="F5" s="97"/>
      <c r="G5" s="97">
        <f>'Athens Daily - Gas'!BH13</f>
        <v>162182.39999999999</v>
      </c>
      <c r="H5" s="97">
        <f t="shared" si="0"/>
        <v>4234.5274151436033</v>
      </c>
      <c r="I5" s="97"/>
      <c r="J5" s="97">
        <f>'Athens Daily - Water'!R10</f>
        <v>857</v>
      </c>
      <c r="K5" s="97"/>
      <c r="L5" s="98">
        <v>45</v>
      </c>
      <c r="M5" s="97">
        <f t="shared" si="1"/>
        <v>90</v>
      </c>
      <c r="N5" s="95">
        <v>17</v>
      </c>
    </row>
    <row r="6" spans="1:14">
      <c r="A6" s="7" t="s">
        <v>14</v>
      </c>
      <c r="B6" s="7">
        <v>5</v>
      </c>
      <c r="C6" s="7">
        <v>1</v>
      </c>
      <c r="D6" s="7">
        <v>2021</v>
      </c>
      <c r="E6" s="97">
        <f>'Athens Daily - EL'!AP12</f>
        <v>36645.199999999371</v>
      </c>
      <c r="F6" s="97"/>
      <c r="G6" s="97">
        <f>'Athens Daily - Gas'!BH14</f>
        <v>158860.79999999999</v>
      </c>
      <c r="H6" s="97">
        <f t="shared" si="0"/>
        <v>4147.8015665796347</v>
      </c>
      <c r="I6" s="97"/>
      <c r="J6" s="97">
        <f>'Athens Daily - Water'!R11</f>
        <v>580</v>
      </c>
      <c r="K6" s="97"/>
      <c r="L6" s="98">
        <v>34</v>
      </c>
      <c r="M6" s="97">
        <f t="shared" si="1"/>
        <v>68</v>
      </c>
      <c r="N6" s="95">
        <v>15</v>
      </c>
    </row>
    <row r="7" spans="1:14">
      <c r="A7" s="7" t="s">
        <v>14</v>
      </c>
      <c r="B7" s="7">
        <v>6</v>
      </c>
      <c r="C7" s="7">
        <v>1</v>
      </c>
      <c r="D7" s="7">
        <v>2021</v>
      </c>
      <c r="E7" s="97">
        <f>'Athens Daily - EL'!AP13</f>
        <v>36645.200000001249</v>
      </c>
      <c r="F7" s="97"/>
      <c r="G7" s="97">
        <f>'Athens Daily - Gas'!BH15</f>
        <v>162579.84000000003</v>
      </c>
      <c r="H7" s="97">
        <f t="shared" si="0"/>
        <v>4244.9044386422984</v>
      </c>
      <c r="I7" s="97"/>
      <c r="J7" s="97">
        <f>'Athens Daily - Water'!R12</f>
        <v>507</v>
      </c>
      <c r="K7" s="97"/>
      <c r="L7" s="98">
        <v>36</v>
      </c>
      <c r="M7" s="97">
        <f t="shared" si="1"/>
        <v>72</v>
      </c>
      <c r="N7" s="95"/>
    </row>
    <row r="8" spans="1:14">
      <c r="A8" s="7" t="s">
        <v>14</v>
      </c>
      <c r="B8" s="7">
        <v>7</v>
      </c>
      <c r="C8" s="7">
        <v>1</v>
      </c>
      <c r="D8" s="7">
        <v>2021</v>
      </c>
      <c r="E8" s="97">
        <f>'Athens Daily - EL'!AP14</f>
        <v>38277.799999999996</v>
      </c>
      <c r="F8" s="97"/>
      <c r="G8" s="97">
        <f>'Athens Daily - Gas'!BH16</f>
        <v>150199.91999999998</v>
      </c>
      <c r="H8" s="97">
        <f t="shared" si="0"/>
        <v>3921.6689295039164</v>
      </c>
      <c r="I8" s="97"/>
      <c r="J8" s="97">
        <f>'Athens Daily - Water'!R13</f>
        <v>501</v>
      </c>
      <c r="K8" s="97"/>
      <c r="L8" s="98">
        <v>60</v>
      </c>
      <c r="M8" s="97">
        <f t="shared" si="1"/>
        <v>120</v>
      </c>
      <c r="N8" s="95"/>
    </row>
    <row r="9" spans="1:14">
      <c r="A9" s="7" t="s">
        <v>14</v>
      </c>
      <c r="B9" s="7">
        <v>8</v>
      </c>
      <c r="C9" s="7">
        <v>1</v>
      </c>
      <c r="D9" s="7">
        <v>2021</v>
      </c>
      <c r="E9" s="97">
        <f>'Athens Daily - EL'!AP15</f>
        <v>38899.599999999991</v>
      </c>
      <c r="F9" s="97"/>
      <c r="G9" s="97">
        <f>'Athens Daily - Gas'!BH17</f>
        <v>153419.18399999995</v>
      </c>
      <c r="H9" s="97">
        <f t="shared" si="0"/>
        <v>4005.7228198433409</v>
      </c>
      <c r="I9" s="97"/>
      <c r="J9" s="97">
        <f>'Athens Daily - Water'!R14</f>
        <v>536.43200000000002</v>
      </c>
      <c r="K9" s="97"/>
      <c r="L9" s="98">
        <v>64</v>
      </c>
      <c r="M9" s="97">
        <f t="shared" si="1"/>
        <v>128</v>
      </c>
      <c r="N9" s="95"/>
    </row>
    <row r="10" spans="1:14">
      <c r="A10" s="7" t="s">
        <v>14</v>
      </c>
      <c r="B10" s="7">
        <v>9</v>
      </c>
      <c r="C10" s="7">
        <v>1</v>
      </c>
      <c r="D10" s="7">
        <v>2021</v>
      </c>
      <c r="E10" s="97">
        <f>'Athens Daily - EL'!AP16</f>
        <v>40247.700000000012</v>
      </c>
      <c r="F10" s="97"/>
      <c r="G10" s="97">
        <f>'Athens Daily - Gas'!BH18</f>
        <v>161388.19200000004</v>
      </c>
      <c r="H10" s="97">
        <f t="shared" si="0"/>
        <v>4213.790913838121</v>
      </c>
      <c r="I10" s="97"/>
      <c r="J10" s="97">
        <f>'Athens Daily - Water'!R15</f>
        <v>500.56799999999998</v>
      </c>
      <c r="K10" s="97"/>
      <c r="L10" s="98">
        <v>100</v>
      </c>
      <c r="M10" s="97">
        <f t="shared" si="1"/>
        <v>200</v>
      </c>
      <c r="N10" s="95">
        <v>9</v>
      </c>
    </row>
    <row r="11" spans="1:14">
      <c r="A11" s="7" t="s">
        <v>14</v>
      </c>
      <c r="B11" s="7">
        <v>10</v>
      </c>
      <c r="C11" s="7">
        <v>1</v>
      </c>
      <c r="D11" s="7">
        <v>2021</v>
      </c>
      <c r="E11" s="97">
        <f>'Athens Daily - EL'!AP17</f>
        <v>40338.6</v>
      </c>
      <c r="F11" s="97"/>
      <c r="G11" s="97">
        <f>'Athens Daily - Gas'!BH19</f>
        <v>171119.856</v>
      </c>
      <c r="H11" s="97">
        <f t="shared" si="0"/>
        <v>4467.8813577023502</v>
      </c>
      <c r="I11" s="97"/>
      <c r="J11" s="97">
        <f>'Athens Daily - Water'!R16</f>
        <v>547</v>
      </c>
      <c r="K11" s="97"/>
      <c r="L11" s="98">
        <v>63</v>
      </c>
      <c r="M11" s="97">
        <f t="shared" si="1"/>
        <v>126</v>
      </c>
      <c r="N11" s="95">
        <v>12</v>
      </c>
    </row>
    <row r="12" spans="1:14">
      <c r="A12" s="7" t="s">
        <v>14</v>
      </c>
      <c r="B12" s="7">
        <v>11</v>
      </c>
      <c r="C12" s="7">
        <v>1</v>
      </c>
      <c r="D12" s="7">
        <v>2021</v>
      </c>
      <c r="E12" s="97">
        <f>'Athens Daily - EL'!AP18</f>
        <v>36782.399999999994</v>
      </c>
      <c r="F12" s="97"/>
      <c r="G12" s="97">
        <f>'Athens Daily - Gas'!BH20</f>
        <v>168430.60799999992</v>
      </c>
      <c r="H12" s="97">
        <f t="shared" si="0"/>
        <v>4397.6660052219304</v>
      </c>
      <c r="I12" s="97"/>
      <c r="J12" s="97">
        <f>'Athens Daily - Water'!R17</f>
        <v>556</v>
      </c>
      <c r="K12" s="97"/>
      <c r="L12" s="98">
        <v>39</v>
      </c>
      <c r="M12" s="97">
        <f t="shared" si="1"/>
        <v>78</v>
      </c>
      <c r="N12" s="95">
        <v>12</v>
      </c>
    </row>
    <row r="13" spans="1:14">
      <c r="A13" s="7" t="s">
        <v>14</v>
      </c>
      <c r="B13" s="7">
        <v>12</v>
      </c>
      <c r="C13" s="7">
        <v>1</v>
      </c>
      <c r="D13" s="7">
        <v>2021</v>
      </c>
      <c r="E13" s="97">
        <f>'Athens Daily - EL'!AP19</f>
        <v>35250.400000000001</v>
      </c>
      <c r="F13" s="97"/>
      <c r="G13" s="97">
        <f>'Athens Daily - Gas'!BH21</f>
        <v>166949.47200000004</v>
      </c>
      <c r="H13" s="97">
        <f t="shared" si="0"/>
        <v>4358.9940469973908</v>
      </c>
      <c r="I13" s="97"/>
      <c r="J13" s="97">
        <f>'Athens Daily - Water'!R18</f>
        <v>543</v>
      </c>
      <c r="K13" s="97"/>
      <c r="L13" s="98">
        <v>43</v>
      </c>
      <c r="M13" s="97">
        <f t="shared" si="1"/>
        <v>86</v>
      </c>
      <c r="N13" s="95">
        <v>10</v>
      </c>
    </row>
    <row r="14" spans="1:14">
      <c r="A14" s="7" t="s">
        <v>14</v>
      </c>
      <c r="B14" s="7">
        <v>13</v>
      </c>
      <c r="C14" s="7">
        <v>1</v>
      </c>
      <c r="D14" s="7">
        <v>2021</v>
      </c>
      <c r="E14" s="97">
        <f>'Athens Daily - EL'!AP20</f>
        <v>36359.800000000003</v>
      </c>
      <c r="F14" s="97"/>
      <c r="G14" s="97">
        <f>'Athens Daily - Gas'!BH22</f>
        <v>167664.52800000002</v>
      </c>
      <c r="H14" s="97">
        <f t="shared" si="0"/>
        <v>4377.6639164490871</v>
      </c>
      <c r="I14" s="97"/>
      <c r="J14" s="97">
        <f>'Athens Daily - Water'!R19</f>
        <v>487</v>
      </c>
      <c r="K14" s="97"/>
      <c r="L14" s="98">
        <v>46</v>
      </c>
      <c r="M14" s="97">
        <f t="shared" si="1"/>
        <v>92</v>
      </c>
      <c r="N14" s="95">
        <v>12</v>
      </c>
    </row>
    <row r="15" spans="1:14">
      <c r="A15" s="7" t="s">
        <v>14</v>
      </c>
      <c r="B15" s="7">
        <v>14</v>
      </c>
      <c r="C15" s="7">
        <v>1</v>
      </c>
      <c r="D15" s="7">
        <v>2021</v>
      </c>
      <c r="E15" s="97">
        <f>'Athens Daily - EL'!AP21</f>
        <v>38964.700000000004</v>
      </c>
      <c r="F15" s="97"/>
      <c r="G15" s="97">
        <f>'Athens Daily - Gas'!BH23</f>
        <v>196710.62399999992</v>
      </c>
      <c r="H15" s="97">
        <f t="shared" si="0"/>
        <v>5136.0476240208864</v>
      </c>
      <c r="I15" s="97"/>
      <c r="J15" s="97">
        <f>'Athens Daily - Water'!R20</f>
        <v>504</v>
      </c>
      <c r="K15" s="97"/>
      <c r="L15" s="98">
        <v>55</v>
      </c>
      <c r="M15" s="97">
        <f t="shared" si="1"/>
        <v>110</v>
      </c>
      <c r="N15" s="95">
        <v>13</v>
      </c>
    </row>
    <row r="16" spans="1:14">
      <c r="A16" s="7" t="s">
        <v>14</v>
      </c>
      <c r="B16" s="7">
        <v>15</v>
      </c>
      <c r="C16" s="7">
        <v>1</v>
      </c>
      <c r="D16" s="7">
        <v>2021</v>
      </c>
      <c r="E16" s="97">
        <f>'Athens Daily - EL'!AP22</f>
        <v>39371.099999999991</v>
      </c>
      <c r="F16" s="97"/>
      <c r="G16" s="97">
        <f>'Athens Daily - Gas'!BH24</f>
        <v>180777.79199999999</v>
      </c>
      <c r="H16" s="97">
        <f t="shared" si="0"/>
        <v>4720.0467885117496</v>
      </c>
      <c r="I16" s="97"/>
      <c r="J16" s="97">
        <f>'Athens Daily - Water'!R21</f>
        <v>501.97199999999998</v>
      </c>
      <c r="K16" s="97"/>
      <c r="L16" s="98">
        <v>74</v>
      </c>
      <c r="M16" s="97">
        <f t="shared" si="1"/>
        <v>148</v>
      </c>
      <c r="N16" s="95">
        <v>13</v>
      </c>
    </row>
    <row r="17" spans="1:14">
      <c r="A17" s="7" t="s">
        <v>14</v>
      </c>
      <c r="B17" s="7">
        <v>16</v>
      </c>
      <c r="C17" s="7">
        <v>1</v>
      </c>
      <c r="D17" s="7">
        <v>2021</v>
      </c>
      <c r="E17" s="97">
        <f>'Athens Daily - EL'!AP23</f>
        <v>39837.600000000006</v>
      </c>
      <c r="F17" s="97"/>
      <c r="G17" s="97">
        <f>'Athens Daily - Gas'!BH25</f>
        <v>178011.6</v>
      </c>
      <c r="H17" s="97">
        <f t="shared" si="0"/>
        <v>4647.8224543080942</v>
      </c>
      <c r="I17" s="97"/>
      <c r="J17" s="97">
        <f>'Athens Daily - Water'!R22</f>
        <v>540.36800000000005</v>
      </c>
      <c r="K17" s="97"/>
      <c r="L17" s="98">
        <v>149</v>
      </c>
      <c r="M17" s="97">
        <f t="shared" si="1"/>
        <v>298</v>
      </c>
      <c r="N17" s="99"/>
    </row>
    <row r="18" spans="1:14">
      <c r="A18" s="7" t="s">
        <v>14</v>
      </c>
      <c r="B18" s="7">
        <v>17</v>
      </c>
      <c r="C18" s="7">
        <v>1</v>
      </c>
      <c r="D18" s="7">
        <v>2021</v>
      </c>
      <c r="E18" s="97">
        <f>'Athens Daily - EL'!AP24</f>
        <v>40882</v>
      </c>
      <c r="F18" s="97"/>
      <c r="G18" s="97">
        <f>'Athens Daily - Gas'!BH26</f>
        <v>202137.74400000001</v>
      </c>
      <c r="H18" s="97">
        <f t="shared" si="0"/>
        <v>5277.7478851174938</v>
      </c>
      <c r="I18" s="97"/>
      <c r="J18" s="97">
        <f>'Athens Daily - Water'!R23</f>
        <v>547.84209999999996</v>
      </c>
      <c r="K18" s="97"/>
      <c r="L18" s="98">
        <v>64</v>
      </c>
      <c r="M18" s="97">
        <f t="shared" si="1"/>
        <v>128</v>
      </c>
      <c r="N18" s="99"/>
    </row>
    <row r="19" spans="1:14">
      <c r="A19" s="7" t="s">
        <v>14</v>
      </c>
      <c r="B19" s="7">
        <v>18</v>
      </c>
      <c r="C19" s="7">
        <v>1</v>
      </c>
      <c r="D19" s="7">
        <v>2021</v>
      </c>
      <c r="E19" s="97">
        <f>'Athens Daily - EL'!AP25</f>
        <v>39673.199999999997</v>
      </c>
      <c r="F19" s="97"/>
      <c r="G19" s="97">
        <f>'Athens Daily - Gas'!BH27</f>
        <v>196334.25599999999</v>
      </c>
      <c r="H19" s="97">
        <f t="shared" si="0"/>
        <v>5126.2207832898175</v>
      </c>
      <c r="I19" s="97"/>
      <c r="J19" s="97">
        <f>'Athens Daily - Water'!R24</f>
        <v>641.81790000000001</v>
      </c>
      <c r="K19" s="97"/>
      <c r="L19" s="98">
        <v>58</v>
      </c>
      <c r="M19" s="97">
        <f t="shared" si="1"/>
        <v>116</v>
      </c>
      <c r="N19" s="99"/>
    </row>
    <row r="20" spans="1:14">
      <c r="A20" s="7" t="s">
        <v>14</v>
      </c>
      <c r="B20" s="7">
        <v>19</v>
      </c>
      <c r="C20" s="7">
        <v>1</v>
      </c>
      <c r="D20" s="7">
        <v>2021</v>
      </c>
      <c r="E20" s="97">
        <f>'Athens Daily - EL'!AP26</f>
        <v>35764</v>
      </c>
      <c r="F20" s="97"/>
      <c r="G20" s="97">
        <f>'Athens Daily - Gas'!BH28</f>
        <v>189005.42400000003</v>
      </c>
      <c r="H20" s="97">
        <f t="shared" si="0"/>
        <v>4934.8674673629257</v>
      </c>
      <c r="I20" s="97"/>
      <c r="J20" s="97">
        <f>'Athens Daily - Water'!R25</f>
        <v>559</v>
      </c>
      <c r="K20" s="97"/>
      <c r="L20" s="98">
        <v>69</v>
      </c>
      <c r="M20" s="97">
        <f t="shared" si="1"/>
        <v>138</v>
      </c>
      <c r="N20" s="99"/>
    </row>
    <row r="21" spans="1:14">
      <c r="A21" s="7" t="s">
        <v>14</v>
      </c>
      <c r="B21" s="7">
        <v>20</v>
      </c>
      <c r="C21" s="7">
        <v>1</v>
      </c>
      <c r="D21" s="7">
        <v>2021</v>
      </c>
      <c r="E21" s="97">
        <f>'Athens Daily - EL'!AP27</f>
        <v>36627.19999999999</v>
      </c>
      <c r="F21" s="97"/>
      <c r="G21" s="97">
        <f>'Athens Daily - Gas'!BH29</f>
        <v>172849.82399999996</v>
      </c>
      <c r="H21" s="97">
        <f t="shared" si="0"/>
        <v>4513.0502349869448</v>
      </c>
      <c r="I21" s="97"/>
      <c r="J21" s="97">
        <f>'Athens Daily - Water'!R26</f>
        <v>494</v>
      </c>
      <c r="K21" s="97"/>
      <c r="L21" s="98">
        <v>42</v>
      </c>
      <c r="M21" s="97">
        <f t="shared" si="1"/>
        <v>84</v>
      </c>
      <c r="N21" s="95"/>
    </row>
    <row r="22" spans="1:14">
      <c r="A22" s="7" t="s">
        <v>14</v>
      </c>
      <c r="B22" s="7">
        <v>21</v>
      </c>
      <c r="C22" s="7">
        <v>1</v>
      </c>
      <c r="D22" s="7">
        <v>2021</v>
      </c>
      <c r="E22" s="97">
        <f>'Athens Daily - EL'!AP28</f>
        <v>35790.700000000004</v>
      </c>
      <c r="F22" s="97"/>
      <c r="G22" s="97">
        <f>'Athens Daily - Gas'!BH30</f>
        <v>171079.82399999996</v>
      </c>
      <c r="H22" s="97">
        <f t="shared" si="0"/>
        <v>4466.8361357702343</v>
      </c>
      <c r="I22" s="97"/>
      <c r="J22" s="97">
        <f>'Athens Daily - Water'!R27</f>
        <v>499</v>
      </c>
      <c r="K22" s="97"/>
      <c r="L22" s="98">
        <v>45</v>
      </c>
      <c r="M22" s="97">
        <f t="shared" si="1"/>
        <v>90</v>
      </c>
      <c r="N22" s="95"/>
    </row>
    <row r="23" spans="1:14">
      <c r="A23" s="7" t="s">
        <v>14</v>
      </c>
      <c r="B23" s="7">
        <v>22</v>
      </c>
      <c r="C23" s="7">
        <v>1</v>
      </c>
      <c r="D23" s="7">
        <v>2021</v>
      </c>
      <c r="E23" s="97">
        <f>'Athens Daily - EL'!AP29</f>
        <v>35325.200000000004</v>
      </c>
      <c r="F23" s="97"/>
      <c r="G23" s="97">
        <f>'Athens Daily - Gas'!BH31</f>
        <v>182709.45600000001</v>
      </c>
      <c r="H23" s="97">
        <f t="shared" si="0"/>
        <v>4770.4818798955621</v>
      </c>
      <c r="I23" s="97"/>
      <c r="J23" s="97">
        <f>'Athens Daily - Water'!R28</f>
        <v>530.79</v>
      </c>
      <c r="K23" s="97"/>
      <c r="L23" s="98">
        <v>82</v>
      </c>
      <c r="M23" s="97">
        <f t="shared" si="1"/>
        <v>164</v>
      </c>
      <c r="N23" s="95">
        <v>19</v>
      </c>
    </row>
    <row r="24" spans="1:14">
      <c r="A24" s="7" t="s">
        <v>14</v>
      </c>
      <c r="B24" s="7">
        <v>23</v>
      </c>
      <c r="C24" s="7">
        <v>1</v>
      </c>
      <c r="D24" s="7">
        <v>2021</v>
      </c>
      <c r="E24" s="97">
        <f>'Athens Daily - EL'!AP30</f>
        <v>36541.200000000004</v>
      </c>
      <c r="F24" s="97"/>
      <c r="G24" s="97">
        <f>'Athens Daily - Gas'!BH32</f>
        <v>169309.152</v>
      </c>
      <c r="H24" s="97">
        <f t="shared" si="0"/>
        <v>4420.6044908616195</v>
      </c>
      <c r="I24" s="97"/>
      <c r="J24" s="97">
        <f>'Athens Daily - Water'!R29</f>
        <v>572.24400000000003</v>
      </c>
      <c r="K24" s="97"/>
      <c r="L24" s="98">
        <v>170</v>
      </c>
      <c r="M24" s="97">
        <f t="shared" si="1"/>
        <v>340</v>
      </c>
      <c r="N24" s="95">
        <v>20</v>
      </c>
    </row>
    <row r="25" spans="1:14">
      <c r="A25" s="7" t="s">
        <v>14</v>
      </c>
      <c r="B25" s="7">
        <v>24</v>
      </c>
      <c r="C25" s="7">
        <v>1</v>
      </c>
      <c r="D25" s="7">
        <v>2021</v>
      </c>
      <c r="E25" s="97">
        <f>'Athens Daily - EL'!AP31</f>
        <v>37263.700000000004</v>
      </c>
      <c r="F25" s="97"/>
      <c r="G25" s="97">
        <f>'Athens Daily - Gas'!BH33</f>
        <v>160762.704</v>
      </c>
      <c r="H25" s="97">
        <f t="shared" si="0"/>
        <v>4197.4596344647525</v>
      </c>
      <c r="I25" s="97"/>
      <c r="J25" s="97">
        <f>'Athens Daily - Water'!R30</f>
        <v>593.36599999999999</v>
      </c>
      <c r="K25" s="97"/>
      <c r="L25" s="98">
        <v>91</v>
      </c>
      <c r="M25" s="97">
        <f t="shared" si="1"/>
        <v>182</v>
      </c>
      <c r="N25" s="95">
        <v>19</v>
      </c>
    </row>
    <row r="26" spans="1:14">
      <c r="A26" s="7" t="s">
        <v>14</v>
      </c>
      <c r="B26" s="7">
        <v>25</v>
      </c>
      <c r="C26" s="7">
        <v>1</v>
      </c>
      <c r="D26" s="7">
        <v>2021</v>
      </c>
      <c r="E26" s="97">
        <f>'Athens Daily - EL'!AP32</f>
        <v>35981.5</v>
      </c>
      <c r="F26" s="97"/>
      <c r="G26" s="97">
        <f>'Athens Daily - Gas'!BH34</f>
        <v>171110.39999999999</v>
      </c>
      <c r="H26" s="97">
        <f t="shared" si="0"/>
        <v>4467.6344647519581</v>
      </c>
      <c r="I26" s="97"/>
      <c r="J26" s="97">
        <f>'Athens Daily - Water'!R31</f>
        <v>564.6</v>
      </c>
      <c r="K26" s="97"/>
      <c r="L26" s="98">
        <v>56</v>
      </c>
      <c r="M26" s="97">
        <f t="shared" si="1"/>
        <v>112</v>
      </c>
      <c r="N26" s="96"/>
    </row>
    <row r="27" spans="1:14">
      <c r="A27" s="7" t="s">
        <v>14</v>
      </c>
      <c r="B27" s="7">
        <v>26</v>
      </c>
      <c r="C27" s="7">
        <v>1</v>
      </c>
      <c r="D27" s="7">
        <v>2021</v>
      </c>
      <c r="E27" s="97">
        <f>'Athens Daily - EL'!AP33</f>
        <v>36163.700000000004</v>
      </c>
      <c r="F27" s="97"/>
      <c r="G27" s="97">
        <f>'Athens Daily - Gas'!BH35</f>
        <v>177168</v>
      </c>
      <c r="H27" s="97">
        <f t="shared" si="0"/>
        <v>4625.7963446475196</v>
      </c>
      <c r="I27" s="97"/>
      <c r="J27" s="97">
        <f>'Athens Daily - Water'!R32</f>
        <v>575</v>
      </c>
      <c r="K27" s="97"/>
      <c r="L27" s="97"/>
      <c r="M27" s="97">
        <f t="shared" si="1"/>
        <v>0</v>
      </c>
      <c r="N27" s="96"/>
    </row>
    <row r="28" spans="1:14">
      <c r="A28" s="7" t="s">
        <v>14</v>
      </c>
      <c r="B28" s="7">
        <v>27</v>
      </c>
      <c r="C28" s="7">
        <v>1</v>
      </c>
      <c r="D28" s="7">
        <v>2021</v>
      </c>
      <c r="E28" s="97">
        <f>'Athens Daily - EL'!AP34</f>
        <v>36378.799999999996</v>
      </c>
      <c r="F28" s="97"/>
      <c r="G28" s="97">
        <f>'Athens Daily - Gas'!BH36</f>
        <v>170803.20000000001</v>
      </c>
      <c r="H28" s="97">
        <f t="shared" si="0"/>
        <v>4459.6135770234996</v>
      </c>
      <c r="I28" s="97"/>
      <c r="J28" s="97">
        <f>'Athens Daily - Water'!R33</f>
        <v>557</v>
      </c>
      <c r="K28" s="97"/>
      <c r="L28" s="97"/>
      <c r="M28" s="97">
        <f t="shared" si="1"/>
        <v>0</v>
      </c>
      <c r="N28" s="96"/>
    </row>
    <row r="29" spans="1:14">
      <c r="A29" s="7" t="s">
        <v>14</v>
      </c>
      <c r="B29" s="7">
        <v>28</v>
      </c>
      <c r="C29" s="7">
        <v>1</v>
      </c>
      <c r="D29" s="7">
        <v>2021</v>
      </c>
      <c r="E29" s="97">
        <f>'Athens Daily - EL'!AP35</f>
        <v>37479.899999999994</v>
      </c>
      <c r="F29" s="97"/>
      <c r="G29" s="97">
        <f>'Athens Daily - Gas'!BH37</f>
        <v>168537.59999999998</v>
      </c>
      <c r="H29" s="97">
        <f t="shared" si="0"/>
        <v>4400.459530026109</v>
      </c>
      <c r="I29" s="97"/>
      <c r="J29" s="97">
        <f>'Athens Daily - Water'!R34</f>
        <v>547</v>
      </c>
      <c r="K29" s="97"/>
      <c r="L29" s="97"/>
      <c r="M29" s="97">
        <f t="shared" si="1"/>
        <v>0</v>
      </c>
      <c r="N29" s="96"/>
    </row>
    <row r="30" spans="1:14">
      <c r="A30" s="7" t="s">
        <v>14</v>
      </c>
      <c r="B30" s="7">
        <v>29</v>
      </c>
      <c r="C30" s="7">
        <v>1</v>
      </c>
      <c r="D30" s="7">
        <v>2021</v>
      </c>
      <c r="E30" s="97">
        <f>'Athens Daily - EL'!AP36</f>
        <v>37069</v>
      </c>
      <c r="F30" s="97"/>
      <c r="G30" s="97">
        <f>'Athens Daily - Gas'!BH38</f>
        <v>175996.79999999999</v>
      </c>
      <c r="H30" s="97">
        <f t="shared" si="0"/>
        <v>4595.2167101827681</v>
      </c>
      <c r="I30" s="97"/>
      <c r="J30" s="97">
        <f>'Athens Daily - Water'!R36</f>
        <v>1202</v>
      </c>
      <c r="K30" s="97"/>
      <c r="L30" s="97"/>
      <c r="M30" s="97">
        <f t="shared" si="1"/>
        <v>0</v>
      </c>
      <c r="N30" s="96"/>
    </row>
    <row r="31" spans="1:14">
      <c r="A31" s="7" t="s">
        <v>14</v>
      </c>
      <c r="B31" s="7">
        <v>30</v>
      </c>
      <c r="C31" s="7">
        <v>1</v>
      </c>
      <c r="D31" s="7">
        <v>2021</v>
      </c>
      <c r="E31" s="97">
        <f>'Athens Daily - EL'!AP37</f>
        <v>37006.800000000003</v>
      </c>
      <c r="F31" s="97"/>
      <c r="G31" s="97" t="e">
        <f>'Athens Daily - Gas'!#REF!</f>
        <v>#REF!</v>
      </c>
      <c r="H31" s="97" t="e">
        <f t="shared" si="0"/>
        <v>#REF!</v>
      </c>
      <c r="I31" s="97"/>
      <c r="J31" s="97">
        <f>'Athens Daily - Water'!R38</f>
        <v>0</v>
      </c>
      <c r="K31" s="97"/>
      <c r="L31" s="97"/>
      <c r="M31" s="97">
        <f t="shared" si="1"/>
        <v>0</v>
      </c>
      <c r="N31" s="96"/>
    </row>
    <row r="32" spans="1:14">
      <c r="A32" s="7" t="s">
        <v>14</v>
      </c>
      <c r="B32" s="7">
        <v>31</v>
      </c>
      <c r="C32" s="7">
        <v>1</v>
      </c>
      <c r="D32" s="7">
        <v>2021</v>
      </c>
      <c r="E32" s="97" t="e">
        <f>'Athens Daily - EL'!#REF!</f>
        <v>#REF!</v>
      </c>
      <c r="F32" s="97"/>
      <c r="G32" s="97">
        <f>'Athens Daily - Gas'!BH40</f>
        <v>0</v>
      </c>
      <c r="H32" s="97">
        <f t="shared" si="0"/>
        <v>0</v>
      </c>
      <c r="I32" s="97"/>
      <c r="J32" s="97">
        <f>'Athens Daily - Water'!R39</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25966.9</v>
      </c>
      <c r="F2" s="7"/>
      <c r="G2" s="37">
        <f>'Athens Daily - Gas'!BI9</f>
        <v>85363.200000000012</v>
      </c>
      <c r="H2" s="7"/>
      <c r="I2" s="38">
        <f>'Athens Daily - Water'!S7</f>
        <v>200.75</v>
      </c>
      <c r="J2" s="7"/>
      <c r="K2" s="7">
        <v>286</v>
      </c>
      <c r="L2" s="7">
        <v>2</v>
      </c>
    </row>
    <row r="3" spans="1:12">
      <c r="A3" s="7" t="s">
        <v>14</v>
      </c>
      <c r="B3" s="7">
        <v>2</v>
      </c>
      <c r="C3" s="7">
        <v>1</v>
      </c>
      <c r="D3" s="7">
        <v>2021</v>
      </c>
      <c r="E3" s="7">
        <f>'Athens Daily - EL'!AQ9</f>
        <v>25124.1</v>
      </c>
      <c r="F3" s="7"/>
      <c r="G3" s="37">
        <f>'Athens Daily - Gas'!BI11</f>
        <v>100771.2</v>
      </c>
      <c r="H3" s="7"/>
      <c r="I3" s="38">
        <f>'Athens Daily - Water'!S8</f>
        <v>213.5</v>
      </c>
      <c r="J3" s="7"/>
      <c r="K3" s="7">
        <v>285</v>
      </c>
      <c r="L3" s="7">
        <v>2</v>
      </c>
    </row>
    <row r="4" spans="1:12">
      <c r="A4" s="7" t="s">
        <v>14</v>
      </c>
      <c r="B4" s="7">
        <v>3</v>
      </c>
      <c r="C4" s="7">
        <v>1</v>
      </c>
      <c r="D4" s="7">
        <v>2021</v>
      </c>
      <c r="E4" s="7">
        <f>'Athens Daily - EL'!AQ10</f>
        <v>27821.4</v>
      </c>
      <c r="F4" s="7"/>
      <c r="G4" s="37">
        <f>'Athens Daily - Gas'!BI12</f>
        <v>98592</v>
      </c>
      <c r="H4" s="7"/>
      <c r="I4" s="38">
        <f>'Athens Daily - Water'!S9</f>
        <v>203.25</v>
      </c>
      <c r="J4" s="7"/>
      <c r="K4" s="7">
        <v>282</v>
      </c>
      <c r="L4" s="7">
        <v>2</v>
      </c>
    </row>
    <row r="5" spans="1:12">
      <c r="A5" s="7" t="s">
        <v>14</v>
      </c>
      <c r="B5" s="7">
        <v>4</v>
      </c>
      <c r="C5" s="7">
        <v>1</v>
      </c>
      <c r="D5" s="7">
        <v>2021</v>
      </c>
      <c r="E5" s="7">
        <f>'Athens Daily - EL'!AQ11</f>
        <v>26436.433333333138</v>
      </c>
      <c r="F5" s="7"/>
      <c r="G5" s="37">
        <f>'Athens Daily - Gas'!BI13</f>
        <v>89481.600000000006</v>
      </c>
      <c r="H5" s="7"/>
      <c r="I5" s="38">
        <f>'Athens Daily - Water'!S10</f>
        <v>253.55</v>
      </c>
      <c r="J5" s="7"/>
      <c r="K5" s="7">
        <v>284</v>
      </c>
      <c r="L5" s="7">
        <v>2</v>
      </c>
    </row>
    <row r="6" spans="1:12">
      <c r="A6" s="7" t="s">
        <v>14</v>
      </c>
      <c r="B6" s="7">
        <v>5</v>
      </c>
      <c r="C6" s="7">
        <v>1</v>
      </c>
      <c r="D6" s="7">
        <v>2021</v>
      </c>
      <c r="E6" s="7">
        <f>'Athens Daily - EL'!AQ12</f>
        <v>26426.433333333138</v>
      </c>
      <c r="F6" s="7"/>
      <c r="G6" s="37">
        <f>'Athens Daily - Gas'!BI14</f>
        <v>92659.200000000012</v>
      </c>
      <c r="H6" s="7"/>
      <c r="I6" s="38">
        <f>'Athens Daily - Water'!S11</f>
        <v>198.25</v>
      </c>
      <c r="J6" s="7"/>
      <c r="K6" s="7">
        <v>286</v>
      </c>
      <c r="L6" s="7">
        <v>2</v>
      </c>
    </row>
    <row r="7" spans="1:12">
      <c r="A7" s="7" t="s">
        <v>14</v>
      </c>
      <c r="B7" s="7">
        <v>6</v>
      </c>
      <c r="C7" s="7">
        <v>1</v>
      </c>
      <c r="D7" s="7">
        <v>2021</v>
      </c>
      <c r="E7" s="7">
        <f>'Athens Daily - EL'!AQ13</f>
        <v>26446.433333333727</v>
      </c>
      <c r="F7" s="7"/>
      <c r="G7" s="37">
        <f>'Athens Daily - Gas'!BI15</f>
        <v>95097.600000000006</v>
      </c>
      <c r="H7" s="7"/>
      <c r="I7" s="38">
        <f>'Athens Daily - Water'!S12</f>
        <v>218.25</v>
      </c>
      <c r="J7" s="7"/>
      <c r="K7" s="7">
        <v>288</v>
      </c>
      <c r="L7" s="7">
        <v>2</v>
      </c>
    </row>
    <row r="8" spans="1:12">
      <c r="A8" s="7" t="s">
        <v>14</v>
      </c>
      <c r="B8" s="7">
        <v>7</v>
      </c>
      <c r="C8" s="7">
        <v>1</v>
      </c>
      <c r="D8" s="7">
        <v>2021</v>
      </c>
      <c r="E8" s="7">
        <f>'Athens Daily - EL'!AQ14</f>
        <v>26708.5</v>
      </c>
      <c r="F8" s="7"/>
      <c r="G8" s="37">
        <f>'Athens Daily - Gas'!BI16</f>
        <v>84950.399999999994</v>
      </c>
      <c r="H8" s="7"/>
      <c r="I8" s="38">
        <f>'Athens Daily - Water'!S13</f>
        <v>198.05</v>
      </c>
      <c r="J8" s="7"/>
      <c r="K8" s="7">
        <v>286</v>
      </c>
      <c r="L8" s="7">
        <v>2</v>
      </c>
    </row>
    <row r="9" spans="1:12">
      <c r="A9" s="7" t="s">
        <v>14</v>
      </c>
      <c r="B9" s="7">
        <v>8</v>
      </c>
      <c r="C9" s="7">
        <v>1</v>
      </c>
      <c r="D9" s="7">
        <v>2021</v>
      </c>
      <c r="E9" s="7">
        <f>'Athens Daily - EL'!AQ15</f>
        <v>26184.7</v>
      </c>
      <c r="F9" s="7"/>
      <c r="G9" s="37">
        <f>'Athens Daily - Gas'!BI17</f>
        <v>84748.800000000003</v>
      </c>
      <c r="H9" s="7"/>
      <c r="I9" s="38">
        <f>'Athens Daily - Water'!S14</f>
        <v>218.3</v>
      </c>
      <c r="J9" s="7"/>
      <c r="K9" s="7">
        <v>287</v>
      </c>
      <c r="L9" s="7">
        <v>2</v>
      </c>
    </row>
    <row r="10" spans="1:12">
      <c r="A10" s="7" t="s">
        <v>14</v>
      </c>
      <c r="B10" s="7">
        <v>9</v>
      </c>
      <c r="C10" s="7">
        <v>1</v>
      </c>
      <c r="D10" s="7">
        <v>2021</v>
      </c>
      <c r="E10" s="7">
        <f>'Athens Daily - EL'!AQ16</f>
        <v>27057</v>
      </c>
      <c r="F10" s="7"/>
      <c r="G10" s="37">
        <f>'Athens Daily - Gas'!BI18</f>
        <v>86803.200000000012</v>
      </c>
      <c r="H10" s="7"/>
      <c r="I10" s="38">
        <f>'Athens Daily - Water'!S15</f>
        <v>203.95</v>
      </c>
      <c r="J10" s="7"/>
      <c r="K10" s="7">
        <v>284</v>
      </c>
      <c r="L10" s="7">
        <v>2</v>
      </c>
    </row>
    <row r="11" spans="1:12">
      <c r="A11" s="7" t="s">
        <v>14</v>
      </c>
      <c r="B11" s="7">
        <v>10</v>
      </c>
      <c r="C11" s="7">
        <v>1</v>
      </c>
      <c r="D11" s="7">
        <v>2021</v>
      </c>
      <c r="E11" s="7">
        <f>'Athens Daily - EL'!AQ17</f>
        <v>27308.2</v>
      </c>
      <c r="F11" s="7"/>
      <c r="G11" s="37">
        <f>'Athens Daily - Gas'!BI19</f>
        <v>94742.400000000009</v>
      </c>
      <c r="H11" s="7"/>
      <c r="I11" s="38">
        <f>'Athens Daily - Water'!S16</f>
        <v>210.9</v>
      </c>
      <c r="J11" s="7"/>
      <c r="K11" s="7">
        <v>284</v>
      </c>
      <c r="L11" s="7">
        <v>2</v>
      </c>
    </row>
    <row r="12" spans="1:12">
      <c r="A12" s="7" t="s">
        <v>14</v>
      </c>
      <c r="B12" s="7">
        <v>11</v>
      </c>
      <c r="C12" s="7">
        <v>1</v>
      </c>
      <c r="D12" s="7">
        <v>2021</v>
      </c>
      <c r="E12" s="7">
        <f>'Athens Daily - EL'!AQ18</f>
        <v>25262.7</v>
      </c>
      <c r="F12" s="7"/>
      <c r="G12" s="37">
        <f>'Athens Daily - Gas'!BI20</f>
        <v>90902.400000000009</v>
      </c>
      <c r="H12" s="7"/>
      <c r="I12" s="38">
        <f>'Athens Daily - Water'!S17</f>
        <v>230.35000000000002</v>
      </c>
      <c r="J12" s="7"/>
      <c r="K12" s="7">
        <v>284</v>
      </c>
      <c r="L12" s="7">
        <v>2</v>
      </c>
    </row>
    <row r="13" spans="1:12">
      <c r="A13" s="7" t="s">
        <v>14</v>
      </c>
      <c r="B13" s="7">
        <v>12</v>
      </c>
      <c r="C13" s="7">
        <v>1</v>
      </c>
      <c r="D13" s="7">
        <v>2021</v>
      </c>
      <c r="E13" s="7">
        <f>'Athens Daily - EL'!AQ19</f>
        <v>26449.599999999999</v>
      </c>
      <c r="F13" s="7"/>
      <c r="G13" s="37">
        <f>'Athens Daily - Gas'!BI21</f>
        <v>100147.2</v>
      </c>
      <c r="H13" s="7"/>
      <c r="I13" s="38">
        <f>'Athens Daily - Water'!S18</f>
        <v>207.55</v>
      </c>
      <c r="J13" s="7"/>
      <c r="K13" s="7">
        <v>286</v>
      </c>
      <c r="L13" s="7">
        <v>2</v>
      </c>
    </row>
    <row r="14" spans="1:12">
      <c r="A14" s="7" t="s">
        <v>14</v>
      </c>
      <c r="B14" s="7">
        <v>13</v>
      </c>
      <c r="C14" s="7">
        <v>1</v>
      </c>
      <c r="D14" s="7">
        <v>2021</v>
      </c>
      <c r="E14" s="7">
        <f>'Athens Daily - EL'!AQ20</f>
        <v>26660.2</v>
      </c>
      <c r="F14" s="7"/>
      <c r="G14" s="37">
        <f>'Athens Daily - Gas'!BI22</f>
        <v>103776</v>
      </c>
      <c r="H14" s="7"/>
      <c r="I14" s="38">
        <f>'Athens Daily - Water'!S19</f>
        <v>218.05</v>
      </c>
      <c r="J14" s="7"/>
      <c r="K14" s="7">
        <v>287</v>
      </c>
      <c r="L14" s="7">
        <v>2</v>
      </c>
    </row>
    <row r="15" spans="1:12">
      <c r="A15" s="7" t="s">
        <v>14</v>
      </c>
      <c r="B15" s="7">
        <v>14</v>
      </c>
      <c r="C15" s="7">
        <v>1</v>
      </c>
      <c r="D15" s="7">
        <v>2021</v>
      </c>
      <c r="E15" s="7">
        <f>'Athens Daily - EL'!AQ21</f>
        <v>28845.3</v>
      </c>
      <c r="F15" s="7"/>
      <c r="G15" s="37">
        <f>'Athens Daily - Gas'!BI23</f>
        <v>119539.20000000001</v>
      </c>
      <c r="H15" s="7"/>
      <c r="I15" s="38">
        <f>'Athens Daily - Water'!S20</f>
        <v>223.60000000000002</v>
      </c>
      <c r="J15" s="7"/>
      <c r="K15" s="7">
        <v>287</v>
      </c>
      <c r="L15" s="7">
        <v>2</v>
      </c>
    </row>
    <row r="16" spans="1:12">
      <c r="A16" s="7" t="s">
        <v>14</v>
      </c>
      <c r="B16" s="7">
        <v>15</v>
      </c>
      <c r="C16" s="7">
        <v>1</v>
      </c>
      <c r="D16" s="7">
        <v>2021</v>
      </c>
      <c r="E16" s="7">
        <f>'Athens Daily - EL'!AQ22</f>
        <v>29448.9</v>
      </c>
      <c r="F16" s="7"/>
      <c r="G16" s="37">
        <f>'Athens Daily - Gas'!BI24</f>
        <v>106560</v>
      </c>
      <c r="H16" s="7"/>
      <c r="I16" s="38">
        <f>'Athens Daily - Water'!S21</f>
        <v>211.60000000000002</v>
      </c>
      <c r="J16" s="7"/>
      <c r="K16" s="7">
        <v>288</v>
      </c>
      <c r="L16" s="7">
        <v>2</v>
      </c>
    </row>
    <row r="17" spans="1:12">
      <c r="A17" s="7" t="s">
        <v>14</v>
      </c>
      <c r="B17" s="7">
        <v>16</v>
      </c>
      <c r="C17" s="7">
        <v>1</v>
      </c>
      <c r="D17" s="7">
        <v>2021</v>
      </c>
      <c r="E17" s="7">
        <f>'Athens Daily - EL'!AQ23</f>
        <v>29332.400000000001</v>
      </c>
      <c r="F17" s="7"/>
      <c r="G17" s="37">
        <f>'Athens Daily - Gas'!BI25</f>
        <v>102163.20000000001</v>
      </c>
      <c r="H17" s="7"/>
      <c r="I17" s="38">
        <f>'Athens Daily - Water'!S22</f>
        <v>220.2</v>
      </c>
      <c r="J17" s="7"/>
      <c r="K17" s="7">
        <v>288</v>
      </c>
      <c r="L17" s="7">
        <v>2</v>
      </c>
    </row>
    <row r="18" spans="1:12">
      <c r="A18" s="7" t="s">
        <v>14</v>
      </c>
      <c r="B18" s="7">
        <v>17</v>
      </c>
      <c r="C18" s="7">
        <v>1</v>
      </c>
      <c r="D18" s="7">
        <v>2021</v>
      </c>
      <c r="E18" s="7">
        <f>'Athens Daily - EL'!AQ24</f>
        <v>29768</v>
      </c>
      <c r="F18" s="7"/>
      <c r="G18" s="37">
        <f>'Athens Daily - Gas'!BI26</f>
        <v>116198.40000000001</v>
      </c>
      <c r="H18" s="7"/>
      <c r="I18" s="38">
        <f>'Athens Daily - Water'!S23</f>
        <v>196.7</v>
      </c>
      <c r="J18" s="7"/>
      <c r="K18" s="7">
        <v>288</v>
      </c>
      <c r="L18" s="7">
        <v>2</v>
      </c>
    </row>
    <row r="19" spans="1:12">
      <c r="A19" s="7" t="s">
        <v>14</v>
      </c>
      <c r="B19" s="7">
        <v>18</v>
      </c>
      <c r="C19" s="7">
        <v>1</v>
      </c>
      <c r="D19" s="7">
        <v>2021</v>
      </c>
      <c r="E19" s="7">
        <f>'Athens Daily - EL'!AQ25</f>
        <v>29376.799999999999</v>
      </c>
      <c r="F19" s="7"/>
      <c r="G19" s="37">
        <f>'Athens Daily - Gas'!BI27</f>
        <v>117110.40000000001</v>
      </c>
      <c r="H19" s="7"/>
      <c r="I19" s="38">
        <f>'Athens Daily - Water'!S24</f>
        <v>231.05</v>
      </c>
      <c r="J19" s="7"/>
      <c r="K19" s="7">
        <v>291</v>
      </c>
      <c r="L19" s="7">
        <v>2</v>
      </c>
    </row>
    <row r="20" spans="1:12">
      <c r="A20" s="7" t="s">
        <v>14</v>
      </c>
      <c r="B20" s="7">
        <v>19</v>
      </c>
      <c r="C20" s="7">
        <v>1</v>
      </c>
      <c r="D20" s="7">
        <v>2021</v>
      </c>
      <c r="E20" s="7">
        <f>'Athens Daily - EL'!AQ26</f>
        <v>27866</v>
      </c>
      <c r="F20" s="7"/>
      <c r="G20" s="37">
        <f>'Athens Daily - Gas'!BI28</f>
        <v>105187.20000000001</v>
      </c>
      <c r="H20" s="7"/>
      <c r="I20" s="38">
        <f>'Athens Daily - Water'!S25</f>
        <v>205.5</v>
      </c>
      <c r="J20" s="7"/>
      <c r="K20" s="7">
        <v>290</v>
      </c>
      <c r="L20" s="7">
        <v>2</v>
      </c>
    </row>
    <row r="21" spans="1:12">
      <c r="A21" s="7" t="s">
        <v>14</v>
      </c>
      <c r="B21" s="7">
        <v>20</v>
      </c>
      <c r="C21" s="7">
        <v>1</v>
      </c>
      <c r="D21" s="7">
        <v>2021</v>
      </c>
      <c r="E21" s="7">
        <f>'Athens Daily - EL'!AQ27</f>
        <v>27882.799999999999</v>
      </c>
      <c r="F21" s="7"/>
      <c r="G21" s="37">
        <f>'Athens Daily - Gas'!BI29</f>
        <v>121334.40000000001</v>
      </c>
      <c r="H21" s="7"/>
      <c r="I21" s="38">
        <f>'Athens Daily - Water'!S26</f>
        <v>226.60000000000002</v>
      </c>
      <c r="J21" s="7"/>
      <c r="K21" s="7">
        <v>292</v>
      </c>
      <c r="L21" s="7">
        <v>2</v>
      </c>
    </row>
    <row r="22" spans="1:12">
      <c r="A22" s="7" t="s">
        <v>14</v>
      </c>
      <c r="B22" s="7">
        <v>21</v>
      </c>
      <c r="C22" s="7">
        <v>1</v>
      </c>
      <c r="D22" s="7">
        <v>2021</v>
      </c>
      <c r="E22" s="7">
        <f>'Athens Daily - EL'!AQ28</f>
        <v>26969.3</v>
      </c>
      <c r="F22" s="7"/>
      <c r="G22" s="37">
        <f>'Athens Daily - Gas'!BI30</f>
        <v>95577.600000000006</v>
      </c>
      <c r="H22" s="7"/>
      <c r="I22" s="38">
        <f>'Athens Daily - Water'!S27</f>
        <v>194.85000000000002</v>
      </c>
      <c r="J22" s="7"/>
      <c r="K22" s="7">
        <v>293</v>
      </c>
      <c r="L22" s="7">
        <v>2</v>
      </c>
    </row>
    <row r="23" spans="1:12">
      <c r="A23" s="7" t="s">
        <v>14</v>
      </c>
      <c r="B23" s="7">
        <v>22</v>
      </c>
      <c r="C23" s="7">
        <v>1</v>
      </c>
      <c r="D23" s="7">
        <v>2021</v>
      </c>
      <c r="E23" s="7">
        <f>'Athens Daily - EL'!AQ29</f>
        <v>26624.799999999999</v>
      </c>
      <c r="F23" s="7"/>
      <c r="G23" s="37">
        <f>'Athens Daily - Gas'!BI31</f>
        <v>107328</v>
      </c>
      <c r="H23" s="7"/>
      <c r="I23" s="38">
        <f>'Athens Daily - Water'!S28</f>
        <v>279.25</v>
      </c>
      <c r="J23" s="7"/>
      <c r="K23" s="7">
        <v>293</v>
      </c>
      <c r="L23" s="7">
        <v>2</v>
      </c>
    </row>
    <row r="24" spans="1:12">
      <c r="A24" s="7" t="s">
        <v>14</v>
      </c>
      <c r="B24" s="7">
        <v>23</v>
      </c>
      <c r="C24" s="7">
        <v>1</v>
      </c>
      <c r="D24" s="7">
        <v>2021</v>
      </c>
      <c r="E24" s="7">
        <f>'Athens Daily - EL'!AQ30</f>
        <v>26248.799999999999</v>
      </c>
      <c r="F24" s="7"/>
      <c r="G24" s="37">
        <f>'Athens Daily - Gas'!BI32</f>
        <v>95145.600000000006</v>
      </c>
      <c r="H24" s="7"/>
      <c r="I24" s="38">
        <f>'Athens Daily - Water'!S29</f>
        <v>224.35000000000002</v>
      </c>
      <c r="J24" s="7"/>
      <c r="K24" s="7">
        <v>294</v>
      </c>
      <c r="L24" s="7">
        <v>2</v>
      </c>
    </row>
    <row r="25" spans="1:12">
      <c r="A25" s="7" t="s">
        <v>14</v>
      </c>
      <c r="B25" s="7">
        <v>24</v>
      </c>
      <c r="C25" s="7">
        <v>1</v>
      </c>
      <c r="D25" s="7">
        <v>2021</v>
      </c>
      <c r="E25" s="7">
        <f>'Athens Daily - EL'!AQ31</f>
        <v>27376.3</v>
      </c>
      <c r="F25" s="7"/>
      <c r="G25" s="37">
        <f>'Athens Daily - Gas'!BI33</f>
        <v>92304</v>
      </c>
      <c r="H25" s="7"/>
      <c r="I25" s="38">
        <f>'Athens Daily - Water'!S30</f>
        <v>195.3</v>
      </c>
      <c r="J25" s="7"/>
      <c r="K25" s="7">
        <v>294</v>
      </c>
      <c r="L25" s="7">
        <v>2</v>
      </c>
    </row>
    <row r="26" spans="1:12">
      <c r="A26" s="7" t="s">
        <v>14</v>
      </c>
      <c r="B26" s="7">
        <v>25</v>
      </c>
      <c r="C26" s="7">
        <v>1</v>
      </c>
      <c r="D26" s="7">
        <v>2021</v>
      </c>
      <c r="E26" s="7">
        <f>'Athens Daily - EL'!AQ32</f>
        <v>25368.5</v>
      </c>
      <c r="F26" s="7"/>
      <c r="G26" s="37">
        <f>'Athens Daily - Gas'!BI34</f>
        <v>100137.60000000001</v>
      </c>
      <c r="H26" s="7"/>
      <c r="I26" s="38">
        <f>'Athens Daily - Water'!S31</f>
        <v>217.5</v>
      </c>
      <c r="J26" s="7"/>
      <c r="K26" s="7">
        <v>291</v>
      </c>
      <c r="L26" s="7">
        <v>2</v>
      </c>
    </row>
    <row r="27" spans="1:12">
      <c r="A27" s="7" t="s">
        <v>14</v>
      </c>
      <c r="B27" s="7">
        <v>26</v>
      </c>
      <c r="C27" s="7">
        <v>1</v>
      </c>
      <c r="D27" s="7">
        <v>2021</v>
      </c>
      <c r="E27" s="7">
        <f>'Athens Daily - EL'!AQ33</f>
        <v>26646.299999999996</v>
      </c>
      <c r="F27" s="7"/>
      <c r="G27" s="37">
        <f>'Athens Daily - Gas'!BI35</f>
        <v>101856</v>
      </c>
      <c r="H27" s="7"/>
      <c r="I27" s="38">
        <f>'Athens Daily - Water'!S32</f>
        <v>205.85000000000002</v>
      </c>
      <c r="J27" s="7"/>
      <c r="K27" s="7">
        <v>291</v>
      </c>
      <c r="L27" s="7">
        <v>2</v>
      </c>
    </row>
    <row r="28" spans="1:12">
      <c r="A28" s="7" t="s">
        <v>14</v>
      </c>
      <c r="B28" s="7">
        <v>27</v>
      </c>
      <c r="C28" s="7">
        <v>1</v>
      </c>
      <c r="D28" s="7">
        <v>2021</v>
      </c>
      <c r="E28" s="7">
        <f>'Athens Daily - EL'!AQ34</f>
        <v>26321.200000000001</v>
      </c>
      <c r="F28" s="7"/>
      <c r="G28" s="37">
        <f>'Athens Daily - Gas'!BI36</f>
        <v>101596.8</v>
      </c>
      <c r="H28" s="7"/>
      <c r="I28" s="38">
        <f>'Athens Daily - Water'!S33</f>
        <v>222.3</v>
      </c>
      <c r="J28" s="7"/>
      <c r="K28" s="7">
        <v>288</v>
      </c>
      <c r="L28" s="7">
        <v>2</v>
      </c>
    </row>
    <row r="29" spans="1:12">
      <c r="A29" s="7" t="s">
        <v>14</v>
      </c>
      <c r="B29" s="7">
        <v>28</v>
      </c>
      <c r="C29" s="7">
        <v>1</v>
      </c>
      <c r="D29" s="7">
        <v>2021</v>
      </c>
      <c r="E29" s="7">
        <f>'Athens Daily - EL'!AQ35</f>
        <v>28200.100000000002</v>
      </c>
      <c r="F29" s="7"/>
      <c r="G29" s="37">
        <f>'Athens Daily - Gas'!BI37</f>
        <v>105206.40000000001</v>
      </c>
      <c r="H29" s="7"/>
      <c r="I29" s="38">
        <f>'Athens Daily - Water'!S34</f>
        <v>196.9</v>
      </c>
      <c r="J29" s="7"/>
      <c r="K29" s="7">
        <v>290</v>
      </c>
      <c r="L29" s="7">
        <v>2</v>
      </c>
    </row>
    <row r="30" spans="1:12">
      <c r="A30" s="7" t="s">
        <v>14</v>
      </c>
      <c r="B30" s="7">
        <v>29</v>
      </c>
      <c r="C30" s="7">
        <v>1</v>
      </c>
      <c r="D30" s="7">
        <v>2021</v>
      </c>
      <c r="E30" s="7">
        <f>'Athens Daily - EL'!AQ36</f>
        <v>26991</v>
      </c>
      <c r="F30" s="7"/>
      <c r="G30" s="37">
        <f>'Athens Daily - Gas'!BI38</f>
        <v>97555.199999999997</v>
      </c>
      <c r="H30" s="7"/>
      <c r="I30" s="38">
        <f>'Athens Daily - Water'!S36</f>
        <v>434.4</v>
      </c>
      <c r="J30" s="7"/>
      <c r="K30" s="7">
        <v>291</v>
      </c>
      <c r="L30" s="7">
        <v>2</v>
      </c>
    </row>
    <row r="31" spans="1:12">
      <c r="A31" s="7" t="s">
        <v>14</v>
      </c>
      <c r="B31" s="7">
        <v>30</v>
      </c>
      <c r="C31" s="7">
        <v>1</v>
      </c>
      <c r="D31" s="7">
        <v>2021</v>
      </c>
      <c r="E31" s="7">
        <f>'Athens Daily - EL'!AQ37</f>
        <v>26793.200000000001</v>
      </c>
      <c r="F31" s="7"/>
      <c r="G31" s="37" t="e">
        <f>'Athens Daily - Gas'!#REF!</f>
        <v>#REF!</v>
      </c>
      <c r="H31" s="7"/>
      <c r="I31" s="38">
        <f>'Athens Daily - Water'!S38</f>
        <v>0</v>
      </c>
      <c r="J31" s="7"/>
      <c r="K31" s="7">
        <v>290</v>
      </c>
      <c r="L31" s="7">
        <v>2</v>
      </c>
    </row>
    <row r="32" spans="1:12">
      <c r="A32" s="7" t="s">
        <v>14</v>
      </c>
      <c r="B32" s="7">
        <v>31</v>
      </c>
      <c r="C32" s="7">
        <v>1</v>
      </c>
      <c r="D32" s="7">
        <v>2021</v>
      </c>
      <c r="E32" s="7" t="e">
        <f>'Athens Daily - EL'!#REF!</f>
        <v>#REF!</v>
      </c>
      <c r="F32" s="7"/>
      <c r="G32" s="37">
        <f>'Athens Daily - Gas'!BI40</f>
        <v>0</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89"/>
  <sheetViews>
    <sheetView tabSelected="1" topLeftCell="A2" zoomScale="60" zoomScaleNormal="60" zoomScaleSheetLayoutView="50" workbookViewId="0">
      <pane xSplit="2" ySplit="5" topLeftCell="AE25" activePane="bottomRight" state="frozen"/>
      <selection pane="topRight" activeCell="C2" sqref="C2"/>
      <selection pane="bottomLeft" activeCell="A7" sqref="A7"/>
      <selection pane="bottomRight" activeCell="AL46" sqref="AL46"/>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 min="44" max="44" width="26.5703125" customWidth="1"/>
  </cols>
  <sheetData>
    <row r="1" spans="1:43" s="12" customFormat="1" ht="49.5" customHeight="1">
      <c r="A1" s="179"/>
      <c r="B1" s="179"/>
      <c r="C1" s="229" t="s">
        <v>65</v>
      </c>
      <c r="D1" s="229"/>
      <c r="E1" s="229" t="s">
        <v>65</v>
      </c>
      <c r="F1" s="229"/>
      <c r="G1" s="229" t="s">
        <v>65</v>
      </c>
      <c r="H1" s="229"/>
      <c r="I1" s="201"/>
      <c r="J1" s="179"/>
      <c r="K1" s="229" t="s">
        <v>65</v>
      </c>
      <c r="L1" s="229"/>
      <c r="M1" s="229" t="s">
        <v>65</v>
      </c>
      <c r="N1" s="229"/>
      <c r="O1" s="215" t="s">
        <v>66</v>
      </c>
      <c r="P1" s="216"/>
      <c r="Q1" s="216"/>
      <c r="R1" s="217"/>
      <c r="S1" s="215" t="s">
        <v>66</v>
      </c>
      <c r="T1" s="216"/>
      <c r="U1" s="216"/>
      <c r="V1" s="217"/>
      <c r="W1" s="215" t="s">
        <v>66</v>
      </c>
      <c r="X1" s="216"/>
      <c r="Y1" s="216"/>
      <c r="Z1" s="217"/>
      <c r="AA1" s="215" t="s">
        <v>66</v>
      </c>
      <c r="AB1" s="216"/>
      <c r="AC1" s="216"/>
      <c r="AD1" s="217"/>
      <c r="AE1" s="229" t="s">
        <v>67</v>
      </c>
      <c r="AF1" s="229"/>
      <c r="AG1" s="229" t="s">
        <v>67</v>
      </c>
      <c r="AH1" s="229"/>
      <c r="AI1" s="229" t="s">
        <v>67</v>
      </c>
      <c r="AJ1" s="229"/>
      <c r="AK1" s="229" t="s">
        <v>67</v>
      </c>
      <c r="AL1" s="229"/>
      <c r="AM1" s="229" t="s">
        <v>67</v>
      </c>
      <c r="AN1" s="229"/>
    </row>
    <row r="2" spans="1:43" s="111" customFormat="1" ht="113.25" customHeight="1">
      <c r="A2" s="13"/>
      <c r="B2" s="14"/>
      <c r="C2" s="228" t="s">
        <v>68</v>
      </c>
      <c r="D2" s="228"/>
      <c r="E2" s="228" t="s">
        <v>69</v>
      </c>
      <c r="F2" s="228"/>
      <c r="G2" s="218" t="s">
        <v>70</v>
      </c>
      <c r="H2" s="219"/>
      <c r="I2" s="219"/>
      <c r="J2" s="220"/>
      <c r="K2" s="228" t="s">
        <v>71</v>
      </c>
      <c r="L2" s="228"/>
      <c r="M2" s="228" t="s">
        <v>72</v>
      </c>
      <c r="N2" s="228"/>
      <c r="O2" s="218" t="s">
        <v>73</v>
      </c>
      <c r="P2" s="219"/>
      <c r="Q2" s="219"/>
      <c r="R2" s="220"/>
      <c r="S2" s="218" t="s">
        <v>74</v>
      </c>
      <c r="T2" s="219"/>
      <c r="U2" s="219"/>
      <c r="V2" s="220"/>
      <c r="W2" s="218" t="s">
        <v>75</v>
      </c>
      <c r="X2" s="219"/>
      <c r="Y2" s="219"/>
      <c r="Z2" s="220"/>
      <c r="AA2" s="218" t="s">
        <v>76</v>
      </c>
      <c r="AB2" s="219"/>
      <c r="AC2" s="219"/>
      <c r="AD2" s="220"/>
      <c r="AE2" s="228" t="s">
        <v>77</v>
      </c>
      <c r="AF2" s="228"/>
      <c r="AG2" s="228" t="s">
        <v>78</v>
      </c>
      <c r="AH2" s="228"/>
      <c r="AI2" s="228" t="s">
        <v>79</v>
      </c>
      <c r="AJ2" s="228"/>
      <c r="AK2" s="228" t="s">
        <v>78</v>
      </c>
      <c r="AL2" s="228"/>
      <c r="AM2" s="228" t="s">
        <v>80</v>
      </c>
      <c r="AN2" s="228"/>
    </row>
    <row r="3" spans="1:43" s="23" customFormat="1" ht="30" customHeight="1">
      <c r="A3" s="178"/>
      <c r="B3" s="47"/>
      <c r="C3" s="221">
        <v>5065546</v>
      </c>
      <c r="D3" s="223"/>
      <c r="E3" s="221">
        <v>5065547</v>
      </c>
      <c r="F3" s="223"/>
      <c r="G3" s="221">
        <v>5008272</v>
      </c>
      <c r="H3" s="222"/>
      <c r="I3" s="222"/>
      <c r="J3" s="223"/>
      <c r="K3" s="221">
        <v>5065548</v>
      </c>
      <c r="L3" s="223"/>
      <c r="M3" s="221">
        <v>5465545</v>
      </c>
      <c r="N3" s="223"/>
      <c r="O3" s="230">
        <v>5008273</v>
      </c>
      <c r="P3" s="231"/>
      <c r="Q3" s="231"/>
      <c r="R3" s="232"/>
      <c r="S3" s="221">
        <v>5018351</v>
      </c>
      <c r="T3" s="222"/>
      <c r="U3" s="222"/>
      <c r="V3" s="223"/>
      <c r="W3" s="221">
        <v>5018354</v>
      </c>
      <c r="X3" s="222"/>
      <c r="Y3" s="222"/>
      <c r="Z3" s="223"/>
      <c r="AA3" s="221">
        <v>5018350</v>
      </c>
      <c r="AB3" s="222"/>
      <c r="AC3" s="222"/>
      <c r="AD3" s="223"/>
      <c r="AE3" s="221">
        <v>5065543</v>
      </c>
      <c r="AF3" s="223"/>
      <c r="AG3" s="221">
        <v>5065544</v>
      </c>
      <c r="AH3" s="223"/>
      <c r="AI3" s="221">
        <v>5065541</v>
      </c>
      <c r="AJ3" s="223"/>
      <c r="AK3" s="221">
        <v>5065542</v>
      </c>
      <c r="AL3" s="223"/>
      <c r="AM3" s="221">
        <v>5065540</v>
      </c>
      <c r="AN3" s="223"/>
      <c r="AP3" s="233" t="s">
        <v>81</v>
      </c>
      <c r="AQ3" s="233"/>
    </row>
    <row r="4" spans="1:43" s="22" customFormat="1" ht="30" customHeight="1">
      <c r="A4" s="178"/>
      <c r="B4" s="181"/>
      <c r="C4" s="224" t="s">
        <v>82</v>
      </c>
      <c r="D4" s="226"/>
      <c r="E4" s="224" t="s">
        <v>83</v>
      </c>
      <c r="F4" s="226"/>
      <c r="G4" s="224" t="s">
        <v>84</v>
      </c>
      <c r="H4" s="225"/>
      <c r="I4" s="225"/>
      <c r="J4" s="226"/>
      <c r="K4" s="224" t="s">
        <v>85</v>
      </c>
      <c r="L4" s="226"/>
      <c r="M4" s="224" t="s">
        <v>86</v>
      </c>
      <c r="N4" s="226"/>
      <c r="O4" s="224" t="s">
        <v>87</v>
      </c>
      <c r="P4" s="225"/>
      <c r="Q4" s="225"/>
      <c r="R4" s="226"/>
      <c r="S4" s="224" t="s">
        <v>88</v>
      </c>
      <c r="T4" s="225"/>
      <c r="U4" s="225"/>
      <c r="V4" s="226"/>
      <c r="W4" s="224" t="s">
        <v>89</v>
      </c>
      <c r="X4" s="225"/>
      <c r="Y4" s="225"/>
      <c r="Z4" s="226"/>
      <c r="AA4" s="224" t="s">
        <v>90</v>
      </c>
      <c r="AB4" s="225"/>
      <c r="AC4" s="225"/>
      <c r="AD4" s="226"/>
      <c r="AE4" s="224" t="s">
        <v>91</v>
      </c>
      <c r="AF4" s="226"/>
      <c r="AG4" s="224" t="s">
        <v>92</v>
      </c>
      <c r="AH4" s="226"/>
      <c r="AI4" s="224" t="s">
        <v>93</v>
      </c>
      <c r="AJ4" s="226"/>
      <c r="AK4" s="224" t="s">
        <v>94</v>
      </c>
      <c r="AL4" s="226"/>
      <c r="AM4" s="224" t="s">
        <v>95</v>
      </c>
      <c r="AN4" s="226"/>
      <c r="AP4" s="233"/>
      <c r="AQ4" s="233"/>
    </row>
    <row r="5" spans="1:43" s="8" customFormat="1" ht="30" customHeight="1">
      <c r="A5" s="178" t="s">
        <v>96</v>
      </c>
      <c r="B5" s="48"/>
      <c r="C5" s="213" t="s">
        <v>97</v>
      </c>
      <c r="D5" s="214"/>
      <c r="E5" s="213" t="s">
        <v>97</v>
      </c>
      <c r="F5" s="214"/>
      <c r="G5" s="213" t="s">
        <v>97</v>
      </c>
      <c r="H5" s="227"/>
      <c r="I5" s="227"/>
      <c r="J5" s="214"/>
      <c r="K5" s="48" t="s">
        <v>97</v>
      </c>
      <c r="L5" s="48"/>
      <c r="M5" s="213" t="s">
        <v>97</v>
      </c>
      <c r="N5" s="214"/>
      <c r="O5" s="213" t="s">
        <v>97</v>
      </c>
      <c r="P5" s="227"/>
      <c r="Q5" s="227"/>
      <c r="R5" s="214"/>
      <c r="S5" s="213" t="s">
        <v>98</v>
      </c>
      <c r="T5" s="227"/>
      <c r="U5" s="227"/>
      <c r="V5" s="214"/>
      <c r="W5" s="213" t="s">
        <v>98</v>
      </c>
      <c r="X5" s="227"/>
      <c r="Y5" s="227"/>
      <c r="Z5" s="214"/>
      <c r="AA5" s="213" t="s">
        <v>98</v>
      </c>
      <c r="AB5" s="227"/>
      <c r="AC5" s="227"/>
      <c r="AD5" s="214"/>
      <c r="AE5" s="213" t="s">
        <v>97</v>
      </c>
      <c r="AF5" s="214"/>
      <c r="AG5" s="213" t="s">
        <v>97</v>
      </c>
      <c r="AH5" s="214"/>
      <c r="AI5" s="213" t="s">
        <v>97</v>
      </c>
      <c r="AJ5" s="214"/>
      <c r="AK5" s="213" t="s">
        <v>97</v>
      </c>
      <c r="AL5" s="214"/>
      <c r="AM5" s="213" t="s">
        <v>97</v>
      </c>
      <c r="AN5" s="214"/>
    </row>
    <row r="6" spans="1:43" s="10" customFormat="1" ht="50.1" customHeight="1">
      <c r="A6" s="178" t="s">
        <v>99</v>
      </c>
      <c r="B6" s="178"/>
      <c r="C6" s="178" t="s">
        <v>100</v>
      </c>
      <c r="D6" s="178" t="s">
        <v>101</v>
      </c>
      <c r="E6" s="178" t="s">
        <v>100</v>
      </c>
      <c r="F6" s="178" t="s">
        <v>101</v>
      </c>
      <c r="G6" s="178" t="s">
        <v>100</v>
      </c>
      <c r="H6" s="178" t="s">
        <v>101</v>
      </c>
      <c r="I6" s="202">
        <v>49</v>
      </c>
      <c r="J6" s="202">
        <v>51</v>
      </c>
      <c r="K6" s="178" t="s">
        <v>100</v>
      </c>
      <c r="L6" s="178" t="s">
        <v>101</v>
      </c>
      <c r="M6" s="178" t="s">
        <v>100</v>
      </c>
      <c r="N6" s="178" t="s">
        <v>101</v>
      </c>
      <c r="O6" s="178" t="s">
        <v>100</v>
      </c>
      <c r="P6" s="178" t="s">
        <v>101</v>
      </c>
      <c r="Q6" s="202">
        <v>49</v>
      </c>
      <c r="R6" s="202">
        <v>51</v>
      </c>
      <c r="S6" s="178" t="s">
        <v>100</v>
      </c>
      <c r="T6" s="178" t="s">
        <v>101</v>
      </c>
      <c r="U6" s="202">
        <v>49</v>
      </c>
      <c r="V6" s="202">
        <v>51</v>
      </c>
      <c r="W6" s="178" t="s">
        <v>100</v>
      </c>
      <c r="X6" s="178" t="s">
        <v>101</v>
      </c>
      <c r="Y6" s="202">
        <v>49</v>
      </c>
      <c r="Z6" s="202">
        <v>51</v>
      </c>
      <c r="AA6" s="178" t="s">
        <v>100</v>
      </c>
      <c r="AB6" s="178" t="s">
        <v>101</v>
      </c>
      <c r="AC6" s="202">
        <v>49</v>
      </c>
      <c r="AD6" s="202">
        <v>51</v>
      </c>
      <c r="AE6" s="178" t="s">
        <v>100</v>
      </c>
      <c r="AF6" s="178" t="s">
        <v>101</v>
      </c>
      <c r="AG6" s="178" t="s">
        <v>100</v>
      </c>
      <c r="AH6" s="178" t="s">
        <v>101</v>
      </c>
      <c r="AI6" s="178" t="s">
        <v>100</v>
      </c>
      <c r="AJ6" s="178" t="s">
        <v>101</v>
      </c>
      <c r="AK6" s="178" t="s">
        <v>100</v>
      </c>
      <c r="AL6" s="178" t="s">
        <v>101</v>
      </c>
      <c r="AM6" s="178" t="s">
        <v>100</v>
      </c>
      <c r="AN6" s="178" t="s">
        <v>101</v>
      </c>
      <c r="AP6" s="178" t="s">
        <v>65</v>
      </c>
      <c r="AQ6" s="178" t="s">
        <v>67</v>
      </c>
    </row>
    <row r="7" spans="1:43" s="186" customFormat="1" ht="39.950000000000003" customHeight="1">
      <c r="A7" s="177">
        <v>44895</v>
      </c>
      <c r="B7" s="183"/>
      <c r="C7" s="193">
        <v>336759</v>
      </c>
      <c r="D7" s="185"/>
      <c r="E7" s="193">
        <v>580470</v>
      </c>
      <c r="F7" s="185"/>
      <c r="G7" s="193">
        <v>392391</v>
      </c>
      <c r="H7" s="185"/>
      <c r="I7" s="185"/>
      <c r="J7" s="185"/>
      <c r="K7" s="193">
        <v>495249</v>
      </c>
      <c r="L7" s="185"/>
      <c r="M7" s="193">
        <v>794448</v>
      </c>
      <c r="N7" s="185"/>
      <c r="O7" s="193">
        <v>515099</v>
      </c>
      <c r="P7" s="185"/>
      <c r="Q7" s="185"/>
      <c r="R7" s="185"/>
      <c r="S7" s="193">
        <v>467786</v>
      </c>
      <c r="T7" s="185"/>
      <c r="U7" s="185"/>
      <c r="V7" s="185"/>
      <c r="W7" s="193">
        <v>240435</v>
      </c>
      <c r="X7" s="185"/>
      <c r="Y7" s="185"/>
      <c r="Z7" s="185"/>
      <c r="AA7" s="193">
        <v>314257</v>
      </c>
      <c r="AB7" s="185"/>
      <c r="AC7" s="185"/>
      <c r="AD7" s="185"/>
      <c r="AE7" s="193">
        <v>96261</v>
      </c>
      <c r="AF7" s="185"/>
      <c r="AG7" s="193">
        <v>182257</v>
      </c>
      <c r="AH7" s="185"/>
      <c r="AI7" s="193">
        <v>322809</v>
      </c>
      <c r="AJ7" s="185"/>
      <c r="AK7" s="193">
        <v>163898</v>
      </c>
      <c r="AL7" s="185"/>
      <c r="AM7" s="193">
        <v>856102</v>
      </c>
      <c r="AN7" s="185"/>
      <c r="AP7" s="187"/>
      <c r="AQ7" s="188"/>
    </row>
    <row r="8" spans="1:43" s="191" customFormat="1" ht="39.950000000000003" customHeight="1">
      <c r="A8" s="177">
        <v>44896</v>
      </c>
      <c r="B8" s="189"/>
      <c r="C8" s="190">
        <v>337196</v>
      </c>
      <c r="D8" s="185">
        <f>(C8-C7)*10</f>
        <v>4370</v>
      </c>
      <c r="E8" s="190">
        <v>581259</v>
      </c>
      <c r="F8" s="185">
        <f>(E8-E7)*10</f>
        <v>7890</v>
      </c>
      <c r="G8" s="190">
        <v>392690</v>
      </c>
      <c r="H8" s="185">
        <f>(G8-G7)*10</f>
        <v>2990</v>
      </c>
      <c r="I8" s="187">
        <f>H8*I6/100</f>
        <v>1465.1</v>
      </c>
      <c r="J8" s="187">
        <f>H8*J6/100</f>
        <v>1524.9</v>
      </c>
      <c r="K8" s="190">
        <v>495869</v>
      </c>
      <c r="L8" s="185">
        <f>(K8-K7)*10</f>
        <v>6200</v>
      </c>
      <c r="M8" s="190">
        <v>795566</v>
      </c>
      <c r="N8" s="185">
        <f>(M8-M7)*10</f>
        <v>11180</v>
      </c>
      <c r="O8" s="190">
        <v>516410</v>
      </c>
      <c r="P8" s="185">
        <f>(O8-O7)*10</f>
        <v>13110</v>
      </c>
      <c r="Q8" s="187">
        <f>P8*Q6/100</f>
        <v>6423.9</v>
      </c>
      <c r="R8" s="187">
        <f>P8*R6/100</f>
        <v>6686.1</v>
      </c>
      <c r="S8" s="190">
        <v>467788</v>
      </c>
      <c r="T8" s="185">
        <f>(S8-S7)*10</f>
        <v>20</v>
      </c>
      <c r="U8" s="187">
        <f>T8*U6/100</f>
        <v>9.8000000000000007</v>
      </c>
      <c r="V8" s="187">
        <f>T8*V6/100</f>
        <v>10.199999999999999</v>
      </c>
      <c r="W8" s="190">
        <v>240438</v>
      </c>
      <c r="X8" s="185">
        <f>(W8-W7)*10</f>
        <v>30</v>
      </c>
      <c r="Y8" s="187">
        <f>X8*Y6/100</f>
        <v>14.7</v>
      </c>
      <c r="Z8" s="187">
        <f>X8*Z6/100</f>
        <v>15.3</v>
      </c>
      <c r="AA8" s="190">
        <v>314260</v>
      </c>
      <c r="AB8" s="185">
        <f>(AA8-AA7)*10</f>
        <v>30</v>
      </c>
      <c r="AC8" s="187">
        <f>AB8*AC6/100</f>
        <v>14.7</v>
      </c>
      <c r="AD8" s="187">
        <f>AB8*AD6/100</f>
        <v>15.3</v>
      </c>
      <c r="AE8" s="190">
        <v>96394</v>
      </c>
      <c r="AF8" s="185">
        <f>(AE8-AE7)*10</f>
        <v>1330</v>
      </c>
      <c r="AG8" s="190">
        <v>182498</v>
      </c>
      <c r="AH8" s="185">
        <f>(AG8-AG7)*10</f>
        <v>2410</v>
      </c>
      <c r="AI8" s="190">
        <v>323190</v>
      </c>
      <c r="AJ8" s="185">
        <f>(AI8-AI7)*10</f>
        <v>3810</v>
      </c>
      <c r="AK8" s="190">
        <v>164114</v>
      </c>
      <c r="AL8" s="185">
        <f>(AK8-AK7)*10</f>
        <v>2160</v>
      </c>
      <c r="AM8" s="190">
        <v>857055</v>
      </c>
      <c r="AN8" s="185">
        <f>(AM8-AM7)*10</f>
        <v>9530</v>
      </c>
      <c r="AP8" s="187">
        <f>SUM(D8,F8,I8,L8,N8,Q8,U8,Y8,AC8)</f>
        <v>37568.199999999997</v>
      </c>
      <c r="AQ8" s="188">
        <f>SUM(R8,V8,Z8,AD8,AF8,AH8,AJ8,AL8,AN8)</f>
        <v>25966.9</v>
      </c>
    </row>
    <row r="9" spans="1:43" s="186" customFormat="1" ht="39.950000000000003" customHeight="1">
      <c r="A9" s="177">
        <f>SUM(A8+1)</f>
        <v>44897</v>
      </c>
      <c r="B9" s="183"/>
      <c r="C9" s="190">
        <v>337613</v>
      </c>
      <c r="D9" s="185">
        <f t="shared" ref="D9:D37" si="0">(C9-C8)*10</f>
        <v>4170</v>
      </c>
      <c r="E9" s="190">
        <v>581998</v>
      </c>
      <c r="F9" s="185">
        <f t="shared" ref="F9:F37" si="1">(E9-E8)*10</f>
        <v>7390</v>
      </c>
      <c r="G9" s="190">
        <v>392969</v>
      </c>
      <c r="H9" s="185">
        <f t="shared" ref="H9:H37" si="2">(G9-G8)*10</f>
        <v>2790</v>
      </c>
      <c r="I9" s="187">
        <f>H9*I6/100</f>
        <v>1367.1</v>
      </c>
      <c r="J9" s="187">
        <f>H9*J6/100</f>
        <v>1422.9</v>
      </c>
      <c r="K9" s="190">
        <v>496478</v>
      </c>
      <c r="L9" s="185">
        <f t="shared" ref="L9:L37" si="3">(K9-K8)*10</f>
        <v>6090</v>
      </c>
      <c r="M9" s="190">
        <v>796671</v>
      </c>
      <c r="N9" s="185">
        <f t="shared" ref="N9:N37" si="4">(M9-M8)*10</f>
        <v>11050</v>
      </c>
      <c r="O9" s="190">
        <v>517594</v>
      </c>
      <c r="P9" s="185">
        <f t="shared" ref="P9:P37" si="5">(O9-O8)*10</f>
        <v>11840</v>
      </c>
      <c r="Q9" s="187">
        <f>P9*Q6/100</f>
        <v>5801.6</v>
      </c>
      <c r="R9" s="187">
        <f>P9*R6/100</f>
        <v>6038.4</v>
      </c>
      <c r="S9" s="190">
        <v>467790</v>
      </c>
      <c r="T9" s="185">
        <f t="shared" ref="T9:T37" si="6">(S9-S8)*10</f>
        <v>20</v>
      </c>
      <c r="U9" s="187">
        <f>T9*U6/100</f>
        <v>9.8000000000000007</v>
      </c>
      <c r="V9" s="187">
        <f>T9*V6/100</f>
        <v>10.199999999999999</v>
      </c>
      <c r="W9" s="190">
        <v>240440</v>
      </c>
      <c r="X9" s="185">
        <f t="shared" ref="X9:X37" si="7">(W9-W8)*10</f>
        <v>20</v>
      </c>
      <c r="Y9" s="187">
        <f>X9*Y6/100</f>
        <v>9.8000000000000007</v>
      </c>
      <c r="Z9" s="187">
        <f>X9*Z6/100</f>
        <v>10.199999999999999</v>
      </c>
      <c r="AA9" s="190">
        <v>314263</v>
      </c>
      <c r="AB9" s="185">
        <f t="shared" ref="AB9:AB37" si="8">(AA9-AA8)*10</f>
        <v>30</v>
      </c>
      <c r="AC9" s="187">
        <f>AB9*AC6/100</f>
        <v>14.7</v>
      </c>
      <c r="AD9" s="187">
        <f>AB9*AD6/100</f>
        <v>15.3</v>
      </c>
      <c r="AE9" s="190">
        <v>96519</v>
      </c>
      <c r="AF9" s="185">
        <f t="shared" ref="AF9:AF37" si="9">(AE9-AE8)*10</f>
        <v>1250</v>
      </c>
      <c r="AG9" s="190">
        <v>182743</v>
      </c>
      <c r="AH9" s="185">
        <f t="shared" ref="AH9:AH37" si="10">(AG9-AG8)*10</f>
        <v>2450</v>
      </c>
      <c r="AI9" s="190">
        <v>323565</v>
      </c>
      <c r="AJ9" s="185">
        <f t="shared" ref="AJ9:AJ37" si="11">(AI9-AI8)*10</f>
        <v>3750</v>
      </c>
      <c r="AK9" s="190">
        <v>164319</v>
      </c>
      <c r="AL9" s="185">
        <f t="shared" ref="AL9:AL37" si="12">(AK9-AK8)*10</f>
        <v>2050</v>
      </c>
      <c r="AM9" s="190">
        <v>858010</v>
      </c>
      <c r="AN9" s="185">
        <f t="shared" ref="AN9:AN37" si="13">(AM9-AM8)*10</f>
        <v>9550</v>
      </c>
      <c r="AP9" s="187">
        <f t="shared" ref="AP9:AP37" si="14">SUM(D9,F9,I9,L9,N9,Q9,U9,Y9,AC9)</f>
        <v>35903</v>
      </c>
      <c r="AQ9" s="188">
        <f t="shared" ref="AQ9:AQ38" si="15">SUM(R9,V9,Z9,AD9,AF9,AH9,AJ9,AL9,AN9)</f>
        <v>25124.1</v>
      </c>
    </row>
    <row r="10" spans="1:43" s="186" customFormat="1" ht="39.950000000000003" customHeight="1">
      <c r="A10" s="177">
        <f t="shared" ref="A10:A38" si="16">SUM(A9+1)</f>
        <v>44898</v>
      </c>
      <c r="B10" s="183"/>
      <c r="C10" s="190">
        <v>338072</v>
      </c>
      <c r="D10" s="185">
        <f t="shared" si="0"/>
        <v>4590</v>
      </c>
      <c r="E10" s="190">
        <v>582852</v>
      </c>
      <c r="F10" s="185">
        <f t="shared" si="1"/>
        <v>8540</v>
      </c>
      <c r="G10" s="190">
        <v>393298</v>
      </c>
      <c r="H10" s="185">
        <f t="shared" si="2"/>
        <v>3290</v>
      </c>
      <c r="I10" s="187">
        <f>H10*I6/100</f>
        <v>1612.1</v>
      </c>
      <c r="J10" s="187">
        <f>H10*J6/100</f>
        <v>1677.9</v>
      </c>
      <c r="K10" s="190">
        <v>497151</v>
      </c>
      <c r="L10" s="185">
        <f t="shared" si="3"/>
        <v>6730</v>
      </c>
      <c r="M10" s="190">
        <v>797926</v>
      </c>
      <c r="N10" s="185">
        <f t="shared" si="4"/>
        <v>12550</v>
      </c>
      <c r="O10" s="190">
        <v>519027</v>
      </c>
      <c r="P10" s="185">
        <f t="shared" si="5"/>
        <v>14330</v>
      </c>
      <c r="Q10" s="187">
        <f>P10*Q6/100</f>
        <v>7021.7</v>
      </c>
      <c r="R10" s="187">
        <f>P10*R6/100</f>
        <v>7308.3</v>
      </c>
      <c r="S10" s="190">
        <v>467965</v>
      </c>
      <c r="T10" s="185">
        <f t="shared" si="6"/>
        <v>1750</v>
      </c>
      <c r="U10" s="187">
        <f>T10*U6/100</f>
        <v>857.5</v>
      </c>
      <c r="V10" s="187">
        <f>T10*V6/100</f>
        <v>892.5</v>
      </c>
      <c r="W10" s="190">
        <v>240442</v>
      </c>
      <c r="X10" s="185">
        <f t="shared" si="7"/>
        <v>20</v>
      </c>
      <c r="Y10" s="187">
        <f>X10*Y6/100</f>
        <v>9.8000000000000007</v>
      </c>
      <c r="Z10" s="187">
        <f>X10*Z6/100</f>
        <v>10.199999999999999</v>
      </c>
      <c r="AA10" s="190">
        <v>314267</v>
      </c>
      <c r="AB10" s="185">
        <f t="shared" si="8"/>
        <v>40</v>
      </c>
      <c r="AC10" s="187">
        <f>AB10*AC6/100</f>
        <v>19.600000000000001</v>
      </c>
      <c r="AD10" s="187">
        <f>AB10*AD6/100</f>
        <v>20.399999999999999</v>
      </c>
      <c r="AE10" s="190">
        <v>96673</v>
      </c>
      <c r="AF10" s="185">
        <f t="shared" si="9"/>
        <v>1540</v>
      </c>
      <c r="AG10" s="192">
        <f>(AG13-AG9)/4+AG9</f>
        <v>182993</v>
      </c>
      <c r="AH10" s="185">
        <f t="shared" si="10"/>
        <v>2500</v>
      </c>
      <c r="AI10" s="192">
        <f>(AI13-AI9)/4+AI9</f>
        <v>323943.5</v>
      </c>
      <c r="AJ10" s="185">
        <f t="shared" si="11"/>
        <v>3785</v>
      </c>
      <c r="AK10" s="192">
        <f>(AK13-AK9)/4+AK9</f>
        <v>164528.75</v>
      </c>
      <c r="AL10" s="187">
        <f t="shared" si="12"/>
        <v>2097.5</v>
      </c>
      <c r="AM10" s="192">
        <f>(AM13-AM9)/4+AM9</f>
        <v>858976.75</v>
      </c>
      <c r="AN10" s="187">
        <f t="shared" si="13"/>
        <v>9667.5</v>
      </c>
      <c r="AP10" s="187">
        <f t="shared" si="14"/>
        <v>41930.699999999997</v>
      </c>
      <c r="AQ10" s="188">
        <f t="shared" si="15"/>
        <v>27821.4</v>
      </c>
    </row>
    <row r="11" spans="1:43" s="186" customFormat="1" ht="39.950000000000003" customHeight="1">
      <c r="A11" s="177">
        <f t="shared" si="16"/>
        <v>44899</v>
      </c>
      <c r="B11" s="183"/>
      <c r="C11" s="192">
        <f>(C13-C10)/3+C10</f>
        <v>338491.33333333331</v>
      </c>
      <c r="D11" s="187">
        <f t="shared" si="0"/>
        <v>4193.3333333331393</v>
      </c>
      <c r="E11" s="192">
        <f>(E13-E10)/3+E10</f>
        <v>583599.33333333337</v>
      </c>
      <c r="F11" s="187">
        <f t="shared" si="1"/>
        <v>7473.3333333337214</v>
      </c>
      <c r="G11" s="192">
        <f>(G13-G10)/3+G10</f>
        <v>393598.33333333331</v>
      </c>
      <c r="H11" s="187">
        <f t="shared" si="2"/>
        <v>3003.3333333331393</v>
      </c>
      <c r="I11" s="187">
        <f>H11*I6/100</f>
        <v>1471.6333333332382</v>
      </c>
      <c r="J11" s="187">
        <f>H11*J6/100</f>
        <v>1531.6999999999011</v>
      </c>
      <c r="K11" s="192">
        <f>(K13-K10)/3+K10</f>
        <v>497750.33333333331</v>
      </c>
      <c r="L11" s="187">
        <f t="shared" si="3"/>
        <v>5993.3333333331393</v>
      </c>
      <c r="M11" s="192">
        <f>(M13-M10)/3+M10</f>
        <v>799000.66666666663</v>
      </c>
      <c r="N11" s="187">
        <f t="shared" si="4"/>
        <v>10746.666666666279</v>
      </c>
      <c r="O11" s="192">
        <f>(O13-O10)/3+O10</f>
        <v>520305.33333333331</v>
      </c>
      <c r="P11" s="187">
        <f t="shared" si="5"/>
        <v>12783.333333333139</v>
      </c>
      <c r="Q11" s="187">
        <f>P11*Q6/100</f>
        <v>6263.8333333332384</v>
      </c>
      <c r="R11" s="187">
        <f>P11*R6/100</f>
        <v>6519.4999999999009</v>
      </c>
      <c r="S11" s="192">
        <f>(S13-S10)/3+S10</f>
        <v>468062.33333333331</v>
      </c>
      <c r="T11" s="187">
        <f t="shared" si="6"/>
        <v>973.33333333313931</v>
      </c>
      <c r="U11" s="187">
        <f>T11*U6/100</f>
        <v>476.93333333323824</v>
      </c>
      <c r="V11" s="187">
        <f>T11*V6/100</f>
        <v>496.39999999990107</v>
      </c>
      <c r="W11" s="192">
        <f>(W13-W10)/3+W10</f>
        <v>240444.33333333334</v>
      </c>
      <c r="X11" s="187">
        <f t="shared" si="7"/>
        <v>23.333333333430346</v>
      </c>
      <c r="Y11" s="187">
        <f>X11*Y6/100</f>
        <v>11.433333333380869</v>
      </c>
      <c r="Z11" s="187">
        <f>X11*Z6/100</f>
        <v>11.900000000049477</v>
      </c>
      <c r="AA11" s="192">
        <f>(AA13-AA10)/3+AA10</f>
        <v>314270</v>
      </c>
      <c r="AB11" s="187">
        <f t="shared" si="8"/>
        <v>30</v>
      </c>
      <c r="AC11" s="187">
        <f>AB11*AC6/100</f>
        <v>14.7</v>
      </c>
      <c r="AD11" s="187">
        <f>AB11*AD6/100</f>
        <v>15.3</v>
      </c>
      <c r="AE11" s="192">
        <f>(AE13-AE10)/3+AE10</f>
        <v>96807.333333333328</v>
      </c>
      <c r="AF11" s="187">
        <f t="shared" si="9"/>
        <v>1343.3333333332848</v>
      </c>
      <c r="AG11" s="192">
        <f>(AG13-AG9)/4+AG10</f>
        <v>183243</v>
      </c>
      <c r="AH11" s="187">
        <f t="shared" si="10"/>
        <v>2500</v>
      </c>
      <c r="AI11" s="192">
        <f>(AI13-AI9)/4+AI10</f>
        <v>324322</v>
      </c>
      <c r="AJ11" s="185">
        <f t="shared" si="11"/>
        <v>3785</v>
      </c>
      <c r="AK11" s="192">
        <f>(AK13-AK9)/4+AK10</f>
        <v>164738.5</v>
      </c>
      <c r="AL11" s="187">
        <f t="shared" si="12"/>
        <v>2097.5</v>
      </c>
      <c r="AM11" s="192">
        <f>(AM13-AM9)/4+AM10</f>
        <v>859943.5</v>
      </c>
      <c r="AN11" s="187">
        <f t="shared" si="13"/>
        <v>9667.5</v>
      </c>
      <c r="AP11" s="187">
        <f t="shared" si="14"/>
        <v>36645.199999999371</v>
      </c>
      <c r="AQ11" s="188">
        <f t="shared" si="15"/>
        <v>26436.433333333138</v>
      </c>
    </row>
    <row r="12" spans="1:43" s="186" customFormat="1" ht="39.950000000000003" customHeight="1">
      <c r="A12" s="177">
        <f t="shared" si="16"/>
        <v>44900</v>
      </c>
      <c r="B12" s="183"/>
      <c r="C12" s="192">
        <f>(C13-C10)/3+C11</f>
        <v>338910.66666666663</v>
      </c>
      <c r="D12" s="187">
        <f t="shared" si="0"/>
        <v>4193.3333333331393</v>
      </c>
      <c r="E12" s="192">
        <f>(E13-E10)/3+E11</f>
        <v>584346.66666666674</v>
      </c>
      <c r="F12" s="187">
        <f t="shared" si="1"/>
        <v>7473.3333333337214</v>
      </c>
      <c r="G12" s="192">
        <f>(G13-G10)/3+G11</f>
        <v>393898.66666666663</v>
      </c>
      <c r="H12" s="187">
        <f t="shared" si="2"/>
        <v>3003.3333333331393</v>
      </c>
      <c r="I12" s="187">
        <f>H12*I6/100</f>
        <v>1471.6333333332382</v>
      </c>
      <c r="J12" s="187">
        <f>H12*J6/100</f>
        <v>1531.6999999999011</v>
      </c>
      <c r="K12" s="192">
        <f>(K13-K10)/3+K11</f>
        <v>498349.66666666663</v>
      </c>
      <c r="L12" s="187">
        <f t="shared" si="3"/>
        <v>5993.3333333331393</v>
      </c>
      <c r="M12" s="192">
        <f>(M13-M10)/3+M11</f>
        <v>800075.33333333326</v>
      </c>
      <c r="N12" s="187">
        <f t="shared" si="4"/>
        <v>10746.666666666279</v>
      </c>
      <c r="O12" s="192">
        <f>(O13-O10)/3+O11</f>
        <v>521583.66666666663</v>
      </c>
      <c r="P12" s="187">
        <f t="shared" si="5"/>
        <v>12783.333333333139</v>
      </c>
      <c r="Q12" s="187">
        <f>P12*Q6/100</f>
        <v>6263.8333333332384</v>
      </c>
      <c r="R12" s="187">
        <f>P12*R6/100</f>
        <v>6519.4999999999009</v>
      </c>
      <c r="S12" s="192">
        <f>(S13-S10)/3+S11</f>
        <v>468159.66666666663</v>
      </c>
      <c r="T12" s="187">
        <f t="shared" si="6"/>
        <v>973.33333333313931</v>
      </c>
      <c r="U12" s="187">
        <f>T12*U6/100</f>
        <v>476.93333333323824</v>
      </c>
      <c r="V12" s="187">
        <f>T12*V6/100</f>
        <v>496.39999999990107</v>
      </c>
      <c r="W12" s="192">
        <f>(W13-W10)/3+W11</f>
        <v>240446.66666666669</v>
      </c>
      <c r="X12" s="187">
        <f t="shared" si="7"/>
        <v>23.333333333430346</v>
      </c>
      <c r="Y12" s="187">
        <f>X12*Y6/100</f>
        <v>11.433333333380869</v>
      </c>
      <c r="Z12" s="187">
        <f>X12*Z6/100</f>
        <v>11.900000000049477</v>
      </c>
      <c r="AA12" s="192">
        <f>(AA13-AA10)/3+AA11</f>
        <v>314273</v>
      </c>
      <c r="AB12" s="187">
        <f t="shared" si="8"/>
        <v>30</v>
      </c>
      <c r="AC12" s="187">
        <f>AB12*AC6/100</f>
        <v>14.7</v>
      </c>
      <c r="AD12" s="187">
        <f>AB12*AD6/100</f>
        <v>15.3</v>
      </c>
      <c r="AE12" s="192">
        <f>(AE13-AE10)/3+AE11</f>
        <v>96941.666666666657</v>
      </c>
      <c r="AF12" s="187">
        <f t="shared" si="9"/>
        <v>1343.3333333332848</v>
      </c>
      <c r="AG12" s="192">
        <f>(AG14-AG10)/4+AG11</f>
        <v>183492</v>
      </c>
      <c r="AH12" s="187">
        <f t="shared" si="10"/>
        <v>2490</v>
      </c>
      <c r="AI12" s="192">
        <f>(AI14-AI10)/4+AI11</f>
        <v>324704.375</v>
      </c>
      <c r="AJ12" s="187">
        <f t="shared" si="11"/>
        <v>3823.75</v>
      </c>
      <c r="AK12" s="192">
        <f>(AK14-AK10)/4+AK11</f>
        <v>164946.8125</v>
      </c>
      <c r="AL12" s="187">
        <f t="shared" si="12"/>
        <v>2083.125</v>
      </c>
      <c r="AM12" s="192">
        <f>(AM14-AM10)/4+AM11</f>
        <v>860907.8125</v>
      </c>
      <c r="AN12" s="187">
        <f t="shared" si="13"/>
        <v>9643.125</v>
      </c>
      <c r="AP12" s="187">
        <f t="shared" si="14"/>
        <v>36645.199999999371</v>
      </c>
      <c r="AQ12" s="188">
        <f t="shared" si="15"/>
        <v>26426.433333333138</v>
      </c>
    </row>
    <row r="13" spans="1:43" s="186" customFormat="1" ht="39.950000000000003" customHeight="1">
      <c r="A13" s="177">
        <f t="shared" si="16"/>
        <v>44901</v>
      </c>
      <c r="B13" s="183"/>
      <c r="C13" s="192">
        <v>339330</v>
      </c>
      <c r="D13" s="187">
        <f t="shared" si="0"/>
        <v>4193.3333333337214</v>
      </c>
      <c r="E13" s="192">
        <v>585094</v>
      </c>
      <c r="F13" s="187">
        <f t="shared" si="1"/>
        <v>7473.3333333325572</v>
      </c>
      <c r="G13" s="192">
        <v>394199</v>
      </c>
      <c r="H13" s="187">
        <f t="shared" si="2"/>
        <v>3003.3333333337214</v>
      </c>
      <c r="I13" s="187">
        <f>H13*I6/100</f>
        <v>1471.6333333335235</v>
      </c>
      <c r="J13" s="187">
        <f>H13*J6/100</f>
        <v>1531.7000000001979</v>
      </c>
      <c r="K13" s="192">
        <v>498949</v>
      </c>
      <c r="L13" s="187">
        <f t="shared" si="3"/>
        <v>5993.3333333337214</v>
      </c>
      <c r="M13" s="192">
        <v>801150</v>
      </c>
      <c r="N13" s="187">
        <f t="shared" si="4"/>
        <v>10746.666666667443</v>
      </c>
      <c r="O13" s="192">
        <v>522862</v>
      </c>
      <c r="P13" s="187">
        <f t="shared" si="5"/>
        <v>12783.333333333721</v>
      </c>
      <c r="Q13" s="187">
        <f>P13*Q6/100</f>
        <v>6263.8333333335231</v>
      </c>
      <c r="R13" s="187">
        <f>P13*R6/100</f>
        <v>6519.5000000001983</v>
      </c>
      <c r="S13" s="192">
        <v>468257</v>
      </c>
      <c r="T13" s="187">
        <f t="shared" si="6"/>
        <v>973.33333333372138</v>
      </c>
      <c r="U13" s="187">
        <f>T13*U6/100</f>
        <v>476.93333333352348</v>
      </c>
      <c r="V13" s="187">
        <f>T13*V6/100</f>
        <v>496.40000000019791</v>
      </c>
      <c r="W13" s="192">
        <v>240449</v>
      </c>
      <c r="X13" s="187">
        <f t="shared" si="7"/>
        <v>23.333333333139308</v>
      </c>
      <c r="Y13" s="187">
        <f>X13*Y6/100</f>
        <v>11.433333333238261</v>
      </c>
      <c r="Z13" s="187">
        <f>X13*Z6/100</f>
        <v>11.899999999901047</v>
      </c>
      <c r="AA13" s="192">
        <v>314276</v>
      </c>
      <c r="AB13" s="187">
        <f t="shared" si="8"/>
        <v>30</v>
      </c>
      <c r="AC13" s="187">
        <f>AB13*AC6/100</f>
        <v>14.7</v>
      </c>
      <c r="AD13" s="187">
        <f>AB13*AD6/100</f>
        <v>15.3</v>
      </c>
      <c r="AE13" s="192">
        <v>97076</v>
      </c>
      <c r="AF13" s="187">
        <f t="shared" si="9"/>
        <v>1343.3333333334303</v>
      </c>
      <c r="AG13" s="192">
        <v>183743</v>
      </c>
      <c r="AH13" s="187">
        <f t="shared" si="10"/>
        <v>2510</v>
      </c>
      <c r="AI13" s="190">
        <v>325079</v>
      </c>
      <c r="AJ13" s="187">
        <f t="shared" si="11"/>
        <v>3746.25</v>
      </c>
      <c r="AK13" s="190">
        <v>165158</v>
      </c>
      <c r="AL13" s="187">
        <f t="shared" si="12"/>
        <v>2111.875</v>
      </c>
      <c r="AM13" s="190">
        <v>861877</v>
      </c>
      <c r="AN13" s="187">
        <f t="shared" si="13"/>
        <v>9691.875</v>
      </c>
      <c r="AP13" s="187">
        <f t="shared" si="14"/>
        <v>36645.200000001249</v>
      </c>
      <c r="AQ13" s="188">
        <f t="shared" si="15"/>
        <v>26446.433333333727</v>
      </c>
    </row>
    <row r="14" spans="1:43" s="186" customFormat="1" ht="39.950000000000003" customHeight="1">
      <c r="A14" s="177">
        <f t="shared" si="16"/>
        <v>44902</v>
      </c>
      <c r="B14" s="183"/>
      <c r="C14" s="190">
        <v>339761</v>
      </c>
      <c r="D14" s="185">
        <f t="shared" si="0"/>
        <v>4310</v>
      </c>
      <c r="E14" s="190">
        <v>585877</v>
      </c>
      <c r="F14" s="185">
        <f t="shared" si="1"/>
        <v>7830</v>
      </c>
      <c r="G14" s="190">
        <v>394486</v>
      </c>
      <c r="H14" s="185">
        <f t="shared" si="2"/>
        <v>2870</v>
      </c>
      <c r="I14" s="187">
        <f>H14*I6/100</f>
        <v>1406.3</v>
      </c>
      <c r="J14" s="187">
        <f>H14*J6/100</f>
        <v>1463.7</v>
      </c>
      <c r="K14" s="190">
        <v>499561</v>
      </c>
      <c r="L14" s="185">
        <f t="shared" si="3"/>
        <v>6120</v>
      </c>
      <c r="M14" s="190">
        <v>802308</v>
      </c>
      <c r="N14" s="185">
        <f t="shared" si="4"/>
        <v>11580</v>
      </c>
      <c r="O14" s="190">
        <v>524288</v>
      </c>
      <c r="P14" s="185">
        <f t="shared" si="5"/>
        <v>14260</v>
      </c>
      <c r="Q14" s="187">
        <f>P14*Q6/100</f>
        <v>6987.4</v>
      </c>
      <c r="R14" s="187">
        <f>P14*R6/100</f>
        <v>7272.6</v>
      </c>
      <c r="S14" s="190">
        <v>468260</v>
      </c>
      <c r="T14" s="185">
        <f t="shared" si="6"/>
        <v>30</v>
      </c>
      <c r="U14" s="187">
        <f>T14*U6/100</f>
        <v>14.7</v>
      </c>
      <c r="V14" s="187">
        <f>T14*V6/100</f>
        <v>15.3</v>
      </c>
      <c r="W14" s="190">
        <v>240451</v>
      </c>
      <c r="X14" s="185">
        <f t="shared" si="7"/>
        <v>20</v>
      </c>
      <c r="Y14" s="187">
        <f>X14*Y6/100</f>
        <v>9.8000000000000007</v>
      </c>
      <c r="Z14" s="187">
        <f>X14*Z6/100</f>
        <v>10.199999999999999</v>
      </c>
      <c r="AA14" s="190">
        <v>314280</v>
      </c>
      <c r="AB14" s="185">
        <f t="shared" si="8"/>
        <v>40</v>
      </c>
      <c r="AC14" s="187">
        <f>AB14*AC6/100</f>
        <v>19.600000000000001</v>
      </c>
      <c r="AD14" s="187">
        <f>AB14*AD6/100</f>
        <v>20.399999999999999</v>
      </c>
      <c r="AE14" s="190">
        <v>97214</v>
      </c>
      <c r="AF14" s="185">
        <f t="shared" si="9"/>
        <v>1380</v>
      </c>
      <c r="AG14" s="190">
        <v>183989</v>
      </c>
      <c r="AH14" s="185">
        <f t="shared" si="10"/>
        <v>2460</v>
      </c>
      <c r="AI14" s="190">
        <v>325473</v>
      </c>
      <c r="AJ14" s="185">
        <f t="shared" si="11"/>
        <v>3940</v>
      </c>
      <c r="AK14" s="190">
        <v>165362</v>
      </c>
      <c r="AL14" s="185">
        <f t="shared" si="12"/>
        <v>2040</v>
      </c>
      <c r="AM14" s="190">
        <v>862834</v>
      </c>
      <c r="AN14" s="185">
        <f t="shared" si="13"/>
        <v>9570</v>
      </c>
      <c r="AP14" s="187">
        <f t="shared" si="14"/>
        <v>38277.799999999996</v>
      </c>
      <c r="AQ14" s="188">
        <f t="shared" si="15"/>
        <v>26708.5</v>
      </c>
    </row>
    <row r="15" spans="1:43" s="186" customFormat="1" ht="39.950000000000003" customHeight="1">
      <c r="A15" s="177">
        <f t="shared" si="16"/>
        <v>44903</v>
      </c>
      <c r="B15" s="183"/>
      <c r="C15" s="190">
        <v>340182</v>
      </c>
      <c r="D15" s="185">
        <f t="shared" si="0"/>
        <v>4210</v>
      </c>
      <c r="E15" s="190">
        <v>586681</v>
      </c>
      <c r="F15" s="185">
        <f t="shared" si="1"/>
        <v>8040</v>
      </c>
      <c r="G15" s="190">
        <v>394793</v>
      </c>
      <c r="H15" s="185">
        <f t="shared" si="2"/>
        <v>3070</v>
      </c>
      <c r="I15" s="187">
        <f>H15*I6/100</f>
        <v>1504.3</v>
      </c>
      <c r="J15" s="187">
        <f>H15*J6/100</f>
        <v>1565.7</v>
      </c>
      <c r="K15" s="190">
        <v>500188</v>
      </c>
      <c r="L15" s="185">
        <f t="shared" si="3"/>
        <v>6270</v>
      </c>
      <c r="M15" s="190">
        <v>803462</v>
      </c>
      <c r="N15" s="185">
        <f t="shared" si="4"/>
        <v>11540</v>
      </c>
      <c r="O15" s="190">
        <v>525539</v>
      </c>
      <c r="P15" s="185">
        <f t="shared" si="5"/>
        <v>12510</v>
      </c>
      <c r="Q15" s="187">
        <f>P15*Q6/100</f>
        <v>6129.9</v>
      </c>
      <c r="R15" s="187">
        <f>P15*R6/100</f>
        <v>6380.1</v>
      </c>
      <c r="S15" s="190">
        <v>468418</v>
      </c>
      <c r="T15" s="185">
        <f t="shared" si="6"/>
        <v>1580</v>
      </c>
      <c r="U15" s="187">
        <f>T15*U6/100</f>
        <v>774.2</v>
      </c>
      <c r="V15" s="187">
        <f>T15*V6/100</f>
        <v>805.8</v>
      </c>
      <c r="W15" s="190">
        <v>240495</v>
      </c>
      <c r="X15" s="185">
        <f t="shared" si="7"/>
        <v>440</v>
      </c>
      <c r="Y15" s="187">
        <f>X15*Y6/100</f>
        <v>215.6</v>
      </c>
      <c r="Z15" s="187">
        <f>X15*Z6/100</f>
        <v>224.4</v>
      </c>
      <c r="AA15" s="190">
        <v>314324</v>
      </c>
      <c r="AB15" s="185">
        <f t="shared" si="8"/>
        <v>440</v>
      </c>
      <c r="AC15" s="187">
        <f>AB15*AC6/100</f>
        <v>215.6</v>
      </c>
      <c r="AD15" s="187">
        <f>AB15*AD6/100</f>
        <v>224.4</v>
      </c>
      <c r="AE15" s="190">
        <v>97350</v>
      </c>
      <c r="AF15" s="185">
        <f t="shared" si="9"/>
        <v>1360</v>
      </c>
      <c r="AG15" s="190">
        <v>184219</v>
      </c>
      <c r="AH15" s="185">
        <f t="shared" si="10"/>
        <v>2300</v>
      </c>
      <c r="AI15" s="190">
        <v>325845</v>
      </c>
      <c r="AJ15" s="185">
        <f t="shared" si="11"/>
        <v>3720</v>
      </c>
      <c r="AK15" s="190">
        <v>165559</v>
      </c>
      <c r="AL15" s="185">
        <f t="shared" si="12"/>
        <v>1970</v>
      </c>
      <c r="AM15" s="190">
        <v>863754</v>
      </c>
      <c r="AN15" s="185">
        <f t="shared" si="13"/>
        <v>9200</v>
      </c>
      <c r="AP15" s="187">
        <f t="shared" si="14"/>
        <v>38899.599999999991</v>
      </c>
      <c r="AQ15" s="188">
        <f t="shared" si="15"/>
        <v>26184.7</v>
      </c>
    </row>
    <row r="16" spans="1:43" s="186" customFormat="1" ht="39.950000000000003" customHeight="1">
      <c r="A16" s="177">
        <f t="shared" si="16"/>
        <v>44904</v>
      </c>
      <c r="B16" s="183"/>
      <c r="C16" s="190">
        <v>340608</v>
      </c>
      <c r="D16" s="185">
        <f t="shared" si="0"/>
        <v>4260</v>
      </c>
      <c r="E16" s="190">
        <v>587551</v>
      </c>
      <c r="F16" s="185">
        <f t="shared" si="1"/>
        <v>8700</v>
      </c>
      <c r="G16" s="190">
        <v>395096</v>
      </c>
      <c r="H16" s="185">
        <f t="shared" si="2"/>
        <v>3030</v>
      </c>
      <c r="I16" s="187">
        <f>H16*I6/100</f>
        <v>1484.7</v>
      </c>
      <c r="J16" s="187">
        <f>H16*J6/100</f>
        <v>1545.3</v>
      </c>
      <c r="K16" s="190">
        <v>500815</v>
      </c>
      <c r="L16" s="185">
        <f t="shared" si="3"/>
        <v>6270</v>
      </c>
      <c r="M16" s="190">
        <v>804646</v>
      </c>
      <c r="N16" s="185">
        <f t="shared" si="4"/>
        <v>11840</v>
      </c>
      <c r="O16" s="190">
        <v>526843</v>
      </c>
      <c r="P16" s="185">
        <f t="shared" si="5"/>
        <v>13040</v>
      </c>
      <c r="Q16" s="187">
        <f>P16*Q6/100</f>
        <v>6389.6</v>
      </c>
      <c r="R16" s="187">
        <f>P16*R6/100</f>
        <v>6650.4</v>
      </c>
      <c r="S16" s="190">
        <v>468420</v>
      </c>
      <c r="T16" s="185">
        <f t="shared" si="6"/>
        <v>20</v>
      </c>
      <c r="U16" s="187">
        <f>T16*U6/100</f>
        <v>9.8000000000000007</v>
      </c>
      <c r="V16" s="187">
        <f>T16*V6/100</f>
        <v>10.199999999999999</v>
      </c>
      <c r="W16" s="190">
        <v>240497</v>
      </c>
      <c r="X16" s="185">
        <f t="shared" si="7"/>
        <v>20</v>
      </c>
      <c r="Y16" s="187">
        <f>X16*Y6/100</f>
        <v>9.8000000000000007</v>
      </c>
      <c r="Z16" s="187">
        <f>X16*Z6/100</f>
        <v>10.199999999999999</v>
      </c>
      <c r="AA16" s="190">
        <v>314586</v>
      </c>
      <c r="AB16" s="185">
        <f t="shared" si="8"/>
        <v>2620</v>
      </c>
      <c r="AC16" s="187">
        <f>AB16*AC6/100</f>
        <v>1283.8</v>
      </c>
      <c r="AD16" s="187">
        <f>AB16*AD6/100</f>
        <v>1336.2</v>
      </c>
      <c r="AE16" s="190">
        <v>97486</v>
      </c>
      <c r="AF16" s="185">
        <f t="shared" si="9"/>
        <v>1360</v>
      </c>
      <c r="AG16" s="190">
        <v>184446</v>
      </c>
      <c r="AH16" s="185">
        <f t="shared" si="10"/>
        <v>2270</v>
      </c>
      <c r="AI16" s="190">
        <v>326228</v>
      </c>
      <c r="AJ16" s="185">
        <f t="shared" si="11"/>
        <v>3830</v>
      </c>
      <c r="AK16" s="190">
        <v>165780</v>
      </c>
      <c r="AL16" s="185">
        <f t="shared" si="12"/>
        <v>2210</v>
      </c>
      <c r="AM16" s="190">
        <v>864692</v>
      </c>
      <c r="AN16" s="185">
        <f t="shared" si="13"/>
        <v>9380</v>
      </c>
      <c r="AP16" s="187">
        <f t="shared" si="14"/>
        <v>40247.700000000012</v>
      </c>
      <c r="AQ16" s="188">
        <f t="shared" si="15"/>
        <v>27057</v>
      </c>
    </row>
    <row r="17" spans="1:43" s="186" customFormat="1" ht="39.950000000000003" customHeight="1">
      <c r="A17" s="177">
        <f t="shared" si="16"/>
        <v>44905</v>
      </c>
      <c r="B17" s="183"/>
      <c r="C17" s="190">
        <v>341059</v>
      </c>
      <c r="D17" s="185">
        <f t="shared" si="0"/>
        <v>4510</v>
      </c>
      <c r="E17" s="190">
        <v>588419</v>
      </c>
      <c r="F17" s="185">
        <f t="shared" si="1"/>
        <v>8680</v>
      </c>
      <c r="G17" s="190">
        <v>395428</v>
      </c>
      <c r="H17" s="185">
        <f t="shared" si="2"/>
        <v>3320</v>
      </c>
      <c r="I17" s="187">
        <f>H17*I6/100</f>
        <v>1626.8</v>
      </c>
      <c r="J17" s="187">
        <f>H17*J6/100</f>
        <v>1693.2</v>
      </c>
      <c r="K17" s="190">
        <v>501451</v>
      </c>
      <c r="L17" s="185">
        <f t="shared" si="3"/>
        <v>6360</v>
      </c>
      <c r="M17" s="190">
        <v>805836</v>
      </c>
      <c r="N17" s="185">
        <f t="shared" si="4"/>
        <v>11900</v>
      </c>
      <c r="O17" s="190">
        <v>528182</v>
      </c>
      <c r="P17" s="185">
        <f t="shared" si="5"/>
        <v>13390</v>
      </c>
      <c r="Q17" s="187">
        <f>P17*Q6/100</f>
        <v>6561.1</v>
      </c>
      <c r="R17" s="187">
        <f>P17*R6/100</f>
        <v>6828.9</v>
      </c>
      <c r="S17" s="190">
        <v>468558</v>
      </c>
      <c r="T17" s="185">
        <f t="shared" si="6"/>
        <v>1380</v>
      </c>
      <c r="U17" s="187">
        <f>T17*U6/100</f>
        <v>676.2</v>
      </c>
      <c r="V17" s="187">
        <f>T17*V6/100</f>
        <v>703.8</v>
      </c>
      <c r="W17" s="190">
        <v>240499</v>
      </c>
      <c r="X17" s="185">
        <f t="shared" si="7"/>
        <v>20</v>
      </c>
      <c r="Y17" s="187">
        <f>X17*Y6/100</f>
        <v>9.8000000000000007</v>
      </c>
      <c r="Z17" s="187">
        <f>X17*Z6/100</f>
        <v>10.199999999999999</v>
      </c>
      <c r="AA17" s="190">
        <v>314589</v>
      </c>
      <c r="AB17" s="185">
        <f t="shared" si="8"/>
        <v>30</v>
      </c>
      <c r="AC17" s="187">
        <f>AB17*AC6/100</f>
        <v>14.7</v>
      </c>
      <c r="AD17" s="187">
        <f>AB17*AD6/100</f>
        <v>15.3</v>
      </c>
      <c r="AE17" s="190">
        <v>97628</v>
      </c>
      <c r="AF17" s="185">
        <f t="shared" si="9"/>
        <v>1420</v>
      </c>
      <c r="AG17" s="190">
        <v>184691</v>
      </c>
      <c r="AH17" s="185">
        <f t="shared" si="10"/>
        <v>2450</v>
      </c>
      <c r="AI17" s="190">
        <v>326628</v>
      </c>
      <c r="AJ17" s="185">
        <f t="shared" si="11"/>
        <v>4000</v>
      </c>
      <c r="AK17" s="190">
        <v>165987</v>
      </c>
      <c r="AL17" s="185">
        <f t="shared" si="12"/>
        <v>2070</v>
      </c>
      <c r="AM17" s="190">
        <v>865673</v>
      </c>
      <c r="AN17" s="185">
        <f t="shared" si="13"/>
        <v>9810</v>
      </c>
      <c r="AP17" s="187">
        <f t="shared" si="14"/>
        <v>40338.6</v>
      </c>
      <c r="AQ17" s="188">
        <f t="shared" si="15"/>
        <v>27308.2</v>
      </c>
    </row>
    <row r="18" spans="1:43" s="186" customFormat="1" ht="39.950000000000003" customHeight="1">
      <c r="A18" s="177">
        <f t="shared" si="16"/>
        <v>44906</v>
      </c>
      <c r="B18" s="183"/>
      <c r="C18" s="190">
        <v>341478</v>
      </c>
      <c r="D18" s="185">
        <f t="shared" si="0"/>
        <v>4190</v>
      </c>
      <c r="E18" s="190">
        <v>589197</v>
      </c>
      <c r="F18" s="185">
        <f t="shared" si="1"/>
        <v>7780</v>
      </c>
      <c r="G18" s="190">
        <v>395727</v>
      </c>
      <c r="H18" s="185">
        <f t="shared" si="2"/>
        <v>2990</v>
      </c>
      <c r="I18" s="187">
        <f>H18*I6/100</f>
        <v>1465.1</v>
      </c>
      <c r="J18" s="187">
        <f>H18*J6/100</f>
        <v>1524.9</v>
      </c>
      <c r="K18" s="190">
        <v>502056</v>
      </c>
      <c r="L18" s="185">
        <f t="shared" si="3"/>
        <v>6050</v>
      </c>
      <c r="M18" s="190">
        <v>806940</v>
      </c>
      <c r="N18" s="185">
        <f t="shared" si="4"/>
        <v>11040</v>
      </c>
      <c r="O18" s="190">
        <v>529450</v>
      </c>
      <c r="P18" s="185">
        <f t="shared" si="5"/>
        <v>12680</v>
      </c>
      <c r="Q18" s="187">
        <f>P18*Q6/100</f>
        <v>6213.2</v>
      </c>
      <c r="R18" s="187">
        <f>P18*R6/100</f>
        <v>6466.8</v>
      </c>
      <c r="S18" s="190">
        <v>468560</v>
      </c>
      <c r="T18" s="185">
        <f t="shared" si="6"/>
        <v>20</v>
      </c>
      <c r="U18" s="187">
        <f>T18*U6/100</f>
        <v>9.8000000000000007</v>
      </c>
      <c r="V18" s="187">
        <f>T18*V6/100</f>
        <v>10.199999999999999</v>
      </c>
      <c r="W18" s="190">
        <v>240502</v>
      </c>
      <c r="X18" s="185">
        <f t="shared" si="7"/>
        <v>30</v>
      </c>
      <c r="Y18" s="187">
        <f>X18*Y6/100</f>
        <v>14.7</v>
      </c>
      <c r="Z18" s="187">
        <f>X18*Z6/100</f>
        <v>15.3</v>
      </c>
      <c r="AA18" s="190">
        <v>314593</v>
      </c>
      <c r="AB18" s="185">
        <f t="shared" si="8"/>
        <v>40</v>
      </c>
      <c r="AC18" s="187">
        <f>AB18*AC6/100</f>
        <v>19.600000000000001</v>
      </c>
      <c r="AD18" s="187">
        <f>AB18*AD6/100</f>
        <v>20.399999999999999</v>
      </c>
      <c r="AE18" s="190">
        <v>97759</v>
      </c>
      <c r="AF18" s="185">
        <f t="shared" si="9"/>
        <v>1310</v>
      </c>
      <c r="AG18" s="190">
        <v>184929</v>
      </c>
      <c r="AH18" s="185">
        <f t="shared" si="10"/>
        <v>2380</v>
      </c>
      <c r="AI18" s="190">
        <v>327002</v>
      </c>
      <c r="AJ18" s="185">
        <f t="shared" si="11"/>
        <v>3740</v>
      </c>
      <c r="AK18" s="190">
        <v>166201</v>
      </c>
      <c r="AL18" s="185">
        <f t="shared" si="12"/>
        <v>2140</v>
      </c>
      <c r="AM18" s="190">
        <v>866591</v>
      </c>
      <c r="AN18" s="185">
        <f t="shared" si="13"/>
        <v>9180</v>
      </c>
      <c r="AP18" s="187">
        <f t="shared" si="14"/>
        <v>36782.399999999994</v>
      </c>
      <c r="AQ18" s="188">
        <f t="shared" si="15"/>
        <v>25262.7</v>
      </c>
    </row>
    <row r="19" spans="1:43" s="186" customFormat="1" ht="39.950000000000003" customHeight="1">
      <c r="A19" s="177">
        <f t="shared" si="16"/>
        <v>44907</v>
      </c>
      <c r="B19" s="183"/>
      <c r="C19" s="190">
        <v>341896</v>
      </c>
      <c r="D19" s="185">
        <f t="shared" si="0"/>
        <v>4180</v>
      </c>
      <c r="E19" s="190">
        <v>589980</v>
      </c>
      <c r="F19" s="185">
        <f t="shared" si="1"/>
        <v>7830</v>
      </c>
      <c r="G19" s="190">
        <v>396025</v>
      </c>
      <c r="H19" s="185">
        <f t="shared" si="2"/>
        <v>2980</v>
      </c>
      <c r="I19" s="187">
        <f>H19*I6/100</f>
        <v>1460.2</v>
      </c>
      <c r="J19" s="187">
        <f>H19*J6/100</f>
        <v>1519.8</v>
      </c>
      <c r="K19" s="190">
        <v>502673</v>
      </c>
      <c r="L19" s="185">
        <f t="shared" si="3"/>
        <v>6170</v>
      </c>
      <c r="M19" s="190">
        <v>807914</v>
      </c>
      <c r="N19" s="185">
        <f t="shared" si="4"/>
        <v>9740</v>
      </c>
      <c r="O19" s="190">
        <v>530641</v>
      </c>
      <c r="P19" s="185">
        <f t="shared" si="5"/>
        <v>11910</v>
      </c>
      <c r="Q19" s="187">
        <f>P19*Q6/100</f>
        <v>5835.9</v>
      </c>
      <c r="R19" s="187">
        <f>P19*R6/100</f>
        <v>6074.1</v>
      </c>
      <c r="S19" s="190">
        <v>468562</v>
      </c>
      <c r="T19" s="185">
        <f t="shared" si="6"/>
        <v>20</v>
      </c>
      <c r="U19" s="187">
        <f>T19*U6/100</f>
        <v>9.8000000000000007</v>
      </c>
      <c r="V19" s="187">
        <f>T19*V6/100</f>
        <v>10.199999999999999</v>
      </c>
      <c r="W19" s="190">
        <v>240504</v>
      </c>
      <c r="X19" s="185">
        <f t="shared" si="7"/>
        <v>20</v>
      </c>
      <c r="Y19" s="187">
        <f>X19*Y6/100</f>
        <v>9.8000000000000007</v>
      </c>
      <c r="Z19" s="187">
        <f>X19*Z6/100</f>
        <v>10.199999999999999</v>
      </c>
      <c r="AA19" s="190">
        <v>314596</v>
      </c>
      <c r="AB19" s="185">
        <f t="shared" si="8"/>
        <v>30</v>
      </c>
      <c r="AC19" s="187">
        <f>AB19*AC6/100</f>
        <v>14.7</v>
      </c>
      <c r="AD19" s="187">
        <f>AB19*AD6/100</f>
        <v>15.3</v>
      </c>
      <c r="AE19" s="190">
        <v>97890</v>
      </c>
      <c r="AF19" s="185">
        <f t="shared" si="9"/>
        <v>1310</v>
      </c>
      <c r="AG19" s="190">
        <v>185163</v>
      </c>
      <c r="AH19" s="185">
        <f t="shared" si="10"/>
        <v>2340</v>
      </c>
      <c r="AI19" s="190">
        <v>327384</v>
      </c>
      <c r="AJ19" s="185">
        <f t="shared" si="11"/>
        <v>3820</v>
      </c>
      <c r="AK19" s="190">
        <v>166407</v>
      </c>
      <c r="AL19" s="185">
        <f t="shared" si="12"/>
        <v>2060</v>
      </c>
      <c r="AM19" s="190">
        <v>867520</v>
      </c>
      <c r="AN19" s="185">
        <f t="shared" si="13"/>
        <v>9290</v>
      </c>
      <c r="AP19" s="187">
        <f t="shared" si="14"/>
        <v>35250.400000000001</v>
      </c>
      <c r="AQ19" s="188">
        <f t="shared" ref="AQ19:AQ37" si="17">SUM(R19,V19,Z19,AD19,AF19,AH19,AJ19,AL19,AN19,J19)</f>
        <v>26449.599999999999</v>
      </c>
    </row>
    <row r="20" spans="1:43" s="186" customFormat="1" ht="39.950000000000003" customHeight="1">
      <c r="A20" s="177">
        <f t="shared" si="16"/>
        <v>44908</v>
      </c>
      <c r="B20" s="183"/>
      <c r="C20" s="190">
        <v>342311</v>
      </c>
      <c r="D20" s="185">
        <f t="shared" si="0"/>
        <v>4150</v>
      </c>
      <c r="E20" s="190">
        <v>590758</v>
      </c>
      <c r="F20" s="185">
        <f t="shared" si="1"/>
        <v>7780</v>
      </c>
      <c r="G20" s="190">
        <v>396322</v>
      </c>
      <c r="H20" s="185">
        <f t="shared" si="2"/>
        <v>2970</v>
      </c>
      <c r="I20" s="187">
        <f>H20*I6/100</f>
        <v>1455.3</v>
      </c>
      <c r="J20" s="187">
        <f>H20*J6/100</f>
        <v>1514.7</v>
      </c>
      <c r="K20" s="190">
        <v>503297</v>
      </c>
      <c r="L20" s="185">
        <f t="shared" si="3"/>
        <v>6240</v>
      </c>
      <c r="M20" s="190">
        <v>809046</v>
      </c>
      <c r="N20" s="185">
        <f t="shared" si="4"/>
        <v>11320</v>
      </c>
      <c r="O20" s="190">
        <v>531739</v>
      </c>
      <c r="P20" s="185">
        <f t="shared" si="5"/>
        <v>10980</v>
      </c>
      <c r="Q20" s="187">
        <f>P20*Q6/100</f>
        <v>5380.2</v>
      </c>
      <c r="R20" s="187">
        <f>P20*R6/100</f>
        <v>5599.8</v>
      </c>
      <c r="S20" s="190">
        <v>468564</v>
      </c>
      <c r="T20" s="185">
        <f t="shared" si="6"/>
        <v>20</v>
      </c>
      <c r="U20" s="187">
        <f>T20*U6/100</f>
        <v>9.8000000000000007</v>
      </c>
      <c r="V20" s="187">
        <f>T20*V6/100</f>
        <v>10.199999999999999</v>
      </c>
      <c r="W20" s="190">
        <v>240506</v>
      </c>
      <c r="X20" s="185">
        <f t="shared" si="7"/>
        <v>20</v>
      </c>
      <c r="Y20" s="187">
        <f>X20*Y6/100</f>
        <v>9.8000000000000007</v>
      </c>
      <c r="Z20" s="187">
        <f>X20*Z6/100</f>
        <v>10.199999999999999</v>
      </c>
      <c r="AA20" s="190">
        <v>314599</v>
      </c>
      <c r="AB20" s="185">
        <f t="shared" si="8"/>
        <v>30</v>
      </c>
      <c r="AC20" s="187">
        <f>AB20*AC6/100</f>
        <v>14.7</v>
      </c>
      <c r="AD20" s="187">
        <f>AB20*AD6/100</f>
        <v>15.3</v>
      </c>
      <c r="AE20" s="190">
        <v>98027</v>
      </c>
      <c r="AF20" s="185">
        <f t="shared" si="9"/>
        <v>1370</v>
      </c>
      <c r="AG20" s="190">
        <v>185409</v>
      </c>
      <c r="AH20" s="185">
        <f t="shared" si="10"/>
        <v>2460</v>
      </c>
      <c r="AI20" s="190">
        <v>327771</v>
      </c>
      <c r="AJ20" s="185">
        <f t="shared" si="11"/>
        <v>3870</v>
      </c>
      <c r="AK20" s="190">
        <v>166617</v>
      </c>
      <c r="AL20" s="185">
        <f t="shared" si="12"/>
        <v>2100</v>
      </c>
      <c r="AM20" s="190">
        <v>868491</v>
      </c>
      <c r="AN20" s="185">
        <f t="shared" si="13"/>
        <v>9710</v>
      </c>
      <c r="AP20" s="187">
        <f t="shared" si="14"/>
        <v>36359.800000000003</v>
      </c>
      <c r="AQ20" s="188">
        <f t="shared" si="17"/>
        <v>26660.2</v>
      </c>
    </row>
    <row r="21" spans="1:43" s="186" customFormat="1" ht="39.950000000000003" customHeight="1">
      <c r="A21" s="177">
        <f t="shared" si="16"/>
        <v>44909</v>
      </c>
      <c r="B21" s="183"/>
      <c r="C21" s="190">
        <v>342839</v>
      </c>
      <c r="D21" s="185">
        <f t="shared" si="0"/>
        <v>5280</v>
      </c>
      <c r="E21" s="190">
        <v>591537</v>
      </c>
      <c r="F21" s="185">
        <f t="shared" si="1"/>
        <v>7790</v>
      </c>
      <c r="G21" s="190">
        <v>396628</v>
      </c>
      <c r="H21" s="185">
        <f t="shared" si="2"/>
        <v>3060</v>
      </c>
      <c r="I21" s="187">
        <f>H21*I6/100</f>
        <v>1499.4</v>
      </c>
      <c r="J21" s="187">
        <f>H21*J6/100</f>
        <v>1560.6</v>
      </c>
      <c r="K21" s="190">
        <v>504015</v>
      </c>
      <c r="L21" s="185">
        <f t="shared" si="3"/>
        <v>7180</v>
      </c>
      <c r="M21" s="190">
        <v>810230</v>
      </c>
      <c r="N21" s="185">
        <f t="shared" si="4"/>
        <v>11840</v>
      </c>
      <c r="O21" s="190">
        <v>532829</v>
      </c>
      <c r="P21" s="185">
        <f t="shared" si="5"/>
        <v>10900</v>
      </c>
      <c r="Q21" s="187">
        <f>P21*Q6/100</f>
        <v>5341</v>
      </c>
      <c r="R21" s="187">
        <f>P21*R6/100</f>
        <v>5559</v>
      </c>
      <c r="S21" s="192">
        <v>468566</v>
      </c>
      <c r="T21" s="185">
        <f t="shared" si="6"/>
        <v>20</v>
      </c>
      <c r="U21" s="187">
        <f>T21*U6/100</f>
        <v>9.8000000000000007</v>
      </c>
      <c r="V21" s="187">
        <f>T21*V6/100</f>
        <v>10.199999999999999</v>
      </c>
      <c r="W21" s="190">
        <v>240508</v>
      </c>
      <c r="X21" s="185">
        <f t="shared" si="7"/>
        <v>20</v>
      </c>
      <c r="Y21" s="187">
        <f>X21*Y6/100</f>
        <v>9.8000000000000007</v>
      </c>
      <c r="Z21" s="187">
        <f>X21*Z6/100</f>
        <v>10.199999999999999</v>
      </c>
      <c r="AA21" s="190">
        <v>314602</v>
      </c>
      <c r="AB21" s="185">
        <f t="shared" si="8"/>
        <v>30</v>
      </c>
      <c r="AC21" s="187">
        <f>AB21*AC6/100</f>
        <v>14.7</v>
      </c>
      <c r="AD21" s="187">
        <f>AB21*AD6/100</f>
        <v>15.3</v>
      </c>
      <c r="AE21" s="190">
        <v>98173</v>
      </c>
      <c r="AF21" s="185">
        <f t="shared" si="9"/>
        <v>1460</v>
      </c>
      <c r="AG21" s="190">
        <v>185665</v>
      </c>
      <c r="AH21" s="185">
        <f t="shared" si="10"/>
        <v>2560</v>
      </c>
      <c r="AI21" s="190">
        <v>328164</v>
      </c>
      <c r="AJ21" s="185">
        <f t="shared" si="11"/>
        <v>3930</v>
      </c>
      <c r="AK21" s="190">
        <v>166831</v>
      </c>
      <c r="AL21" s="185">
        <f t="shared" si="12"/>
        <v>2140</v>
      </c>
      <c r="AM21" s="190">
        <v>869651</v>
      </c>
      <c r="AN21" s="185">
        <f t="shared" si="13"/>
        <v>11600</v>
      </c>
      <c r="AP21" s="187">
        <f t="shared" si="14"/>
        <v>38964.700000000004</v>
      </c>
      <c r="AQ21" s="188">
        <f t="shared" si="17"/>
        <v>28845.3</v>
      </c>
    </row>
    <row r="22" spans="1:43" s="186" customFormat="1" ht="39.950000000000003" customHeight="1">
      <c r="A22" s="177">
        <f t="shared" si="16"/>
        <v>44910</v>
      </c>
      <c r="B22" s="183"/>
      <c r="C22" s="190">
        <v>343413</v>
      </c>
      <c r="D22" s="185">
        <f t="shared" si="0"/>
        <v>5740</v>
      </c>
      <c r="E22" s="190">
        <v>592316</v>
      </c>
      <c r="F22" s="185">
        <f t="shared" si="1"/>
        <v>7790</v>
      </c>
      <c r="G22" s="190">
        <v>396932</v>
      </c>
      <c r="H22" s="185">
        <f t="shared" si="2"/>
        <v>3040</v>
      </c>
      <c r="I22" s="187">
        <f>H22*I6/100</f>
        <v>1489.6</v>
      </c>
      <c r="J22" s="187">
        <f>H22*J6/100</f>
        <v>1550.4</v>
      </c>
      <c r="K22" s="190">
        <v>504745</v>
      </c>
      <c r="L22" s="185">
        <f t="shared" si="3"/>
        <v>7300</v>
      </c>
      <c r="M22" s="190">
        <v>811379</v>
      </c>
      <c r="N22" s="185">
        <f t="shared" si="4"/>
        <v>11490</v>
      </c>
      <c r="O22" s="190">
        <v>533954</v>
      </c>
      <c r="P22" s="185">
        <f t="shared" si="5"/>
        <v>11250</v>
      </c>
      <c r="Q22" s="187">
        <f>P22*Q6/100</f>
        <v>5512.5</v>
      </c>
      <c r="R22" s="187">
        <f>P22*R6/100</f>
        <v>5737.5</v>
      </c>
      <c r="S22" s="190">
        <v>468569</v>
      </c>
      <c r="T22" s="185">
        <f t="shared" si="6"/>
        <v>30</v>
      </c>
      <c r="U22" s="187">
        <f>T22*U6/100</f>
        <v>14.7</v>
      </c>
      <c r="V22" s="187">
        <f>T22*V6/100</f>
        <v>15.3</v>
      </c>
      <c r="W22" s="190">
        <v>240511</v>
      </c>
      <c r="X22" s="185">
        <f t="shared" si="7"/>
        <v>30</v>
      </c>
      <c r="Y22" s="187">
        <f>X22*Y6/100</f>
        <v>14.7</v>
      </c>
      <c r="Z22" s="187">
        <f>X22*Z6/100</f>
        <v>15.3</v>
      </c>
      <c r="AA22" s="190">
        <v>314606</v>
      </c>
      <c r="AB22" s="185">
        <f t="shared" si="8"/>
        <v>40</v>
      </c>
      <c r="AC22" s="187">
        <f>AB22*AC6/100</f>
        <v>19.600000000000001</v>
      </c>
      <c r="AD22" s="187">
        <f>AB22*AD6/100</f>
        <v>20.399999999999999</v>
      </c>
      <c r="AE22" s="190">
        <v>98311</v>
      </c>
      <c r="AF22" s="185">
        <f t="shared" si="9"/>
        <v>1380</v>
      </c>
      <c r="AG22" s="190">
        <v>185912</v>
      </c>
      <c r="AH22" s="185">
        <f t="shared" si="10"/>
        <v>2470</v>
      </c>
      <c r="AI22" s="190">
        <v>328554</v>
      </c>
      <c r="AJ22" s="185">
        <f t="shared" si="11"/>
        <v>3900</v>
      </c>
      <c r="AK22" s="190">
        <v>167043</v>
      </c>
      <c r="AL22" s="185">
        <f t="shared" si="12"/>
        <v>2120</v>
      </c>
      <c r="AM22" s="190">
        <v>870875</v>
      </c>
      <c r="AN22" s="185">
        <f t="shared" si="13"/>
        <v>12240</v>
      </c>
      <c r="AP22" s="187">
        <f t="shared" si="14"/>
        <v>39371.099999999991</v>
      </c>
      <c r="AQ22" s="188">
        <f t="shared" si="17"/>
        <v>29448.9</v>
      </c>
    </row>
    <row r="23" spans="1:43" s="186" customFormat="1" ht="39.950000000000003" customHeight="1">
      <c r="A23" s="177">
        <f t="shared" si="16"/>
        <v>44911</v>
      </c>
      <c r="B23" s="183"/>
      <c r="C23" s="190">
        <v>343983</v>
      </c>
      <c r="D23" s="185">
        <f t="shared" si="0"/>
        <v>5700</v>
      </c>
      <c r="E23" s="190">
        <v>593102</v>
      </c>
      <c r="F23" s="185">
        <f t="shared" si="1"/>
        <v>7860</v>
      </c>
      <c r="G23" s="190">
        <v>397224</v>
      </c>
      <c r="H23" s="185">
        <f t="shared" si="2"/>
        <v>2920</v>
      </c>
      <c r="I23" s="187">
        <f>H23*I6/100</f>
        <v>1430.8</v>
      </c>
      <c r="J23" s="187">
        <f>H23*J6/100</f>
        <v>1489.2</v>
      </c>
      <c r="K23" s="190">
        <v>505435</v>
      </c>
      <c r="L23" s="185">
        <f t="shared" si="3"/>
        <v>6900</v>
      </c>
      <c r="M23" s="190">
        <v>812521</v>
      </c>
      <c r="N23" s="185">
        <f t="shared" si="4"/>
        <v>11420</v>
      </c>
      <c r="O23" s="190">
        <v>535279</v>
      </c>
      <c r="P23" s="185">
        <f t="shared" si="5"/>
        <v>13250</v>
      </c>
      <c r="Q23" s="187">
        <f>P23*Q6/100</f>
        <v>6492.5</v>
      </c>
      <c r="R23" s="187">
        <f>P23*R6/100</f>
        <v>6757.5</v>
      </c>
      <c r="S23" s="190">
        <v>468571</v>
      </c>
      <c r="T23" s="185">
        <f t="shared" si="6"/>
        <v>20</v>
      </c>
      <c r="U23" s="187">
        <f>T23*U6/100</f>
        <v>9.8000000000000007</v>
      </c>
      <c r="V23" s="187">
        <f>T23*V6/100</f>
        <v>10.199999999999999</v>
      </c>
      <c r="W23" s="190">
        <v>240513</v>
      </c>
      <c r="X23" s="185">
        <f t="shared" si="7"/>
        <v>20</v>
      </c>
      <c r="Y23" s="187">
        <f>X23*Y6/100</f>
        <v>9.8000000000000007</v>
      </c>
      <c r="Z23" s="187">
        <f>X23*Z6/100</f>
        <v>10.199999999999999</v>
      </c>
      <c r="AA23" s="190">
        <v>314609</v>
      </c>
      <c r="AB23" s="185">
        <f t="shared" si="8"/>
        <v>30</v>
      </c>
      <c r="AC23" s="187">
        <f>AB23*AC6/100</f>
        <v>14.7</v>
      </c>
      <c r="AD23" s="187">
        <f>AB23*AD6/100</f>
        <v>15.3</v>
      </c>
      <c r="AE23" s="190">
        <v>98445</v>
      </c>
      <c r="AF23" s="185">
        <f t="shared" si="9"/>
        <v>1340</v>
      </c>
      <c r="AG23" s="190">
        <v>186149</v>
      </c>
      <c r="AH23" s="185">
        <f t="shared" si="10"/>
        <v>2370</v>
      </c>
      <c r="AI23" s="190">
        <v>328934</v>
      </c>
      <c r="AJ23" s="185">
        <f t="shared" si="11"/>
        <v>3800</v>
      </c>
      <c r="AK23" s="190">
        <v>167245</v>
      </c>
      <c r="AL23" s="185">
        <f t="shared" si="12"/>
        <v>2020</v>
      </c>
      <c r="AM23" s="190">
        <v>872027</v>
      </c>
      <c r="AN23" s="185">
        <f t="shared" si="13"/>
        <v>11520</v>
      </c>
      <c r="AP23" s="187">
        <f t="shared" si="14"/>
        <v>39837.600000000006</v>
      </c>
      <c r="AQ23" s="188">
        <f t="shared" si="17"/>
        <v>29332.400000000001</v>
      </c>
    </row>
    <row r="24" spans="1:43" s="186" customFormat="1" ht="39.950000000000003" customHeight="1">
      <c r="A24" s="177">
        <f t="shared" si="16"/>
        <v>44912</v>
      </c>
      <c r="B24" s="183"/>
      <c r="C24" s="190">
        <v>344576</v>
      </c>
      <c r="D24" s="185">
        <f t="shared" si="0"/>
        <v>5930</v>
      </c>
      <c r="E24" s="190">
        <v>593917</v>
      </c>
      <c r="F24" s="185">
        <f t="shared" si="1"/>
        <v>8150</v>
      </c>
      <c r="G24" s="190">
        <v>397527</v>
      </c>
      <c r="H24" s="185">
        <f t="shared" si="2"/>
        <v>3030</v>
      </c>
      <c r="I24" s="187">
        <f>H24*I6/100</f>
        <v>1484.7</v>
      </c>
      <c r="J24" s="187">
        <f>H24*J6/100</f>
        <v>1545.3</v>
      </c>
      <c r="K24" s="190">
        <v>506180</v>
      </c>
      <c r="L24" s="185">
        <f t="shared" si="3"/>
        <v>7450</v>
      </c>
      <c r="M24" s="190">
        <v>813731</v>
      </c>
      <c r="N24" s="185">
        <f t="shared" si="4"/>
        <v>12100</v>
      </c>
      <c r="O24" s="190">
        <v>536449</v>
      </c>
      <c r="P24" s="185">
        <f t="shared" si="5"/>
        <v>11700</v>
      </c>
      <c r="Q24" s="187">
        <f>P24*Q6/100</f>
        <v>5733</v>
      </c>
      <c r="R24" s="187">
        <f>P24*R6/100</f>
        <v>5967</v>
      </c>
      <c r="S24" s="190">
        <v>468573</v>
      </c>
      <c r="T24" s="185">
        <f t="shared" si="6"/>
        <v>20</v>
      </c>
      <c r="U24" s="187">
        <f>T24*U6/100</f>
        <v>9.8000000000000007</v>
      </c>
      <c r="V24" s="187">
        <f>T24*V6/100</f>
        <v>10.199999999999999</v>
      </c>
      <c r="W24" s="190">
        <v>240515</v>
      </c>
      <c r="X24" s="185">
        <f t="shared" si="7"/>
        <v>20</v>
      </c>
      <c r="Y24" s="187">
        <f>X24*Y6/100</f>
        <v>9.8000000000000007</v>
      </c>
      <c r="Z24" s="187">
        <f>X24*Z6/100</f>
        <v>10.199999999999999</v>
      </c>
      <c r="AA24" s="190">
        <v>314612</v>
      </c>
      <c r="AB24" s="185">
        <f t="shared" si="8"/>
        <v>30</v>
      </c>
      <c r="AC24" s="187">
        <f>AB24*AC6/100</f>
        <v>14.7</v>
      </c>
      <c r="AD24" s="187">
        <f>AB24*AD6/100</f>
        <v>15.3</v>
      </c>
      <c r="AE24" s="190">
        <v>98589</v>
      </c>
      <c r="AF24" s="185">
        <f t="shared" si="9"/>
        <v>1440</v>
      </c>
      <c r="AG24" s="190">
        <v>186399</v>
      </c>
      <c r="AH24" s="185">
        <f t="shared" si="10"/>
        <v>2500</v>
      </c>
      <c r="AI24" s="190">
        <v>329319</v>
      </c>
      <c r="AJ24" s="185">
        <f t="shared" si="11"/>
        <v>3850</v>
      </c>
      <c r="AK24" s="190">
        <v>167465</v>
      </c>
      <c r="AL24" s="185">
        <f t="shared" si="12"/>
        <v>2200</v>
      </c>
      <c r="AM24" s="190">
        <v>873250</v>
      </c>
      <c r="AN24" s="185">
        <f t="shared" si="13"/>
        <v>12230</v>
      </c>
      <c r="AP24" s="187">
        <f t="shared" si="14"/>
        <v>40882</v>
      </c>
      <c r="AQ24" s="188">
        <f t="shared" si="17"/>
        <v>29768</v>
      </c>
    </row>
    <row r="25" spans="1:43" s="186" customFormat="1" ht="39.950000000000003" customHeight="1">
      <c r="A25" s="177">
        <f t="shared" si="16"/>
        <v>44913</v>
      </c>
      <c r="B25" s="183"/>
      <c r="C25" s="190">
        <v>345192</v>
      </c>
      <c r="D25" s="185">
        <f t="shared" si="0"/>
        <v>6160</v>
      </c>
      <c r="E25" s="190">
        <v>594699</v>
      </c>
      <c r="F25" s="185">
        <f t="shared" si="1"/>
        <v>7820</v>
      </c>
      <c r="G25" s="190">
        <v>397815</v>
      </c>
      <c r="H25" s="185">
        <f t="shared" si="2"/>
        <v>2880</v>
      </c>
      <c r="I25" s="187">
        <f>H25*I6/100</f>
        <v>1411.2</v>
      </c>
      <c r="J25" s="187">
        <f>H25*J6/100</f>
        <v>1468.8</v>
      </c>
      <c r="K25" s="190">
        <v>506928</v>
      </c>
      <c r="L25" s="185">
        <f t="shared" si="3"/>
        <v>7480</v>
      </c>
      <c r="M25" s="190">
        <v>814882</v>
      </c>
      <c r="N25" s="185">
        <f t="shared" si="4"/>
        <v>11510</v>
      </c>
      <c r="O25" s="190">
        <v>537522</v>
      </c>
      <c r="P25" s="185">
        <f t="shared" si="5"/>
        <v>10730</v>
      </c>
      <c r="Q25" s="187">
        <f>P25*Q6/100</f>
        <v>5257.7</v>
      </c>
      <c r="R25" s="187">
        <f>P25*R6/100</f>
        <v>5472.3</v>
      </c>
      <c r="S25" s="190">
        <v>468575</v>
      </c>
      <c r="T25" s="185">
        <f t="shared" si="6"/>
        <v>20</v>
      </c>
      <c r="U25" s="187">
        <f>T25*U6/100</f>
        <v>9.8000000000000007</v>
      </c>
      <c r="V25" s="187">
        <f>T25*V6/100</f>
        <v>10.199999999999999</v>
      </c>
      <c r="W25" s="190">
        <v>240517</v>
      </c>
      <c r="X25" s="185">
        <f t="shared" si="7"/>
        <v>20</v>
      </c>
      <c r="Y25" s="187">
        <f>X25*Y6/100</f>
        <v>9.8000000000000007</v>
      </c>
      <c r="Z25" s="187">
        <f>X25*Z6/100</f>
        <v>10.199999999999999</v>
      </c>
      <c r="AA25" s="190">
        <v>314615</v>
      </c>
      <c r="AB25" s="185">
        <f t="shared" si="8"/>
        <v>30</v>
      </c>
      <c r="AC25" s="187">
        <f>AB25*AC6/100</f>
        <v>14.7</v>
      </c>
      <c r="AD25" s="187">
        <f>AB25*AD6/100</f>
        <v>15.3</v>
      </c>
      <c r="AE25" s="190">
        <v>98726</v>
      </c>
      <c r="AF25" s="185">
        <f t="shared" si="9"/>
        <v>1370</v>
      </c>
      <c r="AG25" s="190">
        <v>186646</v>
      </c>
      <c r="AH25" s="185">
        <f t="shared" si="10"/>
        <v>2470</v>
      </c>
      <c r="AI25" s="190">
        <v>329696</v>
      </c>
      <c r="AJ25" s="185">
        <f t="shared" si="11"/>
        <v>3770</v>
      </c>
      <c r="AK25" s="190">
        <v>167683</v>
      </c>
      <c r="AL25" s="185">
        <f t="shared" si="12"/>
        <v>2180</v>
      </c>
      <c r="AM25" s="190">
        <v>874511</v>
      </c>
      <c r="AN25" s="185">
        <f t="shared" si="13"/>
        <v>12610</v>
      </c>
      <c r="AP25" s="187">
        <f t="shared" si="14"/>
        <v>39673.199999999997</v>
      </c>
      <c r="AQ25" s="188">
        <f t="shared" si="17"/>
        <v>29376.799999999999</v>
      </c>
    </row>
    <row r="26" spans="1:43" s="186" customFormat="1" ht="39.950000000000003" customHeight="1">
      <c r="A26" s="177">
        <f t="shared" si="16"/>
        <v>44914</v>
      </c>
      <c r="B26" s="183"/>
      <c r="C26" s="190">
        <v>345762</v>
      </c>
      <c r="D26" s="185">
        <f t="shared" si="0"/>
        <v>5700</v>
      </c>
      <c r="E26" s="190">
        <v>595387</v>
      </c>
      <c r="F26" s="185">
        <f t="shared" si="1"/>
        <v>6880</v>
      </c>
      <c r="G26" s="190">
        <v>398099</v>
      </c>
      <c r="H26" s="185">
        <f t="shared" si="2"/>
        <v>2840</v>
      </c>
      <c r="I26" s="187">
        <f>H26*I6/100</f>
        <v>1391.6</v>
      </c>
      <c r="J26" s="187">
        <f>H26*J6/100</f>
        <v>1448.4</v>
      </c>
      <c r="K26" s="190">
        <v>507639</v>
      </c>
      <c r="L26" s="185">
        <f t="shared" si="3"/>
        <v>7110</v>
      </c>
      <c r="M26" s="190">
        <v>815872</v>
      </c>
      <c r="N26" s="185">
        <f t="shared" si="4"/>
        <v>9900</v>
      </c>
      <c r="O26" s="190">
        <v>538116</v>
      </c>
      <c r="P26" s="198">
        <f t="shared" si="5"/>
        <v>5940</v>
      </c>
      <c r="Q26" s="187">
        <f>P26*Q6/100</f>
        <v>2910.6</v>
      </c>
      <c r="R26" s="187">
        <f>P26*R6/100</f>
        <v>3029.4</v>
      </c>
      <c r="S26" s="190">
        <v>468952</v>
      </c>
      <c r="T26" s="185">
        <f t="shared" si="6"/>
        <v>3770</v>
      </c>
      <c r="U26" s="187">
        <f>T26*U6/100</f>
        <v>1847.3</v>
      </c>
      <c r="V26" s="187">
        <f>T26*V6/100</f>
        <v>1922.7</v>
      </c>
      <c r="W26" s="190">
        <v>240519</v>
      </c>
      <c r="X26" s="185">
        <f t="shared" si="7"/>
        <v>20</v>
      </c>
      <c r="Y26" s="187">
        <f>X26*Y6/100</f>
        <v>9.8000000000000007</v>
      </c>
      <c r="Z26" s="187">
        <f>X26*Z6/100</f>
        <v>10.199999999999999</v>
      </c>
      <c r="AA26" s="190">
        <v>314618</v>
      </c>
      <c r="AB26" s="185">
        <f t="shared" si="8"/>
        <v>30</v>
      </c>
      <c r="AC26" s="187">
        <f>AB26*AC6/100</f>
        <v>14.7</v>
      </c>
      <c r="AD26" s="187">
        <f>AB26*AD6/100</f>
        <v>15.3</v>
      </c>
      <c r="AE26" s="190">
        <v>98856</v>
      </c>
      <c r="AF26" s="185">
        <f t="shared" si="9"/>
        <v>1300</v>
      </c>
      <c r="AG26" s="190">
        <v>186883</v>
      </c>
      <c r="AH26" s="185">
        <f t="shared" si="10"/>
        <v>2370</v>
      </c>
      <c r="AI26" s="190">
        <v>330068</v>
      </c>
      <c r="AJ26" s="185">
        <f t="shared" si="11"/>
        <v>3720</v>
      </c>
      <c r="AK26" s="190">
        <v>167890</v>
      </c>
      <c r="AL26" s="185">
        <f t="shared" si="12"/>
        <v>2070</v>
      </c>
      <c r="AM26" s="190">
        <v>875709</v>
      </c>
      <c r="AN26" s="185">
        <f t="shared" si="13"/>
        <v>11980</v>
      </c>
      <c r="AP26" s="187">
        <f t="shared" si="14"/>
        <v>35764</v>
      </c>
      <c r="AQ26" s="188">
        <f t="shared" si="17"/>
        <v>27866</v>
      </c>
    </row>
    <row r="27" spans="1:43" s="186" customFormat="1" ht="39.950000000000003" customHeight="1">
      <c r="A27" s="177">
        <f t="shared" si="16"/>
        <v>44915</v>
      </c>
      <c r="B27" s="183"/>
      <c r="C27" s="190">
        <v>346258</v>
      </c>
      <c r="D27" s="185">
        <f t="shared" si="0"/>
        <v>4960</v>
      </c>
      <c r="E27" s="190">
        <v>596121</v>
      </c>
      <c r="F27" s="185">
        <f t="shared" si="1"/>
        <v>7340</v>
      </c>
      <c r="G27" s="190">
        <v>398401</v>
      </c>
      <c r="H27" s="185">
        <f t="shared" si="2"/>
        <v>3020</v>
      </c>
      <c r="I27" s="187">
        <f>H27*I6/100</f>
        <v>1479.8</v>
      </c>
      <c r="J27" s="187">
        <f>H27*J6/100</f>
        <v>1540.2</v>
      </c>
      <c r="K27" s="190">
        <v>508275</v>
      </c>
      <c r="L27" s="185">
        <f t="shared" si="3"/>
        <v>6360</v>
      </c>
      <c r="M27" s="190">
        <v>816969</v>
      </c>
      <c r="N27" s="185">
        <f t="shared" si="4"/>
        <v>10970</v>
      </c>
      <c r="O27" s="190">
        <v>539062</v>
      </c>
      <c r="P27" s="198">
        <f t="shared" si="5"/>
        <v>9460</v>
      </c>
      <c r="Q27" s="187">
        <f>P27*Q6/100</f>
        <v>4635.3999999999996</v>
      </c>
      <c r="R27" s="187">
        <f>P27*R6/100</f>
        <v>4824.6000000000004</v>
      </c>
      <c r="S27" s="190">
        <v>469126</v>
      </c>
      <c r="T27" s="185">
        <f t="shared" si="6"/>
        <v>1740</v>
      </c>
      <c r="U27" s="187">
        <f>T27*U6/100</f>
        <v>852.6</v>
      </c>
      <c r="V27" s="187">
        <f>T27*V6/100</f>
        <v>887.4</v>
      </c>
      <c r="W27" s="190">
        <v>240522</v>
      </c>
      <c r="X27" s="185">
        <f t="shared" si="7"/>
        <v>30</v>
      </c>
      <c r="Y27" s="187">
        <f>X27*Y6/100</f>
        <v>14.7</v>
      </c>
      <c r="Z27" s="187">
        <f>X27*Z6/100</f>
        <v>15.3</v>
      </c>
      <c r="AA27" s="190">
        <v>314621</v>
      </c>
      <c r="AB27" s="185">
        <f t="shared" si="8"/>
        <v>30</v>
      </c>
      <c r="AC27" s="187">
        <f>AB27*AC6/100</f>
        <v>14.7</v>
      </c>
      <c r="AD27" s="187">
        <f>AB27*AD6/100</f>
        <v>15.3</v>
      </c>
      <c r="AE27" s="190">
        <v>98980</v>
      </c>
      <c r="AF27" s="185">
        <f t="shared" si="9"/>
        <v>1240</v>
      </c>
      <c r="AG27" s="190">
        <v>187118</v>
      </c>
      <c r="AH27" s="185">
        <f t="shared" si="10"/>
        <v>2350</v>
      </c>
      <c r="AI27" s="190">
        <v>330450</v>
      </c>
      <c r="AJ27" s="185">
        <f t="shared" si="11"/>
        <v>3820</v>
      </c>
      <c r="AK27" s="190">
        <v>168100</v>
      </c>
      <c r="AL27" s="185">
        <f t="shared" si="12"/>
        <v>2100</v>
      </c>
      <c r="AM27" s="190">
        <v>876818</v>
      </c>
      <c r="AN27" s="185">
        <f t="shared" si="13"/>
        <v>11090</v>
      </c>
      <c r="AP27" s="187">
        <f t="shared" si="14"/>
        <v>36627.19999999999</v>
      </c>
      <c r="AQ27" s="188">
        <f t="shared" si="17"/>
        <v>27882.799999999999</v>
      </c>
    </row>
    <row r="28" spans="1:43" s="186" customFormat="1" ht="39.950000000000003" customHeight="1">
      <c r="A28" s="177">
        <f t="shared" si="16"/>
        <v>44916</v>
      </c>
      <c r="B28" s="183"/>
      <c r="C28" s="190">
        <v>346662</v>
      </c>
      <c r="D28" s="185">
        <f t="shared" si="0"/>
        <v>4040</v>
      </c>
      <c r="E28" s="190">
        <v>596834</v>
      </c>
      <c r="F28" s="185">
        <f t="shared" si="1"/>
        <v>7130</v>
      </c>
      <c r="G28" s="190">
        <v>398686</v>
      </c>
      <c r="H28" s="185">
        <f t="shared" si="2"/>
        <v>2850</v>
      </c>
      <c r="I28" s="187">
        <f>H28*I6/100</f>
        <v>1396.5</v>
      </c>
      <c r="J28" s="187">
        <f>H28*J6/100</f>
        <v>1453.5</v>
      </c>
      <c r="K28" s="190">
        <v>508898</v>
      </c>
      <c r="L28" s="185">
        <f t="shared" si="3"/>
        <v>6230</v>
      </c>
      <c r="M28" s="190">
        <v>818101</v>
      </c>
      <c r="N28" s="185">
        <f t="shared" si="4"/>
        <v>11320</v>
      </c>
      <c r="O28" s="190">
        <v>540212</v>
      </c>
      <c r="P28" s="185">
        <f t="shared" si="5"/>
        <v>11500</v>
      </c>
      <c r="Q28" s="187">
        <f>P28*Q6/100</f>
        <v>5635</v>
      </c>
      <c r="R28" s="187">
        <f>P28*R6/100</f>
        <v>5865</v>
      </c>
      <c r="S28" s="190">
        <v>469128</v>
      </c>
      <c r="T28" s="185">
        <f t="shared" si="6"/>
        <v>20</v>
      </c>
      <c r="U28" s="187">
        <f>T28*U6/100</f>
        <v>9.8000000000000007</v>
      </c>
      <c r="V28" s="187">
        <f>T28*V6/100</f>
        <v>10.199999999999999</v>
      </c>
      <c r="W28" s="190">
        <v>240524</v>
      </c>
      <c r="X28" s="185">
        <f t="shared" si="7"/>
        <v>20</v>
      </c>
      <c r="Y28" s="187">
        <f>X28*Y6/100</f>
        <v>9.8000000000000007</v>
      </c>
      <c r="Z28" s="187">
        <f>X28*Z6/100</f>
        <v>10.199999999999999</v>
      </c>
      <c r="AA28" s="190">
        <v>314625</v>
      </c>
      <c r="AB28" s="185">
        <f t="shared" si="8"/>
        <v>40</v>
      </c>
      <c r="AC28" s="187">
        <f>AB28*AC6/100</f>
        <v>19.600000000000001</v>
      </c>
      <c r="AD28" s="187">
        <f>AB28*AD6/100</f>
        <v>20.399999999999999</v>
      </c>
      <c r="AE28" s="190">
        <v>99115</v>
      </c>
      <c r="AF28" s="185">
        <f t="shared" si="9"/>
        <v>1350</v>
      </c>
      <c r="AG28" s="190">
        <v>187364</v>
      </c>
      <c r="AH28" s="185">
        <f t="shared" si="10"/>
        <v>2460</v>
      </c>
      <c r="AI28" s="190">
        <v>330837</v>
      </c>
      <c r="AJ28" s="185">
        <f t="shared" si="11"/>
        <v>3870</v>
      </c>
      <c r="AK28" s="190">
        <v>168307</v>
      </c>
      <c r="AL28" s="185">
        <f t="shared" si="12"/>
        <v>2070</v>
      </c>
      <c r="AM28" s="190">
        <v>877804</v>
      </c>
      <c r="AN28" s="185">
        <f t="shared" si="13"/>
        <v>9860</v>
      </c>
      <c r="AP28" s="187">
        <f t="shared" si="14"/>
        <v>35790.700000000004</v>
      </c>
      <c r="AQ28" s="188">
        <f t="shared" si="17"/>
        <v>26969.3</v>
      </c>
    </row>
    <row r="29" spans="1:43" s="186" customFormat="1" ht="39.950000000000003" customHeight="1">
      <c r="A29" s="177">
        <f t="shared" si="16"/>
        <v>44917</v>
      </c>
      <c r="B29" s="183"/>
      <c r="C29" s="190">
        <v>347077</v>
      </c>
      <c r="D29" s="185">
        <f t="shared" si="0"/>
        <v>4150</v>
      </c>
      <c r="E29" s="190">
        <v>597544</v>
      </c>
      <c r="F29" s="185">
        <f t="shared" si="1"/>
        <v>7100</v>
      </c>
      <c r="G29" s="190">
        <v>398971</v>
      </c>
      <c r="H29" s="185">
        <f t="shared" si="2"/>
        <v>2850</v>
      </c>
      <c r="I29" s="187">
        <f>H29*I6/100</f>
        <v>1396.5</v>
      </c>
      <c r="J29" s="187">
        <f>H29*J6/100</f>
        <v>1453.5</v>
      </c>
      <c r="K29" s="190">
        <v>509496</v>
      </c>
      <c r="L29" s="185">
        <f t="shared" si="3"/>
        <v>5980</v>
      </c>
      <c r="M29" s="190">
        <v>819201</v>
      </c>
      <c r="N29" s="185">
        <f t="shared" si="4"/>
        <v>11000</v>
      </c>
      <c r="O29" s="190">
        <v>541368</v>
      </c>
      <c r="P29" s="185">
        <f t="shared" si="5"/>
        <v>11560</v>
      </c>
      <c r="Q29" s="187">
        <f>P29*Q6/100</f>
        <v>5664.4</v>
      </c>
      <c r="R29" s="187">
        <f>P29*R6/100</f>
        <v>5895.6</v>
      </c>
      <c r="S29" s="190">
        <v>469130</v>
      </c>
      <c r="T29" s="185">
        <f t="shared" si="6"/>
        <v>20</v>
      </c>
      <c r="U29" s="187">
        <f>T29*U6/100</f>
        <v>9.8000000000000007</v>
      </c>
      <c r="V29" s="187">
        <f>T29*V6/100</f>
        <v>10.199999999999999</v>
      </c>
      <c r="W29" s="190">
        <v>240526</v>
      </c>
      <c r="X29" s="185">
        <f t="shared" si="7"/>
        <v>20</v>
      </c>
      <c r="Y29" s="187">
        <f>X29*Y6/100</f>
        <v>9.8000000000000007</v>
      </c>
      <c r="Z29" s="187">
        <f>X29*Z6/100</f>
        <v>10.199999999999999</v>
      </c>
      <c r="AA29" s="190">
        <v>314628</v>
      </c>
      <c r="AB29" s="185">
        <f t="shared" si="8"/>
        <v>30</v>
      </c>
      <c r="AC29" s="187">
        <f>AB29*AC6/100</f>
        <v>14.7</v>
      </c>
      <c r="AD29" s="187">
        <f>AB29*AD6/100</f>
        <v>15.3</v>
      </c>
      <c r="AE29" s="190">
        <v>99245</v>
      </c>
      <c r="AF29" s="185">
        <f t="shared" si="9"/>
        <v>1300</v>
      </c>
      <c r="AG29" s="190">
        <v>187600</v>
      </c>
      <c r="AH29" s="185">
        <f t="shared" si="10"/>
        <v>2360</v>
      </c>
      <c r="AI29" s="190">
        <v>331218</v>
      </c>
      <c r="AJ29" s="185">
        <f t="shared" si="11"/>
        <v>3810</v>
      </c>
      <c r="AK29" s="190">
        <v>168512</v>
      </c>
      <c r="AL29" s="185">
        <f t="shared" si="12"/>
        <v>2050</v>
      </c>
      <c r="AM29" s="190">
        <v>878776</v>
      </c>
      <c r="AN29" s="185">
        <f t="shared" si="13"/>
        <v>9720</v>
      </c>
      <c r="AP29" s="187">
        <f t="shared" si="14"/>
        <v>35325.200000000004</v>
      </c>
      <c r="AQ29" s="188">
        <f t="shared" si="17"/>
        <v>26624.799999999999</v>
      </c>
    </row>
    <row r="30" spans="1:43" s="186" customFormat="1" ht="39.950000000000003" customHeight="1">
      <c r="A30" s="177">
        <f t="shared" si="16"/>
        <v>44918</v>
      </c>
      <c r="B30" s="183"/>
      <c r="C30" s="190">
        <v>347493</v>
      </c>
      <c r="D30" s="185">
        <f t="shared" si="0"/>
        <v>4160</v>
      </c>
      <c r="E30" s="190">
        <v>598285</v>
      </c>
      <c r="F30" s="185">
        <f t="shared" si="1"/>
        <v>7410</v>
      </c>
      <c r="G30" s="190">
        <v>399266</v>
      </c>
      <c r="H30" s="185">
        <f t="shared" si="2"/>
        <v>2950</v>
      </c>
      <c r="I30" s="187">
        <f>H30*I6/100</f>
        <v>1445.5</v>
      </c>
      <c r="J30" s="187">
        <f>H30*J6/100</f>
        <v>1504.5</v>
      </c>
      <c r="K30" s="190">
        <v>510121</v>
      </c>
      <c r="L30" s="185">
        <f t="shared" si="3"/>
        <v>6250</v>
      </c>
      <c r="M30" s="190">
        <v>820344</v>
      </c>
      <c r="N30" s="185">
        <f t="shared" si="4"/>
        <v>11430</v>
      </c>
      <c r="O30" s="190">
        <v>542554</v>
      </c>
      <c r="P30" s="185">
        <f t="shared" si="5"/>
        <v>11860</v>
      </c>
      <c r="Q30" s="187">
        <f>P30*Q6/100</f>
        <v>5811.4</v>
      </c>
      <c r="R30" s="187">
        <f>P30*R6/100</f>
        <v>6048.6</v>
      </c>
      <c r="S30" s="190">
        <v>469132</v>
      </c>
      <c r="T30" s="185">
        <f t="shared" si="6"/>
        <v>20</v>
      </c>
      <c r="U30" s="187">
        <f>T30*U6/100</f>
        <v>9.8000000000000007</v>
      </c>
      <c r="V30" s="187">
        <f>T30*V6/100</f>
        <v>10.199999999999999</v>
      </c>
      <c r="W30" s="190">
        <v>240528</v>
      </c>
      <c r="X30" s="185">
        <f t="shared" si="7"/>
        <v>20</v>
      </c>
      <c r="Y30" s="187">
        <f>X30*Y6/100</f>
        <v>9.8000000000000007</v>
      </c>
      <c r="Z30" s="187">
        <f>X30*Z6/100</f>
        <v>10.199999999999999</v>
      </c>
      <c r="AA30" s="190">
        <v>314631</v>
      </c>
      <c r="AB30" s="185">
        <f t="shared" si="8"/>
        <v>30</v>
      </c>
      <c r="AC30" s="187">
        <f>AB30*AC6/100</f>
        <v>14.7</v>
      </c>
      <c r="AD30" s="187">
        <f>AB30*AD6/100</f>
        <v>15.3</v>
      </c>
      <c r="AE30" s="190">
        <v>99379</v>
      </c>
      <c r="AF30" s="185">
        <f t="shared" si="9"/>
        <v>1340</v>
      </c>
      <c r="AG30" s="190">
        <v>187828</v>
      </c>
      <c r="AH30" s="185">
        <f t="shared" si="10"/>
        <v>2280</v>
      </c>
      <c r="AI30" s="190">
        <v>331596</v>
      </c>
      <c r="AJ30" s="185">
        <f t="shared" si="11"/>
        <v>3780</v>
      </c>
      <c r="AK30" s="190">
        <v>168712</v>
      </c>
      <c r="AL30" s="185">
        <f t="shared" si="12"/>
        <v>2000</v>
      </c>
      <c r="AM30" s="190">
        <v>879702</v>
      </c>
      <c r="AN30" s="185">
        <f t="shared" si="13"/>
        <v>9260</v>
      </c>
      <c r="AP30" s="187">
        <f t="shared" si="14"/>
        <v>36541.200000000004</v>
      </c>
      <c r="AQ30" s="188">
        <f t="shared" si="17"/>
        <v>26248.799999999999</v>
      </c>
    </row>
    <row r="31" spans="1:43" s="186" customFormat="1" ht="39.950000000000003" customHeight="1">
      <c r="A31" s="177">
        <f t="shared" si="16"/>
        <v>44919</v>
      </c>
      <c r="B31" s="183"/>
      <c r="C31" s="190">
        <v>347930</v>
      </c>
      <c r="D31" s="185">
        <f t="shared" si="0"/>
        <v>4370</v>
      </c>
      <c r="E31" s="190">
        <v>599036</v>
      </c>
      <c r="F31" s="185">
        <f t="shared" si="1"/>
        <v>7510</v>
      </c>
      <c r="G31" s="190">
        <v>399573</v>
      </c>
      <c r="H31" s="185">
        <f t="shared" si="2"/>
        <v>3070</v>
      </c>
      <c r="I31" s="187">
        <f>H31*I6/100</f>
        <v>1504.3</v>
      </c>
      <c r="J31" s="187">
        <f>H31*J6/100</f>
        <v>1565.7</v>
      </c>
      <c r="K31" s="190">
        <v>510764</v>
      </c>
      <c r="L31" s="185">
        <f t="shared" si="3"/>
        <v>6430</v>
      </c>
      <c r="M31" s="190">
        <v>821498</v>
      </c>
      <c r="N31" s="185">
        <f t="shared" si="4"/>
        <v>11540</v>
      </c>
      <c r="O31" s="190">
        <v>543753</v>
      </c>
      <c r="P31" s="185">
        <f t="shared" si="5"/>
        <v>11990</v>
      </c>
      <c r="Q31" s="187">
        <f>P31*Q6/100</f>
        <v>5875.1</v>
      </c>
      <c r="R31" s="187">
        <f>P31*R6/100</f>
        <v>6114.9</v>
      </c>
      <c r="S31" s="190">
        <v>469134</v>
      </c>
      <c r="T31" s="185">
        <f t="shared" si="6"/>
        <v>20</v>
      </c>
      <c r="U31" s="187">
        <f>T31*U6/100</f>
        <v>9.8000000000000007</v>
      </c>
      <c r="V31" s="187">
        <f>T31*V6/100</f>
        <v>10.199999999999999</v>
      </c>
      <c r="W31" s="190">
        <v>240530</v>
      </c>
      <c r="X31" s="185">
        <f t="shared" si="7"/>
        <v>20</v>
      </c>
      <c r="Y31" s="187">
        <f>X31*Y6/100</f>
        <v>9.8000000000000007</v>
      </c>
      <c r="Z31" s="187">
        <f>X31*Z6/100</f>
        <v>10.199999999999999</v>
      </c>
      <c r="AA31" s="190">
        <v>314634</v>
      </c>
      <c r="AB31" s="185">
        <f t="shared" si="8"/>
        <v>30</v>
      </c>
      <c r="AC31" s="187">
        <f>AB31*AC6/100</f>
        <v>14.7</v>
      </c>
      <c r="AD31" s="187">
        <f>AB31*AD6/100</f>
        <v>15.3</v>
      </c>
      <c r="AE31" s="190">
        <v>99510</v>
      </c>
      <c r="AF31" s="185">
        <f t="shared" si="9"/>
        <v>1310</v>
      </c>
      <c r="AG31" s="190">
        <v>188059</v>
      </c>
      <c r="AH31" s="185">
        <f t="shared" si="10"/>
        <v>2310</v>
      </c>
      <c r="AI31" s="190">
        <v>331989</v>
      </c>
      <c r="AJ31" s="185">
        <f t="shared" si="11"/>
        <v>3930</v>
      </c>
      <c r="AK31" s="190">
        <v>168919</v>
      </c>
      <c r="AL31" s="185">
        <f t="shared" si="12"/>
        <v>2070</v>
      </c>
      <c r="AM31" s="190">
        <v>880706</v>
      </c>
      <c r="AN31" s="185">
        <f t="shared" si="13"/>
        <v>10040</v>
      </c>
      <c r="AP31" s="187">
        <f t="shared" si="14"/>
        <v>37263.700000000004</v>
      </c>
      <c r="AQ31" s="188">
        <f t="shared" si="17"/>
        <v>27376.3</v>
      </c>
    </row>
    <row r="32" spans="1:43" s="186" customFormat="1" ht="39.950000000000003" customHeight="1">
      <c r="A32" s="177">
        <f t="shared" si="16"/>
        <v>44920</v>
      </c>
      <c r="B32" s="183"/>
      <c r="C32" s="184">
        <v>348361</v>
      </c>
      <c r="D32" s="185">
        <f t="shared" si="0"/>
        <v>4310</v>
      </c>
      <c r="E32" s="184">
        <v>599773</v>
      </c>
      <c r="F32" s="185">
        <f t="shared" si="1"/>
        <v>7370</v>
      </c>
      <c r="G32" s="184">
        <v>399868</v>
      </c>
      <c r="H32" s="185">
        <f t="shared" si="2"/>
        <v>2950</v>
      </c>
      <c r="I32" s="187">
        <f>H32*I6/100</f>
        <v>1445.5</v>
      </c>
      <c r="J32" s="187">
        <f>H32*J6/100</f>
        <v>1504.5</v>
      </c>
      <c r="K32" s="184">
        <v>511369</v>
      </c>
      <c r="L32" s="185">
        <f t="shared" si="3"/>
        <v>6050</v>
      </c>
      <c r="M32" s="184">
        <v>822620</v>
      </c>
      <c r="N32" s="185">
        <f t="shared" si="4"/>
        <v>11220</v>
      </c>
      <c r="O32" s="184">
        <v>544886</v>
      </c>
      <c r="P32" s="185">
        <f t="shared" si="5"/>
        <v>11330</v>
      </c>
      <c r="Q32" s="187">
        <f>P32*Q6/100</f>
        <v>5551.7</v>
      </c>
      <c r="R32" s="187">
        <f>P32*R6/100</f>
        <v>5778.3</v>
      </c>
      <c r="S32" s="184">
        <v>469136</v>
      </c>
      <c r="T32" s="185">
        <f t="shared" si="6"/>
        <v>20</v>
      </c>
      <c r="U32" s="187">
        <f>T32*U6/100</f>
        <v>9.8000000000000007</v>
      </c>
      <c r="V32" s="187">
        <f>T32*V6/100</f>
        <v>10.199999999999999</v>
      </c>
      <c r="W32" s="184">
        <v>240532</v>
      </c>
      <c r="X32" s="185">
        <f t="shared" si="7"/>
        <v>20</v>
      </c>
      <c r="Y32" s="187">
        <f>X32*Y6/100</f>
        <v>9.8000000000000007</v>
      </c>
      <c r="Z32" s="187">
        <f>X32*Z6/100</f>
        <v>10.199999999999999</v>
      </c>
      <c r="AA32" s="184">
        <v>314637</v>
      </c>
      <c r="AB32" s="185">
        <f t="shared" si="8"/>
        <v>30</v>
      </c>
      <c r="AC32" s="187">
        <f>AB32*AC6/100</f>
        <v>14.7</v>
      </c>
      <c r="AD32" s="187">
        <f>AB32*AD6/100</f>
        <v>15.3</v>
      </c>
      <c r="AE32" s="184">
        <v>99634</v>
      </c>
      <c r="AF32" s="185">
        <f t="shared" si="9"/>
        <v>1240</v>
      </c>
      <c r="AG32" s="184">
        <v>188276</v>
      </c>
      <c r="AH32" s="185">
        <f t="shared" si="10"/>
        <v>2170</v>
      </c>
      <c r="AI32" s="184">
        <v>332343</v>
      </c>
      <c r="AJ32" s="185">
        <f t="shared" si="11"/>
        <v>3540</v>
      </c>
      <c r="AK32" s="184">
        <v>169104</v>
      </c>
      <c r="AL32" s="185">
        <f t="shared" si="12"/>
        <v>1850</v>
      </c>
      <c r="AM32" s="184">
        <v>881631</v>
      </c>
      <c r="AN32" s="185">
        <f t="shared" si="13"/>
        <v>9250</v>
      </c>
      <c r="AP32" s="187">
        <f t="shared" si="14"/>
        <v>35981.5</v>
      </c>
      <c r="AQ32" s="188">
        <f t="shared" si="17"/>
        <v>25368.5</v>
      </c>
    </row>
    <row r="33" spans="1:44" s="186" customFormat="1" ht="39.950000000000003" customHeight="1">
      <c r="A33" s="177">
        <f t="shared" si="16"/>
        <v>44921</v>
      </c>
      <c r="B33" s="183"/>
      <c r="C33" s="184">
        <v>348807</v>
      </c>
      <c r="D33" s="185">
        <f t="shared" si="0"/>
        <v>4460</v>
      </c>
      <c r="E33" s="184">
        <v>600517</v>
      </c>
      <c r="F33" s="185">
        <f t="shared" si="1"/>
        <v>7440</v>
      </c>
      <c r="G33" s="184">
        <v>400169</v>
      </c>
      <c r="H33" s="185">
        <f t="shared" si="2"/>
        <v>3010</v>
      </c>
      <c r="I33" s="187">
        <f>H33*I6/100</f>
        <v>1474.9</v>
      </c>
      <c r="J33" s="187">
        <f>H33*J6/100</f>
        <v>1535.1</v>
      </c>
      <c r="K33" s="184">
        <v>512002</v>
      </c>
      <c r="L33" s="185">
        <f t="shared" si="3"/>
        <v>6330</v>
      </c>
      <c r="M33" s="184">
        <v>823672</v>
      </c>
      <c r="N33" s="185">
        <f t="shared" si="4"/>
        <v>10520</v>
      </c>
      <c r="O33" s="184">
        <v>546090</v>
      </c>
      <c r="P33" s="185">
        <f t="shared" si="5"/>
        <v>12040</v>
      </c>
      <c r="Q33" s="187">
        <f>P33*Q6/100</f>
        <v>5899.6</v>
      </c>
      <c r="R33" s="187">
        <f>P33*R6/100</f>
        <v>6140.4</v>
      </c>
      <c r="S33" s="184">
        <v>469138</v>
      </c>
      <c r="T33" s="185">
        <f t="shared" si="6"/>
        <v>20</v>
      </c>
      <c r="U33" s="187">
        <f>T33*U6/100</f>
        <v>9.8000000000000007</v>
      </c>
      <c r="V33" s="187">
        <f>T33*V6/100</f>
        <v>10.199999999999999</v>
      </c>
      <c r="W33" s="184">
        <v>240534</v>
      </c>
      <c r="X33" s="185">
        <f t="shared" si="7"/>
        <v>20</v>
      </c>
      <c r="Y33" s="187">
        <f>X33*Y6/100</f>
        <v>9.8000000000000007</v>
      </c>
      <c r="Z33" s="187">
        <f>X33*Z6/100</f>
        <v>10.199999999999999</v>
      </c>
      <c r="AA33" s="184">
        <v>314641</v>
      </c>
      <c r="AB33" s="185">
        <f t="shared" si="8"/>
        <v>40</v>
      </c>
      <c r="AC33" s="187">
        <f>AB33*AC6/100</f>
        <v>19.600000000000001</v>
      </c>
      <c r="AD33" s="187">
        <f>AB33*AD6/100</f>
        <v>20.399999999999999</v>
      </c>
      <c r="AE33" s="184">
        <v>99765</v>
      </c>
      <c r="AF33" s="185">
        <f t="shared" si="9"/>
        <v>1310</v>
      </c>
      <c r="AG33" s="184">
        <v>188510</v>
      </c>
      <c r="AH33" s="185">
        <f t="shared" si="10"/>
        <v>2340</v>
      </c>
      <c r="AI33" s="184">
        <v>332715</v>
      </c>
      <c r="AJ33" s="185">
        <f t="shared" si="11"/>
        <v>3720</v>
      </c>
      <c r="AK33" s="184">
        <v>169302</v>
      </c>
      <c r="AL33" s="185">
        <f t="shared" si="12"/>
        <v>1980</v>
      </c>
      <c r="AM33" s="184">
        <v>882589</v>
      </c>
      <c r="AN33" s="185">
        <f t="shared" si="13"/>
        <v>9580</v>
      </c>
      <c r="AP33" s="187">
        <f t="shared" si="14"/>
        <v>36163.700000000004</v>
      </c>
      <c r="AQ33" s="188">
        <f t="shared" si="17"/>
        <v>26646.299999999996</v>
      </c>
    </row>
    <row r="34" spans="1:44" s="186" customFormat="1" ht="39.950000000000003" customHeight="1">
      <c r="A34" s="177">
        <f t="shared" si="16"/>
        <v>44922</v>
      </c>
      <c r="B34" s="183"/>
      <c r="C34" s="184">
        <v>349248</v>
      </c>
      <c r="D34" s="185">
        <f t="shared" si="0"/>
        <v>4410</v>
      </c>
      <c r="E34" s="184">
        <v>601275</v>
      </c>
      <c r="F34" s="185">
        <f t="shared" si="1"/>
        <v>7580</v>
      </c>
      <c r="G34" s="184">
        <v>400461</v>
      </c>
      <c r="H34" s="185">
        <f t="shared" si="2"/>
        <v>2920</v>
      </c>
      <c r="I34" s="187">
        <f>H34*I6/100</f>
        <v>1430.8</v>
      </c>
      <c r="J34" s="187">
        <f>H34*J6/100</f>
        <v>1489.2</v>
      </c>
      <c r="K34" s="184">
        <v>512599</v>
      </c>
      <c r="L34" s="185">
        <f t="shared" si="3"/>
        <v>5970</v>
      </c>
      <c r="M34" s="184">
        <v>824773</v>
      </c>
      <c r="N34" s="185">
        <f t="shared" si="4"/>
        <v>11010</v>
      </c>
      <c r="O34" s="184">
        <v>547302</v>
      </c>
      <c r="P34" s="185">
        <f t="shared" si="5"/>
        <v>12120</v>
      </c>
      <c r="Q34" s="187">
        <f>P34*Q6/100</f>
        <v>5938.8</v>
      </c>
      <c r="R34" s="187">
        <f>P34*R6/100</f>
        <v>6181.2</v>
      </c>
      <c r="S34" s="184">
        <v>469140</v>
      </c>
      <c r="T34" s="185">
        <f t="shared" si="6"/>
        <v>20</v>
      </c>
      <c r="U34" s="187">
        <f>T34*U6/100</f>
        <v>9.8000000000000007</v>
      </c>
      <c r="V34" s="187">
        <f>T34*V6/100</f>
        <v>10.199999999999999</v>
      </c>
      <c r="W34" s="184">
        <v>240537</v>
      </c>
      <c r="X34" s="185">
        <f t="shared" si="7"/>
        <v>30</v>
      </c>
      <c r="Y34" s="187">
        <f>X34*Y6/100</f>
        <v>14.7</v>
      </c>
      <c r="Z34" s="187">
        <f>X34*Z6/100</f>
        <v>15.3</v>
      </c>
      <c r="AA34" s="184">
        <v>314644</v>
      </c>
      <c r="AB34" s="185">
        <f t="shared" si="8"/>
        <v>30</v>
      </c>
      <c r="AC34" s="187">
        <f>AB34*AC6/100</f>
        <v>14.7</v>
      </c>
      <c r="AD34" s="187">
        <f>AB34*AD6/100</f>
        <v>15.3</v>
      </c>
      <c r="AE34" s="184">
        <v>99884</v>
      </c>
      <c r="AF34" s="185">
        <f t="shared" si="9"/>
        <v>1190</v>
      </c>
      <c r="AG34" s="184">
        <v>188746</v>
      </c>
      <c r="AH34" s="185">
        <f t="shared" si="10"/>
        <v>2360</v>
      </c>
      <c r="AI34" s="184">
        <v>333077</v>
      </c>
      <c r="AJ34" s="185">
        <f t="shared" si="11"/>
        <v>3620</v>
      </c>
      <c r="AK34" s="184">
        <v>169493</v>
      </c>
      <c r="AL34" s="185">
        <f t="shared" si="12"/>
        <v>1910</v>
      </c>
      <c r="AM34" s="184">
        <v>883542</v>
      </c>
      <c r="AN34" s="185">
        <f t="shared" si="13"/>
        <v>9530</v>
      </c>
      <c r="AP34" s="187">
        <f t="shared" si="14"/>
        <v>36378.799999999996</v>
      </c>
      <c r="AQ34" s="188">
        <f t="shared" si="17"/>
        <v>26321.200000000001</v>
      </c>
    </row>
    <row r="35" spans="1:44" s="186" customFormat="1" ht="39.950000000000003" customHeight="1">
      <c r="A35" s="177">
        <f t="shared" si="16"/>
        <v>44923</v>
      </c>
      <c r="B35" s="183"/>
      <c r="C35" s="184">
        <v>349699</v>
      </c>
      <c r="D35" s="185">
        <f t="shared" si="0"/>
        <v>4510</v>
      </c>
      <c r="E35" s="184">
        <v>602043</v>
      </c>
      <c r="F35" s="185">
        <f t="shared" si="1"/>
        <v>7680</v>
      </c>
      <c r="G35" s="184">
        <v>400755</v>
      </c>
      <c r="H35" s="185">
        <f t="shared" si="2"/>
        <v>2940</v>
      </c>
      <c r="I35" s="187">
        <f>H35*I6/100</f>
        <v>1440.6</v>
      </c>
      <c r="J35" s="187">
        <f>H35*J6/100</f>
        <v>1499.4</v>
      </c>
      <c r="K35" s="184">
        <v>513185</v>
      </c>
      <c r="L35" s="185">
        <f t="shared" si="3"/>
        <v>5860</v>
      </c>
      <c r="M35" s="184">
        <v>825907</v>
      </c>
      <c r="N35" s="185">
        <f t="shared" si="4"/>
        <v>11340</v>
      </c>
      <c r="O35" s="184">
        <v>548651</v>
      </c>
      <c r="P35" s="185">
        <f t="shared" si="5"/>
        <v>13490</v>
      </c>
      <c r="Q35" s="187">
        <f>P35*Q6/100</f>
        <v>6610.1</v>
      </c>
      <c r="R35" s="187">
        <f>P35*R6/100</f>
        <v>6879.9</v>
      </c>
      <c r="S35" s="184">
        <v>469143</v>
      </c>
      <c r="T35" s="185">
        <f t="shared" si="6"/>
        <v>30</v>
      </c>
      <c r="U35" s="187">
        <f>T35*U6/100</f>
        <v>14.7</v>
      </c>
      <c r="V35" s="187">
        <f>T35*V6/100</f>
        <v>15.3</v>
      </c>
      <c r="W35" s="184">
        <v>240539</v>
      </c>
      <c r="X35" s="185">
        <f t="shared" si="7"/>
        <v>20</v>
      </c>
      <c r="Y35" s="187">
        <f>X35*Y6/100</f>
        <v>9.8000000000000007</v>
      </c>
      <c r="Z35" s="187">
        <f>X35*Z6/100</f>
        <v>10.199999999999999</v>
      </c>
      <c r="AA35" s="184">
        <v>314647</v>
      </c>
      <c r="AB35" s="185">
        <f t="shared" si="8"/>
        <v>30</v>
      </c>
      <c r="AC35" s="187">
        <f>AB35*AC6/100</f>
        <v>14.7</v>
      </c>
      <c r="AD35" s="187">
        <f>AB35*AD6/100</f>
        <v>15.3</v>
      </c>
      <c r="AE35" s="184">
        <v>100017</v>
      </c>
      <c r="AF35" s="185">
        <f t="shared" si="9"/>
        <v>1330</v>
      </c>
      <c r="AG35" s="184">
        <v>188994</v>
      </c>
      <c r="AH35" s="185">
        <f t="shared" si="10"/>
        <v>2480</v>
      </c>
      <c r="AI35" s="184">
        <v>333463</v>
      </c>
      <c r="AJ35" s="185">
        <f t="shared" si="11"/>
        <v>3860</v>
      </c>
      <c r="AK35" s="184">
        <v>169695</v>
      </c>
      <c r="AL35" s="185">
        <f t="shared" si="12"/>
        <v>2020</v>
      </c>
      <c r="AM35" s="184">
        <v>884551</v>
      </c>
      <c r="AN35" s="185">
        <f t="shared" si="13"/>
        <v>10090</v>
      </c>
      <c r="AP35" s="187">
        <f t="shared" si="14"/>
        <v>37479.899999999994</v>
      </c>
      <c r="AQ35" s="188">
        <f t="shared" si="17"/>
        <v>28200.100000000002</v>
      </c>
    </row>
    <row r="36" spans="1:44" s="186" customFormat="1" ht="39.950000000000003" customHeight="1">
      <c r="A36" s="177">
        <f t="shared" si="16"/>
        <v>44924</v>
      </c>
      <c r="B36" s="183"/>
      <c r="C36" s="184">
        <v>350119</v>
      </c>
      <c r="D36" s="185">
        <f t="shared" si="0"/>
        <v>4200</v>
      </c>
      <c r="E36" s="184">
        <v>602781</v>
      </c>
      <c r="F36" s="185">
        <f t="shared" si="1"/>
        <v>7380</v>
      </c>
      <c r="G36" s="184">
        <v>401044</v>
      </c>
      <c r="H36" s="185">
        <f t="shared" si="2"/>
        <v>2890</v>
      </c>
      <c r="I36" s="187">
        <f>H36*I6/100</f>
        <v>1416.1</v>
      </c>
      <c r="J36" s="187">
        <f>H36*J6/100</f>
        <v>1473.9</v>
      </c>
      <c r="K36" s="184">
        <v>513824</v>
      </c>
      <c r="L36" s="185">
        <f t="shared" si="3"/>
        <v>6390</v>
      </c>
      <c r="M36" s="184">
        <v>827126</v>
      </c>
      <c r="N36" s="185">
        <f t="shared" si="4"/>
        <v>12190</v>
      </c>
      <c r="O36" s="184">
        <v>549377</v>
      </c>
      <c r="P36" s="198">
        <f t="shared" si="5"/>
        <v>7260</v>
      </c>
      <c r="Q36" s="187">
        <f>P36*Q6/100</f>
        <v>3557.4</v>
      </c>
      <c r="R36" s="187">
        <f>P36*R6/100</f>
        <v>3702.6</v>
      </c>
      <c r="S36" s="184">
        <v>469532</v>
      </c>
      <c r="T36" s="185">
        <f t="shared" si="6"/>
        <v>3890</v>
      </c>
      <c r="U36" s="187">
        <f>T36*U6/100</f>
        <v>1906.1</v>
      </c>
      <c r="V36" s="187">
        <f>T36*V6/100</f>
        <v>1983.9</v>
      </c>
      <c r="W36" s="184">
        <v>240541</v>
      </c>
      <c r="X36" s="185">
        <f t="shared" si="7"/>
        <v>20</v>
      </c>
      <c r="Y36" s="187">
        <f>X36*Y6/100</f>
        <v>9.8000000000000007</v>
      </c>
      <c r="Z36" s="187">
        <f>X36*Z6/100</f>
        <v>10.199999999999999</v>
      </c>
      <c r="AA36" s="184">
        <v>314651</v>
      </c>
      <c r="AB36" s="185">
        <f t="shared" si="8"/>
        <v>40</v>
      </c>
      <c r="AC36" s="187">
        <f>AB36*AC6/100</f>
        <v>19.600000000000001</v>
      </c>
      <c r="AD36" s="187">
        <f>AB36*AD6/100</f>
        <v>20.399999999999999</v>
      </c>
      <c r="AE36" s="184">
        <v>100154</v>
      </c>
      <c r="AF36" s="185">
        <f t="shared" si="9"/>
        <v>1370</v>
      </c>
      <c r="AG36" s="184">
        <v>189237</v>
      </c>
      <c r="AH36" s="185">
        <f t="shared" si="10"/>
        <v>2430</v>
      </c>
      <c r="AI36" s="184">
        <v>333848</v>
      </c>
      <c r="AJ36" s="185">
        <f t="shared" si="11"/>
        <v>3850</v>
      </c>
      <c r="AK36" s="184">
        <v>169919</v>
      </c>
      <c r="AL36" s="185">
        <f t="shared" si="12"/>
        <v>2240</v>
      </c>
      <c r="AM36" s="184">
        <v>885542</v>
      </c>
      <c r="AN36" s="185">
        <f t="shared" si="13"/>
        <v>9910</v>
      </c>
      <c r="AP36" s="187">
        <f t="shared" si="14"/>
        <v>37069</v>
      </c>
      <c r="AQ36" s="188">
        <f t="shared" si="17"/>
        <v>26991</v>
      </c>
    </row>
    <row r="37" spans="1:44" s="186" customFormat="1" ht="39.950000000000003" customHeight="1">
      <c r="A37" s="177">
        <f t="shared" si="16"/>
        <v>44925</v>
      </c>
      <c r="B37" s="183"/>
      <c r="C37" s="184">
        <v>350568</v>
      </c>
      <c r="D37" s="185">
        <f t="shared" si="0"/>
        <v>4490</v>
      </c>
      <c r="E37" s="184">
        <v>603558</v>
      </c>
      <c r="F37" s="185">
        <f t="shared" si="1"/>
        <v>7770</v>
      </c>
      <c r="G37" s="184">
        <v>401352</v>
      </c>
      <c r="H37" s="185">
        <f t="shared" si="2"/>
        <v>3080</v>
      </c>
      <c r="I37" s="187">
        <f>H37*I6/100</f>
        <v>1509.2</v>
      </c>
      <c r="J37" s="187">
        <f>H37*J6/100</f>
        <v>1570.8</v>
      </c>
      <c r="K37" s="184">
        <v>514450</v>
      </c>
      <c r="L37" s="185">
        <f t="shared" si="3"/>
        <v>6260</v>
      </c>
      <c r="M37" s="184">
        <v>828273</v>
      </c>
      <c r="N37" s="185">
        <f t="shared" si="4"/>
        <v>11470</v>
      </c>
      <c r="O37" s="184">
        <v>549901</v>
      </c>
      <c r="P37" s="198">
        <f t="shared" si="5"/>
        <v>5240</v>
      </c>
      <c r="Q37" s="187">
        <f>P37*Q6/100</f>
        <v>2567.6</v>
      </c>
      <c r="R37" s="187">
        <f>P37*R6/100</f>
        <v>2672.4</v>
      </c>
      <c r="S37" s="184">
        <v>470126</v>
      </c>
      <c r="T37" s="185">
        <f t="shared" si="6"/>
        <v>5940</v>
      </c>
      <c r="U37" s="187">
        <f>T37*U6/100</f>
        <v>2910.6</v>
      </c>
      <c r="V37" s="187">
        <f>T37*V6/100</f>
        <v>3029.4</v>
      </c>
      <c r="W37" s="184">
        <v>240543</v>
      </c>
      <c r="X37" s="185">
        <f t="shared" si="7"/>
        <v>20</v>
      </c>
      <c r="Y37" s="187">
        <f>X37*Y6/100</f>
        <v>9.8000000000000007</v>
      </c>
      <c r="Z37" s="187">
        <f>X37*Z6/100</f>
        <v>10.199999999999999</v>
      </c>
      <c r="AA37" s="184">
        <v>314655</v>
      </c>
      <c r="AB37" s="185">
        <f t="shared" si="8"/>
        <v>40</v>
      </c>
      <c r="AC37" s="187">
        <f>AB37*AC6/100</f>
        <v>19.600000000000001</v>
      </c>
      <c r="AD37" s="187">
        <f>AB37*AD6/100</f>
        <v>20.399999999999999</v>
      </c>
      <c r="AE37" s="184">
        <v>100287</v>
      </c>
      <c r="AF37" s="185">
        <f t="shared" si="9"/>
        <v>1330</v>
      </c>
      <c r="AG37" s="184">
        <v>189469</v>
      </c>
      <c r="AH37" s="185">
        <f t="shared" si="10"/>
        <v>2320</v>
      </c>
      <c r="AI37" s="184">
        <v>334226</v>
      </c>
      <c r="AJ37" s="185">
        <f t="shared" si="11"/>
        <v>3780</v>
      </c>
      <c r="AK37" s="184">
        <v>170160</v>
      </c>
      <c r="AL37" s="185">
        <f t="shared" si="12"/>
        <v>2410</v>
      </c>
      <c r="AM37" s="184">
        <v>886507</v>
      </c>
      <c r="AN37" s="185">
        <f t="shared" si="13"/>
        <v>9650</v>
      </c>
      <c r="AP37" s="187">
        <f t="shared" si="14"/>
        <v>37006.800000000003</v>
      </c>
      <c r="AQ37" s="188">
        <f t="shared" si="17"/>
        <v>26793.200000000001</v>
      </c>
    </row>
    <row r="38" spans="1:44" s="186" customFormat="1" ht="39.950000000000003" customHeight="1">
      <c r="A38" s="177">
        <f t="shared" si="16"/>
        <v>44926</v>
      </c>
      <c r="B38" s="183"/>
      <c r="C38" s="184">
        <v>351013</v>
      </c>
      <c r="D38" s="185">
        <f t="shared" ref="D38" si="18">(C38-C37)*10</f>
        <v>4450</v>
      </c>
      <c r="E38" s="184">
        <v>604302</v>
      </c>
      <c r="F38" s="185">
        <f t="shared" ref="F38" si="19">(E38-E37)*10</f>
        <v>7440</v>
      </c>
      <c r="G38" s="184">
        <v>401654</v>
      </c>
      <c r="H38" s="185">
        <f t="shared" ref="H38" si="20">(G38-G37)*10</f>
        <v>3020</v>
      </c>
      <c r="I38" s="187">
        <f>H38*I6/100</f>
        <v>1479.8</v>
      </c>
      <c r="J38" s="187">
        <f>H38*J6/100</f>
        <v>1540.2</v>
      </c>
      <c r="K38" s="184">
        <v>515059</v>
      </c>
      <c r="L38" s="185">
        <f t="shared" ref="L38" si="21">(K38-K37)*10</f>
        <v>6090</v>
      </c>
      <c r="M38" s="184">
        <v>829392</v>
      </c>
      <c r="N38" s="185">
        <f t="shared" ref="N38" si="22">(M38-M37)*10</f>
        <v>11190</v>
      </c>
      <c r="O38" s="184">
        <v>550410</v>
      </c>
      <c r="P38" s="198">
        <f t="shared" ref="P38" si="23">(O38-O37)*10</f>
        <v>5090</v>
      </c>
      <c r="Q38" s="187">
        <f>P38*Q6/100</f>
        <v>2494.1</v>
      </c>
      <c r="R38" s="187">
        <f>P38*R6/100</f>
        <v>2595.9</v>
      </c>
      <c r="S38" s="184">
        <v>470664</v>
      </c>
      <c r="T38" s="185">
        <f t="shared" ref="T38" si="24">(S38-S37)*10</f>
        <v>5380</v>
      </c>
      <c r="U38" s="187">
        <f>T38*U6/100</f>
        <v>2636.2</v>
      </c>
      <c r="V38" s="187">
        <f>T38*V6/100</f>
        <v>2743.8</v>
      </c>
      <c r="W38" s="184">
        <v>240546</v>
      </c>
      <c r="X38" s="185">
        <f t="shared" ref="X38" si="25">(W38-W37)*10</f>
        <v>30</v>
      </c>
      <c r="Y38" s="187">
        <f>X38*Y6/100</f>
        <v>14.7</v>
      </c>
      <c r="Z38" s="187">
        <f>X38*Z6/100</f>
        <v>15.3</v>
      </c>
      <c r="AA38" s="184">
        <v>314658</v>
      </c>
      <c r="AB38" s="185">
        <f t="shared" ref="AB38" si="26">(AA38-AA37)*10</f>
        <v>30</v>
      </c>
      <c r="AC38" s="187">
        <f>AB38*AC6/100</f>
        <v>14.7</v>
      </c>
      <c r="AD38" s="187">
        <f>AB38*AD6/100</f>
        <v>15.3</v>
      </c>
      <c r="AE38" s="184">
        <v>100416</v>
      </c>
      <c r="AF38" s="185">
        <f t="shared" ref="AF38" si="27">(AE38-AE37)*10</f>
        <v>1290</v>
      </c>
      <c r="AG38" s="184">
        <v>189695</v>
      </c>
      <c r="AH38" s="185">
        <f t="shared" ref="AH38" si="28">(AG38-AG37)*10</f>
        <v>2260</v>
      </c>
      <c r="AI38" s="184">
        <v>334605</v>
      </c>
      <c r="AJ38" s="185">
        <f t="shared" ref="AJ38" si="29">(AI38-AI37)*10</f>
        <v>3790</v>
      </c>
      <c r="AK38" s="184">
        <v>170396</v>
      </c>
      <c r="AL38" s="185">
        <f t="shared" ref="AL38" si="30">(AK38-AK37)*10</f>
        <v>2360</v>
      </c>
      <c r="AM38" s="184">
        <v>887462</v>
      </c>
      <c r="AN38" s="185">
        <f t="shared" ref="AN38" si="31">(AM38-AM37)*10</f>
        <v>9550</v>
      </c>
      <c r="AP38" s="187">
        <f>SUM(D38,F38,I38,L38,N38,Q38,U38,Y38,AC38)</f>
        <v>35809.499999999993</v>
      </c>
      <c r="AQ38" s="188">
        <f>SUM(R38,V38,Z38,AD38,AF38,AH38,AJ38,AL38,AN38,J38)</f>
        <v>26160.500000000004</v>
      </c>
    </row>
    <row r="39" spans="1:44" s="18" customFormat="1" ht="39.950000000000003" customHeight="1">
      <c r="A39" s="203" t="s">
        <v>404</v>
      </c>
      <c r="D39" s="10">
        <f>SUM(D8:D38)</f>
        <v>142540</v>
      </c>
      <c r="F39" s="10">
        <f>SUM(F8:F38)</f>
        <v>238320</v>
      </c>
      <c r="H39" s="10">
        <f>SUM(H8:H38)</f>
        <v>92630</v>
      </c>
      <c r="I39" s="10"/>
      <c r="L39" s="10">
        <f>SUM(L8:L38)</f>
        <v>198100</v>
      </c>
      <c r="N39" s="10">
        <f>SUM(N8:N38)</f>
        <v>349440</v>
      </c>
      <c r="P39" s="10">
        <f>SUM(P8:P38)</f>
        <v>353110</v>
      </c>
      <c r="Q39" s="10"/>
      <c r="T39" s="10">
        <f>SUM(T8:T38)</f>
        <v>28780</v>
      </c>
      <c r="U39" s="10"/>
      <c r="X39" s="10">
        <f>SUM(X8:X38)</f>
        <v>1110</v>
      </c>
      <c r="Y39" s="10"/>
      <c r="AB39" s="10">
        <f>SUM(AB8:AB38)</f>
        <v>4010</v>
      </c>
      <c r="AC39" s="10"/>
      <c r="AF39" s="10">
        <f>SUM(AF8:AF38)</f>
        <v>41550</v>
      </c>
      <c r="AH39" s="10">
        <f>SUM(AH8:AH38)</f>
        <v>74380</v>
      </c>
      <c r="AJ39" s="10">
        <f>SUM(AJ8:AJ38)</f>
        <v>117960</v>
      </c>
      <c r="AL39" s="10">
        <f>SUM(AL8:AL38)</f>
        <v>64980</v>
      </c>
      <c r="AN39" s="10">
        <f>SUM(AN8:AN38)</f>
        <v>313600</v>
      </c>
      <c r="AP39" s="199">
        <f>SUM(AP8:AP38)</f>
        <v>1163423.5999999996</v>
      </c>
      <c r="AQ39" s="199">
        <f>SUM(AQ8:AQ38)</f>
        <v>840072.80000000016</v>
      </c>
      <c r="AR39" s="200">
        <f>SUM(AP39:AQ39)</f>
        <v>2003496.4</v>
      </c>
    </row>
    <row r="40" spans="1:44" s="18" customFormat="1" ht="13.5" customHeight="1">
      <c r="A40" s="17"/>
      <c r="D40" s="19"/>
    </row>
    <row r="41" spans="1:44" s="205" customFormat="1" ht="39.950000000000003" customHeight="1">
      <c r="A41" s="211" t="s">
        <v>405</v>
      </c>
      <c r="C41" s="204">
        <v>336350</v>
      </c>
      <c r="E41" s="205">
        <v>579700</v>
      </c>
      <c r="G41" s="205">
        <v>392034</v>
      </c>
      <c r="K41" s="205">
        <v>494629</v>
      </c>
      <c r="M41" s="205">
        <v>793290</v>
      </c>
      <c r="O41" s="205">
        <v>513524</v>
      </c>
      <c r="S41" s="205">
        <v>467224</v>
      </c>
      <c r="W41" s="205">
        <v>240433</v>
      </c>
      <c r="AA41" s="205">
        <v>314253</v>
      </c>
      <c r="AE41" s="205">
        <v>96129</v>
      </c>
      <c r="AG41" s="205">
        <v>182004</v>
      </c>
      <c r="AI41" s="205">
        <v>322413</v>
      </c>
      <c r="AK41" s="205">
        <v>163687</v>
      </c>
      <c r="AM41" s="205">
        <v>855116</v>
      </c>
    </row>
    <row r="42" spans="1:44" s="22" customFormat="1" ht="39.950000000000003" customHeight="1">
      <c r="A42" s="212"/>
      <c r="C42" s="204">
        <v>350568</v>
      </c>
      <c r="D42" s="22">
        <f>(C42-C41)*10</f>
        <v>142180</v>
      </c>
      <c r="E42" s="22">
        <v>603558</v>
      </c>
      <c r="F42" s="22">
        <f>(E42-E41)*10</f>
        <v>238580</v>
      </c>
      <c r="G42" s="22">
        <v>401352</v>
      </c>
      <c r="H42" s="22">
        <f>(G42-G41)*10</f>
        <v>93180</v>
      </c>
      <c r="K42" s="22">
        <v>514450</v>
      </c>
      <c r="L42" s="22">
        <f>(K42-K41)*10</f>
        <v>198210</v>
      </c>
      <c r="M42" s="22">
        <v>828273</v>
      </c>
      <c r="N42" s="22">
        <f>(M42-M41)*10</f>
        <v>349830</v>
      </c>
      <c r="O42" s="22">
        <v>549901</v>
      </c>
      <c r="P42" s="22">
        <f>(O42-O41)*10</f>
        <v>363770</v>
      </c>
      <c r="S42" s="22">
        <v>470126</v>
      </c>
      <c r="T42" s="22">
        <f>(S42-S41)*10</f>
        <v>29020</v>
      </c>
      <c r="W42" s="22">
        <v>240543</v>
      </c>
      <c r="X42" s="22">
        <f>(W42-W41)*10</f>
        <v>1100</v>
      </c>
      <c r="AA42" s="22">
        <v>314655</v>
      </c>
      <c r="AB42" s="22">
        <f>(AA42-AA41)*10</f>
        <v>4020</v>
      </c>
      <c r="AE42" s="22">
        <v>100287</v>
      </c>
      <c r="AF42" s="22">
        <f>(AE42-AE41)*10</f>
        <v>41580</v>
      </c>
      <c r="AG42" s="22">
        <v>185469</v>
      </c>
      <c r="AH42" s="22">
        <f>(AG42-AG41)*10</f>
        <v>34650</v>
      </c>
      <c r="AI42" s="22">
        <v>334226</v>
      </c>
      <c r="AJ42" s="22">
        <f>(AI42-AI41)*10</f>
        <v>118130</v>
      </c>
      <c r="AK42" s="22">
        <v>170160</v>
      </c>
      <c r="AL42" s="22">
        <f>(AK42-AK41)*10</f>
        <v>64730</v>
      </c>
      <c r="AM42" s="22">
        <v>886507</v>
      </c>
      <c r="AN42" s="22">
        <f>(AM42-AM41)*10</f>
        <v>313910</v>
      </c>
    </row>
    <row r="43" spans="1:44">
      <c r="A43" s="11"/>
    </row>
    <row r="44" spans="1:44">
      <c r="A44" s="11"/>
    </row>
    <row r="45" spans="1:44">
      <c r="A45" s="11"/>
    </row>
    <row r="46" spans="1:44">
      <c r="A46" s="11"/>
    </row>
    <row r="47" spans="1:44">
      <c r="A47" s="11"/>
    </row>
    <row r="48" spans="1:44">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1">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O2:R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A41:A42"/>
    <mergeCell ref="M5:N5"/>
    <mergeCell ref="AA1:AD1"/>
    <mergeCell ref="AA2:AD2"/>
    <mergeCell ref="AA3:AD3"/>
    <mergeCell ref="AA4:AD4"/>
    <mergeCell ref="AA5:AD5"/>
    <mergeCell ref="M3:N3"/>
    <mergeCell ref="G3:J3"/>
    <mergeCell ref="O3:R3"/>
    <mergeCell ref="C5:D5"/>
    <mergeCell ref="E3:F3"/>
    <mergeCell ref="E4:F4"/>
    <mergeCell ref="E5:F5"/>
    <mergeCell ref="K3:L3"/>
    <mergeCell ref="K4:L4"/>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70" zoomScaleNormal="70" workbookViewId="0">
      <pane xSplit="2" ySplit="4" topLeftCell="G32" activePane="bottomRight" state="frozen"/>
      <selection pane="topRight" activeCell="C1" sqref="C1"/>
      <selection pane="bottomLeft" activeCell="A5" sqref="A5"/>
      <selection pane="bottomRight" activeCell="L36" sqref="L36"/>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79"/>
      <c r="B1" s="179"/>
      <c r="C1" s="229" t="s">
        <v>65</v>
      </c>
      <c r="D1" s="229"/>
      <c r="E1" s="229" t="s">
        <v>65</v>
      </c>
      <c r="F1" s="229"/>
      <c r="G1" s="229" t="s">
        <v>65</v>
      </c>
      <c r="H1" s="229"/>
      <c r="I1" s="229" t="s">
        <v>65</v>
      </c>
      <c r="J1" s="229"/>
      <c r="K1" s="215" t="s">
        <v>66</v>
      </c>
      <c r="L1" s="216"/>
      <c r="M1" s="216"/>
      <c r="N1" s="217"/>
      <c r="O1" s="229" t="s">
        <v>67</v>
      </c>
      <c r="P1" s="229"/>
    </row>
    <row r="2" spans="1:19" s="25" customFormat="1" ht="113.25" customHeight="1">
      <c r="A2" s="24"/>
      <c r="B2" s="24"/>
      <c r="C2" s="234" t="s">
        <v>102</v>
      </c>
      <c r="D2" s="235"/>
      <c r="E2" s="234" t="s">
        <v>103</v>
      </c>
      <c r="F2" s="235"/>
      <c r="G2" s="234" t="s">
        <v>104</v>
      </c>
      <c r="H2" s="235"/>
      <c r="I2" s="234" t="s">
        <v>105</v>
      </c>
      <c r="J2" s="235"/>
      <c r="K2" s="236" t="s">
        <v>106</v>
      </c>
      <c r="L2" s="237"/>
      <c r="M2" s="237"/>
      <c r="N2" s="238"/>
      <c r="O2" s="234" t="s">
        <v>107</v>
      </c>
      <c r="P2" s="235"/>
    </row>
    <row r="3" spans="1:19" s="30" customFormat="1" ht="50.1" customHeight="1">
      <c r="A3" s="39"/>
      <c r="B3" s="39"/>
      <c r="C3" s="239" t="s">
        <v>108</v>
      </c>
      <c r="D3" s="240"/>
      <c r="E3" s="241" t="s">
        <v>109</v>
      </c>
      <c r="F3" s="242"/>
      <c r="G3" s="241" t="s">
        <v>110</v>
      </c>
      <c r="H3" s="242"/>
      <c r="I3" s="241" t="s">
        <v>402</v>
      </c>
      <c r="J3" s="242"/>
      <c r="K3" s="243" t="s">
        <v>112</v>
      </c>
      <c r="L3" s="244"/>
      <c r="M3" s="244"/>
      <c r="N3" s="245"/>
      <c r="O3" s="239" t="s">
        <v>113</v>
      </c>
      <c r="P3" s="240"/>
      <c r="R3" s="233" t="s">
        <v>81</v>
      </c>
      <c r="S3" s="233"/>
    </row>
    <row r="4" spans="1:19" s="8" customFormat="1" ht="30" customHeight="1">
      <c r="A4" s="178" t="s">
        <v>96</v>
      </c>
      <c r="B4" s="48"/>
      <c r="C4" s="213"/>
      <c r="D4" s="214"/>
      <c r="E4" s="213"/>
      <c r="F4" s="214"/>
      <c r="G4" s="213"/>
      <c r="H4" s="214"/>
      <c r="I4" s="213"/>
      <c r="J4" s="214"/>
      <c r="K4" s="213"/>
      <c r="L4" s="227"/>
      <c r="M4" s="227"/>
      <c r="N4" s="214"/>
      <c r="O4" s="48"/>
      <c r="P4" s="48"/>
      <c r="R4" s="233"/>
      <c r="S4" s="233"/>
    </row>
    <row r="5" spans="1:19" s="10" customFormat="1" ht="50.1" customHeight="1">
      <c r="A5" s="178" t="s">
        <v>99</v>
      </c>
      <c r="B5" s="178"/>
      <c r="C5" s="178" t="s">
        <v>114</v>
      </c>
      <c r="D5" s="178" t="s">
        <v>115</v>
      </c>
      <c r="E5" s="178" t="s">
        <v>114</v>
      </c>
      <c r="F5" s="178" t="s">
        <v>115</v>
      </c>
      <c r="G5" s="178" t="s">
        <v>114</v>
      </c>
      <c r="H5" s="178" t="s">
        <v>115</v>
      </c>
      <c r="I5" s="178" t="s">
        <v>114</v>
      </c>
      <c r="J5" s="178" t="s">
        <v>115</v>
      </c>
      <c r="K5" s="178" t="s">
        <v>114</v>
      </c>
      <c r="L5" s="178" t="s">
        <v>115</v>
      </c>
      <c r="M5" s="178" t="s">
        <v>65</v>
      </c>
      <c r="N5" s="178" t="s">
        <v>67</v>
      </c>
      <c r="O5" s="178" t="s">
        <v>114</v>
      </c>
      <c r="P5" s="178" t="s">
        <v>115</v>
      </c>
      <c r="R5" s="178"/>
      <c r="S5" s="178"/>
    </row>
    <row r="6" spans="1:19" ht="39.950000000000003" customHeight="1">
      <c r="A6" s="177">
        <v>44895</v>
      </c>
      <c r="B6" s="79"/>
      <c r="C6" s="72">
        <v>93697</v>
      </c>
      <c r="D6" s="73"/>
      <c r="E6" s="72">
        <v>153536</v>
      </c>
      <c r="F6" s="73"/>
      <c r="G6" s="80">
        <v>616</v>
      </c>
      <c r="H6" s="166"/>
      <c r="I6" s="196">
        <v>161</v>
      </c>
      <c r="J6" s="73"/>
      <c r="K6" s="72">
        <v>54459</v>
      </c>
      <c r="L6" s="73"/>
      <c r="M6" s="74">
        <f t="shared" ref="M6" si="0">L6*55%</f>
        <v>0</v>
      </c>
      <c r="N6" s="74">
        <f t="shared" ref="N6" si="1">L6*45%</f>
        <v>0</v>
      </c>
      <c r="O6" s="72">
        <v>55068</v>
      </c>
      <c r="P6" s="73"/>
      <c r="R6" s="103"/>
      <c r="S6" s="94"/>
    </row>
    <row r="7" spans="1:19" s="2" customFormat="1" ht="39.950000000000003" customHeight="1">
      <c r="A7" s="177">
        <v>44896</v>
      </c>
      <c r="B7" s="15"/>
      <c r="C7" s="71">
        <v>94017</v>
      </c>
      <c r="D7" s="73">
        <f>(C7-C6)</f>
        <v>320</v>
      </c>
      <c r="E7" s="71">
        <v>153897</v>
      </c>
      <c r="F7" s="73">
        <f>(E7-E6)</f>
        <v>361</v>
      </c>
      <c r="G7" s="81">
        <v>618</v>
      </c>
      <c r="H7" s="166">
        <f>(G7-G6)</f>
        <v>2</v>
      </c>
      <c r="I7" s="197">
        <v>172</v>
      </c>
      <c r="J7" s="73">
        <f>(I7-I6)</f>
        <v>11</v>
      </c>
      <c r="K7" s="71">
        <v>54614</v>
      </c>
      <c r="L7" s="73">
        <f t="shared" ref="L7:L35" si="2">(K7-K6)</f>
        <v>155</v>
      </c>
      <c r="M7" s="74">
        <f>L7*55%</f>
        <v>85.25</v>
      </c>
      <c r="N7" s="74">
        <f>L7*45%</f>
        <v>69.75</v>
      </c>
      <c r="O7" s="71">
        <v>55199</v>
      </c>
      <c r="P7" s="73">
        <f>(O7-O6)</f>
        <v>131</v>
      </c>
      <c r="R7" s="195">
        <f t="shared" ref="R7:R35" si="3">SUM(D7,F7,M71,H7)</f>
        <v>683</v>
      </c>
      <c r="S7" s="195">
        <f>SUM(N7,P7)</f>
        <v>200.75</v>
      </c>
    </row>
    <row r="8" spans="1:19" ht="39.950000000000003" customHeight="1">
      <c r="A8" s="177">
        <f>SUM(A7+1)</f>
        <v>44897</v>
      </c>
      <c r="B8" s="16"/>
      <c r="C8" s="71">
        <v>94355</v>
      </c>
      <c r="D8" s="73">
        <f t="shared" ref="D8:D35" si="4">(C8-C7)</f>
        <v>338</v>
      </c>
      <c r="E8" s="71">
        <v>154271</v>
      </c>
      <c r="F8" s="73">
        <f t="shared" ref="F8:F35" si="5">(E8-E7)</f>
        <v>374</v>
      </c>
      <c r="G8" s="81">
        <v>622</v>
      </c>
      <c r="H8" s="166">
        <f t="shared" ref="H8:H35" si="6">(G8-G7)</f>
        <v>4</v>
      </c>
      <c r="I8" s="197">
        <v>184</v>
      </c>
      <c r="J8" s="73">
        <f t="shared" ref="J8:J35" si="7">(I8-I7)</f>
        <v>12</v>
      </c>
      <c r="K8" s="71">
        <v>54784</v>
      </c>
      <c r="L8" s="73">
        <f t="shared" si="2"/>
        <v>170</v>
      </c>
      <c r="M8" s="74">
        <f t="shared" ref="M8:M36" si="8">L8*55%</f>
        <v>93.500000000000014</v>
      </c>
      <c r="N8" s="74">
        <f t="shared" ref="N8:N36" si="9">L8*45%</f>
        <v>76.5</v>
      </c>
      <c r="O8" s="71">
        <v>55336</v>
      </c>
      <c r="P8" s="73">
        <f t="shared" ref="P8:P35" si="10">(O8-O7)</f>
        <v>137</v>
      </c>
      <c r="R8" s="195">
        <f t="shared" si="3"/>
        <v>716</v>
      </c>
      <c r="S8" s="195">
        <f t="shared" ref="S8:S36" si="11">SUM(N8,P8)</f>
        <v>213.5</v>
      </c>
    </row>
    <row r="9" spans="1:19" ht="39.950000000000003" customHeight="1">
      <c r="A9" s="177">
        <f t="shared" ref="A9:A37" si="12">SUM(A8+1)</f>
        <v>44898</v>
      </c>
      <c r="B9" s="16"/>
      <c r="C9" s="71">
        <v>94710</v>
      </c>
      <c r="D9" s="73">
        <f t="shared" si="4"/>
        <v>355</v>
      </c>
      <c r="E9" s="71">
        <v>154646</v>
      </c>
      <c r="F9" s="73">
        <f t="shared" si="5"/>
        <v>375</v>
      </c>
      <c r="G9" s="81">
        <v>626</v>
      </c>
      <c r="H9" s="166">
        <f t="shared" si="6"/>
        <v>4</v>
      </c>
      <c r="I9" s="197">
        <v>193</v>
      </c>
      <c r="J9" s="73">
        <f t="shared" si="7"/>
        <v>9</v>
      </c>
      <c r="K9" s="71">
        <v>54949</v>
      </c>
      <c r="L9" s="73">
        <f t="shared" si="2"/>
        <v>165</v>
      </c>
      <c r="M9" s="74">
        <f t="shared" si="8"/>
        <v>90.750000000000014</v>
      </c>
      <c r="N9" s="74">
        <f t="shared" si="9"/>
        <v>74.25</v>
      </c>
      <c r="O9" s="71">
        <v>55465</v>
      </c>
      <c r="P9" s="73">
        <f t="shared" si="10"/>
        <v>129</v>
      </c>
      <c r="R9" s="195">
        <f t="shared" si="3"/>
        <v>734</v>
      </c>
      <c r="S9" s="195">
        <f t="shared" si="11"/>
        <v>203.25</v>
      </c>
    </row>
    <row r="10" spans="1:19" ht="39.950000000000003" customHeight="1">
      <c r="A10" s="177">
        <f t="shared" si="12"/>
        <v>44899</v>
      </c>
      <c r="B10" s="16"/>
      <c r="C10" s="71">
        <v>95113</v>
      </c>
      <c r="D10" s="73">
        <f t="shared" si="4"/>
        <v>403</v>
      </c>
      <c r="E10" s="71">
        <v>155097</v>
      </c>
      <c r="F10" s="73">
        <f t="shared" si="5"/>
        <v>451</v>
      </c>
      <c r="G10" s="81">
        <v>629</v>
      </c>
      <c r="H10" s="166">
        <f t="shared" si="6"/>
        <v>3</v>
      </c>
      <c r="I10" s="197">
        <v>205</v>
      </c>
      <c r="J10" s="73">
        <f t="shared" si="7"/>
        <v>12</v>
      </c>
      <c r="K10" s="71">
        <v>55148</v>
      </c>
      <c r="L10" s="73">
        <f t="shared" si="2"/>
        <v>199</v>
      </c>
      <c r="M10" s="74">
        <f t="shared" si="8"/>
        <v>109.45</v>
      </c>
      <c r="N10" s="74">
        <f t="shared" si="9"/>
        <v>89.55</v>
      </c>
      <c r="O10" s="71">
        <v>55629</v>
      </c>
      <c r="P10" s="73">
        <f t="shared" si="10"/>
        <v>164</v>
      </c>
      <c r="R10" s="195">
        <f t="shared" si="3"/>
        <v>857</v>
      </c>
      <c r="S10" s="195">
        <f t="shared" si="11"/>
        <v>253.55</v>
      </c>
    </row>
    <row r="11" spans="1:19" ht="39.950000000000003" customHeight="1">
      <c r="A11" s="177">
        <f t="shared" si="12"/>
        <v>44900</v>
      </c>
      <c r="B11" s="16"/>
      <c r="C11" s="71">
        <v>95354</v>
      </c>
      <c r="D11" s="73">
        <f t="shared" si="4"/>
        <v>241</v>
      </c>
      <c r="E11" s="71">
        <v>155434</v>
      </c>
      <c r="F11" s="73">
        <f t="shared" si="5"/>
        <v>337</v>
      </c>
      <c r="G11" s="81">
        <v>631</v>
      </c>
      <c r="H11" s="166">
        <f t="shared" si="6"/>
        <v>2</v>
      </c>
      <c r="I11" s="197">
        <v>212</v>
      </c>
      <c r="J11" s="166">
        <f t="shared" si="7"/>
        <v>7</v>
      </c>
      <c r="K11" s="71">
        <v>55313</v>
      </c>
      <c r="L11" s="73">
        <f t="shared" si="2"/>
        <v>165</v>
      </c>
      <c r="M11" s="74">
        <f t="shared" si="8"/>
        <v>90.750000000000014</v>
      </c>
      <c r="N11" s="74">
        <f t="shared" si="9"/>
        <v>74.25</v>
      </c>
      <c r="O11" s="71">
        <v>55753</v>
      </c>
      <c r="P11" s="73">
        <f t="shared" si="10"/>
        <v>124</v>
      </c>
      <c r="R11" s="195">
        <f t="shared" si="3"/>
        <v>580</v>
      </c>
      <c r="S11" s="195">
        <f t="shared" si="11"/>
        <v>198.25</v>
      </c>
    </row>
    <row r="12" spans="1:19" ht="39.950000000000003" customHeight="1">
      <c r="A12" s="177">
        <f t="shared" si="12"/>
        <v>44901</v>
      </c>
      <c r="B12" s="16"/>
      <c r="C12" s="71">
        <v>95495</v>
      </c>
      <c r="D12" s="73">
        <f t="shared" si="4"/>
        <v>141</v>
      </c>
      <c r="E12" s="71">
        <v>155796</v>
      </c>
      <c r="F12" s="73">
        <f t="shared" si="5"/>
        <v>362</v>
      </c>
      <c r="G12" s="81">
        <v>635</v>
      </c>
      <c r="H12" s="166">
        <f t="shared" si="6"/>
        <v>4</v>
      </c>
      <c r="I12" s="197">
        <v>222</v>
      </c>
      <c r="J12" s="166">
        <f t="shared" si="7"/>
        <v>10</v>
      </c>
      <c r="K12" s="71">
        <v>55498</v>
      </c>
      <c r="L12" s="73">
        <f t="shared" si="2"/>
        <v>185</v>
      </c>
      <c r="M12" s="74">
        <f t="shared" si="8"/>
        <v>101.75000000000001</v>
      </c>
      <c r="N12" s="74">
        <f t="shared" si="9"/>
        <v>83.25</v>
      </c>
      <c r="O12" s="71">
        <v>55888</v>
      </c>
      <c r="P12" s="73">
        <f t="shared" si="10"/>
        <v>135</v>
      </c>
      <c r="R12" s="195">
        <f t="shared" si="3"/>
        <v>507</v>
      </c>
      <c r="S12" s="195">
        <f t="shared" si="11"/>
        <v>218.25</v>
      </c>
    </row>
    <row r="13" spans="1:19" ht="39.950000000000003" customHeight="1">
      <c r="A13" s="177">
        <f t="shared" si="12"/>
        <v>44902</v>
      </c>
      <c r="B13" s="16"/>
      <c r="C13" s="71">
        <v>95618</v>
      </c>
      <c r="D13" s="73">
        <f t="shared" si="4"/>
        <v>123</v>
      </c>
      <c r="E13" s="71">
        <v>156167</v>
      </c>
      <c r="F13" s="73">
        <f t="shared" si="5"/>
        <v>371</v>
      </c>
      <c r="G13" s="81">
        <v>642</v>
      </c>
      <c r="H13" s="166">
        <f t="shared" si="6"/>
        <v>7</v>
      </c>
      <c r="I13" s="197">
        <v>232</v>
      </c>
      <c r="J13" s="166">
        <f t="shared" si="7"/>
        <v>10</v>
      </c>
      <c r="K13" s="71">
        <v>55647</v>
      </c>
      <c r="L13" s="73">
        <f t="shared" si="2"/>
        <v>149</v>
      </c>
      <c r="M13" s="74">
        <f t="shared" si="8"/>
        <v>81.95</v>
      </c>
      <c r="N13" s="74">
        <f t="shared" si="9"/>
        <v>67.05</v>
      </c>
      <c r="O13" s="71">
        <v>56019</v>
      </c>
      <c r="P13" s="73">
        <f t="shared" si="10"/>
        <v>131</v>
      </c>
      <c r="R13" s="195">
        <f t="shared" si="3"/>
        <v>501</v>
      </c>
      <c r="S13" s="195">
        <f t="shared" si="11"/>
        <v>198.05</v>
      </c>
    </row>
    <row r="14" spans="1:19" ht="39.950000000000003" customHeight="1">
      <c r="A14" s="177">
        <f t="shared" si="12"/>
        <v>44903</v>
      </c>
      <c r="B14" s="16"/>
      <c r="C14" s="71">
        <v>95766</v>
      </c>
      <c r="D14" s="73">
        <f t="shared" si="4"/>
        <v>148</v>
      </c>
      <c r="E14" s="71">
        <v>156549</v>
      </c>
      <c r="F14" s="73">
        <f t="shared" si="5"/>
        <v>382</v>
      </c>
      <c r="G14" s="81">
        <v>648.43200000000002</v>
      </c>
      <c r="H14" s="166">
        <f t="shared" si="6"/>
        <v>6.4320000000000164</v>
      </c>
      <c r="I14" s="197">
        <v>243</v>
      </c>
      <c r="J14" s="166">
        <f t="shared" si="7"/>
        <v>11</v>
      </c>
      <c r="K14" s="71">
        <v>55821</v>
      </c>
      <c r="L14" s="73">
        <f t="shared" si="2"/>
        <v>174</v>
      </c>
      <c r="M14" s="74">
        <f t="shared" si="8"/>
        <v>95.7</v>
      </c>
      <c r="N14" s="74">
        <f t="shared" si="9"/>
        <v>78.3</v>
      </c>
      <c r="O14" s="71">
        <v>56159</v>
      </c>
      <c r="P14" s="73">
        <f t="shared" si="10"/>
        <v>140</v>
      </c>
      <c r="R14" s="195">
        <f t="shared" si="3"/>
        <v>536.43200000000002</v>
      </c>
      <c r="S14" s="195">
        <f t="shared" si="11"/>
        <v>218.3</v>
      </c>
    </row>
    <row r="15" spans="1:19" ht="39.950000000000003" customHeight="1">
      <c r="A15" s="177">
        <f t="shared" si="12"/>
        <v>44904</v>
      </c>
      <c r="B15" s="16"/>
      <c r="C15" s="71">
        <v>95891</v>
      </c>
      <c r="D15" s="73">
        <f t="shared" si="4"/>
        <v>125</v>
      </c>
      <c r="E15" s="71">
        <v>156921</v>
      </c>
      <c r="F15" s="73">
        <f t="shared" si="5"/>
        <v>372</v>
      </c>
      <c r="G15" s="81">
        <v>652</v>
      </c>
      <c r="H15" s="166">
        <f t="shared" si="6"/>
        <v>3.5679999999999836</v>
      </c>
      <c r="I15" s="197">
        <v>254</v>
      </c>
      <c r="J15" s="166">
        <f t="shared" si="7"/>
        <v>11</v>
      </c>
      <c r="K15" s="71">
        <v>55992</v>
      </c>
      <c r="L15" s="73">
        <f t="shared" si="2"/>
        <v>171</v>
      </c>
      <c r="M15" s="74">
        <f t="shared" si="8"/>
        <v>94.050000000000011</v>
      </c>
      <c r="N15" s="74">
        <f t="shared" si="9"/>
        <v>76.95</v>
      </c>
      <c r="O15" s="71">
        <v>56286</v>
      </c>
      <c r="P15" s="73">
        <f t="shared" si="10"/>
        <v>127</v>
      </c>
      <c r="R15" s="195">
        <f t="shared" si="3"/>
        <v>500.56799999999998</v>
      </c>
      <c r="S15" s="195">
        <f t="shared" si="11"/>
        <v>203.95</v>
      </c>
    </row>
    <row r="16" spans="1:19" ht="39.950000000000003" customHeight="1">
      <c r="A16" s="177">
        <f t="shared" si="12"/>
        <v>44905</v>
      </c>
      <c r="B16" s="16"/>
      <c r="C16" s="81">
        <v>96043</v>
      </c>
      <c r="D16" s="73">
        <f t="shared" si="4"/>
        <v>152</v>
      </c>
      <c r="E16" s="81">
        <v>157312</v>
      </c>
      <c r="F16" s="73">
        <f t="shared" si="5"/>
        <v>391</v>
      </c>
      <c r="G16" s="81">
        <v>656</v>
      </c>
      <c r="H16" s="166">
        <f t="shared" si="6"/>
        <v>4</v>
      </c>
      <c r="I16" s="197">
        <v>265</v>
      </c>
      <c r="J16" s="166">
        <f t="shared" si="7"/>
        <v>11</v>
      </c>
      <c r="K16" s="71">
        <v>56154</v>
      </c>
      <c r="L16" s="73">
        <f t="shared" si="2"/>
        <v>162</v>
      </c>
      <c r="M16" s="74">
        <f t="shared" si="8"/>
        <v>89.100000000000009</v>
      </c>
      <c r="N16" s="74">
        <f t="shared" si="9"/>
        <v>72.900000000000006</v>
      </c>
      <c r="O16" s="71">
        <v>56424</v>
      </c>
      <c r="P16" s="73">
        <f t="shared" si="10"/>
        <v>138</v>
      </c>
      <c r="R16" s="195">
        <f t="shared" si="3"/>
        <v>547</v>
      </c>
      <c r="S16" s="195">
        <f t="shared" si="11"/>
        <v>210.9</v>
      </c>
    </row>
    <row r="17" spans="1:19" ht="39.950000000000003" customHeight="1">
      <c r="A17" s="177">
        <f t="shared" si="12"/>
        <v>44906</v>
      </c>
      <c r="B17" s="16"/>
      <c r="C17" s="71">
        <v>96194</v>
      </c>
      <c r="D17" s="73">
        <f t="shared" si="4"/>
        <v>151</v>
      </c>
      <c r="E17" s="71">
        <v>157713</v>
      </c>
      <c r="F17" s="73">
        <f t="shared" si="5"/>
        <v>401</v>
      </c>
      <c r="G17" s="81">
        <v>660</v>
      </c>
      <c r="H17" s="166">
        <f t="shared" si="6"/>
        <v>4</v>
      </c>
      <c r="I17" s="197">
        <v>276</v>
      </c>
      <c r="J17" s="166">
        <f t="shared" si="7"/>
        <v>11</v>
      </c>
      <c r="K17" s="71">
        <v>56357</v>
      </c>
      <c r="L17" s="73">
        <f t="shared" si="2"/>
        <v>203</v>
      </c>
      <c r="M17" s="74">
        <f t="shared" si="8"/>
        <v>111.65</v>
      </c>
      <c r="N17" s="74">
        <f t="shared" si="9"/>
        <v>91.350000000000009</v>
      </c>
      <c r="O17" s="71">
        <v>56563</v>
      </c>
      <c r="P17" s="73">
        <f t="shared" si="10"/>
        <v>139</v>
      </c>
      <c r="R17" s="195">
        <f t="shared" si="3"/>
        <v>556</v>
      </c>
      <c r="S17" s="195">
        <f t="shared" si="11"/>
        <v>230.35000000000002</v>
      </c>
    </row>
    <row r="18" spans="1:19" ht="39.950000000000003" customHeight="1">
      <c r="A18" s="177">
        <f t="shared" si="12"/>
        <v>44907</v>
      </c>
      <c r="B18" s="16"/>
      <c r="C18" s="71">
        <v>96339</v>
      </c>
      <c r="D18" s="73">
        <f t="shared" si="4"/>
        <v>145</v>
      </c>
      <c r="E18" s="71">
        <v>158107</v>
      </c>
      <c r="F18" s="73">
        <f t="shared" si="5"/>
        <v>394</v>
      </c>
      <c r="G18" s="81">
        <v>664</v>
      </c>
      <c r="H18" s="166">
        <f t="shared" si="6"/>
        <v>4</v>
      </c>
      <c r="I18" s="197">
        <v>287</v>
      </c>
      <c r="J18" s="166">
        <f t="shared" si="7"/>
        <v>11</v>
      </c>
      <c r="K18" s="71">
        <v>56536</v>
      </c>
      <c r="L18" s="73">
        <f t="shared" si="2"/>
        <v>179</v>
      </c>
      <c r="M18" s="74">
        <f t="shared" si="8"/>
        <v>98.45</v>
      </c>
      <c r="N18" s="74">
        <f t="shared" si="9"/>
        <v>80.55</v>
      </c>
      <c r="O18" s="71">
        <v>56690</v>
      </c>
      <c r="P18" s="73">
        <f t="shared" si="10"/>
        <v>127</v>
      </c>
      <c r="R18" s="195">
        <f t="shared" si="3"/>
        <v>543</v>
      </c>
      <c r="S18" s="195">
        <f t="shared" si="11"/>
        <v>207.55</v>
      </c>
    </row>
    <row r="19" spans="1:19" s="77" customFormat="1" ht="39.950000000000003" customHeight="1">
      <c r="A19" s="177">
        <f t="shared" si="12"/>
        <v>44908</v>
      </c>
      <c r="B19" s="79"/>
      <c r="C19" s="71">
        <v>96475</v>
      </c>
      <c r="D19" s="73">
        <f t="shared" si="4"/>
        <v>136</v>
      </c>
      <c r="E19" s="71">
        <v>158454</v>
      </c>
      <c r="F19" s="73">
        <f t="shared" si="5"/>
        <v>347</v>
      </c>
      <c r="G19" s="81">
        <v>668</v>
      </c>
      <c r="H19" s="166">
        <f t="shared" si="6"/>
        <v>4</v>
      </c>
      <c r="I19" s="197">
        <f>(I20+I18)/2</f>
        <v>298.27499999999998</v>
      </c>
      <c r="J19" s="166">
        <f t="shared" si="7"/>
        <v>11.274999999999977</v>
      </c>
      <c r="K19" s="71">
        <v>56725</v>
      </c>
      <c r="L19" s="73">
        <f t="shared" si="2"/>
        <v>189</v>
      </c>
      <c r="M19" s="74">
        <f t="shared" si="8"/>
        <v>103.95</v>
      </c>
      <c r="N19" s="74">
        <f t="shared" si="9"/>
        <v>85.05</v>
      </c>
      <c r="O19" s="71">
        <v>56823</v>
      </c>
      <c r="P19" s="73">
        <f t="shared" si="10"/>
        <v>133</v>
      </c>
      <c r="R19" s="195">
        <f t="shared" si="3"/>
        <v>487</v>
      </c>
      <c r="S19" s="195">
        <f t="shared" si="11"/>
        <v>218.05</v>
      </c>
    </row>
    <row r="20" spans="1:19" s="77" customFormat="1" ht="39.950000000000003" customHeight="1">
      <c r="A20" s="177">
        <f t="shared" si="12"/>
        <v>44909</v>
      </c>
      <c r="B20" s="79"/>
      <c r="C20" s="71">
        <v>96605</v>
      </c>
      <c r="D20" s="73">
        <f t="shared" si="4"/>
        <v>130</v>
      </c>
      <c r="E20" s="71">
        <v>158825</v>
      </c>
      <c r="F20" s="73">
        <f t="shared" si="5"/>
        <v>371</v>
      </c>
      <c r="G20" s="81">
        <v>671</v>
      </c>
      <c r="H20" s="166">
        <f t="shared" si="6"/>
        <v>3</v>
      </c>
      <c r="I20" s="197">
        <v>309.55</v>
      </c>
      <c r="J20" s="166">
        <f t="shared" si="7"/>
        <v>11.275000000000034</v>
      </c>
      <c r="K20" s="71">
        <v>56893</v>
      </c>
      <c r="L20" s="73">
        <f t="shared" si="2"/>
        <v>168</v>
      </c>
      <c r="M20" s="74">
        <f t="shared" si="8"/>
        <v>92.4</v>
      </c>
      <c r="N20" s="74">
        <f t="shared" si="9"/>
        <v>75.600000000000009</v>
      </c>
      <c r="O20" s="71">
        <v>56971</v>
      </c>
      <c r="P20" s="73">
        <f t="shared" si="10"/>
        <v>148</v>
      </c>
      <c r="R20" s="195">
        <f t="shared" si="3"/>
        <v>504</v>
      </c>
      <c r="S20" s="195">
        <f t="shared" si="11"/>
        <v>223.60000000000002</v>
      </c>
    </row>
    <row r="21" spans="1:19" s="77" customFormat="1" ht="39.950000000000003" customHeight="1">
      <c r="A21" s="177">
        <f t="shared" si="12"/>
        <v>44910</v>
      </c>
      <c r="B21" s="79"/>
      <c r="C21" s="72">
        <v>96721</v>
      </c>
      <c r="D21" s="73">
        <f t="shared" si="4"/>
        <v>116</v>
      </c>
      <c r="E21" s="72">
        <v>159207</v>
      </c>
      <c r="F21" s="73">
        <f t="shared" si="5"/>
        <v>382</v>
      </c>
      <c r="G21" s="80">
        <v>674.97199999999998</v>
      </c>
      <c r="H21" s="166">
        <f t="shared" si="6"/>
        <v>3.97199999999998</v>
      </c>
      <c r="I21" s="197">
        <f>(I22+I20)/2</f>
        <v>313.88337849999999</v>
      </c>
      <c r="J21" s="166">
        <f t="shared" si="7"/>
        <v>4.3333784999999807</v>
      </c>
      <c r="K21" s="72">
        <v>57061</v>
      </c>
      <c r="L21" s="73">
        <f t="shared" si="2"/>
        <v>168</v>
      </c>
      <c r="M21" s="74">
        <f t="shared" si="8"/>
        <v>92.4</v>
      </c>
      <c r="N21" s="74">
        <f t="shared" si="9"/>
        <v>75.600000000000009</v>
      </c>
      <c r="O21" s="72">
        <v>57107</v>
      </c>
      <c r="P21" s="73">
        <f t="shared" si="10"/>
        <v>136</v>
      </c>
      <c r="R21" s="195">
        <f t="shared" si="3"/>
        <v>501.97199999999998</v>
      </c>
      <c r="S21" s="195">
        <f t="shared" si="11"/>
        <v>211.60000000000002</v>
      </c>
    </row>
    <row r="22" spans="1:19" s="77" customFormat="1" ht="39.950000000000003" customHeight="1">
      <c r="A22" s="177">
        <f t="shared" si="12"/>
        <v>44911</v>
      </c>
      <c r="B22" s="79"/>
      <c r="C22" s="72">
        <v>96854</v>
      </c>
      <c r="D22" s="73">
        <f t="shared" si="4"/>
        <v>133</v>
      </c>
      <c r="E22" s="72">
        <v>159612</v>
      </c>
      <c r="F22" s="73">
        <f t="shared" si="5"/>
        <v>405</v>
      </c>
      <c r="G22" s="80">
        <v>677.34</v>
      </c>
      <c r="H22" s="166">
        <f t="shared" si="6"/>
        <v>2.3680000000000518</v>
      </c>
      <c r="I22" s="197">
        <v>318.21675699999997</v>
      </c>
      <c r="J22" s="166">
        <f t="shared" si="7"/>
        <v>4.3333784999999807</v>
      </c>
      <c r="K22" s="72">
        <v>57217</v>
      </c>
      <c r="L22" s="73">
        <f t="shared" si="2"/>
        <v>156</v>
      </c>
      <c r="M22" s="74">
        <f t="shared" si="8"/>
        <v>85.800000000000011</v>
      </c>
      <c r="N22" s="74">
        <f t="shared" si="9"/>
        <v>70.2</v>
      </c>
      <c r="O22" s="72">
        <v>57257</v>
      </c>
      <c r="P22" s="73">
        <f t="shared" si="10"/>
        <v>150</v>
      </c>
      <c r="R22" s="195">
        <f t="shared" si="3"/>
        <v>540.36800000000005</v>
      </c>
      <c r="S22" s="195">
        <f t="shared" si="11"/>
        <v>220.2</v>
      </c>
    </row>
    <row r="23" spans="1:19" s="77" customFormat="1" ht="39.950000000000003" customHeight="1">
      <c r="A23" s="177">
        <f t="shared" si="12"/>
        <v>44912</v>
      </c>
      <c r="B23" s="79"/>
      <c r="C23" s="72">
        <v>96994</v>
      </c>
      <c r="D23" s="73">
        <f t="shared" si="4"/>
        <v>140</v>
      </c>
      <c r="E23" s="72">
        <v>160019</v>
      </c>
      <c r="F23" s="73">
        <f t="shared" si="5"/>
        <v>407</v>
      </c>
      <c r="G23" s="80">
        <v>678.18209999999999</v>
      </c>
      <c r="H23" s="166">
        <f t="shared" si="6"/>
        <v>0.84209999999995944</v>
      </c>
      <c r="I23" s="197">
        <v>318.46757000000002</v>
      </c>
      <c r="J23" s="166">
        <f t="shared" si="7"/>
        <v>0.25081300000005058</v>
      </c>
      <c r="K23" s="72">
        <v>57363</v>
      </c>
      <c r="L23" s="73">
        <f t="shared" si="2"/>
        <v>146</v>
      </c>
      <c r="M23" s="74">
        <f t="shared" si="8"/>
        <v>80.300000000000011</v>
      </c>
      <c r="N23" s="74">
        <f t="shared" si="9"/>
        <v>65.7</v>
      </c>
      <c r="O23" s="72">
        <v>57388</v>
      </c>
      <c r="P23" s="73">
        <f t="shared" si="10"/>
        <v>131</v>
      </c>
      <c r="R23" s="195">
        <f t="shared" si="3"/>
        <v>547.84209999999996</v>
      </c>
      <c r="S23" s="195">
        <f t="shared" si="11"/>
        <v>196.7</v>
      </c>
    </row>
    <row r="24" spans="1:19" s="77" customFormat="1" ht="39.950000000000003" customHeight="1">
      <c r="A24" s="177">
        <f t="shared" si="12"/>
        <v>44913</v>
      </c>
      <c r="B24" s="79"/>
      <c r="C24" s="72">
        <v>97188</v>
      </c>
      <c r="D24" s="73">
        <f t="shared" si="4"/>
        <v>194</v>
      </c>
      <c r="E24" s="72">
        <v>160463</v>
      </c>
      <c r="F24" s="73">
        <f t="shared" si="5"/>
        <v>444</v>
      </c>
      <c r="G24" s="80">
        <v>682</v>
      </c>
      <c r="H24" s="166">
        <f t="shared" si="6"/>
        <v>3.8179000000000087</v>
      </c>
      <c r="I24" s="197">
        <f>(I25+I23)/2</f>
        <v>357.683785</v>
      </c>
      <c r="J24" s="166">
        <f t="shared" si="7"/>
        <v>39.216214999999977</v>
      </c>
      <c r="K24" s="72">
        <v>57552</v>
      </c>
      <c r="L24" s="73">
        <f t="shared" si="2"/>
        <v>189</v>
      </c>
      <c r="M24" s="74">
        <f t="shared" si="8"/>
        <v>103.95</v>
      </c>
      <c r="N24" s="74">
        <f t="shared" si="9"/>
        <v>85.05</v>
      </c>
      <c r="O24" s="72">
        <v>57534</v>
      </c>
      <c r="P24" s="73">
        <f t="shared" si="10"/>
        <v>146</v>
      </c>
      <c r="R24" s="195">
        <f t="shared" si="3"/>
        <v>641.81790000000001</v>
      </c>
      <c r="S24" s="195">
        <f t="shared" si="11"/>
        <v>231.05</v>
      </c>
    </row>
    <row r="25" spans="1:19" s="77" customFormat="1" ht="39.950000000000003" customHeight="1">
      <c r="A25" s="177">
        <f t="shared" si="12"/>
        <v>44914</v>
      </c>
      <c r="B25" s="79"/>
      <c r="C25" s="72">
        <v>97342</v>
      </c>
      <c r="D25" s="73">
        <f t="shared" si="4"/>
        <v>154</v>
      </c>
      <c r="E25" s="72">
        <v>160864</v>
      </c>
      <c r="F25" s="73">
        <f t="shared" si="5"/>
        <v>401</v>
      </c>
      <c r="G25" s="80">
        <v>686</v>
      </c>
      <c r="H25" s="166">
        <f t="shared" si="6"/>
        <v>4</v>
      </c>
      <c r="I25" s="197">
        <v>396.9</v>
      </c>
      <c r="J25" s="166">
        <f t="shared" si="7"/>
        <v>39.216214999999977</v>
      </c>
      <c r="K25" s="72">
        <v>57722</v>
      </c>
      <c r="L25" s="73">
        <f t="shared" si="2"/>
        <v>170</v>
      </c>
      <c r="M25" s="74">
        <f t="shared" si="8"/>
        <v>93.500000000000014</v>
      </c>
      <c r="N25" s="74">
        <f t="shared" si="9"/>
        <v>76.5</v>
      </c>
      <c r="O25" s="72">
        <v>57663</v>
      </c>
      <c r="P25" s="73">
        <f t="shared" si="10"/>
        <v>129</v>
      </c>
      <c r="R25" s="195">
        <f t="shared" si="3"/>
        <v>559</v>
      </c>
      <c r="S25" s="195">
        <f t="shared" si="11"/>
        <v>205.5</v>
      </c>
    </row>
    <row r="26" spans="1:19" ht="39.950000000000003" customHeight="1">
      <c r="A26" s="177">
        <f t="shared" si="12"/>
        <v>44915</v>
      </c>
      <c r="B26" s="79"/>
      <c r="C26" s="72">
        <v>97491</v>
      </c>
      <c r="D26" s="73">
        <f t="shared" si="4"/>
        <v>149</v>
      </c>
      <c r="E26" s="72">
        <v>161205</v>
      </c>
      <c r="F26" s="73">
        <f t="shared" si="5"/>
        <v>341</v>
      </c>
      <c r="G26" s="80">
        <v>690</v>
      </c>
      <c r="H26" s="166">
        <f t="shared" si="6"/>
        <v>4</v>
      </c>
      <c r="I26" s="197">
        <v>402.2</v>
      </c>
      <c r="J26" s="166">
        <f t="shared" si="7"/>
        <v>5.3000000000000114</v>
      </c>
      <c r="K26" s="72">
        <v>57930</v>
      </c>
      <c r="L26" s="73">
        <f t="shared" si="2"/>
        <v>208</v>
      </c>
      <c r="M26" s="74">
        <f t="shared" si="8"/>
        <v>114.4</v>
      </c>
      <c r="N26" s="74">
        <f t="shared" si="9"/>
        <v>93.600000000000009</v>
      </c>
      <c r="O26" s="72">
        <v>57796</v>
      </c>
      <c r="P26" s="73">
        <f t="shared" si="10"/>
        <v>133</v>
      </c>
      <c r="R26" s="195">
        <f t="shared" si="3"/>
        <v>494</v>
      </c>
      <c r="S26" s="195">
        <f t="shared" si="11"/>
        <v>226.60000000000002</v>
      </c>
    </row>
    <row r="27" spans="1:19" ht="39.950000000000003" customHeight="1">
      <c r="A27" s="177">
        <f t="shared" si="12"/>
        <v>44916</v>
      </c>
      <c r="B27" s="79"/>
      <c r="C27" s="72">
        <v>97636</v>
      </c>
      <c r="D27" s="73">
        <f t="shared" si="4"/>
        <v>145</v>
      </c>
      <c r="E27" s="72">
        <v>161553</v>
      </c>
      <c r="F27" s="73">
        <f t="shared" si="5"/>
        <v>348</v>
      </c>
      <c r="G27" s="80">
        <v>696</v>
      </c>
      <c r="H27" s="166">
        <f t="shared" si="6"/>
        <v>6</v>
      </c>
      <c r="I27" s="197">
        <v>414.7</v>
      </c>
      <c r="J27" s="166">
        <f t="shared" si="7"/>
        <v>12.5</v>
      </c>
      <c r="K27" s="72">
        <v>58083</v>
      </c>
      <c r="L27" s="73">
        <f t="shared" si="2"/>
        <v>153</v>
      </c>
      <c r="M27" s="74">
        <f t="shared" si="8"/>
        <v>84.15</v>
      </c>
      <c r="N27" s="74">
        <f t="shared" si="9"/>
        <v>68.850000000000009</v>
      </c>
      <c r="O27" s="72">
        <v>57922</v>
      </c>
      <c r="P27" s="73">
        <f t="shared" si="10"/>
        <v>126</v>
      </c>
      <c r="R27" s="195">
        <f t="shared" si="3"/>
        <v>499</v>
      </c>
      <c r="S27" s="195">
        <f t="shared" si="11"/>
        <v>194.85000000000002</v>
      </c>
    </row>
    <row r="28" spans="1:19" ht="39.950000000000003" customHeight="1">
      <c r="A28" s="177">
        <f t="shared" si="12"/>
        <v>44917</v>
      </c>
      <c r="B28" s="79"/>
      <c r="C28" s="72">
        <v>97788</v>
      </c>
      <c r="D28" s="73">
        <f t="shared" si="4"/>
        <v>152</v>
      </c>
      <c r="E28" s="72">
        <v>161926</v>
      </c>
      <c r="F28" s="73">
        <f t="shared" si="5"/>
        <v>373</v>
      </c>
      <c r="G28" s="80">
        <v>701.79</v>
      </c>
      <c r="H28" s="166">
        <f t="shared" si="6"/>
        <v>5.7899999999999636</v>
      </c>
      <c r="I28" s="197">
        <v>423.8</v>
      </c>
      <c r="J28" s="166">
        <f t="shared" si="7"/>
        <v>9.1000000000000227</v>
      </c>
      <c r="K28" s="72">
        <v>58248</v>
      </c>
      <c r="L28" s="73">
        <f t="shared" si="2"/>
        <v>165</v>
      </c>
      <c r="M28" s="74">
        <f t="shared" si="8"/>
        <v>90.750000000000014</v>
      </c>
      <c r="N28" s="74">
        <f t="shared" si="9"/>
        <v>74.25</v>
      </c>
      <c r="O28" s="72">
        <v>58127</v>
      </c>
      <c r="P28" s="73">
        <f t="shared" si="10"/>
        <v>205</v>
      </c>
      <c r="R28" s="195">
        <f t="shared" si="3"/>
        <v>530.79</v>
      </c>
      <c r="S28" s="195">
        <f t="shared" si="11"/>
        <v>279.25</v>
      </c>
    </row>
    <row r="29" spans="1:19" ht="39.950000000000003" customHeight="1">
      <c r="A29" s="177">
        <f t="shared" si="12"/>
        <v>44918</v>
      </c>
      <c r="B29" s="79"/>
      <c r="C29" s="72">
        <v>97954</v>
      </c>
      <c r="D29" s="73">
        <f t="shared" si="4"/>
        <v>166</v>
      </c>
      <c r="E29" s="72">
        <v>162328</v>
      </c>
      <c r="F29" s="73">
        <f t="shared" si="5"/>
        <v>402</v>
      </c>
      <c r="G29" s="80">
        <v>706.03399999999999</v>
      </c>
      <c r="H29" s="166">
        <f t="shared" si="6"/>
        <v>4.2440000000000282</v>
      </c>
      <c r="I29" s="197">
        <v>435.3</v>
      </c>
      <c r="J29" s="166">
        <f t="shared" si="7"/>
        <v>11.5</v>
      </c>
      <c r="K29" s="72">
        <v>58431</v>
      </c>
      <c r="L29" s="73">
        <f t="shared" si="2"/>
        <v>183</v>
      </c>
      <c r="M29" s="74">
        <f t="shared" si="8"/>
        <v>100.65</v>
      </c>
      <c r="N29" s="74">
        <f t="shared" si="9"/>
        <v>82.350000000000009</v>
      </c>
      <c r="O29" s="72">
        <v>58269</v>
      </c>
      <c r="P29" s="73">
        <f t="shared" si="10"/>
        <v>142</v>
      </c>
      <c r="R29" s="195">
        <f t="shared" si="3"/>
        <v>572.24400000000003</v>
      </c>
      <c r="S29" s="195">
        <f t="shared" si="11"/>
        <v>224.35000000000002</v>
      </c>
    </row>
    <row r="30" spans="1:19" ht="39.950000000000003" customHeight="1">
      <c r="A30" s="177">
        <f t="shared" si="12"/>
        <v>44919</v>
      </c>
      <c r="B30" s="79"/>
      <c r="C30" s="72">
        <v>98129</v>
      </c>
      <c r="D30" s="73">
        <f t="shared" si="4"/>
        <v>175</v>
      </c>
      <c r="E30" s="72">
        <v>162742</v>
      </c>
      <c r="F30" s="73">
        <f t="shared" si="5"/>
        <v>414</v>
      </c>
      <c r="G30" s="80">
        <v>710.4</v>
      </c>
      <c r="H30" s="166">
        <f t="shared" si="6"/>
        <v>4.3659999999999854</v>
      </c>
      <c r="I30" s="197">
        <v>442.9</v>
      </c>
      <c r="J30" s="166">
        <f t="shared" si="7"/>
        <v>7.5999999999999659</v>
      </c>
      <c r="K30" s="72">
        <v>58585</v>
      </c>
      <c r="L30" s="73">
        <f t="shared" si="2"/>
        <v>154</v>
      </c>
      <c r="M30" s="74">
        <f t="shared" si="8"/>
        <v>84.7</v>
      </c>
      <c r="N30" s="74">
        <f t="shared" si="9"/>
        <v>69.3</v>
      </c>
      <c r="O30" s="72">
        <v>58395</v>
      </c>
      <c r="P30" s="73">
        <f t="shared" si="10"/>
        <v>126</v>
      </c>
      <c r="R30" s="195">
        <f t="shared" si="3"/>
        <v>593.36599999999999</v>
      </c>
      <c r="S30" s="195">
        <f t="shared" si="11"/>
        <v>195.3</v>
      </c>
    </row>
    <row r="31" spans="1:19" ht="39.950000000000003" customHeight="1">
      <c r="A31" s="177">
        <f t="shared" si="12"/>
        <v>44920</v>
      </c>
      <c r="B31" s="79"/>
      <c r="C31" s="72">
        <v>98288</v>
      </c>
      <c r="D31" s="73">
        <f t="shared" si="4"/>
        <v>159</v>
      </c>
      <c r="E31" s="72">
        <v>163145</v>
      </c>
      <c r="F31" s="73">
        <f t="shared" si="5"/>
        <v>403</v>
      </c>
      <c r="G31" s="80">
        <v>713</v>
      </c>
      <c r="H31" s="166">
        <f t="shared" si="6"/>
        <v>2.6000000000000227</v>
      </c>
      <c r="I31" s="197">
        <v>494</v>
      </c>
      <c r="J31" s="166">
        <f t="shared" si="7"/>
        <v>51.100000000000023</v>
      </c>
      <c r="K31" s="72">
        <v>58775</v>
      </c>
      <c r="L31" s="73">
        <f t="shared" si="2"/>
        <v>190</v>
      </c>
      <c r="M31" s="74">
        <f t="shared" si="8"/>
        <v>104.50000000000001</v>
      </c>
      <c r="N31" s="74">
        <f t="shared" si="9"/>
        <v>85.5</v>
      </c>
      <c r="O31" s="72">
        <v>58527</v>
      </c>
      <c r="P31" s="73">
        <f t="shared" si="10"/>
        <v>132</v>
      </c>
      <c r="R31" s="195">
        <f t="shared" si="3"/>
        <v>564.6</v>
      </c>
      <c r="S31" s="195">
        <f t="shared" si="11"/>
        <v>217.5</v>
      </c>
    </row>
    <row r="32" spans="1:19" ht="39.950000000000003" customHeight="1">
      <c r="A32" s="177">
        <f t="shared" si="12"/>
        <v>44921</v>
      </c>
      <c r="B32" s="79"/>
      <c r="C32" s="72">
        <v>98488</v>
      </c>
      <c r="D32" s="73">
        <f t="shared" si="4"/>
        <v>200</v>
      </c>
      <c r="E32" s="72">
        <v>163516</v>
      </c>
      <c r="F32" s="73">
        <f t="shared" si="5"/>
        <v>371</v>
      </c>
      <c r="G32" s="80">
        <v>717</v>
      </c>
      <c r="H32" s="166">
        <f t="shared" si="6"/>
        <v>4</v>
      </c>
      <c r="I32" s="197">
        <v>508</v>
      </c>
      <c r="J32" s="166">
        <f t="shared" si="7"/>
        <v>14</v>
      </c>
      <c r="K32" s="72">
        <v>58948</v>
      </c>
      <c r="L32" s="73">
        <f t="shared" si="2"/>
        <v>173</v>
      </c>
      <c r="M32" s="74">
        <f t="shared" si="8"/>
        <v>95.15</v>
      </c>
      <c r="N32" s="74">
        <f t="shared" si="9"/>
        <v>77.850000000000009</v>
      </c>
      <c r="O32" s="72">
        <v>58655</v>
      </c>
      <c r="P32" s="73">
        <f t="shared" si="10"/>
        <v>128</v>
      </c>
      <c r="R32" s="195">
        <f t="shared" si="3"/>
        <v>575</v>
      </c>
      <c r="S32" s="195">
        <f t="shared" si="11"/>
        <v>205.85000000000002</v>
      </c>
    </row>
    <row r="33" spans="1:19" ht="39.950000000000003" customHeight="1">
      <c r="A33" s="177">
        <f t="shared" si="12"/>
        <v>44922</v>
      </c>
      <c r="B33" s="79"/>
      <c r="C33" s="72">
        <v>98626</v>
      </c>
      <c r="D33" s="73">
        <f t="shared" si="4"/>
        <v>138</v>
      </c>
      <c r="E33" s="72">
        <v>163931</v>
      </c>
      <c r="F33" s="73">
        <f t="shared" si="5"/>
        <v>415</v>
      </c>
      <c r="G33" s="80">
        <v>721</v>
      </c>
      <c r="H33" s="166">
        <f t="shared" si="6"/>
        <v>4</v>
      </c>
      <c r="I33" s="197">
        <v>510</v>
      </c>
      <c r="J33" s="166">
        <f t="shared" si="7"/>
        <v>2</v>
      </c>
      <c r="K33" s="72">
        <v>59142</v>
      </c>
      <c r="L33" s="73">
        <f t="shared" si="2"/>
        <v>194</v>
      </c>
      <c r="M33" s="74">
        <f t="shared" si="8"/>
        <v>106.7</v>
      </c>
      <c r="N33" s="74">
        <f t="shared" si="9"/>
        <v>87.3</v>
      </c>
      <c r="O33" s="72">
        <v>58790</v>
      </c>
      <c r="P33" s="73">
        <f t="shared" si="10"/>
        <v>135</v>
      </c>
      <c r="R33" s="195">
        <f t="shared" si="3"/>
        <v>557</v>
      </c>
      <c r="S33" s="195">
        <f t="shared" si="11"/>
        <v>222.3</v>
      </c>
    </row>
    <row r="34" spans="1:19" ht="39.950000000000003" customHeight="1">
      <c r="A34" s="177">
        <f t="shared" si="12"/>
        <v>44923</v>
      </c>
      <c r="B34" s="79"/>
      <c r="C34" s="72">
        <v>98794</v>
      </c>
      <c r="D34" s="166">
        <f t="shared" si="4"/>
        <v>168</v>
      </c>
      <c r="E34" s="72">
        <v>164308</v>
      </c>
      <c r="F34" s="166">
        <f t="shared" si="5"/>
        <v>377</v>
      </c>
      <c r="G34" s="80">
        <v>723</v>
      </c>
      <c r="H34" s="166">
        <f t="shared" si="6"/>
        <v>2</v>
      </c>
      <c r="I34" s="197">
        <v>515</v>
      </c>
      <c r="J34" s="166">
        <f t="shared" si="7"/>
        <v>5</v>
      </c>
      <c r="K34" s="72">
        <v>59324</v>
      </c>
      <c r="L34" s="166">
        <f t="shared" si="2"/>
        <v>182</v>
      </c>
      <c r="M34" s="74">
        <f t="shared" si="8"/>
        <v>100.10000000000001</v>
      </c>
      <c r="N34" s="74">
        <f t="shared" si="9"/>
        <v>81.900000000000006</v>
      </c>
      <c r="O34" s="72">
        <v>58905</v>
      </c>
      <c r="P34" s="166">
        <f t="shared" si="10"/>
        <v>115</v>
      </c>
      <c r="R34" s="195">
        <f t="shared" si="3"/>
        <v>547</v>
      </c>
      <c r="S34" s="195">
        <f t="shared" si="11"/>
        <v>196.9</v>
      </c>
    </row>
    <row r="35" spans="1:19" ht="39.950000000000003" customHeight="1">
      <c r="A35" s="177">
        <f t="shared" si="12"/>
        <v>44924</v>
      </c>
      <c r="B35" s="79"/>
      <c r="C35" s="72">
        <v>99065</v>
      </c>
      <c r="D35" s="166">
        <f t="shared" si="4"/>
        <v>271</v>
      </c>
      <c r="E35" s="72">
        <v>164697</v>
      </c>
      <c r="F35" s="166">
        <f t="shared" si="5"/>
        <v>389</v>
      </c>
      <c r="G35" s="80">
        <v>727</v>
      </c>
      <c r="H35" s="166">
        <f t="shared" si="6"/>
        <v>4</v>
      </c>
      <c r="I35" s="197">
        <v>518</v>
      </c>
      <c r="J35" s="166">
        <f t="shared" si="7"/>
        <v>3</v>
      </c>
      <c r="K35" s="72">
        <v>59513</v>
      </c>
      <c r="L35" s="166">
        <f t="shared" si="2"/>
        <v>189</v>
      </c>
      <c r="M35" s="74">
        <f t="shared" si="8"/>
        <v>103.95</v>
      </c>
      <c r="N35" s="74">
        <f t="shared" si="9"/>
        <v>85.05</v>
      </c>
      <c r="O35" s="72">
        <v>59031</v>
      </c>
      <c r="P35" s="166">
        <f t="shared" si="10"/>
        <v>126</v>
      </c>
      <c r="R35" s="195">
        <f t="shared" si="3"/>
        <v>664</v>
      </c>
      <c r="S35" s="195">
        <f t="shared" ref="S35" si="13">SUM(N35,P35)</f>
        <v>211.05</v>
      </c>
    </row>
    <row r="36" spans="1:19" ht="39.950000000000003" customHeight="1">
      <c r="A36" s="177">
        <f t="shared" si="12"/>
        <v>44925</v>
      </c>
      <c r="B36" s="79"/>
      <c r="C36" s="80">
        <v>99176</v>
      </c>
      <c r="D36" s="166">
        <f>(C36-C34)</f>
        <v>382</v>
      </c>
      <c r="E36" s="80">
        <v>165108</v>
      </c>
      <c r="F36" s="166">
        <f>(E36-E34)</f>
        <v>800</v>
      </c>
      <c r="G36" s="80">
        <v>743</v>
      </c>
      <c r="H36" s="166">
        <f>(G36-G34)</f>
        <v>20</v>
      </c>
      <c r="I36" s="197">
        <v>520</v>
      </c>
      <c r="J36" s="166">
        <f>(I36-I34)</f>
        <v>5</v>
      </c>
      <c r="K36" s="80">
        <v>59696</v>
      </c>
      <c r="L36" s="166">
        <f>(K36-K34)</f>
        <v>372</v>
      </c>
      <c r="M36" s="74">
        <f t="shared" si="8"/>
        <v>204.60000000000002</v>
      </c>
      <c r="N36" s="74">
        <f t="shared" si="9"/>
        <v>167.4</v>
      </c>
      <c r="O36" s="80">
        <v>59172</v>
      </c>
      <c r="P36" s="166">
        <f>(O36-O34)</f>
        <v>267</v>
      </c>
      <c r="R36" s="195">
        <f>SUM(D36,F36,M99,H36)</f>
        <v>1202</v>
      </c>
      <c r="S36" s="195">
        <f t="shared" si="11"/>
        <v>434.4</v>
      </c>
    </row>
    <row r="37" spans="1:19" ht="39.950000000000003" customHeight="1">
      <c r="A37" s="177">
        <f t="shared" si="12"/>
        <v>44926</v>
      </c>
      <c r="B37" s="79"/>
      <c r="C37" s="80">
        <v>99343</v>
      </c>
      <c r="D37" s="166">
        <f>(C37-C35)</f>
        <v>278</v>
      </c>
      <c r="E37" s="80">
        <v>165490</v>
      </c>
      <c r="F37" s="166">
        <f>(E37-E35)</f>
        <v>793</v>
      </c>
      <c r="G37" s="80">
        <v>756</v>
      </c>
      <c r="H37" s="166">
        <f>(G37-G35)</f>
        <v>29</v>
      </c>
      <c r="I37" s="197">
        <v>521</v>
      </c>
      <c r="J37" s="166">
        <f>(I37-I35)</f>
        <v>3</v>
      </c>
      <c r="K37" s="80">
        <v>59865</v>
      </c>
      <c r="L37" s="166">
        <f>(K37-K35)</f>
        <v>352</v>
      </c>
      <c r="M37" s="74">
        <f t="shared" ref="M37" si="14">L37*55%</f>
        <v>193.60000000000002</v>
      </c>
      <c r="N37" s="74">
        <f t="shared" ref="N37" si="15">L37*45%</f>
        <v>158.4</v>
      </c>
      <c r="O37" s="80">
        <v>59299</v>
      </c>
      <c r="P37" s="166">
        <f>(O37-O35)</f>
        <v>268</v>
      </c>
      <c r="R37" s="195">
        <f>SUM(D37,F37,M100,H37)</f>
        <v>1100</v>
      </c>
      <c r="S37" s="195">
        <f t="shared" ref="S37" si="16">SUM(N37,P37)</f>
        <v>426.4</v>
      </c>
    </row>
    <row r="38" spans="1:19" s="20" customFormat="1" ht="39.950000000000003" customHeight="1">
      <c r="A38" s="17"/>
      <c r="D38" s="21">
        <f>SUM(D7:D36)</f>
        <v>5750</v>
      </c>
      <c r="F38" s="21">
        <f>SUM(F7:F36)</f>
        <v>11961</v>
      </c>
      <c r="H38" s="21">
        <f>SUM(H7:H36)</f>
        <v>131</v>
      </c>
      <c r="I38" s="194"/>
      <c r="J38" s="21">
        <f>SUM(J7:J36)</f>
        <v>362</v>
      </c>
      <c r="L38" s="21">
        <f>SUM(L7:L36)</f>
        <v>5426</v>
      </c>
      <c r="M38" s="21"/>
      <c r="N38" s="21"/>
      <c r="P38" s="21">
        <f>SUM(P7:P36)</f>
        <v>4230</v>
      </c>
    </row>
    <row r="39" spans="1:19" s="18" customFormat="1" ht="39.950000000000003" customHeight="1">
      <c r="A39" s="17"/>
      <c r="D39" s="19"/>
    </row>
    <row r="40" spans="1:19" s="18" customFormat="1" ht="39.950000000000003" customHeight="1">
      <c r="A40" s="17"/>
      <c r="D40" s="19"/>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29" activePane="bottomRight" state="frozen"/>
      <selection activeCell="V61" sqref="V61"/>
      <selection pane="topRight" activeCell="V61" sqref="V61"/>
      <selection pane="bottomLeft" activeCell="V61" sqref="V61"/>
      <selection pane="bottomRight" activeCell="BL31" sqref="BL31"/>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79"/>
      <c r="B1" s="179"/>
      <c r="C1" s="229" t="s">
        <v>66</v>
      </c>
      <c r="D1" s="229"/>
      <c r="E1" s="229"/>
      <c r="F1" s="229"/>
      <c r="G1" s="229" t="s">
        <v>65</v>
      </c>
      <c r="H1" s="229"/>
      <c r="I1" s="229" t="s">
        <v>65</v>
      </c>
      <c r="J1" s="229"/>
      <c r="K1" s="229" t="s">
        <v>65</v>
      </c>
      <c r="L1" s="229"/>
      <c r="M1" s="229" t="s">
        <v>65</v>
      </c>
      <c r="N1" s="229"/>
      <c r="O1" s="229" t="s">
        <v>65</v>
      </c>
      <c r="P1" s="229"/>
      <c r="Q1" s="215" t="s">
        <v>65</v>
      </c>
      <c r="R1" s="216"/>
      <c r="S1" s="215" t="s">
        <v>65</v>
      </c>
      <c r="T1" s="216"/>
      <c r="U1" s="215" t="s">
        <v>65</v>
      </c>
      <c r="V1" s="216"/>
      <c r="W1" s="215" t="s">
        <v>65</v>
      </c>
      <c r="X1" s="217"/>
      <c r="Y1" s="229" t="s">
        <v>65</v>
      </c>
      <c r="Z1" s="229"/>
      <c r="AA1" s="215" t="s">
        <v>65</v>
      </c>
      <c r="AB1" s="216"/>
      <c r="AC1" s="229" t="s">
        <v>65</v>
      </c>
      <c r="AD1" s="229"/>
      <c r="AE1" s="229" t="s">
        <v>65</v>
      </c>
      <c r="AF1" s="229"/>
      <c r="AG1" s="229" t="s">
        <v>65</v>
      </c>
      <c r="AH1" s="229"/>
      <c r="AI1" s="229" t="s">
        <v>65</v>
      </c>
      <c r="AJ1" s="229"/>
      <c r="AK1" s="229" t="s">
        <v>65</v>
      </c>
      <c r="AL1" s="229"/>
      <c r="AM1" s="229" t="s">
        <v>67</v>
      </c>
      <c r="AN1" s="229"/>
      <c r="AO1" s="229" t="s">
        <v>67</v>
      </c>
      <c r="AP1" s="229"/>
      <c r="AQ1" s="229" t="s">
        <v>67</v>
      </c>
      <c r="AR1" s="229"/>
      <c r="AS1" s="229" t="s">
        <v>67</v>
      </c>
      <c r="AT1" s="229"/>
      <c r="AU1" s="229" t="s">
        <v>67</v>
      </c>
      <c r="AV1" s="229"/>
      <c r="AW1" s="229" t="s">
        <v>67</v>
      </c>
      <c r="AX1" s="229"/>
      <c r="AY1" s="229" t="s">
        <v>67</v>
      </c>
      <c r="AZ1" s="229"/>
      <c r="BA1" s="229" t="s">
        <v>67</v>
      </c>
      <c r="BB1" s="229"/>
      <c r="BC1" s="229" t="s">
        <v>67</v>
      </c>
      <c r="BD1" s="229"/>
      <c r="BE1" s="229" t="s">
        <v>67</v>
      </c>
      <c r="BF1" s="229"/>
      <c r="BH1" s="31"/>
      <c r="BI1" s="31"/>
    </row>
    <row r="2" spans="1:61" s="23" customFormat="1" ht="75.75" customHeight="1">
      <c r="A2" s="47"/>
      <c r="B2" s="47"/>
      <c r="C2" s="248" t="s">
        <v>116</v>
      </c>
      <c r="D2" s="248"/>
      <c r="E2" s="248"/>
      <c r="F2" s="248"/>
      <c r="G2" s="248" t="s">
        <v>117</v>
      </c>
      <c r="H2" s="248"/>
      <c r="I2" s="248" t="s">
        <v>118</v>
      </c>
      <c r="J2" s="248"/>
      <c r="K2" s="248" t="s">
        <v>119</v>
      </c>
      <c r="L2" s="248"/>
      <c r="M2" s="248" t="s">
        <v>120</v>
      </c>
      <c r="N2" s="248"/>
      <c r="O2" s="246" t="s">
        <v>121</v>
      </c>
      <c r="P2" s="247"/>
      <c r="Q2" s="246" t="s">
        <v>122</v>
      </c>
      <c r="R2" s="247"/>
      <c r="S2" s="246" t="s">
        <v>123</v>
      </c>
      <c r="T2" s="247"/>
      <c r="U2" s="246" t="s">
        <v>124</v>
      </c>
      <c r="V2" s="247"/>
      <c r="W2" s="246" t="s">
        <v>125</v>
      </c>
      <c r="X2" s="249"/>
      <c r="Y2" s="248" t="s">
        <v>126</v>
      </c>
      <c r="Z2" s="248"/>
      <c r="AA2" s="246" t="s">
        <v>127</v>
      </c>
      <c r="AB2" s="247"/>
      <c r="AC2" s="248" t="s">
        <v>128</v>
      </c>
      <c r="AD2" s="248"/>
      <c r="AE2" s="248" t="s">
        <v>129</v>
      </c>
      <c r="AF2" s="248"/>
      <c r="AG2" s="248" t="s">
        <v>129</v>
      </c>
      <c r="AH2" s="248"/>
      <c r="AI2" s="248" t="s">
        <v>129</v>
      </c>
      <c r="AJ2" s="248"/>
      <c r="AK2" s="248" t="s">
        <v>129</v>
      </c>
      <c r="AL2" s="248"/>
      <c r="AM2" s="248" t="s">
        <v>130</v>
      </c>
      <c r="AN2" s="248"/>
      <c r="AO2" s="248" t="s">
        <v>131</v>
      </c>
      <c r="AP2" s="248"/>
      <c r="AQ2" s="248" t="s">
        <v>132</v>
      </c>
      <c r="AR2" s="248"/>
      <c r="AS2" s="248" t="s">
        <v>132</v>
      </c>
      <c r="AT2" s="248"/>
      <c r="AU2" s="248" t="s">
        <v>133</v>
      </c>
      <c r="AV2" s="248"/>
      <c r="AW2" s="248" t="s">
        <v>134</v>
      </c>
      <c r="AX2" s="248"/>
      <c r="AY2" s="248" t="s">
        <v>135</v>
      </c>
      <c r="AZ2" s="248"/>
      <c r="BA2" s="248" t="s">
        <v>135</v>
      </c>
      <c r="BB2" s="248"/>
      <c r="BC2" s="248" t="s">
        <v>136</v>
      </c>
      <c r="BD2" s="248"/>
      <c r="BE2" s="248" t="s">
        <v>136</v>
      </c>
      <c r="BF2" s="248"/>
      <c r="BH2" s="31"/>
      <c r="BI2" s="31"/>
    </row>
    <row r="3" spans="1:61" s="10" customFormat="1" ht="87.75" customHeight="1">
      <c r="A3" s="178"/>
      <c r="B3" s="178"/>
      <c r="C3" s="253" t="s">
        <v>137</v>
      </c>
      <c r="D3" s="254"/>
      <c r="E3" s="178" t="s">
        <v>65</v>
      </c>
      <c r="F3" s="179" t="s">
        <v>67</v>
      </c>
      <c r="G3" s="252" t="s">
        <v>138</v>
      </c>
      <c r="H3" s="251"/>
      <c r="I3" s="252" t="s">
        <v>138</v>
      </c>
      <c r="J3" s="251"/>
      <c r="K3" s="252" t="s">
        <v>138</v>
      </c>
      <c r="L3" s="251"/>
      <c r="M3" s="255" t="s">
        <v>139</v>
      </c>
      <c r="N3" s="256"/>
      <c r="O3" s="252" t="s">
        <v>138</v>
      </c>
      <c r="P3" s="251"/>
      <c r="Q3" s="252" t="s">
        <v>138</v>
      </c>
      <c r="R3" s="251"/>
      <c r="S3" s="259" t="s">
        <v>138</v>
      </c>
      <c r="T3" s="260"/>
      <c r="U3" s="252" t="s">
        <v>138</v>
      </c>
      <c r="V3" s="251"/>
      <c r="W3" s="252" t="s">
        <v>138</v>
      </c>
      <c r="X3" s="251"/>
      <c r="Y3" s="250" t="s">
        <v>140</v>
      </c>
      <c r="Z3" s="251"/>
      <c r="AA3" s="252" t="s">
        <v>141</v>
      </c>
      <c r="AB3" s="251"/>
      <c r="AC3" s="252" t="s">
        <v>142</v>
      </c>
      <c r="AD3" s="251"/>
      <c r="AE3" s="252" t="s">
        <v>142</v>
      </c>
      <c r="AF3" s="251"/>
      <c r="AG3" s="250" t="s">
        <v>143</v>
      </c>
      <c r="AH3" s="251"/>
      <c r="AI3" s="252" t="s">
        <v>144</v>
      </c>
      <c r="AJ3" s="251"/>
      <c r="AK3" s="250" t="s">
        <v>145</v>
      </c>
      <c r="AL3" s="251"/>
      <c r="AM3" s="252" t="s">
        <v>146</v>
      </c>
      <c r="AN3" s="251"/>
      <c r="AO3" s="252" t="s">
        <v>146</v>
      </c>
      <c r="AP3" s="251"/>
      <c r="AQ3" s="250" t="s">
        <v>147</v>
      </c>
      <c r="AR3" s="251"/>
      <c r="AS3" s="252" t="s">
        <v>148</v>
      </c>
      <c r="AT3" s="251"/>
      <c r="AU3" s="250" t="s">
        <v>149</v>
      </c>
      <c r="AV3" s="251"/>
      <c r="AW3" s="250" t="s">
        <v>149</v>
      </c>
      <c r="AX3" s="251"/>
      <c r="AY3" s="252" t="s">
        <v>144</v>
      </c>
      <c r="AZ3" s="251"/>
      <c r="BA3" s="250" t="s">
        <v>145</v>
      </c>
      <c r="BB3" s="251"/>
      <c r="BC3" s="252" t="s">
        <v>144</v>
      </c>
      <c r="BD3" s="251"/>
      <c r="BE3" s="250" t="s">
        <v>145</v>
      </c>
      <c r="BF3" s="251"/>
      <c r="BH3" s="31"/>
      <c r="BI3" s="31"/>
    </row>
    <row r="4" spans="1:61" s="23" customFormat="1" ht="50.1" customHeight="1">
      <c r="A4" s="178"/>
      <c r="B4" s="47"/>
      <c r="C4" s="221" t="s">
        <v>150</v>
      </c>
      <c r="D4" s="223"/>
      <c r="E4" s="257" t="s">
        <v>151</v>
      </c>
      <c r="F4" s="258"/>
      <c r="G4" s="221" t="s">
        <v>152</v>
      </c>
      <c r="H4" s="223"/>
      <c r="I4" s="221" t="s">
        <v>153</v>
      </c>
      <c r="J4" s="223"/>
      <c r="K4" s="221" t="s">
        <v>154</v>
      </c>
      <c r="L4" s="223"/>
      <c r="M4" s="221">
        <v>7092801222</v>
      </c>
      <c r="N4" s="223"/>
      <c r="O4" s="221" t="s">
        <v>155</v>
      </c>
      <c r="P4" s="222"/>
      <c r="Q4" s="221" t="s">
        <v>156</v>
      </c>
      <c r="R4" s="222"/>
      <c r="S4" s="221" t="s">
        <v>157</v>
      </c>
      <c r="T4" s="222"/>
      <c r="U4" s="221" t="s">
        <v>158</v>
      </c>
      <c r="V4" s="222"/>
      <c r="W4" s="221" t="s">
        <v>159</v>
      </c>
      <c r="X4" s="223"/>
      <c r="Y4" s="221" t="s">
        <v>160</v>
      </c>
      <c r="Z4" s="223"/>
      <c r="AA4" s="221" t="s">
        <v>161</v>
      </c>
      <c r="AB4" s="222"/>
      <c r="AC4" s="221" t="s">
        <v>162</v>
      </c>
      <c r="AD4" s="223"/>
      <c r="AE4" s="221" t="s">
        <v>163</v>
      </c>
      <c r="AF4" s="223"/>
      <c r="AG4" s="221" t="s">
        <v>164</v>
      </c>
      <c r="AH4" s="223"/>
      <c r="AI4" s="221">
        <v>7105826734</v>
      </c>
      <c r="AJ4" s="223"/>
      <c r="AK4" s="221">
        <v>7105825932</v>
      </c>
      <c r="AL4" s="223"/>
      <c r="AM4" s="221" t="s">
        <v>165</v>
      </c>
      <c r="AN4" s="223"/>
      <c r="AO4" s="221" t="s">
        <v>166</v>
      </c>
      <c r="AP4" s="223"/>
      <c r="AQ4" s="221" t="s">
        <v>167</v>
      </c>
      <c r="AR4" s="223"/>
      <c r="AS4" s="221" t="s">
        <v>168</v>
      </c>
      <c r="AT4" s="223"/>
      <c r="AU4" s="221" t="s">
        <v>169</v>
      </c>
      <c r="AV4" s="223"/>
      <c r="AW4" s="221" t="s">
        <v>170</v>
      </c>
      <c r="AX4" s="223"/>
      <c r="AY4" s="221">
        <v>7111912486</v>
      </c>
      <c r="AZ4" s="223"/>
      <c r="BA4" s="221">
        <v>7111911842</v>
      </c>
      <c r="BB4" s="223"/>
      <c r="BC4" s="221">
        <v>7111913281</v>
      </c>
      <c r="BD4" s="223"/>
      <c r="BE4" s="221">
        <v>7111912723</v>
      </c>
      <c r="BF4" s="223"/>
      <c r="BH4" s="233" t="s">
        <v>81</v>
      </c>
      <c r="BI4" s="233"/>
    </row>
    <row r="5" spans="1:61" s="23" customFormat="1" ht="50.1" customHeight="1">
      <c r="A5" s="47" t="s">
        <v>171</v>
      </c>
      <c r="B5" s="47"/>
      <c r="C5" s="221" t="s">
        <v>172</v>
      </c>
      <c r="D5" s="223"/>
      <c r="E5" s="29">
        <v>0.6</v>
      </c>
      <c r="F5" s="29">
        <v>0.4</v>
      </c>
      <c r="G5" s="221" t="s">
        <v>173</v>
      </c>
      <c r="H5" s="223"/>
      <c r="I5" s="221" t="s">
        <v>174</v>
      </c>
      <c r="J5" s="223"/>
      <c r="K5" s="221" t="s">
        <v>175</v>
      </c>
      <c r="L5" s="223"/>
      <c r="M5" s="221" t="s">
        <v>176</v>
      </c>
      <c r="N5" s="223"/>
      <c r="O5" s="221" t="s">
        <v>177</v>
      </c>
      <c r="P5" s="222"/>
      <c r="Q5" s="221" t="s">
        <v>178</v>
      </c>
      <c r="R5" s="222"/>
      <c r="S5" s="221" t="s">
        <v>179</v>
      </c>
      <c r="T5" s="222"/>
      <c r="U5" s="221" t="s">
        <v>180</v>
      </c>
      <c r="V5" s="222"/>
      <c r="W5" s="221" t="s">
        <v>181</v>
      </c>
      <c r="X5" s="223"/>
      <c r="Y5" s="221" t="s">
        <v>182</v>
      </c>
      <c r="Z5" s="223"/>
      <c r="AA5" s="221" t="s">
        <v>183</v>
      </c>
      <c r="AB5" s="222"/>
      <c r="AC5" s="221" t="s">
        <v>184</v>
      </c>
      <c r="AD5" s="223"/>
      <c r="AE5" s="221" t="s">
        <v>185</v>
      </c>
      <c r="AF5" s="223"/>
      <c r="AG5" s="221" t="s">
        <v>186</v>
      </c>
      <c r="AH5" s="223"/>
      <c r="AI5" s="221" t="s">
        <v>187</v>
      </c>
      <c r="AJ5" s="223"/>
      <c r="AK5" s="221" t="s">
        <v>188</v>
      </c>
      <c r="AL5" s="223"/>
      <c r="AM5" s="221" t="s">
        <v>189</v>
      </c>
      <c r="AN5" s="223"/>
      <c r="AO5" s="221" t="s">
        <v>190</v>
      </c>
      <c r="AP5" s="223"/>
      <c r="AQ5" s="221" t="s">
        <v>191</v>
      </c>
      <c r="AR5" s="223"/>
      <c r="AS5" s="221" t="s">
        <v>192</v>
      </c>
      <c r="AT5" s="223"/>
      <c r="AU5" s="221" t="s">
        <v>193</v>
      </c>
      <c r="AV5" s="223"/>
      <c r="AW5" s="221" t="s">
        <v>194</v>
      </c>
      <c r="AX5" s="223"/>
      <c r="AY5" s="221">
        <v>744483</v>
      </c>
      <c r="AZ5" s="223"/>
      <c r="BA5" s="221">
        <v>119314</v>
      </c>
      <c r="BB5" s="223"/>
      <c r="BC5" s="221">
        <v>1053229</v>
      </c>
      <c r="BD5" s="223"/>
      <c r="BE5" s="221">
        <v>1053215</v>
      </c>
      <c r="BF5" s="223"/>
      <c r="BH5" s="233"/>
      <c r="BI5" s="233"/>
    </row>
    <row r="6" spans="1:61" s="8" customFormat="1" ht="30" customHeight="1">
      <c r="A6" s="178" t="s">
        <v>96</v>
      </c>
      <c r="B6" s="48"/>
      <c r="C6" s="213"/>
      <c r="D6" s="214"/>
      <c r="E6" s="78"/>
      <c r="F6" s="180"/>
      <c r="G6" s="178"/>
      <c r="H6" s="48"/>
      <c r="I6" s="213"/>
      <c r="J6" s="214"/>
      <c r="K6" s="213"/>
      <c r="L6" s="214"/>
      <c r="M6" s="213"/>
      <c r="N6" s="214"/>
      <c r="O6" s="213"/>
      <c r="P6" s="227"/>
      <c r="Q6" s="213"/>
      <c r="R6" s="227"/>
      <c r="S6" s="213"/>
      <c r="T6" s="227"/>
      <c r="U6" s="213"/>
      <c r="V6" s="227"/>
      <c r="W6" s="213"/>
      <c r="X6" s="214"/>
      <c r="Y6" s="213"/>
      <c r="Z6" s="214"/>
      <c r="AA6" s="213"/>
      <c r="AB6" s="227"/>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1"/>
      <c r="BI6" s="31"/>
    </row>
    <row r="7" spans="1:61" s="10" customFormat="1" ht="50.1" customHeight="1">
      <c r="A7" s="178" t="s">
        <v>99</v>
      </c>
      <c r="B7" s="178"/>
      <c r="C7" s="182" t="s">
        <v>114</v>
      </c>
      <c r="D7" s="182" t="s">
        <v>195</v>
      </c>
      <c r="E7" s="182" t="s">
        <v>195</v>
      </c>
      <c r="F7" s="182" t="s">
        <v>195</v>
      </c>
      <c r="G7" s="182" t="s">
        <v>114</v>
      </c>
      <c r="H7" s="182" t="s">
        <v>195</v>
      </c>
      <c r="I7" s="182" t="s">
        <v>114</v>
      </c>
      <c r="J7" s="182" t="s">
        <v>195</v>
      </c>
      <c r="K7" s="182" t="s">
        <v>114</v>
      </c>
      <c r="L7" s="182" t="s">
        <v>195</v>
      </c>
      <c r="M7" s="182" t="s">
        <v>114</v>
      </c>
      <c r="N7" s="182" t="s">
        <v>195</v>
      </c>
      <c r="O7" s="182" t="s">
        <v>114</v>
      </c>
      <c r="P7" s="182" t="s">
        <v>195</v>
      </c>
      <c r="Q7" s="182" t="s">
        <v>114</v>
      </c>
      <c r="R7" s="182" t="s">
        <v>195</v>
      </c>
      <c r="S7" s="182" t="s">
        <v>114</v>
      </c>
      <c r="T7" s="182" t="s">
        <v>195</v>
      </c>
      <c r="U7" s="182" t="s">
        <v>114</v>
      </c>
      <c r="V7" s="182" t="s">
        <v>195</v>
      </c>
      <c r="W7" s="182" t="s">
        <v>114</v>
      </c>
      <c r="X7" s="182" t="s">
        <v>195</v>
      </c>
      <c r="Y7" s="182" t="s">
        <v>114</v>
      </c>
      <c r="Z7" s="182" t="s">
        <v>195</v>
      </c>
      <c r="AA7" s="182" t="s">
        <v>114</v>
      </c>
      <c r="AB7" s="182" t="s">
        <v>195</v>
      </c>
      <c r="AC7" s="182" t="s">
        <v>114</v>
      </c>
      <c r="AD7" s="182" t="s">
        <v>195</v>
      </c>
      <c r="AE7" s="13" t="s">
        <v>114</v>
      </c>
      <c r="AF7" s="182" t="s">
        <v>195</v>
      </c>
      <c r="AG7" s="13" t="s">
        <v>114</v>
      </c>
      <c r="AH7" s="182" t="s">
        <v>195</v>
      </c>
      <c r="AI7" s="13" t="s">
        <v>114</v>
      </c>
      <c r="AJ7" s="182" t="s">
        <v>195</v>
      </c>
      <c r="AK7" s="13" t="s">
        <v>114</v>
      </c>
      <c r="AL7" s="182" t="s">
        <v>195</v>
      </c>
      <c r="AM7" s="13" t="s">
        <v>114</v>
      </c>
      <c r="AN7" s="182" t="s">
        <v>195</v>
      </c>
      <c r="AO7" s="13" t="s">
        <v>114</v>
      </c>
      <c r="AP7" s="182" t="s">
        <v>195</v>
      </c>
      <c r="AQ7" s="13" t="s">
        <v>114</v>
      </c>
      <c r="AR7" s="182" t="s">
        <v>195</v>
      </c>
      <c r="AS7" s="13" t="s">
        <v>114</v>
      </c>
      <c r="AT7" s="182" t="s">
        <v>195</v>
      </c>
      <c r="AU7" s="13" t="s">
        <v>114</v>
      </c>
      <c r="AV7" s="182" t="s">
        <v>195</v>
      </c>
      <c r="AW7" s="13" t="s">
        <v>114</v>
      </c>
      <c r="AX7" s="182" t="s">
        <v>195</v>
      </c>
      <c r="AY7" s="13" t="s">
        <v>114</v>
      </c>
      <c r="AZ7" s="182" t="s">
        <v>195</v>
      </c>
      <c r="BA7" s="13" t="s">
        <v>114</v>
      </c>
      <c r="BB7" s="182" t="s">
        <v>195</v>
      </c>
      <c r="BC7" s="13" t="s">
        <v>114</v>
      </c>
      <c r="BD7" s="182" t="s">
        <v>195</v>
      </c>
      <c r="BE7" s="13" t="s">
        <v>114</v>
      </c>
      <c r="BF7" s="182" t="s">
        <v>195</v>
      </c>
      <c r="BH7" s="178" t="s">
        <v>65</v>
      </c>
      <c r="BI7" s="178" t="s">
        <v>67</v>
      </c>
    </row>
    <row r="8" spans="1:61" s="34" customFormat="1" ht="39.950000000000003" customHeight="1">
      <c r="A8" s="177">
        <v>44895</v>
      </c>
      <c r="B8" s="33"/>
      <c r="C8" s="76">
        <v>7347555</v>
      </c>
      <c r="D8" s="100"/>
      <c r="E8" s="101">
        <v>70156.800000000003</v>
      </c>
      <c r="F8" s="100"/>
      <c r="G8" s="76">
        <v>303240</v>
      </c>
      <c r="H8" s="100"/>
      <c r="I8" s="76">
        <v>218990</v>
      </c>
      <c r="J8" s="100"/>
      <c r="K8" s="76">
        <v>276941</v>
      </c>
      <c r="L8" s="100"/>
      <c r="M8" s="76">
        <v>25731</v>
      </c>
      <c r="N8" s="100"/>
      <c r="O8" s="76">
        <v>368135</v>
      </c>
      <c r="P8" s="100"/>
      <c r="Q8" s="76">
        <v>491673</v>
      </c>
      <c r="R8" s="100"/>
      <c r="S8" s="76">
        <v>790448</v>
      </c>
      <c r="T8" s="100"/>
      <c r="U8" s="80">
        <v>8673.4009999999998</v>
      </c>
      <c r="V8" s="100"/>
      <c r="W8" s="76">
        <v>87726</v>
      </c>
      <c r="X8" s="100"/>
      <c r="Y8" s="76">
        <v>1533466</v>
      </c>
      <c r="Z8" s="100"/>
      <c r="AA8" s="76">
        <v>13886</v>
      </c>
      <c r="AB8" s="100"/>
      <c r="AC8" s="76">
        <v>525953</v>
      </c>
      <c r="AD8" s="100"/>
      <c r="AE8" s="76">
        <v>597581</v>
      </c>
      <c r="AF8" s="100"/>
      <c r="AG8" s="76">
        <v>49813</v>
      </c>
      <c r="AH8" s="100"/>
      <c r="AI8" s="76">
        <v>464956</v>
      </c>
      <c r="AJ8" s="100"/>
      <c r="AK8" s="76">
        <v>102770</v>
      </c>
      <c r="AL8" s="100"/>
      <c r="AM8" s="76">
        <v>631230</v>
      </c>
      <c r="AN8" s="100"/>
      <c r="AO8" s="76">
        <v>24218</v>
      </c>
      <c r="AP8" s="100"/>
      <c r="AQ8" s="76">
        <v>168</v>
      </c>
      <c r="AR8" s="100"/>
      <c r="AS8" s="76">
        <v>2465</v>
      </c>
      <c r="AT8" s="100"/>
      <c r="AU8" s="76">
        <v>939</v>
      </c>
      <c r="AV8" s="100"/>
      <c r="AW8" s="76">
        <v>3110</v>
      </c>
      <c r="AX8" s="100"/>
      <c r="AY8" s="76">
        <v>365369</v>
      </c>
      <c r="AZ8" s="100"/>
      <c r="BA8" s="75">
        <v>161101</v>
      </c>
      <c r="BB8" s="100"/>
      <c r="BC8" s="76">
        <v>246072</v>
      </c>
      <c r="BD8" s="100"/>
      <c r="BE8" s="76">
        <v>5350</v>
      </c>
      <c r="BF8" s="100"/>
      <c r="BH8" s="102"/>
      <c r="BI8" s="102"/>
    </row>
    <row r="9" spans="1:61" s="27" customFormat="1" ht="39.950000000000003" customHeight="1">
      <c r="A9" s="177">
        <v>44896</v>
      </c>
      <c r="B9" s="26"/>
      <c r="C9" s="76">
        <v>7350656</v>
      </c>
      <c r="D9" s="36">
        <f t="shared" ref="D9:D11" si="0">(+C9-+C8)*48</f>
        <v>148848</v>
      </c>
      <c r="E9" s="101">
        <f>D9*E5</f>
        <v>89308.800000000003</v>
      </c>
      <c r="F9" s="100">
        <f>D9*F5</f>
        <v>59539.200000000004</v>
      </c>
      <c r="G9" s="76">
        <v>303279</v>
      </c>
      <c r="H9" s="36">
        <f t="shared" ref="H9:N38" si="1">(+G9-+G8)*48</f>
        <v>1872</v>
      </c>
      <c r="I9" s="76">
        <v>219160</v>
      </c>
      <c r="J9" s="36">
        <f t="shared" si="1"/>
        <v>8160</v>
      </c>
      <c r="K9" s="76">
        <v>276989</v>
      </c>
      <c r="L9" s="36">
        <f t="shared" si="1"/>
        <v>2304</v>
      </c>
      <c r="M9" s="76">
        <v>25731</v>
      </c>
      <c r="N9" s="36">
        <f>(+M9-+M8)*48</f>
        <v>0</v>
      </c>
      <c r="O9" s="76">
        <v>368335</v>
      </c>
      <c r="P9" s="36">
        <f>(+O9-+O8)*48</f>
        <v>9600</v>
      </c>
      <c r="Q9" s="76">
        <v>491759</v>
      </c>
      <c r="R9" s="36">
        <f>(+Q9-+Q8)*48</f>
        <v>4128</v>
      </c>
      <c r="S9" s="76">
        <v>790627</v>
      </c>
      <c r="T9" s="36">
        <f>(+S9-+S8)*48</f>
        <v>8592</v>
      </c>
      <c r="U9" s="80">
        <v>8697</v>
      </c>
      <c r="V9" s="100">
        <f>(+U9-+U8)*48</f>
        <v>1132.7520000000077</v>
      </c>
      <c r="W9" s="76">
        <v>87744</v>
      </c>
      <c r="X9" s="36">
        <f>(+W9-+W8)*48</f>
        <v>864</v>
      </c>
      <c r="Y9" s="76">
        <v>1533609</v>
      </c>
      <c r="Z9" s="36">
        <f>(+Y9-+Y8)*48</f>
        <v>6864</v>
      </c>
      <c r="AA9" s="76">
        <v>13887</v>
      </c>
      <c r="AB9" s="36">
        <f>(+AA9-+AA8)*48</f>
        <v>48</v>
      </c>
      <c r="AC9" s="76">
        <v>526108</v>
      </c>
      <c r="AD9" s="36">
        <f>(+AC9-+AC8)*48</f>
        <v>7440</v>
      </c>
      <c r="AE9" s="76">
        <v>597739</v>
      </c>
      <c r="AF9" s="36">
        <f>(+AE9-+AE8)*48</f>
        <v>7584</v>
      </c>
      <c r="AG9" s="76">
        <v>49813</v>
      </c>
      <c r="AH9" s="36">
        <f>(+AG9-+AG8)*48</f>
        <v>0</v>
      </c>
      <c r="AI9" s="76">
        <v>465061</v>
      </c>
      <c r="AJ9" s="36">
        <f>(+AI9-+AI8)*48</f>
        <v>5040</v>
      </c>
      <c r="AK9" s="76">
        <v>102770</v>
      </c>
      <c r="AL9" s="36">
        <f>(+AK9-+AK8)*48</f>
        <v>0</v>
      </c>
      <c r="AM9" s="76">
        <v>631350</v>
      </c>
      <c r="AN9" s="36">
        <f>(+AM9-+AM8)*48</f>
        <v>5760</v>
      </c>
      <c r="AO9" s="76">
        <v>24349</v>
      </c>
      <c r="AP9" s="36">
        <f>(+AO9-+AO8)*48</f>
        <v>6288</v>
      </c>
      <c r="AQ9" s="76">
        <v>296</v>
      </c>
      <c r="AR9" s="36">
        <f>(+AQ9-+AQ8)*48</f>
        <v>6144</v>
      </c>
      <c r="AS9" s="76">
        <v>2465</v>
      </c>
      <c r="AT9" s="36">
        <f>(+AS9-+AS8)*48</f>
        <v>0</v>
      </c>
      <c r="AU9" s="76">
        <v>939</v>
      </c>
      <c r="AV9" s="36">
        <f>(+AU9-+AU8)*48</f>
        <v>0</v>
      </c>
      <c r="AW9" s="76">
        <v>3110</v>
      </c>
      <c r="AX9" s="36">
        <f>(+AW9-+AW8)*48</f>
        <v>0</v>
      </c>
      <c r="AY9" s="76">
        <v>365462</v>
      </c>
      <c r="AZ9" s="36">
        <f>(+AY9-+AY8)*48</f>
        <v>4464</v>
      </c>
      <c r="BA9" s="75">
        <v>161101</v>
      </c>
      <c r="BB9" s="36">
        <f>(+BA9-+BA8)*48</f>
        <v>0</v>
      </c>
      <c r="BC9" s="76">
        <v>246138</v>
      </c>
      <c r="BD9" s="36">
        <f>(+BC9-+BC8)*48</f>
        <v>3168</v>
      </c>
      <c r="BE9" s="76">
        <v>5350</v>
      </c>
      <c r="BF9" s="36">
        <f>(+BE9-+BE8)*48</f>
        <v>0</v>
      </c>
      <c r="BH9" s="102">
        <f t="shared" ref="BH9:BH38" si="2">SUM(E9,J9,P9,H9,L9,R9,T9,V9,X9,N9,AB9,Z9,AD9,AF9,AH9,AL9,AJ9)</f>
        <v>152937.55200000003</v>
      </c>
      <c r="BI9" s="102">
        <f t="shared" ref="BI9:BI38" si="3">SUM(F9,AN9,AP9,AT9,AV9,AX9,AR9,AZ9,BB9,BD9,BF9)</f>
        <v>85363.200000000012</v>
      </c>
    </row>
    <row r="10" spans="1:61" s="27" customFormat="1" ht="39.950000000000003" customHeight="1">
      <c r="A10" s="177">
        <f>SUM(A9+1)</f>
        <v>44897</v>
      </c>
      <c r="B10" s="26"/>
      <c r="C10" s="76">
        <v>7354254</v>
      </c>
      <c r="D10" s="36">
        <f t="shared" si="0"/>
        <v>172704</v>
      </c>
      <c r="E10" s="101">
        <f>D10*E5</f>
        <v>103622.39999999999</v>
      </c>
      <c r="F10" s="100">
        <f>D10*F5</f>
        <v>69081.600000000006</v>
      </c>
      <c r="G10" s="76">
        <v>303317</v>
      </c>
      <c r="H10" s="36">
        <f t="shared" si="1"/>
        <v>1824</v>
      </c>
      <c r="I10" s="76">
        <v>219330</v>
      </c>
      <c r="J10" s="36">
        <f t="shared" si="1"/>
        <v>8160</v>
      </c>
      <c r="K10" s="76">
        <v>277059</v>
      </c>
      <c r="L10" s="36">
        <f t="shared" si="1"/>
        <v>3360</v>
      </c>
      <c r="M10" s="76">
        <v>25731</v>
      </c>
      <c r="N10" s="36">
        <f t="shared" ref="N10" si="4">(+M10-+M8)*48</f>
        <v>0</v>
      </c>
      <c r="O10" s="76">
        <v>368515</v>
      </c>
      <c r="P10" s="36">
        <f>(+O10-+O9)*48</f>
        <v>8640</v>
      </c>
      <c r="Q10" s="76">
        <v>491840</v>
      </c>
      <c r="R10" s="36">
        <f>(+Q10-+Q9)*48</f>
        <v>3888</v>
      </c>
      <c r="S10" s="76">
        <v>790836</v>
      </c>
      <c r="T10" s="36">
        <f>(+S10-+S9)*48</f>
        <v>10032</v>
      </c>
      <c r="U10" s="80">
        <v>8716</v>
      </c>
      <c r="V10" s="100">
        <f>(+U10-+U9)*48</f>
        <v>912</v>
      </c>
      <c r="W10" s="76">
        <v>87750</v>
      </c>
      <c r="X10" s="36">
        <f>(+W10-+W9)*48</f>
        <v>288</v>
      </c>
      <c r="Y10" s="76">
        <v>1533843</v>
      </c>
      <c r="Z10" s="36">
        <f>(+Y10-+Y9)*48</f>
        <v>11232</v>
      </c>
      <c r="AA10" s="76">
        <v>13902</v>
      </c>
      <c r="AB10" s="36">
        <f>(+AA10-+AA9)*48</f>
        <v>720</v>
      </c>
      <c r="AC10" s="76">
        <v>526270</v>
      </c>
      <c r="AD10" s="36">
        <f>(+AC10-+AC9)*48</f>
        <v>7776</v>
      </c>
      <c r="AE10" s="76">
        <v>597871</v>
      </c>
      <c r="AF10" s="36">
        <f>(+AE10-+AE9)*48</f>
        <v>6336</v>
      </c>
      <c r="AG10" s="76">
        <v>49813</v>
      </c>
      <c r="AH10" s="36">
        <f>(+AG10-+AG9)*48</f>
        <v>0</v>
      </c>
      <c r="AI10" s="76">
        <v>465163</v>
      </c>
      <c r="AJ10" s="36">
        <f>(+AI10-+AI9)*48</f>
        <v>4896</v>
      </c>
      <c r="AK10" s="76">
        <v>102770</v>
      </c>
      <c r="AL10" s="36">
        <f>(+AK10-+AK9)*48</f>
        <v>0</v>
      </c>
      <c r="AM10" s="76">
        <v>631453</v>
      </c>
      <c r="AN10" s="36">
        <f>(+AM10-+AM9)*48</f>
        <v>4944</v>
      </c>
      <c r="AO10" s="76">
        <v>24450</v>
      </c>
      <c r="AP10" s="36">
        <f>(+AO10-+AO9)*48</f>
        <v>4848</v>
      </c>
      <c r="AQ10" s="76">
        <v>510</v>
      </c>
      <c r="AR10" s="36">
        <f>(+AQ10-+AQ9)*48</f>
        <v>10272</v>
      </c>
      <c r="AS10" s="76">
        <v>2467</v>
      </c>
      <c r="AT10" s="36">
        <f>(+AS10-+AS9)*48</f>
        <v>96</v>
      </c>
      <c r="AU10" s="76">
        <v>939</v>
      </c>
      <c r="AV10" s="36">
        <f>(+AU10-+AU9)*48</f>
        <v>0</v>
      </c>
      <c r="AW10" s="76">
        <v>3110</v>
      </c>
      <c r="AX10" s="36">
        <f>(+AW10-+AW9)*48</f>
        <v>0</v>
      </c>
      <c r="AY10" s="76">
        <v>365570</v>
      </c>
      <c r="AZ10" s="36">
        <f>(+AY10-+AY9)*48</f>
        <v>5184</v>
      </c>
      <c r="BA10" s="75">
        <v>161101</v>
      </c>
      <c r="BB10" s="36">
        <f>(+BA10-+BA9)*48</f>
        <v>0</v>
      </c>
      <c r="BC10" s="76">
        <v>246208</v>
      </c>
      <c r="BD10" s="36">
        <f>(+BC10-+BC9)*48</f>
        <v>3360</v>
      </c>
      <c r="BE10" s="76">
        <v>5350</v>
      </c>
      <c r="BF10" s="36">
        <f>(+BE10-+BE9)*48</f>
        <v>0</v>
      </c>
      <c r="BH10" s="102">
        <f t="shared" ref="BH10" si="5">SUM(E10,J10,P10,H10,L10,R10,T10,V10,X10,N10,AB10,Z10,AD10,AF10,AH10,AL10,AJ10)</f>
        <v>171686.39999999999</v>
      </c>
      <c r="BI10" s="102">
        <f t="shared" ref="BI10" si="6">SUM(F10,AN10,AP10,AT10,AV10,AX10,AR10,AZ10,BB10,BD10,BF10)</f>
        <v>97785.600000000006</v>
      </c>
    </row>
    <row r="11" spans="1:61" s="34" customFormat="1" ht="39.950000000000003" customHeight="1">
      <c r="A11" s="177">
        <f t="shared" ref="A11:A39" si="7">SUM(A10+1)</f>
        <v>44898</v>
      </c>
      <c r="B11" s="33"/>
      <c r="C11" s="75">
        <v>7358000</v>
      </c>
      <c r="D11" s="36">
        <f t="shared" si="0"/>
        <v>179808</v>
      </c>
      <c r="E11" s="101">
        <f>D11*E5</f>
        <v>107884.8</v>
      </c>
      <c r="F11" s="100">
        <f>D11*F5</f>
        <v>71923.199999999997</v>
      </c>
      <c r="G11" s="75">
        <v>303378</v>
      </c>
      <c r="H11" s="36">
        <f t="shared" si="1"/>
        <v>2928</v>
      </c>
      <c r="I11" s="75">
        <v>219501</v>
      </c>
      <c r="J11" s="36">
        <f t="shared" si="1"/>
        <v>8208</v>
      </c>
      <c r="K11" s="75">
        <v>277141</v>
      </c>
      <c r="L11" s="36">
        <f t="shared" si="1"/>
        <v>3936</v>
      </c>
      <c r="M11" s="76">
        <v>25731</v>
      </c>
      <c r="N11" s="36">
        <f>(+M11-+M9)*48</f>
        <v>0</v>
      </c>
      <c r="O11" s="75">
        <v>368679</v>
      </c>
      <c r="P11" s="36">
        <f>(+O11-+O9)*48</f>
        <v>16512</v>
      </c>
      <c r="Q11" s="75">
        <v>491907</v>
      </c>
      <c r="R11" s="36">
        <f>(+Q11-+Q9)*48</f>
        <v>7104</v>
      </c>
      <c r="S11" s="75">
        <v>791054</v>
      </c>
      <c r="T11" s="36">
        <f>(+S11-+S9)*48</f>
        <v>20496</v>
      </c>
      <c r="U11" s="75">
        <v>8741</v>
      </c>
      <c r="V11" s="100">
        <f>(+U11-+U9)*48</f>
        <v>2112</v>
      </c>
      <c r="W11" s="75">
        <v>87763</v>
      </c>
      <c r="X11" s="36">
        <f t="shared" ref="X11:X38" si="8">(+W11-+W10)*48</f>
        <v>624</v>
      </c>
      <c r="Y11" s="75">
        <v>1534045</v>
      </c>
      <c r="Z11" s="36">
        <f>(+Y11-+Y9)*48</f>
        <v>20928</v>
      </c>
      <c r="AA11" s="76">
        <v>13906</v>
      </c>
      <c r="AB11" s="36">
        <f>(+AA11-+AA9)*48</f>
        <v>912</v>
      </c>
      <c r="AC11" s="75">
        <v>526415</v>
      </c>
      <c r="AD11" s="36">
        <f t="shared" ref="AD11:AF37" si="9">(+AC11-+AC10)*48</f>
        <v>6960</v>
      </c>
      <c r="AE11" s="75">
        <v>597991</v>
      </c>
      <c r="AF11" s="36">
        <f t="shared" si="9"/>
        <v>5760</v>
      </c>
      <c r="AG11" s="76">
        <v>49813</v>
      </c>
      <c r="AH11" s="36">
        <f>(+AG11-+AG9)*48</f>
        <v>0</v>
      </c>
      <c r="AI11" s="75">
        <v>465270</v>
      </c>
      <c r="AJ11" s="36">
        <f t="shared" ref="AJ11:AJ38" si="10">(+AI11-+AI10)*48</f>
        <v>5136</v>
      </c>
      <c r="AK11" s="76">
        <v>102770</v>
      </c>
      <c r="AL11" s="36">
        <f>(+AK11-+AK9)*48</f>
        <v>0</v>
      </c>
      <c r="AM11" s="75">
        <v>631582</v>
      </c>
      <c r="AN11" s="36">
        <f t="shared" ref="AN11:AN38" si="11">(+AM11-+AM10)*48</f>
        <v>6192</v>
      </c>
      <c r="AO11" s="75">
        <v>24543</v>
      </c>
      <c r="AP11" s="36">
        <f t="shared" ref="AP11:AP38" si="12">(+AO11-+AO10)*48</f>
        <v>4464</v>
      </c>
      <c r="AQ11" s="75">
        <v>647</v>
      </c>
      <c r="AR11" s="36">
        <f t="shared" ref="AR11:AR14" si="13">(+AQ11-+AQ10)*48</f>
        <v>6576</v>
      </c>
      <c r="AS11" s="76">
        <v>2467</v>
      </c>
      <c r="AT11" s="36">
        <f>(+AS11-+AS9)*48</f>
        <v>96</v>
      </c>
      <c r="AU11" s="76">
        <v>939</v>
      </c>
      <c r="AV11" s="36">
        <f>(+AU11-+AU9)*48</f>
        <v>0</v>
      </c>
      <c r="AW11" s="76">
        <v>3110</v>
      </c>
      <c r="AX11" s="36">
        <f>(+AW11-+AW9)*48</f>
        <v>0</v>
      </c>
      <c r="AY11" s="75">
        <v>365673</v>
      </c>
      <c r="AZ11" s="36">
        <f t="shared" ref="AZ11:AZ26" si="14">(+AY11-+AY10)*48</f>
        <v>4944</v>
      </c>
      <c r="BA11" s="75">
        <v>161101</v>
      </c>
      <c r="BB11" s="36">
        <f>(+BA11-+BA9)*48</f>
        <v>0</v>
      </c>
      <c r="BC11" s="75">
        <v>246275</v>
      </c>
      <c r="BD11" s="36">
        <f>(+BC11-+BC9)*48</f>
        <v>6576</v>
      </c>
      <c r="BE11" s="76">
        <v>5350</v>
      </c>
      <c r="BF11" s="36">
        <f>(+BE11-+BE9)*48</f>
        <v>0</v>
      </c>
      <c r="BH11" s="102">
        <f t="shared" si="2"/>
        <v>209500.79999999999</v>
      </c>
      <c r="BI11" s="102">
        <f t="shared" si="3"/>
        <v>100771.2</v>
      </c>
    </row>
    <row r="12" spans="1:61" s="34" customFormat="1" ht="39.950000000000003" customHeight="1">
      <c r="A12" s="177">
        <f t="shared" si="7"/>
        <v>44899</v>
      </c>
      <c r="B12" s="33"/>
      <c r="C12" s="76">
        <v>7361645</v>
      </c>
      <c r="D12" s="36">
        <f t="shared" ref="D12:D38" si="15">(+C12-+C11)*48</f>
        <v>174960</v>
      </c>
      <c r="E12" s="101">
        <f>D12*E5</f>
        <v>104976</v>
      </c>
      <c r="F12" s="100">
        <f>D12*F5</f>
        <v>69984</v>
      </c>
      <c r="G12" s="76">
        <v>303454</v>
      </c>
      <c r="H12" s="36">
        <f t="shared" si="1"/>
        <v>3648</v>
      </c>
      <c r="I12" s="76">
        <v>219683</v>
      </c>
      <c r="J12" s="36">
        <f t="shared" si="1"/>
        <v>8736</v>
      </c>
      <c r="K12" s="76">
        <v>277258</v>
      </c>
      <c r="L12" s="36">
        <f t="shared" si="1"/>
        <v>5616</v>
      </c>
      <c r="M12" s="76">
        <v>25737</v>
      </c>
      <c r="N12" s="36">
        <f t="shared" si="1"/>
        <v>288</v>
      </c>
      <c r="O12" s="76">
        <v>368903</v>
      </c>
      <c r="P12" s="36">
        <f t="shared" ref="P12:P38" si="16">(+O12-+O11)*48</f>
        <v>10752</v>
      </c>
      <c r="Q12" s="76">
        <v>492022</v>
      </c>
      <c r="R12" s="36">
        <f t="shared" ref="R12:R38" si="17">(+Q12-+Q11)*48</f>
        <v>5520</v>
      </c>
      <c r="S12" s="76">
        <v>791241</v>
      </c>
      <c r="T12" s="36">
        <f t="shared" ref="T12:T38" si="18">(+S12-+S11)*48</f>
        <v>8976</v>
      </c>
      <c r="U12" s="80">
        <v>8760</v>
      </c>
      <c r="V12" s="100">
        <f t="shared" ref="V12:V14" si="19">(+U12-+U11)*48</f>
        <v>912</v>
      </c>
      <c r="W12" s="76">
        <v>87771</v>
      </c>
      <c r="X12" s="36">
        <f t="shared" si="8"/>
        <v>384</v>
      </c>
      <c r="Y12" s="75">
        <v>1534250</v>
      </c>
      <c r="Z12" s="36">
        <f t="shared" ref="Z12:Z35" si="20">(+Y12-+Y11)*48</f>
        <v>9840</v>
      </c>
      <c r="AA12" s="76">
        <v>13907</v>
      </c>
      <c r="AB12" s="36">
        <f t="shared" ref="AB12:AB38" si="21">(+AA12-+AA11)*48</f>
        <v>48</v>
      </c>
      <c r="AC12" s="76">
        <v>526583</v>
      </c>
      <c r="AD12" s="36">
        <f t="shared" si="9"/>
        <v>8064</v>
      </c>
      <c r="AE12" s="76">
        <v>598150</v>
      </c>
      <c r="AF12" s="36">
        <f t="shared" si="9"/>
        <v>7632</v>
      </c>
      <c r="AG12" s="76">
        <v>49813</v>
      </c>
      <c r="AH12" s="36">
        <f t="shared" ref="AH12:AH37" si="22">(+AG12-+AG11)*48</f>
        <v>0</v>
      </c>
      <c r="AI12" s="76">
        <v>465390</v>
      </c>
      <c r="AJ12" s="36">
        <f t="shared" si="10"/>
        <v>5760</v>
      </c>
      <c r="AK12" s="76">
        <v>102770</v>
      </c>
      <c r="AL12" s="36">
        <f t="shared" ref="AL12:AL38" si="23">(+AK12-+AK11)*48</f>
        <v>0</v>
      </c>
      <c r="AM12" s="76">
        <v>631690</v>
      </c>
      <c r="AN12" s="36">
        <f t="shared" si="11"/>
        <v>5184</v>
      </c>
      <c r="AO12" s="76">
        <v>24672</v>
      </c>
      <c r="AP12" s="36">
        <f t="shared" si="12"/>
        <v>6192</v>
      </c>
      <c r="AQ12" s="76">
        <v>825</v>
      </c>
      <c r="AR12" s="36">
        <f t="shared" si="13"/>
        <v>8544</v>
      </c>
      <c r="AS12" s="76">
        <v>2470</v>
      </c>
      <c r="AT12" s="36">
        <f>(+AS12-+AS10)*48</f>
        <v>144</v>
      </c>
      <c r="AU12" s="76">
        <v>939</v>
      </c>
      <c r="AV12" s="36">
        <f>(+AU12-+AU11)*48</f>
        <v>0</v>
      </c>
      <c r="AW12" s="76">
        <v>3110</v>
      </c>
      <c r="AX12" s="36">
        <f t="shared" ref="AX12:AX33" si="24">(+AW12-+AW11)*48</f>
        <v>0</v>
      </c>
      <c r="AY12" s="76">
        <v>365785</v>
      </c>
      <c r="AZ12" s="36">
        <f t="shared" si="14"/>
        <v>5376</v>
      </c>
      <c r="BA12" s="75">
        <v>161101</v>
      </c>
      <c r="BB12" s="36">
        <f>(+BA12-+BA11)*48</f>
        <v>0</v>
      </c>
      <c r="BC12" s="76">
        <v>246341</v>
      </c>
      <c r="BD12" s="36">
        <f t="shared" ref="BD12:BD38" si="25">(+BC12-+BC11)*48</f>
        <v>3168</v>
      </c>
      <c r="BE12" s="76">
        <v>5350</v>
      </c>
      <c r="BF12" s="36">
        <f t="shared" ref="BF12:BF38" si="26">(+BE12-+BE11)*48</f>
        <v>0</v>
      </c>
      <c r="BH12" s="102">
        <f t="shared" si="2"/>
        <v>181152</v>
      </c>
      <c r="BI12" s="102">
        <f t="shared" si="3"/>
        <v>98592</v>
      </c>
    </row>
    <row r="13" spans="1:61" s="34" customFormat="1" ht="39.950000000000003" customHeight="1">
      <c r="A13" s="177">
        <f t="shared" si="7"/>
        <v>44900</v>
      </c>
      <c r="B13" s="33"/>
      <c r="C13" s="76">
        <v>7364898</v>
      </c>
      <c r="D13" s="36">
        <f t="shared" si="15"/>
        <v>156144</v>
      </c>
      <c r="E13" s="101">
        <f>D13*E5</f>
        <v>93686.399999999994</v>
      </c>
      <c r="F13" s="100">
        <f>D13*F5</f>
        <v>62457.600000000006</v>
      </c>
      <c r="G13" s="76">
        <v>303513</v>
      </c>
      <c r="H13" s="36">
        <f t="shared" si="1"/>
        <v>2832</v>
      </c>
      <c r="I13" s="76">
        <v>219850</v>
      </c>
      <c r="J13" s="36">
        <f t="shared" si="1"/>
        <v>8016</v>
      </c>
      <c r="K13" s="76">
        <v>277348</v>
      </c>
      <c r="L13" s="36">
        <f t="shared" si="1"/>
        <v>4320</v>
      </c>
      <c r="M13" s="76">
        <v>25741</v>
      </c>
      <c r="N13" s="36">
        <f t="shared" si="1"/>
        <v>192</v>
      </c>
      <c r="O13" s="76">
        <v>369111</v>
      </c>
      <c r="P13" s="36">
        <f t="shared" si="16"/>
        <v>9984</v>
      </c>
      <c r="Q13" s="76">
        <v>492112</v>
      </c>
      <c r="R13" s="36">
        <f t="shared" si="17"/>
        <v>4320</v>
      </c>
      <c r="S13" s="76">
        <v>791428</v>
      </c>
      <c r="T13" s="36">
        <f t="shared" si="18"/>
        <v>8976</v>
      </c>
      <c r="U13" s="80">
        <v>8777</v>
      </c>
      <c r="V13" s="100">
        <f t="shared" si="19"/>
        <v>816</v>
      </c>
      <c r="W13" s="76">
        <v>87789</v>
      </c>
      <c r="X13" s="36">
        <f t="shared" si="8"/>
        <v>864</v>
      </c>
      <c r="Y13" s="76">
        <v>1534405</v>
      </c>
      <c r="Z13" s="36">
        <f t="shared" si="20"/>
        <v>7440</v>
      </c>
      <c r="AA13" s="76">
        <v>13911</v>
      </c>
      <c r="AB13" s="36">
        <f t="shared" si="21"/>
        <v>192</v>
      </c>
      <c r="AC13" s="76">
        <v>526749</v>
      </c>
      <c r="AD13" s="36">
        <f t="shared" si="9"/>
        <v>7968</v>
      </c>
      <c r="AE13" s="76">
        <v>598317</v>
      </c>
      <c r="AF13" s="36">
        <f t="shared" si="9"/>
        <v>8016</v>
      </c>
      <c r="AG13" s="76">
        <v>49813</v>
      </c>
      <c r="AH13" s="36">
        <f t="shared" si="22"/>
        <v>0</v>
      </c>
      <c r="AI13" s="76">
        <v>465485</v>
      </c>
      <c r="AJ13" s="36">
        <f t="shared" si="10"/>
        <v>4560</v>
      </c>
      <c r="AK13" s="76">
        <v>102770</v>
      </c>
      <c r="AL13" s="36">
        <f t="shared" si="23"/>
        <v>0</v>
      </c>
      <c r="AM13" s="76">
        <v>631831</v>
      </c>
      <c r="AN13" s="36">
        <f t="shared" si="11"/>
        <v>6768</v>
      </c>
      <c r="AO13" s="76">
        <v>24808</v>
      </c>
      <c r="AP13" s="36">
        <f t="shared" si="12"/>
        <v>6528</v>
      </c>
      <c r="AQ13" s="76">
        <v>951</v>
      </c>
      <c r="AR13" s="36">
        <f t="shared" si="13"/>
        <v>6048</v>
      </c>
      <c r="AS13" s="76">
        <v>2470</v>
      </c>
      <c r="AT13" s="36">
        <f t="shared" ref="AT13:AT34" si="27">(+AS13-+AS12)*48</f>
        <v>0</v>
      </c>
      <c r="AU13" s="76">
        <v>939</v>
      </c>
      <c r="AV13" s="36">
        <f t="shared" ref="AV13:AV38" si="28">(+AU13-+AU12)*48</f>
        <v>0</v>
      </c>
      <c r="AW13" s="76">
        <v>3110</v>
      </c>
      <c r="AX13" s="36">
        <f t="shared" si="24"/>
        <v>0</v>
      </c>
      <c r="AY13" s="76">
        <v>365887</v>
      </c>
      <c r="AZ13" s="36">
        <f t="shared" si="14"/>
        <v>4896</v>
      </c>
      <c r="BA13" s="75">
        <v>161101</v>
      </c>
      <c r="BB13" s="36">
        <f t="shared" ref="BB13:BB22" si="29">(+BA13-+BA12)*48</f>
        <v>0</v>
      </c>
      <c r="BC13" s="76">
        <v>246399</v>
      </c>
      <c r="BD13" s="36">
        <f t="shared" si="25"/>
        <v>2784</v>
      </c>
      <c r="BE13" s="76">
        <v>5350</v>
      </c>
      <c r="BF13" s="36">
        <f t="shared" si="26"/>
        <v>0</v>
      </c>
      <c r="BH13" s="102">
        <f t="shared" si="2"/>
        <v>162182.39999999999</v>
      </c>
      <c r="BI13" s="102">
        <f t="shared" si="3"/>
        <v>89481.600000000006</v>
      </c>
    </row>
    <row r="14" spans="1:61" s="34" customFormat="1" ht="39.950000000000003" customHeight="1">
      <c r="A14" s="177">
        <f t="shared" si="7"/>
        <v>44901</v>
      </c>
      <c r="B14" s="33"/>
      <c r="C14" s="76">
        <v>7368244</v>
      </c>
      <c r="D14" s="36">
        <f t="shared" si="15"/>
        <v>160608</v>
      </c>
      <c r="E14" s="101">
        <f>D14*E5</f>
        <v>96364.800000000003</v>
      </c>
      <c r="F14" s="100">
        <f>D14*F5</f>
        <v>64243.200000000004</v>
      </c>
      <c r="G14" s="76">
        <v>303553</v>
      </c>
      <c r="H14" s="36">
        <f t="shared" si="1"/>
        <v>1920</v>
      </c>
      <c r="I14" s="76">
        <v>220033</v>
      </c>
      <c r="J14" s="36">
        <f t="shared" si="1"/>
        <v>8784</v>
      </c>
      <c r="K14" s="76">
        <v>277370</v>
      </c>
      <c r="L14" s="36">
        <f t="shared" si="1"/>
        <v>1056</v>
      </c>
      <c r="M14" s="76">
        <v>25742</v>
      </c>
      <c r="N14" s="36">
        <f t="shared" si="1"/>
        <v>48</v>
      </c>
      <c r="O14" s="76">
        <v>369274</v>
      </c>
      <c r="P14" s="36">
        <f t="shared" si="16"/>
        <v>7824</v>
      </c>
      <c r="Q14" s="76">
        <v>492190</v>
      </c>
      <c r="R14" s="36">
        <f t="shared" si="17"/>
        <v>3744</v>
      </c>
      <c r="S14" s="76">
        <v>791615</v>
      </c>
      <c r="T14" s="36">
        <f t="shared" si="18"/>
        <v>8976</v>
      </c>
      <c r="U14" s="80">
        <v>8796</v>
      </c>
      <c r="V14" s="100">
        <f t="shared" si="19"/>
        <v>912</v>
      </c>
      <c r="W14" s="76">
        <v>87789</v>
      </c>
      <c r="X14" s="36">
        <f t="shared" si="8"/>
        <v>0</v>
      </c>
      <c r="Y14" s="76">
        <v>1534658</v>
      </c>
      <c r="Z14" s="36">
        <f>(+Y14-+Y13)*48</f>
        <v>12144</v>
      </c>
      <c r="AA14" s="76">
        <v>13918</v>
      </c>
      <c r="AB14" s="36">
        <f>(+AA14-+AA13)*48</f>
        <v>336</v>
      </c>
      <c r="AC14" s="76">
        <v>526889</v>
      </c>
      <c r="AD14" s="36">
        <f t="shared" si="9"/>
        <v>6720</v>
      </c>
      <c r="AE14" s="76">
        <v>598429</v>
      </c>
      <c r="AF14" s="36">
        <f t="shared" si="9"/>
        <v>5376</v>
      </c>
      <c r="AG14" s="76">
        <v>49813</v>
      </c>
      <c r="AH14" s="36">
        <f t="shared" si="22"/>
        <v>0</v>
      </c>
      <c r="AI14" s="76">
        <v>465582</v>
      </c>
      <c r="AJ14" s="36">
        <f t="shared" si="10"/>
        <v>4656</v>
      </c>
      <c r="AK14" s="76">
        <v>102770</v>
      </c>
      <c r="AL14" s="36">
        <f t="shared" si="23"/>
        <v>0</v>
      </c>
      <c r="AM14" s="76">
        <v>631946</v>
      </c>
      <c r="AN14" s="36">
        <f t="shared" si="11"/>
        <v>5520</v>
      </c>
      <c r="AO14" s="76">
        <v>24924</v>
      </c>
      <c r="AP14" s="36">
        <f t="shared" si="12"/>
        <v>5568</v>
      </c>
      <c r="AQ14" s="76">
        <v>1135</v>
      </c>
      <c r="AR14" s="36">
        <f t="shared" si="13"/>
        <v>8832</v>
      </c>
      <c r="AS14" s="76">
        <v>2471</v>
      </c>
      <c r="AT14" s="36">
        <f t="shared" si="27"/>
        <v>48</v>
      </c>
      <c r="AU14" s="76">
        <v>939</v>
      </c>
      <c r="AV14" s="36">
        <f>(+AU14-+AU13)*48</f>
        <v>0</v>
      </c>
      <c r="AW14" s="76">
        <v>3110</v>
      </c>
      <c r="AX14" s="36">
        <f t="shared" si="24"/>
        <v>0</v>
      </c>
      <c r="AY14" s="76">
        <v>365998</v>
      </c>
      <c r="AZ14" s="36">
        <f t="shared" si="14"/>
        <v>5328</v>
      </c>
      <c r="BA14" s="75">
        <v>161101</v>
      </c>
      <c r="BB14" s="36">
        <f t="shared" si="29"/>
        <v>0</v>
      </c>
      <c r="BC14" s="76">
        <v>246464</v>
      </c>
      <c r="BD14" s="36">
        <f t="shared" si="25"/>
        <v>3120</v>
      </c>
      <c r="BE14" s="76">
        <v>5350</v>
      </c>
      <c r="BF14" s="36">
        <f t="shared" si="26"/>
        <v>0</v>
      </c>
      <c r="BH14" s="102">
        <f>SUM(E14,J14,P14,H14,L14,R14,T14,V14,X14,N14,AB14,Z14,AD14,AF14,AH14,AL14,AJ14)</f>
        <v>158860.79999999999</v>
      </c>
      <c r="BI14" s="102">
        <f t="shared" si="3"/>
        <v>92659.200000000012</v>
      </c>
    </row>
    <row r="15" spans="1:61" s="34" customFormat="1" ht="39.950000000000003" customHeight="1">
      <c r="A15" s="177">
        <f t="shared" si="7"/>
        <v>44902</v>
      </c>
      <c r="B15" s="33"/>
      <c r="C15" s="76">
        <v>7371707</v>
      </c>
      <c r="D15" s="36">
        <f t="shared" si="15"/>
        <v>166224</v>
      </c>
      <c r="E15" s="101">
        <f>D15*E5</f>
        <v>99734.399999999994</v>
      </c>
      <c r="F15" s="100">
        <f>D15*F5</f>
        <v>66489.600000000006</v>
      </c>
      <c r="G15" s="76">
        <v>303598</v>
      </c>
      <c r="H15" s="36">
        <f t="shared" si="1"/>
        <v>2160</v>
      </c>
      <c r="I15" s="76">
        <v>220194</v>
      </c>
      <c r="J15" s="36">
        <f t="shared" si="1"/>
        <v>7728</v>
      </c>
      <c r="K15" s="76">
        <v>277424</v>
      </c>
      <c r="L15" s="36">
        <f t="shared" si="1"/>
        <v>2592</v>
      </c>
      <c r="M15" s="76">
        <v>25742</v>
      </c>
      <c r="N15" s="36">
        <f t="shared" si="1"/>
        <v>0</v>
      </c>
      <c r="O15" s="76">
        <v>369457</v>
      </c>
      <c r="P15" s="36">
        <f t="shared" si="16"/>
        <v>8784</v>
      </c>
      <c r="Q15" s="76">
        <v>492277</v>
      </c>
      <c r="R15" s="36">
        <f t="shared" si="17"/>
        <v>4176</v>
      </c>
      <c r="S15" s="76">
        <v>791769</v>
      </c>
      <c r="T15" s="36">
        <f t="shared" si="18"/>
        <v>7392</v>
      </c>
      <c r="U15" s="80">
        <v>8817.2800000000007</v>
      </c>
      <c r="V15" s="100">
        <f>(+U15-+U14)*48</f>
        <v>1021.4400000000314</v>
      </c>
      <c r="W15" s="76">
        <v>87806</v>
      </c>
      <c r="X15" s="36">
        <f t="shared" si="8"/>
        <v>816</v>
      </c>
      <c r="Y15" s="76">
        <v>1534871</v>
      </c>
      <c r="Z15" s="36">
        <f>(+Y15-+Y14)*48</f>
        <v>10224</v>
      </c>
      <c r="AA15" s="76">
        <v>13934</v>
      </c>
      <c r="AB15" s="36">
        <f>(+AA15-+AA14)*48</f>
        <v>768</v>
      </c>
      <c r="AC15" s="76">
        <v>527035</v>
      </c>
      <c r="AD15" s="36">
        <f t="shared" si="9"/>
        <v>7008</v>
      </c>
      <c r="AE15" s="76">
        <v>598541</v>
      </c>
      <c r="AF15" s="36">
        <f t="shared" si="9"/>
        <v>5376</v>
      </c>
      <c r="AG15" s="76">
        <v>49813</v>
      </c>
      <c r="AH15" s="36">
        <f t="shared" si="22"/>
        <v>0</v>
      </c>
      <c r="AI15" s="76">
        <v>465682</v>
      </c>
      <c r="AJ15" s="36">
        <f t="shared" si="10"/>
        <v>4800</v>
      </c>
      <c r="AK15" s="76">
        <v>102770</v>
      </c>
      <c r="AL15" s="36">
        <f t="shared" si="23"/>
        <v>0</v>
      </c>
      <c r="AM15" s="76">
        <v>632067</v>
      </c>
      <c r="AN15" s="36">
        <f t="shared" si="11"/>
        <v>5808</v>
      </c>
      <c r="AO15" s="76">
        <v>25021</v>
      </c>
      <c r="AP15" s="36">
        <f t="shared" si="12"/>
        <v>4656</v>
      </c>
      <c r="AQ15" s="76">
        <v>1347</v>
      </c>
      <c r="AR15" s="36">
        <f t="shared" ref="AR15:AR38" si="30">(+AQ15-+AQ14)*48</f>
        <v>10176</v>
      </c>
      <c r="AS15" s="76">
        <v>2471</v>
      </c>
      <c r="AT15" s="36">
        <f>(+AS15-+AS14)*48</f>
        <v>0</v>
      </c>
      <c r="AU15" s="76">
        <v>939</v>
      </c>
      <c r="AV15" s="36">
        <f>(+AU15-+AU14)*48</f>
        <v>0</v>
      </c>
      <c r="AW15" s="76">
        <v>3110</v>
      </c>
      <c r="AX15" s="36">
        <f t="shared" si="24"/>
        <v>0</v>
      </c>
      <c r="AY15" s="76">
        <v>366102</v>
      </c>
      <c r="AZ15" s="36">
        <f t="shared" si="14"/>
        <v>4992</v>
      </c>
      <c r="BA15" s="76">
        <v>161101</v>
      </c>
      <c r="BB15" s="36">
        <f t="shared" si="29"/>
        <v>0</v>
      </c>
      <c r="BC15" s="76">
        <v>246526</v>
      </c>
      <c r="BD15" s="36">
        <f t="shared" si="25"/>
        <v>2976</v>
      </c>
      <c r="BE15" s="76">
        <v>5350</v>
      </c>
      <c r="BF15" s="36">
        <f t="shared" si="26"/>
        <v>0</v>
      </c>
      <c r="BH15" s="102">
        <f t="shared" si="2"/>
        <v>162579.84000000003</v>
      </c>
      <c r="BI15" s="102">
        <f t="shared" si="3"/>
        <v>95097.600000000006</v>
      </c>
    </row>
    <row r="16" spans="1:61" s="34" customFormat="1" ht="39.950000000000003" customHeight="1">
      <c r="A16" s="177">
        <f t="shared" si="7"/>
        <v>44903</v>
      </c>
      <c r="B16" s="33"/>
      <c r="C16" s="76">
        <v>7374664</v>
      </c>
      <c r="D16" s="36">
        <f t="shared" si="15"/>
        <v>141936</v>
      </c>
      <c r="E16" s="101">
        <f>D16*E5</f>
        <v>85161.599999999991</v>
      </c>
      <c r="F16" s="100">
        <f>D16*F5</f>
        <v>56774.400000000001</v>
      </c>
      <c r="G16" s="76">
        <v>303643</v>
      </c>
      <c r="H16" s="36">
        <f t="shared" si="1"/>
        <v>2160</v>
      </c>
      <c r="I16" s="76">
        <v>220361</v>
      </c>
      <c r="J16" s="36">
        <f t="shared" si="1"/>
        <v>8016</v>
      </c>
      <c r="K16" s="76">
        <v>277482</v>
      </c>
      <c r="L16" s="36">
        <f t="shared" si="1"/>
        <v>2784</v>
      </c>
      <c r="M16" s="76">
        <v>25744</v>
      </c>
      <c r="N16" s="36">
        <f t="shared" si="1"/>
        <v>96</v>
      </c>
      <c r="O16" s="76">
        <v>369617</v>
      </c>
      <c r="P16" s="36">
        <f t="shared" si="16"/>
        <v>7680</v>
      </c>
      <c r="Q16" s="76">
        <v>492370</v>
      </c>
      <c r="R16" s="36">
        <f t="shared" si="17"/>
        <v>4464</v>
      </c>
      <c r="S16" s="76">
        <v>791907</v>
      </c>
      <c r="T16" s="36">
        <f t="shared" si="18"/>
        <v>6624</v>
      </c>
      <c r="U16" s="80">
        <v>8840.2450000000008</v>
      </c>
      <c r="V16" s="100">
        <f t="shared" ref="V16:V38" si="31">(+U16-+U15)*48</f>
        <v>1102.320000000007</v>
      </c>
      <c r="W16" s="76">
        <v>87825</v>
      </c>
      <c r="X16" s="36">
        <f t="shared" si="8"/>
        <v>912</v>
      </c>
      <c r="Y16" s="76">
        <v>1535127</v>
      </c>
      <c r="Z16" s="36">
        <f>(+Y16-+Y15)*48</f>
        <v>12288</v>
      </c>
      <c r="AA16" s="76">
        <v>13945</v>
      </c>
      <c r="AB16" s="36">
        <f>(+AA16-+AA15)*48</f>
        <v>528</v>
      </c>
      <c r="AC16" s="80">
        <v>527189</v>
      </c>
      <c r="AD16" s="36">
        <f t="shared" si="9"/>
        <v>7392</v>
      </c>
      <c r="AE16" s="76">
        <v>598672</v>
      </c>
      <c r="AF16" s="36">
        <f t="shared" si="9"/>
        <v>6288</v>
      </c>
      <c r="AG16" s="76">
        <v>49813</v>
      </c>
      <c r="AH16" s="36">
        <f t="shared" si="22"/>
        <v>0</v>
      </c>
      <c r="AI16" s="76">
        <v>465780</v>
      </c>
      <c r="AJ16" s="36">
        <f t="shared" si="10"/>
        <v>4704</v>
      </c>
      <c r="AK16" s="76">
        <v>102770</v>
      </c>
      <c r="AL16" s="36">
        <f t="shared" si="23"/>
        <v>0</v>
      </c>
      <c r="AM16" s="76">
        <v>632196</v>
      </c>
      <c r="AN16" s="36">
        <f t="shared" si="11"/>
        <v>6192</v>
      </c>
      <c r="AO16" s="76">
        <v>25132</v>
      </c>
      <c r="AP16" s="36">
        <f t="shared" si="12"/>
        <v>5328</v>
      </c>
      <c r="AQ16" s="76">
        <v>1515</v>
      </c>
      <c r="AR16" s="36">
        <f t="shared" si="30"/>
        <v>8064</v>
      </c>
      <c r="AS16" s="76">
        <v>2472</v>
      </c>
      <c r="AT16" s="36">
        <f>(+AS16-+AS15)*48</f>
        <v>48</v>
      </c>
      <c r="AU16" s="76">
        <v>939</v>
      </c>
      <c r="AV16" s="36">
        <f>(+AU16-+AU15)*48</f>
        <v>0</v>
      </c>
      <c r="AW16" s="76">
        <v>3110</v>
      </c>
      <c r="AX16" s="36">
        <f t="shared" si="24"/>
        <v>0</v>
      </c>
      <c r="AY16" s="76">
        <v>366212</v>
      </c>
      <c r="AZ16" s="36">
        <f t="shared" si="14"/>
        <v>5280</v>
      </c>
      <c r="BA16" s="76">
        <v>161101</v>
      </c>
      <c r="BB16" s="36">
        <f t="shared" si="29"/>
        <v>0</v>
      </c>
      <c r="BC16" s="76">
        <v>246594</v>
      </c>
      <c r="BD16" s="36">
        <f t="shared" si="25"/>
        <v>3264</v>
      </c>
      <c r="BE16" s="76">
        <v>5350</v>
      </c>
      <c r="BF16" s="36">
        <f t="shared" si="26"/>
        <v>0</v>
      </c>
      <c r="BH16" s="102">
        <f t="shared" si="2"/>
        <v>150199.91999999998</v>
      </c>
      <c r="BI16" s="102">
        <f t="shared" si="3"/>
        <v>84950.399999999994</v>
      </c>
    </row>
    <row r="17" spans="1:61" s="34" customFormat="1" ht="39.950000000000003" customHeight="1">
      <c r="A17" s="177">
        <f t="shared" si="7"/>
        <v>44904</v>
      </c>
      <c r="B17" s="33"/>
      <c r="C17" s="76">
        <v>7377668</v>
      </c>
      <c r="D17" s="36">
        <f t="shared" si="15"/>
        <v>144192</v>
      </c>
      <c r="E17" s="101">
        <f>D17*E5</f>
        <v>86515.199999999997</v>
      </c>
      <c r="F17" s="100">
        <f>D17*F5</f>
        <v>57676.800000000003</v>
      </c>
      <c r="G17" s="76">
        <v>303681</v>
      </c>
      <c r="H17" s="36">
        <f t="shared" si="1"/>
        <v>1824</v>
      </c>
      <c r="I17" s="76">
        <v>220532</v>
      </c>
      <c r="J17" s="36">
        <f t="shared" si="1"/>
        <v>8208</v>
      </c>
      <c r="K17" s="76">
        <v>277544</v>
      </c>
      <c r="L17" s="36">
        <f t="shared" si="1"/>
        <v>2976</v>
      </c>
      <c r="M17" s="76">
        <v>25751</v>
      </c>
      <c r="N17" s="36">
        <f t="shared" si="1"/>
        <v>336</v>
      </c>
      <c r="O17" s="76">
        <v>369817</v>
      </c>
      <c r="P17" s="36">
        <f t="shared" si="16"/>
        <v>9600</v>
      </c>
      <c r="Q17" s="76">
        <v>492468</v>
      </c>
      <c r="R17" s="36">
        <f t="shared" si="17"/>
        <v>4704</v>
      </c>
      <c r="S17" s="76">
        <v>792039</v>
      </c>
      <c r="T17" s="36">
        <f t="shared" si="18"/>
        <v>6336</v>
      </c>
      <c r="U17" s="80">
        <v>8863.0779999999995</v>
      </c>
      <c r="V17" s="100">
        <f t="shared" si="31"/>
        <v>1095.9839999999385</v>
      </c>
      <c r="W17" s="76">
        <v>87838</v>
      </c>
      <c r="X17" s="36">
        <f t="shared" si="8"/>
        <v>624</v>
      </c>
      <c r="Y17" s="76">
        <v>1535360</v>
      </c>
      <c r="Z17" s="100">
        <f t="shared" si="20"/>
        <v>11184</v>
      </c>
      <c r="AA17" s="76">
        <v>13955</v>
      </c>
      <c r="AB17" s="36">
        <f t="shared" si="21"/>
        <v>480</v>
      </c>
      <c r="AC17" s="80">
        <v>527347</v>
      </c>
      <c r="AD17" s="36">
        <f t="shared" si="9"/>
        <v>7584</v>
      </c>
      <c r="AE17" s="76">
        <v>598823</v>
      </c>
      <c r="AF17" s="36">
        <f t="shared" si="9"/>
        <v>7248</v>
      </c>
      <c r="AG17" s="76">
        <v>49813</v>
      </c>
      <c r="AH17" s="36">
        <f>(+AG17-+AG16)*48</f>
        <v>0</v>
      </c>
      <c r="AI17" s="76">
        <v>465878</v>
      </c>
      <c r="AJ17" s="36">
        <f t="shared" si="10"/>
        <v>4704</v>
      </c>
      <c r="AK17" s="76">
        <v>102770</v>
      </c>
      <c r="AL17" s="36">
        <f t="shared" si="23"/>
        <v>0</v>
      </c>
      <c r="AM17" s="76">
        <v>632332</v>
      </c>
      <c r="AN17" s="36">
        <f t="shared" si="11"/>
        <v>6528</v>
      </c>
      <c r="AO17" s="76">
        <v>25256</v>
      </c>
      <c r="AP17" s="36">
        <f t="shared" si="12"/>
        <v>5952</v>
      </c>
      <c r="AQ17" s="76">
        <v>1646</v>
      </c>
      <c r="AR17" s="36">
        <f t="shared" si="30"/>
        <v>6288</v>
      </c>
      <c r="AS17" s="76">
        <v>2477</v>
      </c>
      <c r="AT17" s="36">
        <f>(+AS17-+AS16)*48</f>
        <v>240</v>
      </c>
      <c r="AU17" s="76">
        <v>939</v>
      </c>
      <c r="AV17" s="36">
        <f t="shared" si="28"/>
        <v>0</v>
      </c>
      <c r="AW17" s="76">
        <v>3110</v>
      </c>
      <c r="AX17" s="36">
        <f t="shared" si="24"/>
        <v>0</v>
      </c>
      <c r="AY17" s="76">
        <v>366317</v>
      </c>
      <c r="AZ17" s="36">
        <f t="shared" si="14"/>
        <v>5040</v>
      </c>
      <c r="BA17" s="76">
        <v>161101</v>
      </c>
      <c r="BB17" s="36">
        <f t="shared" si="29"/>
        <v>0</v>
      </c>
      <c r="BC17" s="80">
        <v>246657</v>
      </c>
      <c r="BD17" s="100">
        <f t="shared" si="25"/>
        <v>3024</v>
      </c>
      <c r="BE17" s="76">
        <v>5350</v>
      </c>
      <c r="BF17" s="36">
        <f>(+BE17-+BE16)*48</f>
        <v>0</v>
      </c>
      <c r="BH17" s="102">
        <f>SUM(E17,J17,P17,H17,L17,R17,T17,V17,X17,N17,AB17,Z17,AD17,AF17,AH17,AL17,AJ17)</f>
        <v>153419.18399999995</v>
      </c>
      <c r="BI17" s="102">
        <f t="shared" si="3"/>
        <v>84748.800000000003</v>
      </c>
    </row>
    <row r="18" spans="1:61" s="34" customFormat="1" ht="39.950000000000003" customHeight="1">
      <c r="A18" s="177">
        <f t="shared" si="7"/>
        <v>44905</v>
      </c>
      <c r="B18" s="33"/>
      <c r="C18" s="76">
        <v>7380849</v>
      </c>
      <c r="D18" s="36">
        <f t="shared" si="15"/>
        <v>152688</v>
      </c>
      <c r="E18" s="101">
        <f>D18*E5</f>
        <v>91612.800000000003</v>
      </c>
      <c r="F18" s="100">
        <f>D18*F5</f>
        <v>61075.200000000004</v>
      </c>
      <c r="G18" s="76">
        <v>303741</v>
      </c>
      <c r="H18" s="36">
        <f t="shared" si="1"/>
        <v>2880</v>
      </c>
      <c r="I18" s="76">
        <v>220710</v>
      </c>
      <c r="J18" s="36">
        <f t="shared" si="1"/>
        <v>8544</v>
      </c>
      <c r="K18" s="76">
        <v>277646</v>
      </c>
      <c r="L18" s="36">
        <f t="shared" si="1"/>
        <v>4896</v>
      </c>
      <c r="M18" s="76">
        <v>25756</v>
      </c>
      <c r="N18" s="36">
        <f t="shared" si="1"/>
        <v>240</v>
      </c>
      <c r="O18" s="76">
        <v>369998</v>
      </c>
      <c r="P18" s="36">
        <f t="shared" si="16"/>
        <v>8688</v>
      </c>
      <c r="Q18" s="76">
        <v>492556</v>
      </c>
      <c r="R18" s="36">
        <f t="shared" si="17"/>
        <v>4224</v>
      </c>
      <c r="S18" s="76">
        <v>792175</v>
      </c>
      <c r="T18" s="36">
        <f t="shared" si="18"/>
        <v>6528</v>
      </c>
      <c r="U18" s="80">
        <v>8885.732</v>
      </c>
      <c r="V18" s="100">
        <f t="shared" si="31"/>
        <v>1087.3920000000217</v>
      </c>
      <c r="W18" s="76">
        <v>87856</v>
      </c>
      <c r="X18" s="36">
        <f t="shared" si="8"/>
        <v>864</v>
      </c>
      <c r="Y18" s="76">
        <v>1535604</v>
      </c>
      <c r="Z18" s="100">
        <f t="shared" si="20"/>
        <v>11712</v>
      </c>
      <c r="AA18" s="76">
        <v>13974</v>
      </c>
      <c r="AB18" s="36">
        <f t="shared" si="21"/>
        <v>912</v>
      </c>
      <c r="AC18" s="76">
        <v>527501</v>
      </c>
      <c r="AD18" s="36">
        <f t="shared" si="9"/>
        <v>7392</v>
      </c>
      <c r="AE18" s="76">
        <v>598962</v>
      </c>
      <c r="AF18" s="36">
        <f t="shared" si="9"/>
        <v>6672</v>
      </c>
      <c r="AG18" s="76">
        <v>49813</v>
      </c>
      <c r="AH18" s="36">
        <f>(+AG18-+AG17)*48</f>
        <v>0</v>
      </c>
      <c r="AI18" s="76">
        <v>465985</v>
      </c>
      <c r="AJ18" s="36">
        <f t="shared" si="10"/>
        <v>5136</v>
      </c>
      <c r="AK18" s="76">
        <v>102770</v>
      </c>
      <c r="AL18" s="36">
        <f t="shared" si="23"/>
        <v>0</v>
      </c>
      <c r="AM18" s="76">
        <v>632453</v>
      </c>
      <c r="AN18" s="36">
        <f t="shared" si="11"/>
        <v>5808</v>
      </c>
      <c r="AO18" s="76">
        <v>25355</v>
      </c>
      <c r="AP18" s="36">
        <f t="shared" si="12"/>
        <v>4752</v>
      </c>
      <c r="AQ18" s="76">
        <v>1795</v>
      </c>
      <c r="AR18" s="36">
        <f t="shared" si="30"/>
        <v>7152</v>
      </c>
      <c r="AS18" s="76">
        <v>2477</v>
      </c>
      <c r="AT18" s="36">
        <f t="shared" si="27"/>
        <v>0</v>
      </c>
      <c r="AU18" s="76">
        <v>939</v>
      </c>
      <c r="AV18" s="36">
        <f t="shared" si="28"/>
        <v>0</v>
      </c>
      <c r="AW18" s="76">
        <v>3110</v>
      </c>
      <c r="AX18" s="36">
        <f t="shared" si="24"/>
        <v>0</v>
      </c>
      <c r="AY18" s="76">
        <v>366421</v>
      </c>
      <c r="AZ18" s="36">
        <f t="shared" si="14"/>
        <v>4992</v>
      </c>
      <c r="BA18" s="76">
        <v>161101</v>
      </c>
      <c r="BB18" s="36">
        <f t="shared" si="29"/>
        <v>0</v>
      </c>
      <c r="BC18" s="80">
        <v>246720</v>
      </c>
      <c r="BD18" s="100">
        <f t="shared" si="25"/>
        <v>3024</v>
      </c>
      <c r="BE18" s="76">
        <v>5350</v>
      </c>
      <c r="BF18" s="36">
        <f>(+BE18-+BE17)*48</f>
        <v>0</v>
      </c>
      <c r="BH18" s="102">
        <f t="shared" si="2"/>
        <v>161388.19200000004</v>
      </c>
      <c r="BI18" s="102">
        <f t="shared" si="3"/>
        <v>86803.200000000012</v>
      </c>
    </row>
    <row r="19" spans="1:61" s="34" customFormat="1" ht="39.950000000000003" customHeight="1">
      <c r="A19" s="177">
        <f t="shared" si="7"/>
        <v>44906</v>
      </c>
      <c r="B19" s="33"/>
      <c r="C19" s="76">
        <v>7384486</v>
      </c>
      <c r="D19" s="36">
        <f t="shared" si="15"/>
        <v>174576</v>
      </c>
      <c r="E19" s="101">
        <f>D19*E5</f>
        <v>104745.59999999999</v>
      </c>
      <c r="F19" s="100">
        <f>D19*F5</f>
        <v>69830.400000000009</v>
      </c>
      <c r="G19" s="76">
        <v>303816</v>
      </c>
      <c r="H19" s="36">
        <f t="shared" si="1"/>
        <v>3600</v>
      </c>
      <c r="I19" s="76">
        <v>220887</v>
      </c>
      <c r="J19" s="36">
        <f t="shared" si="1"/>
        <v>8496</v>
      </c>
      <c r="K19" s="76">
        <v>277745</v>
      </c>
      <c r="L19" s="36">
        <f t="shared" si="1"/>
        <v>4752</v>
      </c>
      <c r="M19" s="76">
        <v>25759</v>
      </c>
      <c r="N19" s="36">
        <f t="shared" si="1"/>
        <v>144</v>
      </c>
      <c r="O19" s="76">
        <v>370198</v>
      </c>
      <c r="P19" s="36">
        <f t="shared" si="16"/>
        <v>9600</v>
      </c>
      <c r="Q19" s="76">
        <v>492660</v>
      </c>
      <c r="R19" s="36">
        <f t="shared" si="17"/>
        <v>4992</v>
      </c>
      <c r="S19" s="76">
        <v>792283</v>
      </c>
      <c r="T19" s="36">
        <f t="shared" si="18"/>
        <v>5184</v>
      </c>
      <c r="U19" s="80">
        <v>8910.5290000000005</v>
      </c>
      <c r="V19" s="100">
        <f t="shared" si="31"/>
        <v>1190.2560000000231</v>
      </c>
      <c r="W19" s="76">
        <v>87873</v>
      </c>
      <c r="X19" s="36">
        <f t="shared" si="8"/>
        <v>816</v>
      </c>
      <c r="Y19" s="76">
        <v>1535873</v>
      </c>
      <c r="Z19" s="36">
        <f t="shared" si="20"/>
        <v>12912</v>
      </c>
      <c r="AA19" s="76">
        <v>13976</v>
      </c>
      <c r="AB19" s="36">
        <f t="shared" si="21"/>
        <v>96</v>
      </c>
      <c r="AC19" s="76">
        <v>527611</v>
      </c>
      <c r="AD19" s="36">
        <f t="shared" si="9"/>
        <v>5280</v>
      </c>
      <c r="AE19" s="76">
        <v>599047</v>
      </c>
      <c r="AF19" s="36">
        <f t="shared" si="9"/>
        <v>4080</v>
      </c>
      <c r="AG19" s="76">
        <v>49813</v>
      </c>
      <c r="AH19" s="36">
        <f>(+AG19-+AG18)*48</f>
        <v>0</v>
      </c>
      <c r="AI19" s="76">
        <v>466094</v>
      </c>
      <c r="AJ19" s="36">
        <f t="shared" si="10"/>
        <v>5232</v>
      </c>
      <c r="AK19" s="76">
        <v>102770</v>
      </c>
      <c r="AL19" s="36">
        <f t="shared" si="23"/>
        <v>0</v>
      </c>
      <c r="AM19" s="76">
        <v>632546</v>
      </c>
      <c r="AN19" s="36">
        <f t="shared" si="11"/>
        <v>4464</v>
      </c>
      <c r="AO19" s="76">
        <v>25407</v>
      </c>
      <c r="AP19" s="36">
        <f t="shared" si="12"/>
        <v>2496</v>
      </c>
      <c r="AQ19" s="76">
        <v>1988</v>
      </c>
      <c r="AR19" s="36">
        <f t="shared" si="30"/>
        <v>9264</v>
      </c>
      <c r="AS19" s="76">
        <v>2477</v>
      </c>
      <c r="AT19" s="36">
        <f t="shared" si="27"/>
        <v>0</v>
      </c>
      <c r="AU19" s="76">
        <v>939</v>
      </c>
      <c r="AV19" s="36">
        <f t="shared" si="28"/>
        <v>0</v>
      </c>
      <c r="AW19" s="76">
        <v>3110</v>
      </c>
      <c r="AX19" s="36">
        <f>(+AW19-+AW18)*48</f>
        <v>0</v>
      </c>
      <c r="AY19" s="76">
        <v>366531</v>
      </c>
      <c r="AZ19" s="36">
        <f t="shared" si="14"/>
        <v>5280</v>
      </c>
      <c r="BA19" s="76">
        <v>161101</v>
      </c>
      <c r="BB19" s="36">
        <f t="shared" si="29"/>
        <v>0</v>
      </c>
      <c r="BC19" s="80">
        <v>246791</v>
      </c>
      <c r="BD19" s="36">
        <f t="shared" si="25"/>
        <v>3408</v>
      </c>
      <c r="BE19" s="76">
        <v>5350</v>
      </c>
      <c r="BF19" s="36">
        <f>(+BE19-+BE18)*48</f>
        <v>0</v>
      </c>
      <c r="BH19" s="102">
        <f t="shared" si="2"/>
        <v>171119.856</v>
      </c>
      <c r="BI19" s="102">
        <f t="shared" si="3"/>
        <v>94742.400000000009</v>
      </c>
    </row>
    <row r="20" spans="1:61" s="34" customFormat="1" ht="39.950000000000003" customHeight="1">
      <c r="A20" s="177">
        <f t="shared" si="7"/>
        <v>44907</v>
      </c>
      <c r="B20" s="33"/>
      <c r="C20" s="76">
        <v>7387988</v>
      </c>
      <c r="D20" s="36">
        <f t="shared" si="15"/>
        <v>168096</v>
      </c>
      <c r="E20" s="101">
        <f>D20*E5</f>
        <v>100857.59999999999</v>
      </c>
      <c r="F20" s="100">
        <f>D20*F5</f>
        <v>67238.400000000009</v>
      </c>
      <c r="G20" s="76">
        <v>303884</v>
      </c>
      <c r="H20" s="36">
        <f t="shared" si="1"/>
        <v>3264</v>
      </c>
      <c r="I20" s="76">
        <v>221062</v>
      </c>
      <c r="J20" s="36">
        <f t="shared" si="1"/>
        <v>8400</v>
      </c>
      <c r="K20" s="76">
        <v>277837</v>
      </c>
      <c r="L20" s="36">
        <f t="shared" si="1"/>
        <v>4416</v>
      </c>
      <c r="M20" s="76">
        <v>25768</v>
      </c>
      <c r="N20" s="36">
        <f t="shared" si="1"/>
        <v>432</v>
      </c>
      <c r="O20" s="76">
        <v>370413</v>
      </c>
      <c r="P20" s="36">
        <f t="shared" si="16"/>
        <v>10320</v>
      </c>
      <c r="Q20" s="76">
        <v>492762</v>
      </c>
      <c r="R20" s="36">
        <f t="shared" si="17"/>
        <v>4896</v>
      </c>
      <c r="S20" s="76">
        <v>792402</v>
      </c>
      <c r="T20" s="36">
        <f t="shared" si="18"/>
        <v>5712</v>
      </c>
      <c r="U20" s="80">
        <v>8931.2999999999993</v>
      </c>
      <c r="V20" s="100">
        <f t="shared" si="31"/>
        <v>997.00799999994342</v>
      </c>
      <c r="W20" s="76">
        <v>87893</v>
      </c>
      <c r="X20" s="36">
        <f t="shared" si="8"/>
        <v>960</v>
      </c>
      <c r="Y20" s="76">
        <v>1536210</v>
      </c>
      <c r="Z20" s="36">
        <f t="shared" si="20"/>
        <v>16176</v>
      </c>
      <c r="AA20" s="76">
        <v>13983</v>
      </c>
      <c r="AB20" s="36">
        <f t="shared" si="21"/>
        <v>336</v>
      </c>
      <c r="AC20" s="76">
        <v>527699</v>
      </c>
      <c r="AD20" s="36">
        <f t="shared" si="9"/>
        <v>4224</v>
      </c>
      <c r="AE20" s="76">
        <v>599084</v>
      </c>
      <c r="AF20" s="36">
        <f t="shared" si="9"/>
        <v>1776</v>
      </c>
      <c r="AG20" s="76">
        <v>49813</v>
      </c>
      <c r="AH20" s="36">
        <f>(+AG20-+AG19)*48</f>
        <v>0</v>
      </c>
      <c r="AI20" s="76">
        <v>466212</v>
      </c>
      <c r="AJ20" s="36">
        <f t="shared" si="10"/>
        <v>5664</v>
      </c>
      <c r="AK20" s="76">
        <v>102770</v>
      </c>
      <c r="AL20" s="36">
        <f t="shared" si="23"/>
        <v>0</v>
      </c>
      <c r="AM20" s="76">
        <v>632622</v>
      </c>
      <c r="AN20" s="36">
        <f t="shared" si="11"/>
        <v>3648</v>
      </c>
      <c r="AO20" s="76">
        <v>25450</v>
      </c>
      <c r="AP20" s="36">
        <f t="shared" si="12"/>
        <v>2064</v>
      </c>
      <c r="AQ20" s="76">
        <v>2193</v>
      </c>
      <c r="AR20" s="36">
        <f t="shared" si="30"/>
        <v>9840</v>
      </c>
      <c r="AS20" s="76">
        <v>2484</v>
      </c>
      <c r="AT20" s="36">
        <f t="shared" si="27"/>
        <v>336</v>
      </c>
      <c r="AU20" s="76">
        <v>939</v>
      </c>
      <c r="AV20" s="36">
        <f t="shared" si="28"/>
        <v>0</v>
      </c>
      <c r="AW20" s="76">
        <v>3110</v>
      </c>
      <c r="AX20" s="36">
        <f>(+AW20-+AW19)*48</f>
        <v>0</v>
      </c>
      <c r="AY20" s="76">
        <v>366628</v>
      </c>
      <c r="AZ20" s="36">
        <f t="shared" si="14"/>
        <v>4656</v>
      </c>
      <c r="BA20" s="76">
        <v>161101</v>
      </c>
      <c r="BB20" s="36">
        <f t="shared" si="29"/>
        <v>0</v>
      </c>
      <c r="BC20" s="80">
        <v>246856</v>
      </c>
      <c r="BD20" s="36">
        <f t="shared" si="25"/>
        <v>3120</v>
      </c>
      <c r="BE20" s="76">
        <v>5350</v>
      </c>
      <c r="BF20" s="36">
        <f t="shared" si="26"/>
        <v>0</v>
      </c>
      <c r="BH20" s="155">
        <f t="shared" si="2"/>
        <v>168430.60799999992</v>
      </c>
      <c r="BI20" s="155">
        <f t="shared" si="3"/>
        <v>90902.400000000009</v>
      </c>
    </row>
    <row r="21" spans="1:61" s="34" customFormat="1" ht="39.950000000000003" customHeight="1">
      <c r="A21" s="177">
        <f t="shared" si="7"/>
        <v>44908</v>
      </c>
      <c r="B21" s="33"/>
      <c r="C21" s="76">
        <v>7391774</v>
      </c>
      <c r="D21" s="36">
        <f t="shared" si="15"/>
        <v>181728</v>
      </c>
      <c r="E21" s="101">
        <f>D21*E5</f>
        <v>109036.8</v>
      </c>
      <c r="F21" s="100">
        <f>D21*F5</f>
        <v>72691.199999999997</v>
      </c>
      <c r="G21" s="76">
        <v>303920</v>
      </c>
      <c r="H21" s="36">
        <f t="shared" si="1"/>
        <v>1728</v>
      </c>
      <c r="I21" s="76">
        <v>221232</v>
      </c>
      <c r="J21" s="36">
        <f t="shared" si="1"/>
        <v>8160</v>
      </c>
      <c r="K21" s="76">
        <v>277848</v>
      </c>
      <c r="L21" s="36">
        <f t="shared" si="1"/>
        <v>528</v>
      </c>
      <c r="M21" s="76">
        <v>25772</v>
      </c>
      <c r="N21" s="36">
        <f t="shared" si="1"/>
        <v>192</v>
      </c>
      <c r="O21" s="76">
        <v>370604</v>
      </c>
      <c r="P21" s="36">
        <f t="shared" si="16"/>
        <v>9168</v>
      </c>
      <c r="Q21" s="76">
        <v>492837</v>
      </c>
      <c r="R21" s="36">
        <f t="shared" si="17"/>
        <v>3600</v>
      </c>
      <c r="S21" s="76">
        <v>792512</v>
      </c>
      <c r="T21" s="36">
        <f t="shared" si="18"/>
        <v>5280</v>
      </c>
      <c r="U21" s="80">
        <v>8950.8140000000003</v>
      </c>
      <c r="V21" s="100">
        <f t="shared" si="31"/>
        <v>936.67200000004959</v>
      </c>
      <c r="W21" s="76">
        <v>87893</v>
      </c>
      <c r="X21" s="36">
        <f t="shared" si="8"/>
        <v>0</v>
      </c>
      <c r="Y21" s="76">
        <v>1536544</v>
      </c>
      <c r="Z21" s="36">
        <f t="shared" si="20"/>
        <v>16032</v>
      </c>
      <c r="AA21" s="76">
        <v>13993</v>
      </c>
      <c r="AB21" s="36">
        <f t="shared" si="21"/>
        <v>480</v>
      </c>
      <c r="AC21" s="75">
        <v>527786</v>
      </c>
      <c r="AD21" s="36">
        <f t="shared" si="9"/>
        <v>4176</v>
      </c>
      <c r="AE21" s="75">
        <v>599137</v>
      </c>
      <c r="AF21" s="36">
        <f t="shared" si="9"/>
        <v>2544</v>
      </c>
      <c r="AG21" s="76">
        <v>49813</v>
      </c>
      <c r="AH21" s="36">
        <f t="shared" si="22"/>
        <v>0</v>
      </c>
      <c r="AI21" s="75">
        <v>466318</v>
      </c>
      <c r="AJ21" s="36">
        <f t="shared" si="10"/>
        <v>5088</v>
      </c>
      <c r="AK21" s="76">
        <v>102770</v>
      </c>
      <c r="AL21" s="36">
        <f t="shared" si="23"/>
        <v>0</v>
      </c>
      <c r="AM21" s="76">
        <v>632716</v>
      </c>
      <c r="AN21" s="36">
        <f t="shared" si="11"/>
        <v>4512</v>
      </c>
      <c r="AO21" s="76">
        <v>25492</v>
      </c>
      <c r="AP21" s="36">
        <f t="shared" si="12"/>
        <v>2016</v>
      </c>
      <c r="AQ21" s="76">
        <v>2432</v>
      </c>
      <c r="AR21" s="36">
        <f t="shared" si="30"/>
        <v>11472</v>
      </c>
      <c r="AS21" s="76">
        <v>2488</v>
      </c>
      <c r="AT21" s="36">
        <f t="shared" si="27"/>
        <v>192</v>
      </c>
      <c r="AU21" s="76">
        <v>939</v>
      </c>
      <c r="AV21" s="36">
        <f t="shared" si="28"/>
        <v>0</v>
      </c>
      <c r="AW21" s="76">
        <v>3110</v>
      </c>
      <c r="AX21" s="36">
        <f>(+AW21-+AW20)*48</f>
        <v>0</v>
      </c>
      <c r="AY21" s="76">
        <v>366751</v>
      </c>
      <c r="AZ21" s="36">
        <f t="shared" si="14"/>
        <v>5904</v>
      </c>
      <c r="BA21" s="76">
        <v>161101</v>
      </c>
      <c r="BB21" s="36">
        <f t="shared" si="29"/>
        <v>0</v>
      </c>
      <c r="BC21" s="80">
        <v>246926</v>
      </c>
      <c r="BD21" s="36">
        <f t="shared" si="25"/>
        <v>3360</v>
      </c>
      <c r="BE21" s="76">
        <v>5350</v>
      </c>
      <c r="BF21" s="36">
        <f t="shared" si="26"/>
        <v>0</v>
      </c>
      <c r="BH21" s="155">
        <f t="shared" si="2"/>
        <v>166949.47200000004</v>
      </c>
      <c r="BI21" s="155">
        <f t="shared" si="3"/>
        <v>100147.2</v>
      </c>
    </row>
    <row r="22" spans="1:61" s="34" customFormat="1" ht="39.950000000000003" customHeight="1">
      <c r="A22" s="177">
        <f t="shared" si="7"/>
        <v>44909</v>
      </c>
      <c r="B22" s="33"/>
      <c r="C22" s="76">
        <v>7395684</v>
      </c>
      <c r="D22" s="36">
        <f t="shared" si="15"/>
        <v>187680</v>
      </c>
      <c r="E22" s="101">
        <f>D22*E5</f>
        <v>112608</v>
      </c>
      <c r="F22" s="100">
        <f>D22*F5</f>
        <v>75072</v>
      </c>
      <c r="G22" s="76">
        <v>303966</v>
      </c>
      <c r="H22" s="36">
        <f t="shared" si="1"/>
        <v>2208</v>
      </c>
      <c r="I22" s="76">
        <v>221397</v>
      </c>
      <c r="J22" s="36">
        <f t="shared" si="1"/>
        <v>7920</v>
      </c>
      <c r="K22" s="76">
        <v>277930</v>
      </c>
      <c r="L22" s="36">
        <f t="shared" si="1"/>
        <v>3936</v>
      </c>
      <c r="M22" s="76">
        <v>25772</v>
      </c>
      <c r="N22" s="36">
        <f t="shared" si="1"/>
        <v>0</v>
      </c>
      <c r="O22" s="76">
        <v>370787</v>
      </c>
      <c r="P22" s="36">
        <f t="shared" si="16"/>
        <v>8784</v>
      </c>
      <c r="Q22" s="76">
        <v>492920</v>
      </c>
      <c r="R22" s="36">
        <f t="shared" si="17"/>
        <v>3984</v>
      </c>
      <c r="S22" s="76">
        <v>792634</v>
      </c>
      <c r="T22" s="36">
        <f t="shared" si="18"/>
        <v>5856</v>
      </c>
      <c r="U22" s="80">
        <v>8968.8250000000007</v>
      </c>
      <c r="V22" s="100">
        <f t="shared" si="31"/>
        <v>864.52800000002026</v>
      </c>
      <c r="W22" s="76">
        <v>87913</v>
      </c>
      <c r="X22" s="36">
        <f t="shared" si="8"/>
        <v>960</v>
      </c>
      <c r="Y22" s="76">
        <v>1536625</v>
      </c>
      <c r="Z22" s="36">
        <f>(+Y22-+Y21)*48</f>
        <v>3888</v>
      </c>
      <c r="AA22" s="76">
        <v>14004</v>
      </c>
      <c r="AB22" s="36">
        <f t="shared" si="21"/>
        <v>528</v>
      </c>
      <c r="AC22" s="76">
        <v>527928</v>
      </c>
      <c r="AD22" s="36">
        <f t="shared" si="9"/>
        <v>6816</v>
      </c>
      <c r="AE22" s="76">
        <v>599223</v>
      </c>
      <c r="AF22" s="36">
        <f t="shared" si="9"/>
        <v>4128</v>
      </c>
      <c r="AG22" s="76">
        <v>49813</v>
      </c>
      <c r="AH22" s="36">
        <f t="shared" si="22"/>
        <v>0</v>
      </c>
      <c r="AI22" s="76">
        <v>466426</v>
      </c>
      <c r="AJ22" s="36">
        <f t="shared" si="10"/>
        <v>5184</v>
      </c>
      <c r="AK22" s="76">
        <v>102770</v>
      </c>
      <c r="AL22" s="36">
        <f t="shared" si="23"/>
        <v>0</v>
      </c>
      <c r="AM22" s="75">
        <v>632828</v>
      </c>
      <c r="AN22" s="36">
        <f t="shared" si="11"/>
        <v>5376</v>
      </c>
      <c r="AO22" s="75">
        <v>25562</v>
      </c>
      <c r="AP22" s="36">
        <f t="shared" si="12"/>
        <v>3360</v>
      </c>
      <c r="AQ22" s="76">
        <v>2669</v>
      </c>
      <c r="AR22" s="36">
        <f t="shared" si="30"/>
        <v>11376</v>
      </c>
      <c r="AS22" s="76">
        <v>2489</v>
      </c>
      <c r="AT22" s="36">
        <f t="shared" si="27"/>
        <v>48</v>
      </c>
      <c r="AU22" s="76">
        <v>939</v>
      </c>
      <c r="AV22" s="36">
        <f t="shared" si="28"/>
        <v>0</v>
      </c>
      <c r="AW22" s="76">
        <v>3110</v>
      </c>
      <c r="AX22" s="36">
        <f t="shared" si="24"/>
        <v>0</v>
      </c>
      <c r="AY22" s="76">
        <v>366861</v>
      </c>
      <c r="AZ22" s="36">
        <f t="shared" si="14"/>
        <v>5280</v>
      </c>
      <c r="BA22" s="76">
        <v>161101</v>
      </c>
      <c r="BB22" s="36">
        <f t="shared" si="29"/>
        <v>0</v>
      </c>
      <c r="BC22" s="76">
        <v>246994</v>
      </c>
      <c r="BD22" s="36">
        <f t="shared" si="25"/>
        <v>3264</v>
      </c>
      <c r="BE22" s="76">
        <v>5350</v>
      </c>
      <c r="BF22" s="36">
        <f t="shared" si="26"/>
        <v>0</v>
      </c>
      <c r="BH22" s="155">
        <f t="shared" si="2"/>
        <v>167664.52800000002</v>
      </c>
      <c r="BI22" s="155">
        <f t="shared" si="3"/>
        <v>103776</v>
      </c>
    </row>
    <row r="23" spans="1:61" s="34" customFormat="1" ht="39.950000000000003" customHeight="1">
      <c r="A23" s="177">
        <f t="shared" si="7"/>
        <v>44910</v>
      </c>
      <c r="B23" s="33"/>
      <c r="C23" s="76">
        <v>7399865</v>
      </c>
      <c r="D23" s="36">
        <f t="shared" si="15"/>
        <v>200688</v>
      </c>
      <c r="E23" s="101">
        <f>D23*E5</f>
        <v>120412.79999999999</v>
      </c>
      <c r="F23" s="100">
        <f>D23*F5</f>
        <v>80275.200000000012</v>
      </c>
      <c r="G23" s="76">
        <v>304011</v>
      </c>
      <c r="H23" s="36">
        <f t="shared" si="1"/>
        <v>2160</v>
      </c>
      <c r="I23" s="76">
        <v>221559</v>
      </c>
      <c r="J23" s="36">
        <f t="shared" si="1"/>
        <v>7776</v>
      </c>
      <c r="K23" s="76">
        <v>278015</v>
      </c>
      <c r="L23" s="36">
        <f t="shared" si="1"/>
        <v>4080</v>
      </c>
      <c r="M23" s="76">
        <v>25778</v>
      </c>
      <c r="N23" s="36">
        <f>(+M23-+M22)*48</f>
        <v>288</v>
      </c>
      <c r="O23" s="76">
        <v>370976</v>
      </c>
      <c r="P23" s="36">
        <f t="shared" si="16"/>
        <v>9072</v>
      </c>
      <c r="Q23" s="76">
        <v>493009</v>
      </c>
      <c r="R23" s="36">
        <f t="shared" si="17"/>
        <v>4272</v>
      </c>
      <c r="S23" s="76">
        <v>792775</v>
      </c>
      <c r="T23" s="36">
        <f t="shared" si="18"/>
        <v>6768</v>
      </c>
      <c r="U23" s="80">
        <v>8986.3629999999994</v>
      </c>
      <c r="V23" s="100">
        <f t="shared" si="31"/>
        <v>841.82399999993504</v>
      </c>
      <c r="W23" s="76">
        <v>87932</v>
      </c>
      <c r="X23" s="36">
        <f t="shared" si="8"/>
        <v>912</v>
      </c>
      <c r="Y23" s="76">
        <v>1537000</v>
      </c>
      <c r="Z23" s="36">
        <f>(+Y23-+Y22)*48</f>
        <v>18000</v>
      </c>
      <c r="AA23" s="76">
        <v>14013</v>
      </c>
      <c r="AB23" s="36">
        <f t="shared" si="21"/>
        <v>432</v>
      </c>
      <c r="AC23" s="76">
        <v>528083</v>
      </c>
      <c r="AD23" s="36">
        <f t="shared" si="9"/>
        <v>7440</v>
      </c>
      <c r="AE23" s="76">
        <v>599403</v>
      </c>
      <c r="AF23" s="36">
        <f t="shared" si="9"/>
        <v>8640</v>
      </c>
      <c r="AG23" s="76">
        <v>49813</v>
      </c>
      <c r="AH23" s="36">
        <f t="shared" si="22"/>
        <v>0</v>
      </c>
      <c r="AI23" s="76">
        <v>466543</v>
      </c>
      <c r="AJ23" s="36">
        <f t="shared" si="10"/>
        <v>5616</v>
      </c>
      <c r="AK23" s="76">
        <v>102770</v>
      </c>
      <c r="AL23" s="36">
        <f t="shared" si="23"/>
        <v>0</v>
      </c>
      <c r="AM23" s="76">
        <v>633004</v>
      </c>
      <c r="AN23" s="36">
        <f t="shared" si="11"/>
        <v>8448</v>
      </c>
      <c r="AO23" s="76">
        <v>25711</v>
      </c>
      <c r="AP23" s="36">
        <f t="shared" si="12"/>
        <v>7152</v>
      </c>
      <c r="AQ23" s="76">
        <v>2971</v>
      </c>
      <c r="AR23" s="36">
        <f t="shared" si="30"/>
        <v>14496</v>
      </c>
      <c r="AS23" s="76">
        <v>2489</v>
      </c>
      <c r="AT23" s="36">
        <f t="shared" si="27"/>
        <v>0</v>
      </c>
      <c r="AU23" s="76">
        <v>939</v>
      </c>
      <c r="AV23" s="36">
        <f t="shared" si="28"/>
        <v>0</v>
      </c>
      <c r="AW23" s="76">
        <v>3110</v>
      </c>
      <c r="AX23" s="36">
        <f t="shared" si="24"/>
        <v>0</v>
      </c>
      <c r="AY23" s="76">
        <v>366978</v>
      </c>
      <c r="AZ23" s="100">
        <f t="shared" si="14"/>
        <v>5616</v>
      </c>
      <c r="BA23" s="76">
        <v>161101</v>
      </c>
      <c r="BB23" s="36">
        <v>0</v>
      </c>
      <c r="BC23" s="76">
        <v>247068</v>
      </c>
      <c r="BD23" s="36">
        <f t="shared" si="25"/>
        <v>3552</v>
      </c>
      <c r="BE23" s="76">
        <v>5350</v>
      </c>
      <c r="BF23" s="36">
        <f t="shared" si="26"/>
        <v>0</v>
      </c>
      <c r="BH23" s="155">
        <f t="shared" si="2"/>
        <v>196710.62399999992</v>
      </c>
      <c r="BI23" s="155">
        <f t="shared" si="3"/>
        <v>119539.20000000001</v>
      </c>
    </row>
    <row r="24" spans="1:61" s="34" customFormat="1" ht="39.950000000000003" customHeight="1">
      <c r="A24" s="177">
        <f t="shared" si="7"/>
        <v>44911</v>
      </c>
      <c r="B24" s="33"/>
      <c r="C24" s="76">
        <v>7403495</v>
      </c>
      <c r="D24" s="36">
        <f t="shared" si="15"/>
        <v>174240</v>
      </c>
      <c r="E24" s="101">
        <f>D24*E5</f>
        <v>104544</v>
      </c>
      <c r="F24" s="100">
        <f>D24*F5</f>
        <v>69696</v>
      </c>
      <c r="G24" s="76">
        <v>304064</v>
      </c>
      <c r="H24" s="36">
        <f t="shared" si="1"/>
        <v>2544</v>
      </c>
      <c r="I24" s="76">
        <v>221725</v>
      </c>
      <c r="J24" s="36">
        <f t="shared" si="1"/>
        <v>7968</v>
      </c>
      <c r="K24" s="76">
        <v>278085</v>
      </c>
      <c r="L24" s="36">
        <f t="shared" si="1"/>
        <v>3360</v>
      </c>
      <c r="M24" s="76">
        <v>25779</v>
      </c>
      <c r="N24" s="36">
        <f>(+M24-+M23)*48</f>
        <v>48</v>
      </c>
      <c r="O24" s="76">
        <v>371156</v>
      </c>
      <c r="P24" s="36">
        <f t="shared" si="16"/>
        <v>8640</v>
      </c>
      <c r="Q24" s="76">
        <v>493097</v>
      </c>
      <c r="R24" s="36">
        <f t="shared" si="17"/>
        <v>4224</v>
      </c>
      <c r="S24" s="76">
        <v>792910</v>
      </c>
      <c r="T24" s="36">
        <f t="shared" si="18"/>
        <v>6480</v>
      </c>
      <c r="U24" s="80">
        <v>9005.5669999999991</v>
      </c>
      <c r="V24" s="100">
        <f t="shared" si="31"/>
        <v>921.79199999998673</v>
      </c>
      <c r="W24" s="76">
        <v>87952</v>
      </c>
      <c r="X24" s="36">
        <f t="shared" si="8"/>
        <v>960</v>
      </c>
      <c r="Y24" s="76">
        <v>1537360</v>
      </c>
      <c r="Z24" s="36">
        <f>(+Y24-+Y23)*48</f>
        <v>17280</v>
      </c>
      <c r="AA24" s="76">
        <v>14020</v>
      </c>
      <c r="AB24" s="36">
        <f t="shared" si="21"/>
        <v>336</v>
      </c>
      <c r="AC24" s="76">
        <v>528271</v>
      </c>
      <c r="AD24" s="36">
        <f t="shared" si="9"/>
        <v>9024</v>
      </c>
      <c r="AE24" s="76">
        <v>599587</v>
      </c>
      <c r="AF24" s="36">
        <f t="shared" si="9"/>
        <v>8832</v>
      </c>
      <c r="AG24" s="76">
        <v>49813</v>
      </c>
      <c r="AH24" s="36">
        <f t="shared" si="22"/>
        <v>0</v>
      </c>
      <c r="AI24" s="76">
        <v>466660</v>
      </c>
      <c r="AJ24" s="36">
        <f t="shared" si="10"/>
        <v>5616</v>
      </c>
      <c r="AK24" s="76">
        <v>102770</v>
      </c>
      <c r="AL24" s="36">
        <f t="shared" si="23"/>
        <v>0</v>
      </c>
      <c r="AM24" s="76">
        <v>633186</v>
      </c>
      <c r="AN24" s="36">
        <f t="shared" si="11"/>
        <v>8736</v>
      </c>
      <c r="AO24" s="76">
        <v>25903</v>
      </c>
      <c r="AP24" s="36">
        <f t="shared" si="12"/>
        <v>9216</v>
      </c>
      <c r="AQ24" s="76">
        <v>3190</v>
      </c>
      <c r="AR24" s="36">
        <f t="shared" si="30"/>
        <v>10512</v>
      </c>
      <c r="AS24" s="76">
        <v>2489</v>
      </c>
      <c r="AT24" s="36">
        <f t="shared" si="27"/>
        <v>0</v>
      </c>
      <c r="AU24" s="76">
        <v>939</v>
      </c>
      <c r="AV24" s="36">
        <f t="shared" si="28"/>
        <v>0</v>
      </c>
      <c r="AW24" s="76">
        <v>3110</v>
      </c>
      <c r="AX24" s="36">
        <f t="shared" si="24"/>
        <v>0</v>
      </c>
      <c r="AY24" s="76">
        <v>367091</v>
      </c>
      <c r="AZ24" s="36">
        <f t="shared" si="14"/>
        <v>5424</v>
      </c>
      <c r="BA24" s="76">
        <v>161101</v>
      </c>
      <c r="BB24" s="100">
        <f t="shared" ref="BB24:BB26" si="32">(+BA24-+BA23)*48</f>
        <v>0</v>
      </c>
      <c r="BC24" s="76">
        <v>247130</v>
      </c>
      <c r="BD24" s="36">
        <f t="shared" si="25"/>
        <v>2976</v>
      </c>
      <c r="BE24" s="76">
        <v>5350</v>
      </c>
      <c r="BF24" s="36">
        <f t="shared" si="26"/>
        <v>0</v>
      </c>
      <c r="BH24" s="102">
        <f t="shared" si="2"/>
        <v>180777.79199999999</v>
      </c>
      <c r="BI24" s="102">
        <f t="shared" si="3"/>
        <v>106560</v>
      </c>
    </row>
    <row r="25" spans="1:61" s="34" customFormat="1" ht="39.950000000000003" customHeight="1">
      <c r="A25" s="177">
        <f t="shared" si="7"/>
        <v>44912</v>
      </c>
      <c r="B25" s="33"/>
      <c r="C25" s="76">
        <v>7406906</v>
      </c>
      <c r="D25" s="100">
        <f t="shared" si="15"/>
        <v>163728</v>
      </c>
      <c r="E25" s="101">
        <f>D25*E5</f>
        <v>98236.800000000003</v>
      </c>
      <c r="F25" s="100">
        <f>D25*F5</f>
        <v>65491.200000000004</v>
      </c>
      <c r="G25" s="76">
        <v>304141</v>
      </c>
      <c r="H25" s="100">
        <f t="shared" si="1"/>
        <v>3696</v>
      </c>
      <c r="I25" s="76">
        <v>221892</v>
      </c>
      <c r="J25" s="100">
        <f t="shared" si="1"/>
        <v>8016</v>
      </c>
      <c r="K25" s="76">
        <v>278183</v>
      </c>
      <c r="L25" s="100">
        <f t="shared" si="1"/>
        <v>4704</v>
      </c>
      <c r="M25" s="76">
        <v>25782</v>
      </c>
      <c r="N25" s="100">
        <f>(+M25-+M24)*48</f>
        <v>144</v>
      </c>
      <c r="O25" s="76">
        <v>371351</v>
      </c>
      <c r="P25" s="100">
        <f t="shared" si="16"/>
        <v>9360</v>
      </c>
      <c r="Q25" s="76">
        <v>493184</v>
      </c>
      <c r="R25" s="100">
        <f t="shared" si="17"/>
        <v>4176</v>
      </c>
      <c r="S25" s="76">
        <v>793041</v>
      </c>
      <c r="T25" s="100">
        <f t="shared" si="18"/>
        <v>6288</v>
      </c>
      <c r="U25" s="80">
        <v>9025.5419999999995</v>
      </c>
      <c r="V25" s="100">
        <f t="shared" si="31"/>
        <v>958.80000000001746</v>
      </c>
      <c r="W25" s="76">
        <v>87972</v>
      </c>
      <c r="X25" s="100">
        <f t="shared" si="8"/>
        <v>960</v>
      </c>
      <c r="Y25" s="76">
        <v>1537714</v>
      </c>
      <c r="Z25" s="100">
        <f t="shared" si="20"/>
        <v>16992</v>
      </c>
      <c r="AA25" s="76">
        <v>14054</v>
      </c>
      <c r="AB25" s="100">
        <f t="shared" si="21"/>
        <v>1632</v>
      </c>
      <c r="AC25" s="76">
        <v>528464</v>
      </c>
      <c r="AD25" s="100">
        <f t="shared" si="9"/>
        <v>9264</v>
      </c>
      <c r="AE25" s="76">
        <v>599752</v>
      </c>
      <c r="AF25" s="100">
        <f t="shared" si="9"/>
        <v>7920</v>
      </c>
      <c r="AG25" s="76">
        <v>49813</v>
      </c>
      <c r="AH25" s="100">
        <f t="shared" si="22"/>
        <v>0</v>
      </c>
      <c r="AI25" s="76">
        <v>466774</v>
      </c>
      <c r="AJ25" s="100">
        <f t="shared" si="10"/>
        <v>5472</v>
      </c>
      <c r="AK25" s="76">
        <v>102774</v>
      </c>
      <c r="AL25" s="100">
        <f t="shared" si="23"/>
        <v>192</v>
      </c>
      <c r="AM25" s="76">
        <v>633370</v>
      </c>
      <c r="AN25" s="100">
        <f t="shared" si="11"/>
        <v>8832</v>
      </c>
      <c r="AO25" s="76">
        <v>26080</v>
      </c>
      <c r="AP25" s="100">
        <f t="shared" si="12"/>
        <v>8496</v>
      </c>
      <c r="AQ25" s="76">
        <v>3414</v>
      </c>
      <c r="AR25" s="100">
        <f t="shared" si="30"/>
        <v>10752</v>
      </c>
      <c r="AS25" s="76">
        <v>2492</v>
      </c>
      <c r="AT25" s="100">
        <f t="shared" si="27"/>
        <v>144</v>
      </c>
      <c r="AU25" s="76">
        <v>939</v>
      </c>
      <c r="AV25" s="100">
        <f t="shared" si="28"/>
        <v>0</v>
      </c>
      <c r="AW25" s="76">
        <v>3110</v>
      </c>
      <c r="AX25" s="100">
        <f t="shared" si="24"/>
        <v>0</v>
      </c>
      <c r="AY25" s="76">
        <v>367196</v>
      </c>
      <c r="AZ25" s="100">
        <f t="shared" si="14"/>
        <v>5040</v>
      </c>
      <c r="BA25" s="76">
        <v>161101</v>
      </c>
      <c r="BB25" s="100">
        <f t="shared" si="32"/>
        <v>0</v>
      </c>
      <c r="BC25" s="76">
        <v>247201</v>
      </c>
      <c r="BD25" s="100">
        <f t="shared" si="25"/>
        <v>3408</v>
      </c>
      <c r="BE25" s="76">
        <v>5350</v>
      </c>
      <c r="BF25" s="100">
        <f t="shared" si="26"/>
        <v>0</v>
      </c>
      <c r="BH25" s="102">
        <f t="shared" si="2"/>
        <v>178011.6</v>
      </c>
      <c r="BI25" s="102">
        <f t="shared" si="3"/>
        <v>102163.20000000001</v>
      </c>
    </row>
    <row r="26" spans="1:61" s="34" customFormat="1" ht="39.950000000000003" customHeight="1">
      <c r="A26" s="177">
        <f t="shared" si="7"/>
        <v>44913</v>
      </c>
      <c r="B26" s="33"/>
      <c r="C26" s="76">
        <v>7411418</v>
      </c>
      <c r="D26" s="100">
        <f t="shared" si="15"/>
        <v>216576</v>
      </c>
      <c r="E26" s="101">
        <f>D26*E5</f>
        <v>129945.59999999999</v>
      </c>
      <c r="F26" s="100">
        <f>D26*F5</f>
        <v>86630.400000000009</v>
      </c>
      <c r="G26" s="76">
        <v>304226</v>
      </c>
      <c r="H26" s="100">
        <f t="shared" si="1"/>
        <v>4080</v>
      </c>
      <c r="I26" s="76">
        <v>222071</v>
      </c>
      <c r="J26" s="100">
        <f t="shared" si="1"/>
        <v>8592</v>
      </c>
      <c r="K26" s="76">
        <v>278298</v>
      </c>
      <c r="L26" s="100">
        <f t="shared" si="1"/>
        <v>5520</v>
      </c>
      <c r="M26" s="76">
        <v>25792</v>
      </c>
      <c r="N26" s="100">
        <f t="shared" si="1"/>
        <v>480</v>
      </c>
      <c r="O26" s="76">
        <v>371567</v>
      </c>
      <c r="P26" s="100">
        <f t="shared" si="16"/>
        <v>10368</v>
      </c>
      <c r="Q26" s="76">
        <v>493294</v>
      </c>
      <c r="R26" s="100">
        <f t="shared" si="17"/>
        <v>5280</v>
      </c>
      <c r="S26" s="76">
        <v>793179</v>
      </c>
      <c r="T26" s="100">
        <f t="shared" si="18"/>
        <v>6624</v>
      </c>
      <c r="U26" s="80">
        <v>9046.5450000000001</v>
      </c>
      <c r="V26" s="100">
        <f t="shared" si="31"/>
        <v>1008.1440000000293</v>
      </c>
      <c r="W26" s="76">
        <v>87985</v>
      </c>
      <c r="X26" s="100">
        <f t="shared" si="8"/>
        <v>624</v>
      </c>
      <c r="Y26" s="76">
        <v>1538080</v>
      </c>
      <c r="Z26" s="100">
        <f t="shared" si="20"/>
        <v>17568</v>
      </c>
      <c r="AA26" s="76">
        <v>14057</v>
      </c>
      <c r="AB26" s="100">
        <f t="shared" si="21"/>
        <v>144</v>
      </c>
      <c r="AC26" s="76">
        <v>528533</v>
      </c>
      <c r="AD26" s="100">
        <f t="shared" si="9"/>
        <v>3312</v>
      </c>
      <c r="AE26" s="76">
        <v>599799</v>
      </c>
      <c r="AF26" s="100">
        <f t="shared" si="9"/>
        <v>2256</v>
      </c>
      <c r="AG26" s="75">
        <v>49813</v>
      </c>
      <c r="AH26" s="100">
        <f t="shared" si="22"/>
        <v>0</v>
      </c>
      <c r="AI26" s="76">
        <v>466902</v>
      </c>
      <c r="AJ26" s="100">
        <f t="shared" si="10"/>
        <v>6144</v>
      </c>
      <c r="AK26" s="76">
        <v>102778</v>
      </c>
      <c r="AL26" s="100">
        <f t="shared" si="23"/>
        <v>192</v>
      </c>
      <c r="AM26" s="76">
        <v>633451</v>
      </c>
      <c r="AN26" s="100">
        <f t="shared" si="11"/>
        <v>3888</v>
      </c>
      <c r="AO26" s="76">
        <v>26129</v>
      </c>
      <c r="AP26" s="100">
        <f t="shared" si="12"/>
        <v>2352</v>
      </c>
      <c r="AQ26" s="76">
        <v>3713</v>
      </c>
      <c r="AR26" s="100">
        <f t="shared" si="30"/>
        <v>14352</v>
      </c>
      <c r="AS26" s="76">
        <v>2493</v>
      </c>
      <c r="AT26" s="100">
        <f t="shared" si="27"/>
        <v>48</v>
      </c>
      <c r="AU26" s="76">
        <v>939</v>
      </c>
      <c r="AV26" s="100">
        <f t="shared" si="28"/>
        <v>0</v>
      </c>
      <c r="AW26" s="76">
        <v>3110</v>
      </c>
      <c r="AX26" s="100">
        <f t="shared" si="24"/>
        <v>0</v>
      </c>
      <c r="AY26" s="76">
        <v>367313</v>
      </c>
      <c r="AZ26" s="100">
        <f t="shared" si="14"/>
        <v>5616</v>
      </c>
      <c r="BA26" s="76">
        <v>161101</v>
      </c>
      <c r="BB26" s="100">
        <f t="shared" si="32"/>
        <v>0</v>
      </c>
      <c r="BC26" s="76">
        <v>247270</v>
      </c>
      <c r="BD26" s="100">
        <f t="shared" si="25"/>
        <v>3312</v>
      </c>
      <c r="BE26" s="76">
        <v>5350</v>
      </c>
      <c r="BF26" s="100">
        <f t="shared" si="26"/>
        <v>0</v>
      </c>
      <c r="BH26" s="102">
        <f t="shared" si="2"/>
        <v>202137.74400000001</v>
      </c>
      <c r="BI26" s="102">
        <f t="shared" si="3"/>
        <v>116198.40000000001</v>
      </c>
    </row>
    <row r="27" spans="1:61" s="34" customFormat="1" ht="39.950000000000003" customHeight="1">
      <c r="A27" s="177">
        <f t="shared" si="7"/>
        <v>44914</v>
      </c>
      <c r="B27" s="33"/>
      <c r="C27" s="76">
        <v>7416135</v>
      </c>
      <c r="D27" s="100">
        <f t="shared" si="15"/>
        <v>226416</v>
      </c>
      <c r="E27" s="101">
        <f>D27*E5</f>
        <v>135849.60000000001</v>
      </c>
      <c r="F27" s="100">
        <f>D27*F5</f>
        <v>90566.400000000009</v>
      </c>
      <c r="G27" s="76">
        <v>304294</v>
      </c>
      <c r="H27" s="100">
        <f t="shared" si="1"/>
        <v>3264</v>
      </c>
      <c r="I27" s="76">
        <v>222244</v>
      </c>
      <c r="J27" s="100">
        <f t="shared" si="1"/>
        <v>8304</v>
      </c>
      <c r="K27" s="76">
        <v>278399</v>
      </c>
      <c r="L27" s="100">
        <f t="shared" si="1"/>
        <v>4848</v>
      </c>
      <c r="M27" s="76">
        <v>25803</v>
      </c>
      <c r="N27" s="100">
        <f t="shared" si="1"/>
        <v>528</v>
      </c>
      <c r="O27" s="76">
        <v>371777</v>
      </c>
      <c r="P27" s="100">
        <f t="shared" si="16"/>
        <v>10080</v>
      </c>
      <c r="Q27" s="76">
        <v>493376</v>
      </c>
      <c r="R27" s="100">
        <f t="shared" si="17"/>
        <v>3936</v>
      </c>
      <c r="S27" s="76">
        <v>793302</v>
      </c>
      <c r="T27" s="100">
        <f t="shared" si="18"/>
        <v>5904</v>
      </c>
      <c r="U27" s="80">
        <v>9067.6419999999998</v>
      </c>
      <c r="V27" s="100">
        <f t="shared" si="31"/>
        <v>1012.6559999999881</v>
      </c>
      <c r="W27" s="76">
        <v>87987</v>
      </c>
      <c r="X27" s="100">
        <f t="shared" si="8"/>
        <v>96</v>
      </c>
      <c r="Y27" s="76">
        <v>1538426</v>
      </c>
      <c r="Z27" s="100">
        <f t="shared" si="20"/>
        <v>16608</v>
      </c>
      <c r="AA27" s="76">
        <v>14074</v>
      </c>
      <c r="AB27" s="100">
        <f t="shared" si="21"/>
        <v>816</v>
      </c>
      <c r="AC27" s="76">
        <v>528533</v>
      </c>
      <c r="AD27" s="100">
        <f t="shared" si="9"/>
        <v>0</v>
      </c>
      <c r="AE27" s="76">
        <v>599799</v>
      </c>
      <c r="AF27" s="100">
        <f t="shared" si="9"/>
        <v>0</v>
      </c>
      <c r="AG27" s="75">
        <v>49813</v>
      </c>
      <c r="AH27" s="100">
        <f t="shared" si="22"/>
        <v>0</v>
      </c>
      <c r="AI27" s="76">
        <v>466999</v>
      </c>
      <c r="AJ27" s="100">
        <f t="shared" si="10"/>
        <v>4656</v>
      </c>
      <c r="AK27" s="76">
        <v>102787</v>
      </c>
      <c r="AL27" s="100">
        <f t="shared" si="23"/>
        <v>432</v>
      </c>
      <c r="AM27" s="76">
        <v>633516</v>
      </c>
      <c r="AN27" s="100">
        <f t="shared" si="11"/>
        <v>3120</v>
      </c>
      <c r="AO27" s="76">
        <v>26132</v>
      </c>
      <c r="AP27" s="100">
        <f t="shared" si="12"/>
        <v>144</v>
      </c>
      <c r="AQ27" s="76">
        <v>4010</v>
      </c>
      <c r="AR27" s="100">
        <f t="shared" si="30"/>
        <v>14256</v>
      </c>
      <c r="AS27" s="76">
        <v>2500</v>
      </c>
      <c r="AT27" s="100">
        <f t="shared" si="27"/>
        <v>336</v>
      </c>
      <c r="AU27" s="76">
        <v>939</v>
      </c>
      <c r="AV27" s="100">
        <f t="shared" si="28"/>
        <v>0</v>
      </c>
      <c r="AW27" s="76">
        <v>3110</v>
      </c>
      <c r="AX27" s="100">
        <f t="shared" si="24"/>
        <v>0</v>
      </c>
      <c r="AY27" s="76">
        <v>367427</v>
      </c>
      <c r="AZ27" s="100">
        <f>(+AY27-+AY26)*48</f>
        <v>5472</v>
      </c>
      <c r="BA27" s="76">
        <v>161101</v>
      </c>
      <c r="BB27" s="100">
        <f>(+BA27-+BA26)*48</f>
        <v>0</v>
      </c>
      <c r="BC27" s="76">
        <v>247337</v>
      </c>
      <c r="BD27" s="100">
        <f t="shared" si="25"/>
        <v>3216</v>
      </c>
      <c r="BE27" s="76">
        <v>5350</v>
      </c>
      <c r="BF27" s="100">
        <f t="shared" si="26"/>
        <v>0</v>
      </c>
      <c r="BH27" s="102">
        <f t="shared" si="2"/>
        <v>196334.25599999999</v>
      </c>
      <c r="BI27" s="102">
        <f t="shared" si="3"/>
        <v>117110.40000000001</v>
      </c>
    </row>
    <row r="28" spans="1:61" s="34" customFormat="1" ht="39.950000000000003" customHeight="1">
      <c r="A28" s="177">
        <f t="shared" si="7"/>
        <v>44915</v>
      </c>
      <c r="B28" s="33"/>
      <c r="C28" s="76">
        <v>7420671</v>
      </c>
      <c r="D28" s="100">
        <f t="shared" si="15"/>
        <v>217728</v>
      </c>
      <c r="E28" s="101">
        <f>D28*E5</f>
        <v>130636.79999999999</v>
      </c>
      <c r="F28" s="100">
        <f>D28*F5</f>
        <v>87091.200000000012</v>
      </c>
      <c r="G28" s="76">
        <v>304333</v>
      </c>
      <c r="H28" s="100">
        <f t="shared" si="1"/>
        <v>1872</v>
      </c>
      <c r="I28" s="76">
        <v>222412</v>
      </c>
      <c r="J28" s="100">
        <f t="shared" si="1"/>
        <v>8064</v>
      </c>
      <c r="K28" s="76">
        <v>278439</v>
      </c>
      <c r="L28" s="100">
        <f t="shared" si="1"/>
        <v>1920</v>
      </c>
      <c r="M28" s="76">
        <v>25803</v>
      </c>
      <c r="N28" s="100">
        <f t="shared" si="1"/>
        <v>0</v>
      </c>
      <c r="O28" s="76">
        <v>371976</v>
      </c>
      <c r="P28" s="100">
        <f t="shared" si="16"/>
        <v>9552</v>
      </c>
      <c r="Q28" s="76">
        <v>493466</v>
      </c>
      <c r="R28" s="100">
        <f t="shared" si="17"/>
        <v>4320</v>
      </c>
      <c r="S28" s="76">
        <v>793414</v>
      </c>
      <c r="T28" s="100">
        <f t="shared" si="18"/>
        <v>5376</v>
      </c>
      <c r="U28" s="80">
        <v>9087.6550000000007</v>
      </c>
      <c r="V28" s="100">
        <f t="shared" si="31"/>
        <v>960.62400000003981</v>
      </c>
      <c r="W28" s="76">
        <v>87989</v>
      </c>
      <c r="X28" s="100">
        <f t="shared" si="8"/>
        <v>96</v>
      </c>
      <c r="Y28" s="76">
        <v>1538829</v>
      </c>
      <c r="Z28" s="100">
        <f t="shared" si="20"/>
        <v>19344</v>
      </c>
      <c r="AA28" s="76">
        <v>14088</v>
      </c>
      <c r="AB28" s="100">
        <f t="shared" si="21"/>
        <v>672</v>
      </c>
      <c r="AC28" s="76">
        <v>528553</v>
      </c>
      <c r="AD28" s="100">
        <f t="shared" si="9"/>
        <v>960</v>
      </c>
      <c r="AE28" s="76">
        <v>599804</v>
      </c>
      <c r="AF28" s="100">
        <f t="shared" si="9"/>
        <v>240</v>
      </c>
      <c r="AG28" s="75">
        <v>49813</v>
      </c>
      <c r="AH28" s="100">
        <f t="shared" si="22"/>
        <v>0</v>
      </c>
      <c r="AI28" s="76">
        <v>467097</v>
      </c>
      <c r="AJ28" s="100">
        <f t="shared" si="10"/>
        <v>4704</v>
      </c>
      <c r="AK28" s="76">
        <v>102793</v>
      </c>
      <c r="AL28" s="100">
        <f t="shared" si="23"/>
        <v>288</v>
      </c>
      <c r="AM28" s="76">
        <v>633598</v>
      </c>
      <c r="AN28" s="100">
        <f t="shared" si="11"/>
        <v>3936</v>
      </c>
      <c r="AO28" s="76">
        <v>26137</v>
      </c>
      <c r="AP28" s="100">
        <f t="shared" si="12"/>
        <v>240</v>
      </c>
      <c r="AQ28" s="76">
        <v>4100</v>
      </c>
      <c r="AR28" s="100">
        <f t="shared" si="30"/>
        <v>4320</v>
      </c>
      <c r="AS28" s="76">
        <v>2502</v>
      </c>
      <c r="AT28" s="100">
        <f t="shared" si="27"/>
        <v>96</v>
      </c>
      <c r="AU28" s="76">
        <v>939</v>
      </c>
      <c r="AV28" s="100">
        <f t="shared" si="28"/>
        <v>0</v>
      </c>
      <c r="AW28" s="76">
        <v>3110</v>
      </c>
      <c r="AX28" s="100">
        <f t="shared" si="24"/>
        <v>0</v>
      </c>
      <c r="AY28" s="76">
        <v>367553</v>
      </c>
      <c r="AZ28" s="100">
        <f t="shared" ref="AZ28:AZ38" si="33">(+AY28-+AY27)*48</f>
        <v>6048</v>
      </c>
      <c r="BA28" s="76">
        <v>161101</v>
      </c>
      <c r="BB28" s="100">
        <f>(+BA28-+BA27)*48</f>
        <v>0</v>
      </c>
      <c r="BC28" s="76">
        <v>247409</v>
      </c>
      <c r="BD28" s="100">
        <f t="shared" si="25"/>
        <v>3456</v>
      </c>
      <c r="BE28" s="76">
        <v>5350</v>
      </c>
      <c r="BF28" s="100">
        <f t="shared" si="26"/>
        <v>0</v>
      </c>
      <c r="BH28" s="102">
        <f t="shared" si="2"/>
        <v>189005.42400000003</v>
      </c>
      <c r="BI28" s="102">
        <f t="shared" si="3"/>
        <v>105187.20000000001</v>
      </c>
    </row>
    <row r="29" spans="1:61" s="34" customFormat="1" ht="39.950000000000003" customHeight="1">
      <c r="A29" s="177">
        <f t="shared" si="7"/>
        <v>44916</v>
      </c>
      <c r="B29" s="33"/>
      <c r="C29" s="76">
        <v>7424208</v>
      </c>
      <c r="D29" s="100">
        <f t="shared" si="15"/>
        <v>169776</v>
      </c>
      <c r="E29" s="101">
        <f>D29*E5</f>
        <v>101865.59999999999</v>
      </c>
      <c r="F29" s="100">
        <f>D29*F5</f>
        <v>67910.400000000009</v>
      </c>
      <c r="G29" s="76">
        <v>304379</v>
      </c>
      <c r="H29" s="100">
        <f t="shared" si="1"/>
        <v>2208</v>
      </c>
      <c r="I29" s="76">
        <v>222568</v>
      </c>
      <c r="J29" s="100">
        <f t="shared" si="1"/>
        <v>7488</v>
      </c>
      <c r="K29" s="76">
        <v>278511</v>
      </c>
      <c r="L29" s="100">
        <f t="shared" si="1"/>
        <v>3456</v>
      </c>
      <c r="M29" s="76">
        <v>25803</v>
      </c>
      <c r="N29" s="100">
        <f t="shared" si="1"/>
        <v>0</v>
      </c>
      <c r="O29" s="76">
        <v>372202</v>
      </c>
      <c r="P29" s="100">
        <f t="shared" si="16"/>
        <v>10848</v>
      </c>
      <c r="Q29" s="76">
        <v>493551</v>
      </c>
      <c r="R29" s="100">
        <f t="shared" si="17"/>
        <v>4080</v>
      </c>
      <c r="S29" s="75">
        <v>793549</v>
      </c>
      <c r="T29" s="100">
        <f t="shared" si="18"/>
        <v>6480</v>
      </c>
      <c r="U29" s="81">
        <v>9107.4930000000004</v>
      </c>
      <c r="V29" s="100">
        <f t="shared" si="31"/>
        <v>952.22399999998743</v>
      </c>
      <c r="W29" s="76">
        <v>88003</v>
      </c>
      <c r="X29" s="100">
        <f t="shared" si="8"/>
        <v>672</v>
      </c>
      <c r="Y29" s="76">
        <v>1539182</v>
      </c>
      <c r="Z29" s="100">
        <f t="shared" si="20"/>
        <v>16944</v>
      </c>
      <c r="AA29" s="76">
        <v>14101</v>
      </c>
      <c r="AB29" s="100">
        <f t="shared" si="21"/>
        <v>624</v>
      </c>
      <c r="AC29" s="76">
        <v>528693</v>
      </c>
      <c r="AD29" s="100">
        <f t="shared" si="9"/>
        <v>6720</v>
      </c>
      <c r="AE29" s="76">
        <v>599901</v>
      </c>
      <c r="AF29" s="100">
        <f t="shared" si="9"/>
        <v>4656</v>
      </c>
      <c r="AG29" s="75">
        <v>49813</v>
      </c>
      <c r="AH29" s="100">
        <f t="shared" si="22"/>
        <v>0</v>
      </c>
      <c r="AI29" s="76">
        <v>467213</v>
      </c>
      <c r="AJ29" s="100">
        <f t="shared" si="10"/>
        <v>5568</v>
      </c>
      <c r="AK29" s="76">
        <v>102799</v>
      </c>
      <c r="AL29" s="100">
        <f t="shared" si="23"/>
        <v>288</v>
      </c>
      <c r="AM29" s="76">
        <v>633786</v>
      </c>
      <c r="AN29" s="100">
        <f t="shared" si="11"/>
        <v>9024</v>
      </c>
      <c r="AO29" s="76">
        <v>26238</v>
      </c>
      <c r="AP29" s="100">
        <f t="shared" si="12"/>
        <v>4848</v>
      </c>
      <c r="AQ29" s="76">
        <v>4740</v>
      </c>
      <c r="AR29" s="100">
        <f t="shared" si="30"/>
        <v>30720</v>
      </c>
      <c r="AS29" s="76">
        <v>2504</v>
      </c>
      <c r="AT29" s="100">
        <f t="shared" si="27"/>
        <v>96</v>
      </c>
      <c r="AU29" s="76">
        <v>939</v>
      </c>
      <c r="AV29" s="100">
        <f t="shared" si="28"/>
        <v>0</v>
      </c>
      <c r="AW29" s="76">
        <v>3110</v>
      </c>
      <c r="AX29" s="100">
        <f t="shared" si="24"/>
        <v>0</v>
      </c>
      <c r="AY29" s="76">
        <v>367667</v>
      </c>
      <c r="AZ29" s="100">
        <f t="shared" si="33"/>
        <v>5472</v>
      </c>
      <c r="BA29" s="76">
        <v>161101</v>
      </c>
      <c r="BB29" s="100">
        <f t="shared" ref="BB29:BB38" si="34">(+BA29-+BA28)*48</f>
        <v>0</v>
      </c>
      <c r="BC29" s="76">
        <v>247477</v>
      </c>
      <c r="BD29" s="100">
        <f t="shared" si="25"/>
        <v>3264</v>
      </c>
      <c r="BE29" s="76">
        <v>5350</v>
      </c>
      <c r="BF29" s="100">
        <f t="shared" si="26"/>
        <v>0</v>
      </c>
      <c r="BH29" s="102">
        <f t="shared" si="2"/>
        <v>172849.82399999996</v>
      </c>
      <c r="BI29" s="102">
        <f t="shared" si="3"/>
        <v>121334.40000000001</v>
      </c>
    </row>
    <row r="30" spans="1:61" s="34" customFormat="1" ht="39.950000000000003" customHeight="1">
      <c r="A30" s="177">
        <f t="shared" si="7"/>
        <v>44917</v>
      </c>
      <c r="B30" s="33"/>
      <c r="C30" s="76">
        <v>7428116</v>
      </c>
      <c r="D30" s="100">
        <f t="shared" si="15"/>
        <v>187584</v>
      </c>
      <c r="E30" s="101">
        <f>D30*E5</f>
        <v>112550.39999999999</v>
      </c>
      <c r="F30" s="100">
        <f>D30*F5</f>
        <v>75033.600000000006</v>
      </c>
      <c r="G30" s="76">
        <v>304427</v>
      </c>
      <c r="H30" s="100">
        <f t="shared" si="1"/>
        <v>2304</v>
      </c>
      <c r="I30" s="76">
        <v>222722</v>
      </c>
      <c r="J30" s="100">
        <f t="shared" si="1"/>
        <v>7392</v>
      </c>
      <c r="K30" s="76">
        <v>278564</v>
      </c>
      <c r="L30" s="100">
        <f t="shared" si="1"/>
        <v>2544</v>
      </c>
      <c r="M30" s="76">
        <v>25803</v>
      </c>
      <c r="N30" s="100">
        <f t="shared" si="1"/>
        <v>0</v>
      </c>
      <c r="O30" s="76">
        <v>372401</v>
      </c>
      <c r="P30" s="100">
        <f t="shared" si="16"/>
        <v>9552</v>
      </c>
      <c r="Q30" s="76">
        <v>493640</v>
      </c>
      <c r="R30" s="100">
        <f t="shared" si="17"/>
        <v>4272</v>
      </c>
      <c r="S30" s="76">
        <v>793697</v>
      </c>
      <c r="T30" s="100">
        <f t="shared" si="18"/>
        <v>7104</v>
      </c>
      <c r="U30" s="80">
        <v>9128.8559999999998</v>
      </c>
      <c r="V30" s="100">
        <f t="shared" si="31"/>
        <v>1025.42399999997</v>
      </c>
      <c r="W30" s="76">
        <v>88024</v>
      </c>
      <c r="X30" s="100">
        <f t="shared" si="8"/>
        <v>1008</v>
      </c>
      <c r="Y30" s="76">
        <v>1539527</v>
      </c>
      <c r="Z30" s="100">
        <f t="shared" si="20"/>
        <v>16560</v>
      </c>
      <c r="AA30" s="76">
        <v>14107</v>
      </c>
      <c r="AB30" s="100">
        <f t="shared" si="21"/>
        <v>288</v>
      </c>
      <c r="AC30" s="76">
        <v>528713</v>
      </c>
      <c r="AD30" s="100">
        <f t="shared" si="9"/>
        <v>960</v>
      </c>
      <c r="AE30" s="76">
        <v>599905</v>
      </c>
      <c r="AF30" s="100">
        <f t="shared" si="9"/>
        <v>192</v>
      </c>
      <c r="AG30" s="75">
        <v>49813</v>
      </c>
      <c r="AH30" s="100">
        <f t="shared" si="22"/>
        <v>0</v>
      </c>
      <c r="AI30" s="76">
        <v>467323</v>
      </c>
      <c r="AJ30" s="100">
        <f t="shared" si="10"/>
        <v>5280</v>
      </c>
      <c r="AK30" s="76">
        <v>102800</v>
      </c>
      <c r="AL30" s="100">
        <f t="shared" si="23"/>
        <v>48</v>
      </c>
      <c r="AM30" s="76">
        <v>633791</v>
      </c>
      <c r="AN30" s="100">
        <f t="shared" si="11"/>
        <v>240</v>
      </c>
      <c r="AO30" s="76">
        <v>26243</v>
      </c>
      <c r="AP30" s="100">
        <f t="shared" si="12"/>
        <v>240</v>
      </c>
      <c r="AQ30" s="76">
        <v>4965</v>
      </c>
      <c r="AR30" s="100">
        <f t="shared" si="30"/>
        <v>10800</v>
      </c>
      <c r="AS30" s="76">
        <v>2508</v>
      </c>
      <c r="AT30" s="100">
        <f t="shared" si="27"/>
        <v>192</v>
      </c>
      <c r="AU30" s="76">
        <v>939</v>
      </c>
      <c r="AV30" s="100">
        <f t="shared" si="28"/>
        <v>0</v>
      </c>
      <c r="AW30" s="76">
        <v>3110</v>
      </c>
      <c r="AX30" s="100">
        <f t="shared" si="24"/>
        <v>0</v>
      </c>
      <c r="AY30" s="76">
        <v>367788</v>
      </c>
      <c r="AZ30" s="100">
        <f t="shared" si="33"/>
        <v>5808</v>
      </c>
      <c r="BA30" s="76">
        <v>161101</v>
      </c>
      <c r="BB30" s="100">
        <f t="shared" si="34"/>
        <v>0</v>
      </c>
      <c r="BC30" s="76">
        <v>247545</v>
      </c>
      <c r="BD30" s="100">
        <f t="shared" si="25"/>
        <v>3264</v>
      </c>
      <c r="BE30" s="76">
        <v>5350</v>
      </c>
      <c r="BF30" s="100">
        <f t="shared" si="26"/>
        <v>0</v>
      </c>
      <c r="BH30" s="102">
        <f t="shared" si="2"/>
        <v>171079.82399999996</v>
      </c>
      <c r="BI30" s="102">
        <f t="shared" si="3"/>
        <v>95577.600000000006</v>
      </c>
    </row>
    <row r="31" spans="1:61" s="34" customFormat="1" ht="39.950000000000003" customHeight="1">
      <c r="A31" s="177">
        <f t="shared" si="7"/>
        <v>44918</v>
      </c>
      <c r="B31" s="33"/>
      <c r="C31" s="76">
        <v>7432386</v>
      </c>
      <c r="D31" s="100">
        <f t="shared" si="15"/>
        <v>204960</v>
      </c>
      <c r="E31" s="101">
        <f>D31*E5</f>
        <v>122976</v>
      </c>
      <c r="F31" s="100">
        <f>D31*F5</f>
        <v>81984</v>
      </c>
      <c r="G31" s="76">
        <v>304491</v>
      </c>
      <c r="H31" s="100">
        <f t="shared" si="1"/>
        <v>3072</v>
      </c>
      <c r="I31" s="76">
        <v>222895</v>
      </c>
      <c r="J31" s="100">
        <f t="shared" si="1"/>
        <v>8304</v>
      </c>
      <c r="K31" s="76">
        <v>278626</v>
      </c>
      <c r="L31" s="100">
        <f t="shared" si="1"/>
        <v>2976</v>
      </c>
      <c r="M31" s="76">
        <v>25803</v>
      </c>
      <c r="N31" s="100">
        <f t="shared" si="1"/>
        <v>0</v>
      </c>
      <c r="O31" s="76">
        <v>372626</v>
      </c>
      <c r="P31" s="100">
        <f t="shared" si="16"/>
        <v>10800</v>
      </c>
      <c r="Q31" s="76">
        <v>493710</v>
      </c>
      <c r="R31" s="100">
        <f t="shared" si="17"/>
        <v>3360</v>
      </c>
      <c r="S31" s="76">
        <v>793850</v>
      </c>
      <c r="T31" s="100">
        <f t="shared" si="18"/>
        <v>7344</v>
      </c>
      <c r="U31" s="80">
        <v>9149.3029999999999</v>
      </c>
      <c r="V31" s="100">
        <f t="shared" si="31"/>
        <v>981.45600000000559</v>
      </c>
      <c r="W31" s="76">
        <v>88043</v>
      </c>
      <c r="X31" s="100">
        <f t="shared" si="8"/>
        <v>912</v>
      </c>
      <c r="Y31" s="76">
        <v>1539877</v>
      </c>
      <c r="Z31" s="100">
        <f t="shared" si="20"/>
        <v>16800</v>
      </c>
      <c r="AA31" s="76">
        <v>14107</v>
      </c>
      <c r="AB31" s="100">
        <f t="shared" si="21"/>
        <v>0</v>
      </c>
      <c r="AC31" s="76">
        <v>528713</v>
      </c>
      <c r="AD31" s="100">
        <f t="shared" si="9"/>
        <v>0</v>
      </c>
      <c r="AE31" s="76">
        <v>599905</v>
      </c>
      <c r="AF31" s="100">
        <f t="shared" si="9"/>
        <v>0</v>
      </c>
      <c r="AG31" s="75">
        <v>49813</v>
      </c>
      <c r="AH31" s="100">
        <f t="shared" si="22"/>
        <v>0</v>
      </c>
      <c r="AI31" s="76">
        <v>467431</v>
      </c>
      <c r="AJ31" s="100">
        <f t="shared" si="10"/>
        <v>5184</v>
      </c>
      <c r="AK31" s="76">
        <v>102800</v>
      </c>
      <c r="AL31" s="100">
        <f t="shared" si="23"/>
        <v>0</v>
      </c>
      <c r="AM31" s="76">
        <v>633842</v>
      </c>
      <c r="AN31" s="100">
        <f t="shared" si="11"/>
        <v>2448</v>
      </c>
      <c r="AO31" s="76">
        <v>26243</v>
      </c>
      <c r="AP31" s="100">
        <f t="shared" si="12"/>
        <v>0</v>
      </c>
      <c r="AQ31" s="76">
        <v>5262</v>
      </c>
      <c r="AR31" s="100">
        <f t="shared" si="30"/>
        <v>14256</v>
      </c>
      <c r="AS31" s="76">
        <v>2509</v>
      </c>
      <c r="AT31" s="100">
        <f t="shared" si="27"/>
        <v>48</v>
      </c>
      <c r="AU31" s="76">
        <v>939</v>
      </c>
      <c r="AV31" s="100">
        <f t="shared" si="28"/>
        <v>0</v>
      </c>
      <c r="AW31" s="76">
        <v>3110</v>
      </c>
      <c r="AX31" s="100">
        <f t="shared" si="24"/>
        <v>0</v>
      </c>
      <c r="AY31" s="76">
        <v>367895</v>
      </c>
      <c r="AZ31" s="100">
        <f t="shared" si="33"/>
        <v>5136</v>
      </c>
      <c r="BA31" s="76">
        <v>161101</v>
      </c>
      <c r="BB31" s="100">
        <f t="shared" si="34"/>
        <v>0</v>
      </c>
      <c r="BC31" s="76">
        <v>247617</v>
      </c>
      <c r="BD31" s="100">
        <f t="shared" si="25"/>
        <v>3456</v>
      </c>
      <c r="BE31" s="76">
        <v>5350</v>
      </c>
      <c r="BF31" s="100">
        <f t="shared" si="26"/>
        <v>0</v>
      </c>
      <c r="BH31" s="102">
        <f t="shared" si="2"/>
        <v>182709.45600000001</v>
      </c>
      <c r="BI31" s="102">
        <f t="shared" si="3"/>
        <v>107328</v>
      </c>
    </row>
    <row r="32" spans="1:61" s="34" customFormat="1" ht="39.950000000000003" customHeight="1">
      <c r="A32" s="177">
        <f t="shared" si="7"/>
        <v>44919</v>
      </c>
      <c r="B32" s="33"/>
      <c r="C32" s="76">
        <v>7436079</v>
      </c>
      <c r="D32" s="100">
        <f t="shared" si="15"/>
        <v>177264</v>
      </c>
      <c r="E32" s="101">
        <f>D32*E5</f>
        <v>106358.39999999999</v>
      </c>
      <c r="F32" s="100">
        <f>D32*F5</f>
        <v>70905.600000000006</v>
      </c>
      <c r="G32" s="76">
        <v>304558</v>
      </c>
      <c r="H32" s="100">
        <f t="shared" si="1"/>
        <v>3216</v>
      </c>
      <c r="I32" s="76">
        <v>223065</v>
      </c>
      <c r="J32" s="100">
        <f t="shared" si="1"/>
        <v>8160</v>
      </c>
      <c r="K32" s="76">
        <v>278722</v>
      </c>
      <c r="L32" s="100">
        <f t="shared" si="1"/>
        <v>4608</v>
      </c>
      <c r="M32" s="76">
        <v>25810</v>
      </c>
      <c r="N32" s="100">
        <f t="shared" si="1"/>
        <v>336</v>
      </c>
      <c r="O32" s="76">
        <v>372835</v>
      </c>
      <c r="P32" s="100">
        <f t="shared" si="16"/>
        <v>10032</v>
      </c>
      <c r="Q32" s="80">
        <v>493812</v>
      </c>
      <c r="R32" s="100">
        <f t="shared" si="17"/>
        <v>4896</v>
      </c>
      <c r="S32" s="76">
        <v>793974</v>
      </c>
      <c r="T32" s="100">
        <f t="shared" si="18"/>
        <v>5952</v>
      </c>
      <c r="U32" s="80">
        <v>9170.777</v>
      </c>
      <c r="V32" s="100">
        <f t="shared" si="31"/>
        <v>1030.7520000000077</v>
      </c>
      <c r="W32" s="76">
        <v>88055</v>
      </c>
      <c r="X32" s="100">
        <f t="shared" si="8"/>
        <v>576</v>
      </c>
      <c r="Y32" s="76">
        <v>1540219</v>
      </c>
      <c r="Z32" s="100">
        <f t="shared" si="20"/>
        <v>16416</v>
      </c>
      <c r="AA32" s="76">
        <v>14112</v>
      </c>
      <c r="AB32" s="100">
        <f t="shared" si="21"/>
        <v>240</v>
      </c>
      <c r="AC32" s="76">
        <v>528717</v>
      </c>
      <c r="AD32" s="100">
        <f t="shared" si="9"/>
        <v>192</v>
      </c>
      <c r="AE32" s="76">
        <v>599908</v>
      </c>
      <c r="AF32" s="100">
        <f t="shared" si="9"/>
        <v>144</v>
      </c>
      <c r="AG32" s="75">
        <v>49813</v>
      </c>
      <c r="AH32" s="100">
        <f>(+AG32-+AG31)*48</f>
        <v>0</v>
      </c>
      <c r="AI32" s="76">
        <v>467580</v>
      </c>
      <c r="AJ32" s="100">
        <f t="shared" si="10"/>
        <v>7152</v>
      </c>
      <c r="AK32" s="76">
        <v>102800</v>
      </c>
      <c r="AL32" s="100">
        <f t="shared" si="23"/>
        <v>0</v>
      </c>
      <c r="AM32" s="76">
        <v>633906</v>
      </c>
      <c r="AN32" s="100">
        <f t="shared" si="11"/>
        <v>3072</v>
      </c>
      <c r="AO32" s="76">
        <v>26243</v>
      </c>
      <c r="AP32" s="100">
        <f t="shared" si="12"/>
        <v>0</v>
      </c>
      <c r="AQ32" s="76">
        <v>5516</v>
      </c>
      <c r="AR32" s="100">
        <f t="shared" si="30"/>
        <v>12192</v>
      </c>
      <c r="AS32" s="76">
        <v>2509</v>
      </c>
      <c r="AT32" s="100">
        <f t="shared" si="27"/>
        <v>0</v>
      </c>
      <c r="AU32" s="76">
        <v>939</v>
      </c>
      <c r="AV32" s="100">
        <f t="shared" si="28"/>
        <v>0</v>
      </c>
      <c r="AW32" s="76">
        <v>3110</v>
      </c>
      <c r="AX32" s="100">
        <f t="shared" si="24"/>
        <v>0</v>
      </c>
      <c r="AY32" s="76">
        <v>368011</v>
      </c>
      <c r="AZ32" s="100">
        <f t="shared" si="33"/>
        <v>5568</v>
      </c>
      <c r="BA32" s="76">
        <v>161101</v>
      </c>
      <c r="BB32" s="100">
        <f t="shared" si="34"/>
        <v>0</v>
      </c>
      <c r="BC32" s="76">
        <v>247688</v>
      </c>
      <c r="BD32" s="100">
        <f t="shared" si="25"/>
        <v>3408</v>
      </c>
      <c r="BE32" s="76">
        <v>5350</v>
      </c>
      <c r="BF32" s="100">
        <f t="shared" si="26"/>
        <v>0</v>
      </c>
      <c r="BH32" s="102">
        <f t="shared" si="2"/>
        <v>169309.152</v>
      </c>
      <c r="BI32" s="102">
        <f t="shared" si="3"/>
        <v>95145.600000000006</v>
      </c>
    </row>
    <row r="33" spans="1:61" s="34" customFormat="1" ht="39.950000000000003" customHeight="1">
      <c r="A33" s="177">
        <f t="shared" si="7"/>
        <v>44920</v>
      </c>
      <c r="B33" s="33"/>
      <c r="C33" s="76">
        <v>7439659</v>
      </c>
      <c r="D33" s="100">
        <f t="shared" si="15"/>
        <v>171840</v>
      </c>
      <c r="E33" s="101">
        <f>D33*E5</f>
        <v>103104</v>
      </c>
      <c r="F33" s="100">
        <f>D33*F5</f>
        <v>68736</v>
      </c>
      <c r="G33" s="76">
        <v>304597</v>
      </c>
      <c r="H33" s="36">
        <f t="shared" si="1"/>
        <v>1872</v>
      </c>
      <c r="I33" s="76">
        <v>223231</v>
      </c>
      <c r="J33" s="36">
        <f t="shared" si="1"/>
        <v>7968</v>
      </c>
      <c r="K33" s="76">
        <v>278756</v>
      </c>
      <c r="L33" s="36">
        <f t="shared" si="1"/>
        <v>1632</v>
      </c>
      <c r="M33" s="76">
        <v>25811</v>
      </c>
      <c r="N33" s="36">
        <f t="shared" si="1"/>
        <v>48</v>
      </c>
      <c r="O33" s="76">
        <v>373045</v>
      </c>
      <c r="P33" s="36">
        <f t="shared" si="16"/>
        <v>10080</v>
      </c>
      <c r="Q33" s="80">
        <v>493913</v>
      </c>
      <c r="R33" s="100">
        <f t="shared" si="17"/>
        <v>4848</v>
      </c>
      <c r="S33" s="76">
        <v>794092</v>
      </c>
      <c r="T33" s="36">
        <f t="shared" si="18"/>
        <v>5664</v>
      </c>
      <c r="U33" s="80">
        <v>9192</v>
      </c>
      <c r="V33" s="100">
        <f t="shared" si="31"/>
        <v>1018.7039999999979</v>
      </c>
      <c r="W33" s="76">
        <v>88072</v>
      </c>
      <c r="X33" s="100">
        <f t="shared" si="8"/>
        <v>816</v>
      </c>
      <c r="Y33" s="76">
        <v>1540597</v>
      </c>
      <c r="Z33" s="100">
        <f t="shared" si="20"/>
        <v>18144</v>
      </c>
      <c r="AA33" s="76">
        <v>14117</v>
      </c>
      <c r="AB33" s="100">
        <f t="shared" si="21"/>
        <v>240</v>
      </c>
      <c r="AC33" s="76">
        <v>528724</v>
      </c>
      <c r="AD33" s="100">
        <f t="shared" si="9"/>
        <v>336</v>
      </c>
      <c r="AE33" s="76">
        <v>599912</v>
      </c>
      <c r="AF33" s="100">
        <f t="shared" si="9"/>
        <v>192</v>
      </c>
      <c r="AG33" s="75">
        <v>49813</v>
      </c>
      <c r="AH33" s="100">
        <f>(+AG33-+AG32)*48</f>
        <v>0</v>
      </c>
      <c r="AI33" s="76">
        <v>467668</v>
      </c>
      <c r="AJ33" s="100">
        <f t="shared" si="10"/>
        <v>4224</v>
      </c>
      <c r="AK33" s="76">
        <v>102812</v>
      </c>
      <c r="AL33" s="100">
        <f>(+AK33-+AK32)*48</f>
        <v>576</v>
      </c>
      <c r="AM33" s="76">
        <v>633975</v>
      </c>
      <c r="AN33" s="100">
        <f t="shared" si="11"/>
        <v>3312</v>
      </c>
      <c r="AO33" s="76">
        <v>26256</v>
      </c>
      <c r="AP33" s="100">
        <f t="shared" si="12"/>
        <v>624</v>
      </c>
      <c r="AQ33" s="76">
        <v>5743</v>
      </c>
      <c r="AR33" s="100">
        <f t="shared" si="30"/>
        <v>10896</v>
      </c>
      <c r="AS33" s="76">
        <v>2513</v>
      </c>
      <c r="AT33" s="100">
        <f t="shared" si="27"/>
        <v>192</v>
      </c>
      <c r="AU33" s="76">
        <v>939</v>
      </c>
      <c r="AV33" s="100">
        <f t="shared" si="28"/>
        <v>0</v>
      </c>
      <c r="AW33" s="76">
        <v>3110</v>
      </c>
      <c r="AX33" s="100">
        <f t="shared" si="24"/>
        <v>0</v>
      </c>
      <c r="AY33" s="76">
        <v>368123</v>
      </c>
      <c r="AZ33" s="100">
        <f t="shared" si="33"/>
        <v>5376</v>
      </c>
      <c r="BA33" s="76">
        <v>161101</v>
      </c>
      <c r="BB33" s="100">
        <f t="shared" si="34"/>
        <v>0</v>
      </c>
      <c r="BC33" s="76">
        <v>247754</v>
      </c>
      <c r="BD33" s="100">
        <f t="shared" si="25"/>
        <v>3168</v>
      </c>
      <c r="BE33" s="76">
        <v>5350</v>
      </c>
      <c r="BF33" s="100">
        <f t="shared" si="26"/>
        <v>0</v>
      </c>
      <c r="BH33" s="102">
        <f t="shared" si="2"/>
        <v>160762.704</v>
      </c>
      <c r="BI33" s="102">
        <f t="shared" si="3"/>
        <v>92304</v>
      </c>
    </row>
    <row r="34" spans="1:61" s="34" customFormat="1" ht="39.950000000000003" customHeight="1">
      <c r="A34" s="177">
        <f t="shared" si="7"/>
        <v>44921</v>
      </c>
      <c r="B34" s="33"/>
      <c r="C34" s="76">
        <v>7443477</v>
      </c>
      <c r="D34" s="100">
        <f t="shared" si="15"/>
        <v>183264</v>
      </c>
      <c r="E34" s="101">
        <f>D34*E5</f>
        <v>109958.39999999999</v>
      </c>
      <c r="F34" s="100">
        <f>D34*F5</f>
        <v>73305.600000000006</v>
      </c>
      <c r="G34" s="76">
        <v>304652</v>
      </c>
      <c r="H34" s="36">
        <f t="shared" si="1"/>
        <v>2640</v>
      </c>
      <c r="I34" s="76">
        <v>223402</v>
      </c>
      <c r="J34" s="36">
        <f t="shared" si="1"/>
        <v>8208</v>
      </c>
      <c r="K34" s="76">
        <v>278798</v>
      </c>
      <c r="L34" s="36">
        <f t="shared" si="1"/>
        <v>2016</v>
      </c>
      <c r="M34" s="76">
        <v>25811</v>
      </c>
      <c r="N34" s="36">
        <f t="shared" si="1"/>
        <v>0</v>
      </c>
      <c r="O34" s="76">
        <v>373224</v>
      </c>
      <c r="P34" s="36">
        <f t="shared" si="16"/>
        <v>8592</v>
      </c>
      <c r="Q34" s="76">
        <v>494005</v>
      </c>
      <c r="R34" s="100">
        <f t="shared" si="17"/>
        <v>4416</v>
      </c>
      <c r="S34" s="76">
        <v>794213</v>
      </c>
      <c r="T34" s="36">
        <f t="shared" si="18"/>
        <v>5808</v>
      </c>
      <c r="U34" s="80">
        <v>9212</v>
      </c>
      <c r="V34" s="100">
        <f t="shared" si="31"/>
        <v>960</v>
      </c>
      <c r="W34" s="76">
        <v>88089</v>
      </c>
      <c r="X34" s="100">
        <f t="shared" si="8"/>
        <v>816</v>
      </c>
      <c r="Y34" s="76">
        <v>1540985</v>
      </c>
      <c r="Z34" s="100">
        <f t="shared" si="20"/>
        <v>18624</v>
      </c>
      <c r="AA34" s="76">
        <v>14119</v>
      </c>
      <c r="AB34" s="100">
        <f>(+AA34-+AA33)*48</f>
        <v>96</v>
      </c>
      <c r="AC34" s="76">
        <v>528752</v>
      </c>
      <c r="AD34" s="100">
        <f t="shared" si="9"/>
        <v>1344</v>
      </c>
      <c r="AE34" s="76">
        <v>599939</v>
      </c>
      <c r="AF34" s="100">
        <f t="shared" si="9"/>
        <v>1296</v>
      </c>
      <c r="AG34" s="75">
        <v>49813</v>
      </c>
      <c r="AH34" s="100">
        <f>(+AG34-+AG33)*48</f>
        <v>0</v>
      </c>
      <c r="AI34" s="76">
        <v>467795</v>
      </c>
      <c r="AJ34" s="100">
        <f t="shared" si="10"/>
        <v>6096</v>
      </c>
      <c r="AK34" s="76">
        <v>102817</v>
      </c>
      <c r="AL34" s="100">
        <f>(+AK34-+AK33)*48</f>
        <v>240</v>
      </c>
      <c r="AM34" s="76">
        <v>634060</v>
      </c>
      <c r="AN34" s="100">
        <f t="shared" si="11"/>
        <v>4080</v>
      </c>
      <c r="AO34" s="76">
        <v>26296</v>
      </c>
      <c r="AP34" s="100">
        <f t="shared" si="12"/>
        <v>1920</v>
      </c>
      <c r="AQ34" s="76">
        <v>6000</v>
      </c>
      <c r="AR34" s="100">
        <f t="shared" si="30"/>
        <v>12336</v>
      </c>
      <c r="AS34" s="76">
        <v>2515</v>
      </c>
      <c r="AT34" s="100">
        <f t="shared" si="27"/>
        <v>96</v>
      </c>
      <c r="AU34" s="76">
        <v>939</v>
      </c>
      <c r="AV34" s="100">
        <f t="shared" si="28"/>
        <v>0</v>
      </c>
      <c r="AW34" s="76">
        <v>3110</v>
      </c>
      <c r="AX34" s="100">
        <v>0</v>
      </c>
      <c r="AY34" s="76">
        <v>368234</v>
      </c>
      <c r="AZ34" s="100">
        <f t="shared" si="33"/>
        <v>5328</v>
      </c>
      <c r="BA34" s="76">
        <v>161101</v>
      </c>
      <c r="BB34" s="100">
        <f t="shared" si="34"/>
        <v>0</v>
      </c>
      <c r="BC34" s="76">
        <v>247818</v>
      </c>
      <c r="BD34" s="100">
        <f t="shared" si="25"/>
        <v>3072</v>
      </c>
      <c r="BE34" s="76">
        <v>5350</v>
      </c>
      <c r="BF34" s="100">
        <f t="shared" si="26"/>
        <v>0</v>
      </c>
      <c r="BH34" s="102">
        <f t="shared" si="2"/>
        <v>171110.39999999999</v>
      </c>
      <c r="BI34" s="102">
        <f t="shared" si="3"/>
        <v>100137.60000000001</v>
      </c>
    </row>
    <row r="35" spans="1:61" s="34" customFormat="1" ht="39.950000000000003" customHeight="1">
      <c r="A35" s="177">
        <f t="shared" si="7"/>
        <v>44922</v>
      </c>
      <c r="B35" s="33"/>
      <c r="C35" s="76">
        <v>7447312</v>
      </c>
      <c r="D35" s="100">
        <f t="shared" si="15"/>
        <v>184080</v>
      </c>
      <c r="E35" s="101">
        <f>D35*E5</f>
        <v>110448</v>
      </c>
      <c r="F35" s="100">
        <f>D35*F5</f>
        <v>73632</v>
      </c>
      <c r="G35" s="76">
        <v>304727</v>
      </c>
      <c r="H35" s="100">
        <f t="shared" si="1"/>
        <v>3600</v>
      </c>
      <c r="I35" s="76">
        <v>223574</v>
      </c>
      <c r="J35" s="100">
        <f t="shared" si="1"/>
        <v>8256</v>
      </c>
      <c r="K35" s="76">
        <v>278907</v>
      </c>
      <c r="L35" s="100">
        <f t="shared" si="1"/>
        <v>5232</v>
      </c>
      <c r="M35" s="76">
        <v>25820</v>
      </c>
      <c r="N35" s="100">
        <f t="shared" si="1"/>
        <v>432</v>
      </c>
      <c r="O35" s="76">
        <v>373453</v>
      </c>
      <c r="P35" s="36">
        <f t="shared" si="16"/>
        <v>10992</v>
      </c>
      <c r="Q35" s="76">
        <v>494118</v>
      </c>
      <c r="R35" s="100">
        <f t="shared" si="17"/>
        <v>5424</v>
      </c>
      <c r="S35" s="76">
        <v>794341</v>
      </c>
      <c r="T35" s="100">
        <f t="shared" si="18"/>
        <v>6144</v>
      </c>
      <c r="U35" s="80">
        <v>9233</v>
      </c>
      <c r="V35" s="100">
        <f t="shared" si="31"/>
        <v>1008</v>
      </c>
      <c r="W35" s="76">
        <v>88089</v>
      </c>
      <c r="X35" s="100">
        <f t="shared" si="8"/>
        <v>0</v>
      </c>
      <c r="Y35" s="76">
        <v>1541313</v>
      </c>
      <c r="Z35" s="100">
        <f t="shared" si="20"/>
        <v>15744</v>
      </c>
      <c r="AA35" s="76">
        <v>14122</v>
      </c>
      <c r="AB35" s="100">
        <f>(+AA35-+AA34)*48</f>
        <v>144</v>
      </c>
      <c r="AC35" s="76">
        <v>528793</v>
      </c>
      <c r="AD35" s="100">
        <f t="shared" si="9"/>
        <v>1968</v>
      </c>
      <c r="AE35" s="76">
        <v>599988</v>
      </c>
      <c r="AF35" s="100">
        <f t="shared" si="9"/>
        <v>2352</v>
      </c>
      <c r="AG35" s="75">
        <v>49813</v>
      </c>
      <c r="AH35" s="100">
        <f t="shared" si="22"/>
        <v>0</v>
      </c>
      <c r="AI35" s="76">
        <v>467902</v>
      </c>
      <c r="AJ35" s="100">
        <f t="shared" si="10"/>
        <v>5136</v>
      </c>
      <c r="AK35" s="76">
        <v>102823</v>
      </c>
      <c r="AL35" s="100">
        <f>(+AK35-+AK34)*48</f>
        <v>288</v>
      </c>
      <c r="AM35" s="76">
        <v>634159</v>
      </c>
      <c r="AN35" s="100">
        <f t="shared" si="11"/>
        <v>4752</v>
      </c>
      <c r="AO35" s="76">
        <v>26366</v>
      </c>
      <c r="AP35" s="100">
        <f t="shared" si="12"/>
        <v>3360</v>
      </c>
      <c r="AQ35" s="76">
        <v>6226</v>
      </c>
      <c r="AR35" s="100">
        <f t="shared" si="30"/>
        <v>10848</v>
      </c>
      <c r="AS35" s="76">
        <v>2519</v>
      </c>
      <c r="AT35" s="100">
        <f>(+AS35-+AS34)*48</f>
        <v>192</v>
      </c>
      <c r="AU35" s="76">
        <v>939</v>
      </c>
      <c r="AV35" s="100">
        <f t="shared" si="28"/>
        <v>0</v>
      </c>
      <c r="AW35" s="76">
        <v>3110</v>
      </c>
      <c r="AX35" s="100">
        <v>0</v>
      </c>
      <c r="AY35" s="76">
        <v>368354</v>
      </c>
      <c r="AZ35" s="100">
        <f t="shared" si="33"/>
        <v>5760</v>
      </c>
      <c r="BA35" s="76">
        <v>161101</v>
      </c>
      <c r="BB35" s="100">
        <f t="shared" si="34"/>
        <v>0</v>
      </c>
      <c r="BC35" s="76">
        <v>247887</v>
      </c>
      <c r="BD35" s="100">
        <f t="shared" si="25"/>
        <v>3312</v>
      </c>
      <c r="BE35" s="76">
        <v>5350</v>
      </c>
      <c r="BF35" s="100">
        <f t="shared" si="26"/>
        <v>0</v>
      </c>
      <c r="BH35" s="102">
        <f t="shared" si="2"/>
        <v>177168</v>
      </c>
      <c r="BI35" s="102">
        <f t="shared" si="3"/>
        <v>101856</v>
      </c>
    </row>
    <row r="36" spans="1:61" s="34" customFormat="1" ht="39.950000000000003" customHeight="1">
      <c r="A36" s="177">
        <f t="shared" si="7"/>
        <v>44923</v>
      </c>
      <c r="B36" s="33"/>
      <c r="C36" s="76">
        <v>7450891</v>
      </c>
      <c r="D36" s="100">
        <f t="shared" si="15"/>
        <v>171792</v>
      </c>
      <c r="E36" s="101">
        <f>D36*E5</f>
        <v>103075.2</v>
      </c>
      <c r="F36" s="100">
        <f>D36*F5</f>
        <v>68716.800000000003</v>
      </c>
      <c r="G36" s="76">
        <v>304785</v>
      </c>
      <c r="H36" s="100">
        <f t="shared" si="1"/>
        <v>2784</v>
      </c>
      <c r="I36" s="76">
        <v>223740</v>
      </c>
      <c r="J36" s="100">
        <f t="shared" si="1"/>
        <v>7968</v>
      </c>
      <c r="K36" s="76">
        <v>278955</v>
      </c>
      <c r="L36" s="100">
        <f t="shared" si="1"/>
        <v>2304</v>
      </c>
      <c r="M36" s="76">
        <v>25822</v>
      </c>
      <c r="N36" s="100">
        <f t="shared" si="1"/>
        <v>96</v>
      </c>
      <c r="O36" s="76">
        <v>373660</v>
      </c>
      <c r="P36" s="36">
        <f t="shared" si="16"/>
        <v>9936</v>
      </c>
      <c r="Q36" s="76">
        <v>494220</v>
      </c>
      <c r="R36" s="100">
        <f t="shared" si="17"/>
        <v>4896</v>
      </c>
      <c r="S36" s="76">
        <v>794453</v>
      </c>
      <c r="T36" s="100">
        <f t="shared" si="18"/>
        <v>5376</v>
      </c>
      <c r="U36" s="80">
        <v>9253</v>
      </c>
      <c r="V36" s="100">
        <f t="shared" si="31"/>
        <v>960</v>
      </c>
      <c r="W36" s="76">
        <v>88107</v>
      </c>
      <c r="X36" s="100">
        <f t="shared" si="8"/>
        <v>864</v>
      </c>
      <c r="Y36" s="76">
        <v>1541650</v>
      </c>
      <c r="Z36" s="100">
        <f>(+Y36-+Y35)*48</f>
        <v>16176</v>
      </c>
      <c r="AA36" s="76">
        <v>14156</v>
      </c>
      <c r="AB36" s="100">
        <f>(+AA36-+AA35)*48</f>
        <v>1632</v>
      </c>
      <c r="AC36" s="76">
        <v>528867</v>
      </c>
      <c r="AD36" s="100">
        <f t="shared" si="9"/>
        <v>3552</v>
      </c>
      <c r="AE36" s="76">
        <v>600074</v>
      </c>
      <c r="AF36" s="100">
        <f t="shared" si="9"/>
        <v>4128</v>
      </c>
      <c r="AG36" s="75">
        <v>49813</v>
      </c>
      <c r="AH36" s="100">
        <f t="shared" si="22"/>
        <v>0</v>
      </c>
      <c r="AI36" s="76">
        <v>468044</v>
      </c>
      <c r="AJ36" s="100">
        <f t="shared" si="10"/>
        <v>6816</v>
      </c>
      <c r="AK36" s="76">
        <v>102828</v>
      </c>
      <c r="AL36" s="100">
        <f t="shared" si="23"/>
        <v>240</v>
      </c>
      <c r="AM36" s="76">
        <v>634274</v>
      </c>
      <c r="AN36" s="100">
        <f t="shared" si="11"/>
        <v>5520</v>
      </c>
      <c r="AO36" s="76">
        <v>26476</v>
      </c>
      <c r="AP36" s="100">
        <f t="shared" si="12"/>
        <v>5280</v>
      </c>
      <c r="AQ36" s="76">
        <v>6518</v>
      </c>
      <c r="AR36" s="100">
        <f t="shared" si="30"/>
        <v>14016</v>
      </c>
      <c r="AS36" s="76">
        <v>2519</v>
      </c>
      <c r="AT36" s="100">
        <f>(+AS36-+AS35)*48</f>
        <v>0</v>
      </c>
      <c r="AU36" s="76">
        <v>939</v>
      </c>
      <c r="AV36" s="100">
        <f t="shared" si="28"/>
        <v>0</v>
      </c>
      <c r="AW36" s="76">
        <v>3110</v>
      </c>
      <c r="AX36" s="100">
        <f t="shared" ref="AX36:AX38" si="35">(+AW36-+AW35)*48</f>
        <v>0</v>
      </c>
      <c r="AY36" s="76">
        <v>368458</v>
      </c>
      <c r="AZ36" s="100">
        <f t="shared" si="33"/>
        <v>4992</v>
      </c>
      <c r="BA36" s="76">
        <v>161101</v>
      </c>
      <c r="BB36" s="100">
        <f t="shared" si="34"/>
        <v>0</v>
      </c>
      <c r="BC36" s="76">
        <v>247951</v>
      </c>
      <c r="BD36" s="100">
        <f t="shared" si="25"/>
        <v>3072</v>
      </c>
      <c r="BE36" s="76">
        <v>5350</v>
      </c>
      <c r="BF36" s="100">
        <f t="shared" si="26"/>
        <v>0</v>
      </c>
      <c r="BH36" s="102">
        <f t="shared" si="2"/>
        <v>170803.20000000001</v>
      </c>
      <c r="BI36" s="102">
        <f t="shared" si="3"/>
        <v>101596.8</v>
      </c>
    </row>
    <row r="37" spans="1:61" s="34" customFormat="1" ht="39.950000000000003" customHeight="1">
      <c r="A37" s="177">
        <f t="shared" si="7"/>
        <v>44924</v>
      </c>
      <c r="B37" s="33"/>
      <c r="C37" s="76">
        <v>7454473</v>
      </c>
      <c r="D37" s="100">
        <f t="shared" si="15"/>
        <v>171936</v>
      </c>
      <c r="E37" s="101">
        <f>D37*E5</f>
        <v>103161.59999999999</v>
      </c>
      <c r="F37" s="100">
        <f>D37*F5</f>
        <v>68774.400000000009</v>
      </c>
      <c r="G37" s="76">
        <v>304841</v>
      </c>
      <c r="H37" s="100">
        <f t="shared" si="1"/>
        <v>2688</v>
      </c>
      <c r="I37" s="76">
        <v>223900</v>
      </c>
      <c r="J37" s="100">
        <f t="shared" si="1"/>
        <v>7680</v>
      </c>
      <c r="K37" s="76">
        <v>279031</v>
      </c>
      <c r="L37" s="100">
        <f t="shared" si="1"/>
        <v>3648</v>
      </c>
      <c r="M37" s="76">
        <v>25824</v>
      </c>
      <c r="N37" s="100">
        <f t="shared" si="1"/>
        <v>96</v>
      </c>
      <c r="O37" s="76">
        <v>373836</v>
      </c>
      <c r="P37" s="36">
        <f t="shared" si="16"/>
        <v>8448</v>
      </c>
      <c r="Q37" s="76">
        <v>494288</v>
      </c>
      <c r="R37" s="100">
        <f t="shared" si="17"/>
        <v>3264</v>
      </c>
      <c r="S37" s="76">
        <v>794590</v>
      </c>
      <c r="T37" s="100">
        <f t="shared" si="18"/>
        <v>6576</v>
      </c>
      <c r="U37" s="80">
        <v>9276</v>
      </c>
      <c r="V37" s="100">
        <f t="shared" si="31"/>
        <v>1104</v>
      </c>
      <c r="W37" s="76">
        <v>88127</v>
      </c>
      <c r="X37" s="100">
        <f t="shared" si="8"/>
        <v>960</v>
      </c>
      <c r="Y37" s="76">
        <v>1541987</v>
      </c>
      <c r="Z37" s="100">
        <f>(+Y37-+Y36)*48</f>
        <v>16176</v>
      </c>
      <c r="AA37" s="76">
        <v>14159</v>
      </c>
      <c r="AB37" s="100">
        <f t="shared" si="21"/>
        <v>144</v>
      </c>
      <c r="AC37" s="76">
        <v>528961</v>
      </c>
      <c r="AD37" s="100">
        <f t="shared" si="9"/>
        <v>4512</v>
      </c>
      <c r="AE37" s="76">
        <v>600155</v>
      </c>
      <c r="AF37" s="100">
        <f t="shared" si="9"/>
        <v>3888</v>
      </c>
      <c r="AG37" s="75">
        <v>49813</v>
      </c>
      <c r="AH37" s="100">
        <f t="shared" si="22"/>
        <v>0</v>
      </c>
      <c r="AI37" s="76">
        <v>468169</v>
      </c>
      <c r="AJ37" s="100">
        <f t="shared" si="10"/>
        <v>6000</v>
      </c>
      <c r="AK37" s="76">
        <v>102832</v>
      </c>
      <c r="AL37" s="100">
        <f t="shared" si="23"/>
        <v>192</v>
      </c>
      <c r="AM37" s="76">
        <v>634395</v>
      </c>
      <c r="AN37" s="100">
        <f t="shared" si="11"/>
        <v>5808</v>
      </c>
      <c r="AO37" s="76">
        <v>26579</v>
      </c>
      <c r="AP37" s="100">
        <f t="shared" si="12"/>
        <v>4944</v>
      </c>
      <c r="AQ37" s="76">
        <v>6867</v>
      </c>
      <c r="AR37" s="100">
        <f t="shared" si="30"/>
        <v>16752</v>
      </c>
      <c r="AS37" s="76">
        <v>2520</v>
      </c>
      <c r="AT37" s="100">
        <f>(+AS37-+AS36)*48</f>
        <v>48</v>
      </c>
      <c r="AU37" s="76">
        <v>939</v>
      </c>
      <c r="AV37" s="100">
        <f t="shared" si="28"/>
        <v>0</v>
      </c>
      <c r="AW37" s="76">
        <v>3110</v>
      </c>
      <c r="AX37" s="100">
        <f t="shared" si="35"/>
        <v>0</v>
      </c>
      <c r="AY37" s="76">
        <v>368574</v>
      </c>
      <c r="AZ37" s="100">
        <f t="shared" si="33"/>
        <v>5568</v>
      </c>
      <c r="BA37" s="76">
        <v>161101</v>
      </c>
      <c r="BB37" s="100">
        <f t="shared" si="34"/>
        <v>0</v>
      </c>
      <c r="BC37" s="76">
        <v>248020</v>
      </c>
      <c r="BD37" s="100">
        <f t="shared" si="25"/>
        <v>3312</v>
      </c>
      <c r="BE37" s="76">
        <v>5350</v>
      </c>
      <c r="BF37" s="100">
        <f t="shared" si="26"/>
        <v>0</v>
      </c>
      <c r="BH37" s="102">
        <f t="shared" si="2"/>
        <v>168537.59999999998</v>
      </c>
      <c r="BI37" s="102">
        <f t="shared" si="3"/>
        <v>105206.40000000001</v>
      </c>
    </row>
    <row r="38" spans="1:61" s="34" customFormat="1" ht="39.950000000000003" customHeight="1">
      <c r="A38" s="177">
        <f t="shared" si="7"/>
        <v>44925</v>
      </c>
      <c r="B38" s="33"/>
      <c r="C38" s="76">
        <v>7458169</v>
      </c>
      <c r="D38" s="100">
        <f t="shared" si="15"/>
        <v>177408</v>
      </c>
      <c r="E38" s="101">
        <f>D38*E5</f>
        <v>106444.8</v>
      </c>
      <c r="F38" s="100">
        <f>D38*F5</f>
        <v>70963.199999999997</v>
      </c>
      <c r="G38" s="76">
        <v>304913</v>
      </c>
      <c r="H38" s="100">
        <f t="shared" si="1"/>
        <v>3456</v>
      </c>
      <c r="I38" s="76">
        <v>224068</v>
      </c>
      <c r="J38" s="100">
        <f t="shared" si="1"/>
        <v>8064</v>
      </c>
      <c r="K38" s="76">
        <v>279129</v>
      </c>
      <c r="L38" s="100">
        <f t="shared" si="1"/>
        <v>4704</v>
      </c>
      <c r="M38" s="76">
        <v>25831</v>
      </c>
      <c r="N38" s="100">
        <f t="shared" si="1"/>
        <v>336</v>
      </c>
      <c r="O38" s="76">
        <v>374056</v>
      </c>
      <c r="P38" s="36">
        <f t="shared" si="16"/>
        <v>10560</v>
      </c>
      <c r="Q38" s="76">
        <v>494384</v>
      </c>
      <c r="R38" s="100">
        <f t="shared" si="17"/>
        <v>4608</v>
      </c>
      <c r="S38" s="76">
        <v>794727</v>
      </c>
      <c r="T38" s="100">
        <f t="shared" si="18"/>
        <v>6576</v>
      </c>
      <c r="U38" s="80">
        <v>9299</v>
      </c>
      <c r="V38" s="100">
        <f t="shared" si="31"/>
        <v>1104</v>
      </c>
      <c r="W38" s="76">
        <v>88150</v>
      </c>
      <c r="X38" s="100">
        <f t="shared" si="8"/>
        <v>1104</v>
      </c>
      <c r="Y38" s="76">
        <v>1542316</v>
      </c>
      <c r="Z38" s="100">
        <f>(+Y38-+Y37)*48</f>
        <v>15792</v>
      </c>
      <c r="AA38" s="76">
        <v>14173</v>
      </c>
      <c r="AB38" s="100">
        <f t="shared" si="21"/>
        <v>672</v>
      </c>
      <c r="AC38" s="76">
        <v>529071</v>
      </c>
      <c r="AD38" s="100">
        <f t="shared" ref="AD38" si="36">(+AC38-+AC37)*48</f>
        <v>5280</v>
      </c>
      <c r="AE38" s="76">
        <v>600186</v>
      </c>
      <c r="AF38" s="100">
        <f t="shared" ref="AF38" si="37">(+AE38-+AE37)*48</f>
        <v>1488</v>
      </c>
      <c r="AG38" s="75">
        <v>49813</v>
      </c>
      <c r="AH38" s="100">
        <f>(+AG38-+AG37)*48</f>
        <v>0</v>
      </c>
      <c r="AI38" s="76">
        <v>468288</v>
      </c>
      <c r="AJ38" s="100">
        <f t="shared" si="10"/>
        <v>5712</v>
      </c>
      <c r="AK38" s="76">
        <v>102834</v>
      </c>
      <c r="AL38" s="100">
        <f t="shared" si="23"/>
        <v>96</v>
      </c>
      <c r="AM38" s="76">
        <v>634475</v>
      </c>
      <c r="AN38" s="100">
        <f t="shared" si="11"/>
        <v>3840</v>
      </c>
      <c r="AO38" s="76">
        <v>26619</v>
      </c>
      <c r="AP38" s="100">
        <f t="shared" si="12"/>
        <v>1920</v>
      </c>
      <c r="AQ38" s="76">
        <v>7124</v>
      </c>
      <c r="AR38" s="100">
        <f t="shared" si="30"/>
        <v>12336</v>
      </c>
      <c r="AS38" s="76">
        <v>2524</v>
      </c>
      <c r="AT38" s="100">
        <f>(+AS38-+AS37)*48</f>
        <v>192</v>
      </c>
      <c r="AU38" s="76">
        <v>939</v>
      </c>
      <c r="AV38" s="100">
        <f t="shared" si="28"/>
        <v>0</v>
      </c>
      <c r="AW38" s="76">
        <v>3110</v>
      </c>
      <c r="AX38" s="100">
        <f t="shared" si="35"/>
        <v>0</v>
      </c>
      <c r="AY38" s="76">
        <v>368679</v>
      </c>
      <c r="AZ38" s="100">
        <f t="shared" si="33"/>
        <v>5040</v>
      </c>
      <c r="BA38" s="76">
        <v>161101</v>
      </c>
      <c r="BB38" s="100">
        <f t="shared" si="34"/>
        <v>0</v>
      </c>
      <c r="BC38" s="76">
        <v>248088</v>
      </c>
      <c r="BD38" s="100">
        <f t="shared" si="25"/>
        <v>3264</v>
      </c>
      <c r="BE38" s="76">
        <v>5350</v>
      </c>
      <c r="BF38" s="100">
        <f t="shared" si="26"/>
        <v>0</v>
      </c>
      <c r="BH38" s="102">
        <f t="shared" si="2"/>
        <v>175996.79999999999</v>
      </c>
      <c r="BI38" s="102">
        <f t="shared" si="3"/>
        <v>97555.199999999997</v>
      </c>
    </row>
    <row r="39" spans="1:61" s="34" customFormat="1" ht="39.950000000000003" customHeight="1">
      <c r="A39" s="177">
        <f t="shared" si="7"/>
        <v>44926</v>
      </c>
      <c r="B39" s="33"/>
      <c r="C39" s="76">
        <v>7462173</v>
      </c>
      <c r="D39" s="100">
        <f t="shared" ref="D39" si="38">(+C39-+C38)*48</f>
        <v>192192</v>
      </c>
      <c r="E39" s="101">
        <f>D39*E5</f>
        <v>115315.2</v>
      </c>
      <c r="F39" s="100">
        <f>D39*F5</f>
        <v>76876.800000000003</v>
      </c>
      <c r="G39" s="76">
        <v>304969</v>
      </c>
      <c r="H39" s="100">
        <f t="shared" ref="H39" si="39">(+G39-+G38)*48</f>
        <v>2688</v>
      </c>
      <c r="I39" s="76">
        <v>224230</v>
      </c>
      <c r="J39" s="100">
        <f t="shared" ref="J39" si="40">(+I39-+I38)*48</f>
        <v>7776</v>
      </c>
      <c r="K39" s="76">
        <v>279197</v>
      </c>
      <c r="L39" s="100">
        <f t="shared" ref="L39" si="41">(+K39-+K38)*48</f>
        <v>3264</v>
      </c>
      <c r="M39" s="76">
        <v>25835</v>
      </c>
      <c r="N39" s="100">
        <f t="shared" ref="N39" si="42">(+M39-+M38)*48</f>
        <v>192</v>
      </c>
      <c r="O39" s="76">
        <v>374253</v>
      </c>
      <c r="P39" s="36">
        <f t="shared" ref="P39" si="43">(+O39-+O38)*48</f>
        <v>9456</v>
      </c>
      <c r="Q39" s="76">
        <v>494472</v>
      </c>
      <c r="R39" s="100">
        <f t="shared" ref="R39" si="44">(+Q39-+Q38)*48</f>
        <v>4224</v>
      </c>
      <c r="S39" s="76">
        <v>794856</v>
      </c>
      <c r="T39" s="100">
        <f t="shared" ref="T39" si="45">(+S39-+S38)*48</f>
        <v>6192</v>
      </c>
      <c r="U39" s="80">
        <v>9324</v>
      </c>
      <c r="V39" s="100">
        <f t="shared" ref="V39" si="46">(+U39-+U38)*48</f>
        <v>1200</v>
      </c>
      <c r="W39" s="76">
        <v>88170</v>
      </c>
      <c r="X39" s="100">
        <f t="shared" ref="X39" si="47">(+W39-+W38)*48</f>
        <v>960</v>
      </c>
      <c r="Y39" s="76">
        <v>1542655</v>
      </c>
      <c r="Z39" s="100">
        <f>(+Y39-+Y38)*48</f>
        <v>16272</v>
      </c>
      <c r="AA39" s="76">
        <v>14200</v>
      </c>
      <c r="AB39" s="100">
        <f t="shared" ref="AB39" si="48">(+AA39-+AA38)*48</f>
        <v>1296</v>
      </c>
      <c r="AC39" s="76">
        <v>529175</v>
      </c>
      <c r="AD39" s="100">
        <f t="shared" ref="AD39" si="49">(+AC39-+AC38)*48</f>
        <v>4992</v>
      </c>
      <c r="AE39" s="76">
        <v>600212</v>
      </c>
      <c r="AF39" s="100">
        <f t="shared" ref="AF39" si="50">(+AE39-+AE38)*48</f>
        <v>1248</v>
      </c>
      <c r="AG39" s="75">
        <v>49813</v>
      </c>
      <c r="AH39" s="100">
        <f>(+AG39-+AG38)*48</f>
        <v>0</v>
      </c>
      <c r="AI39" s="76">
        <v>468408</v>
      </c>
      <c r="AJ39" s="100">
        <f t="shared" ref="AJ39" si="51">(+AI39-+AI38)*48</f>
        <v>5760</v>
      </c>
      <c r="AK39" s="76">
        <v>102836</v>
      </c>
      <c r="AL39" s="100">
        <f t="shared" ref="AL39" si="52">(+AK39-+AK38)*48</f>
        <v>96</v>
      </c>
      <c r="AM39" s="76">
        <v>634557</v>
      </c>
      <c r="AN39" s="100">
        <f t="shared" ref="AN39" si="53">(+AM39-+AM38)*48</f>
        <v>3936</v>
      </c>
      <c r="AO39" s="76">
        <v>26654</v>
      </c>
      <c r="AP39" s="100">
        <f t="shared" ref="AP39" si="54">(+AO39-+AO38)*48</f>
        <v>1680</v>
      </c>
      <c r="AQ39" s="76">
        <v>7408</v>
      </c>
      <c r="AR39" s="100">
        <f t="shared" ref="AR39" si="55">(+AQ39-+AQ38)*48</f>
        <v>13632</v>
      </c>
      <c r="AS39" s="76">
        <v>2526</v>
      </c>
      <c r="AT39" s="100">
        <f>(+AS39-+AS38)*48</f>
        <v>96</v>
      </c>
      <c r="AU39" s="76">
        <v>939</v>
      </c>
      <c r="AV39" s="100">
        <f t="shared" ref="AV39" si="56">(+AU39-+AU38)*48</f>
        <v>0</v>
      </c>
      <c r="AW39" s="76">
        <v>3110</v>
      </c>
      <c r="AX39" s="100">
        <f t="shared" ref="AX39" si="57">(+AW39-+AW38)*48</f>
        <v>0</v>
      </c>
      <c r="AY39" s="76">
        <v>368782</v>
      </c>
      <c r="AZ39" s="100">
        <f t="shared" ref="AZ39" si="58">(+AY39-+AY38)*48</f>
        <v>4944</v>
      </c>
      <c r="BA39" s="76">
        <v>161101</v>
      </c>
      <c r="BB39" s="100">
        <f t="shared" ref="BB39" si="59">(+BA39-+BA38)*48</f>
        <v>0</v>
      </c>
      <c r="BC39" s="76">
        <v>248158</v>
      </c>
      <c r="BD39" s="100">
        <f t="shared" ref="BD39" si="60">(+BC39-+BC38)*48</f>
        <v>3360</v>
      </c>
      <c r="BE39" s="76">
        <v>5350</v>
      </c>
      <c r="BF39" s="100">
        <f t="shared" ref="BF39" si="61">(+BE39-+BE38)*48</f>
        <v>0</v>
      </c>
      <c r="BH39" s="102">
        <f t="shared" ref="BH39" si="62">SUM(E39,J39,P39,H39,L39,R39,T39,V39,X39,N39,AB39,Z39,AD39,AF39,AH39,AL39,AJ39)</f>
        <v>180931.20000000001</v>
      </c>
      <c r="BI39" s="102">
        <f t="shared" ref="BI39" si="63">SUM(F39,AN39,AP39,AT39,AV39,AX39,AR39,AZ39,BB39,BD39,BF39)</f>
        <v>104524.8</v>
      </c>
    </row>
    <row r="40" spans="1:61" s="34" customFormat="1" ht="39.950000000000003" customHeight="1">
      <c r="A40" s="17"/>
      <c r="AD40" s="28"/>
      <c r="AE40" s="77"/>
      <c r="AG40" s="77"/>
      <c r="AI40" s="77"/>
      <c r="AK40" s="77"/>
      <c r="AM40" s="77"/>
      <c r="AO40" s="77"/>
      <c r="AQ40" s="77"/>
      <c r="AS40" s="77"/>
      <c r="AU40" s="77"/>
      <c r="AW40" s="77"/>
      <c r="AY40" s="77"/>
      <c r="BA40" s="77"/>
      <c r="BC40" s="77"/>
      <c r="BE40" s="77"/>
      <c r="BH40" s="21"/>
      <c r="BI40" s="21"/>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62" t="s">
        <v>196</v>
      </c>
      <c r="C1" s="262"/>
      <c r="D1" s="262" t="s">
        <v>196</v>
      </c>
      <c r="E1" s="262"/>
      <c r="F1" s="262" t="s">
        <v>196</v>
      </c>
      <c r="G1" s="262"/>
      <c r="H1" s="262" t="s">
        <v>197</v>
      </c>
      <c r="I1" s="262"/>
      <c r="J1" s="261"/>
      <c r="K1" s="261"/>
      <c r="L1" s="262" t="s">
        <v>198</v>
      </c>
      <c r="M1" s="262"/>
      <c r="N1" s="262" t="s">
        <v>198</v>
      </c>
      <c r="O1" s="262"/>
      <c r="P1" s="262" t="s">
        <v>198</v>
      </c>
      <c r="Q1" s="262"/>
      <c r="R1" s="262" t="s">
        <v>198</v>
      </c>
      <c r="S1" s="262"/>
      <c r="T1" s="262" t="s">
        <v>199</v>
      </c>
      <c r="U1" s="262"/>
      <c r="V1" s="266" t="s">
        <v>199</v>
      </c>
      <c r="W1" s="266"/>
      <c r="X1" s="262" t="s">
        <v>199</v>
      </c>
      <c r="Y1" s="262"/>
      <c r="Z1" s="262" t="s">
        <v>199</v>
      </c>
      <c r="AA1" s="262"/>
      <c r="AB1" s="261"/>
      <c r="AC1" s="261"/>
      <c r="AD1" s="262" t="s">
        <v>199</v>
      </c>
      <c r="AE1" s="262"/>
      <c r="AF1" s="262" t="s">
        <v>199</v>
      </c>
      <c r="AG1" s="262"/>
      <c r="AH1" s="262" t="s">
        <v>200</v>
      </c>
      <c r="AI1" s="262"/>
      <c r="AJ1" s="262" t="s">
        <v>200</v>
      </c>
      <c r="AK1" s="262"/>
      <c r="AL1" s="265" t="s">
        <v>200</v>
      </c>
      <c r="AM1" s="265"/>
      <c r="AN1" s="262" t="s">
        <v>200</v>
      </c>
      <c r="AO1" s="262"/>
      <c r="AP1" s="261" t="s">
        <v>200</v>
      </c>
      <c r="AQ1" s="261"/>
      <c r="AR1" s="265" t="s">
        <v>200</v>
      </c>
      <c r="AS1" s="265"/>
      <c r="AT1" s="262" t="s">
        <v>200</v>
      </c>
      <c r="AU1" s="262"/>
      <c r="AV1" s="261"/>
      <c r="AW1" s="261"/>
      <c r="AX1" s="262" t="s">
        <v>200</v>
      </c>
      <c r="AY1" s="262"/>
      <c r="AZ1" s="262" t="s">
        <v>200</v>
      </c>
      <c r="BA1" s="262"/>
      <c r="BB1" s="262" t="s">
        <v>200</v>
      </c>
      <c r="BC1" s="262"/>
      <c r="BD1" s="262" t="s">
        <v>201</v>
      </c>
      <c r="BE1" s="262"/>
      <c r="BF1" s="262" t="s">
        <v>201</v>
      </c>
      <c r="BG1" s="262"/>
      <c r="BH1" s="262" t="s">
        <v>201</v>
      </c>
      <c r="BI1" s="262"/>
      <c r="BJ1" s="262" t="s">
        <v>201</v>
      </c>
      <c r="BK1" s="262"/>
      <c r="BL1" s="262" t="s">
        <v>201</v>
      </c>
      <c r="BM1" s="262"/>
      <c r="BN1" s="262" t="s">
        <v>201</v>
      </c>
      <c r="BO1" s="262"/>
      <c r="BP1" s="262" t="s">
        <v>201</v>
      </c>
      <c r="BQ1" s="262"/>
      <c r="BR1" s="262" t="s">
        <v>201</v>
      </c>
      <c r="BS1" s="262"/>
      <c r="BT1" s="262" t="s">
        <v>201</v>
      </c>
      <c r="BU1" s="262"/>
      <c r="BV1" s="262" t="s">
        <v>201</v>
      </c>
      <c r="BW1" s="262"/>
      <c r="BX1" s="262" t="s">
        <v>201</v>
      </c>
      <c r="BY1" s="262"/>
      <c r="BZ1" s="262" t="s">
        <v>202</v>
      </c>
      <c r="CA1" s="262"/>
      <c r="CB1" s="266" t="s">
        <v>202</v>
      </c>
      <c r="CC1" s="266"/>
      <c r="CD1" s="262" t="s">
        <v>202</v>
      </c>
      <c r="CE1" s="262"/>
      <c r="CF1" s="262" t="s">
        <v>202</v>
      </c>
      <c r="CG1" s="262"/>
      <c r="CH1" s="262" t="s">
        <v>203</v>
      </c>
      <c r="CI1" s="262"/>
      <c r="CJ1" s="262" t="s">
        <v>203</v>
      </c>
      <c r="CK1" s="262"/>
      <c r="CL1" s="262" t="s">
        <v>203</v>
      </c>
      <c r="CM1" s="262"/>
      <c r="CN1" s="262" t="s">
        <v>204</v>
      </c>
      <c r="CO1" s="262"/>
      <c r="CP1" s="262" t="s">
        <v>204</v>
      </c>
      <c r="CQ1" s="262"/>
      <c r="CR1" s="266" t="s">
        <v>204</v>
      </c>
      <c r="CS1" s="266"/>
      <c r="CT1" s="262" t="s">
        <v>204</v>
      </c>
      <c r="CU1" s="262"/>
      <c r="CV1" s="262" t="s">
        <v>204</v>
      </c>
      <c r="CW1" s="262"/>
      <c r="CX1" s="262" t="s">
        <v>204</v>
      </c>
      <c r="CY1" s="262"/>
      <c r="CZ1" s="262" t="s">
        <v>204</v>
      </c>
      <c r="DA1" s="262"/>
      <c r="DB1" s="262" t="s">
        <v>204</v>
      </c>
      <c r="DC1" s="262"/>
      <c r="DD1" s="262" t="s">
        <v>204</v>
      </c>
      <c r="DE1" s="262"/>
      <c r="DF1" s="262" t="s">
        <v>204</v>
      </c>
      <c r="DG1" s="262"/>
      <c r="DH1" s="262" t="s">
        <v>204</v>
      </c>
      <c r="DI1" s="262"/>
      <c r="DJ1" s="261" t="s">
        <v>204</v>
      </c>
      <c r="DK1" s="261"/>
      <c r="DL1" s="262" t="s">
        <v>205</v>
      </c>
      <c r="DM1" s="262"/>
      <c r="DN1" s="262" t="s">
        <v>205</v>
      </c>
      <c r="DO1" s="262"/>
      <c r="DP1" s="262" t="s">
        <v>205</v>
      </c>
      <c r="DQ1" s="262"/>
      <c r="DR1" s="262" t="s">
        <v>205</v>
      </c>
      <c r="DS1" s="262"/>
      <c r="DT1" s="262" t="s">
        <v>205</v>
      </c>
      <c r="DU1" s="262"/>
      <c r="DV1" s="262" t="s">
        <v>205</v>
      </c>
      <c r="DW1" s="262"/>
      <c r="DX1" s="262" t="s">
        <v>206</v>
      </c>
      <c r="DY1" s="262"/>
      <c r="DZ1" s="262" t="s">
        <v>206</v>
      </c>
      <c r="EA1" s="262"/>
      <c r="EB1" s="262" t="s">
        <v>206</v>
      </c>
      <c r="EC1" s="262"/>
      <c r="ED1" s="262" t="s">
        <v>206</v>
      </c>
      <c r="EE1" s="262"/>
      <c r="EF1" s="262" t="s">
        <v>206</v>
      </c>
      <c r="EG1" s="262"/>
      <c r="EH1" s="262" t="s">
        <v>206</v>
      </c>
      <c r="EI1" s="262"/>
      <c r="EJ1" s="262" t="s">
        <v>206</v>
      </c>
      <c r="EK1" s="262"/>
      <c r="EL1" s="262" t="s">
        <v>207</v>
      </c>
      <c r="EM1" s="262"/>
      <c r="EN1" s="262" t="s">
        <v>207</v>
      </c>
      <c r="EO1" s="262"/>
      <c r="EP1" s="262" t="s">
        <v>207</v>
      </c>
      <c r="EQ1" s="262"/>
      <c r="ER1" s="262" t="s">
        <v>208</v>
      </c>
      <c r="ES1" s="262"/>
      <c r="ET1" s="262" t="s">
        <v>208</v>
      </c>
      <c r="EU1" s="262"/>
      <c r="EV1" s="262" t="s">
        <v>208</v>
      </c>
      <c r="EW1" s="262"/>
      <c r="EX1" s="262" t="s">
        <v>209</v>
      </c>
      <c r="EY1" s="262"/>
      <c r="EZ1" s="262" t="s">
        <v>210</v>
      </c>
      <c r="FA1" s="262"/>
      <c r="FB1" s="262" t="s">
        <v>210</v>
      </c>
      <c r="FC1" s="262"/>
      <c r="FD1" s="262" t="s">
        <v>210</v>
      </c>
      <c r="FE1" s="262"/>
      <c r="FF1" s="262" t="s">
        <v>211</v>
      </c>
      <c r="FG1" s="262"/>
      <c r="FH1" s="262" t="s">
        <v>211</v>
      </c>
      <c r="FI1" s="262"/>
      <c r="FJ1" s="262" t="s">
        <v>211</v>
      </c>
      <c r="FK1" s="262"/>
      <c r="FL1" s="261" t="s">
        <v>211</v>
      </c>
      <c r="FM1" s="261"/>
    </row>
    <row r="2" spans="1:169" s="22" customFormat="1" ht="49.5" customHeight="1">
      <c r="B2" s="262" t="s">
        <v>212</v>
      </c>
      <c r="C2" s="262"/>
      <c r="D2" s="262" t="s">
        <v>213</v>
      </c>
      <c r="E2" s="262"/>
      <c r="F2" s="262" t="s">
        <v>212</v>
      </c>
      <c r="G2" s="262"/>
      <c r="H2" s="262" t="s">
        <v>213</v>
      </c>
      <c r="I2" s="262"/>
      <c r="J2" s="262" t="s">
        <v>213</v>
      </c>
      <c r="K2" s="262"/>
      <c r="L2" s="262" t="s">
        <v>212</v>
      </c>
      <c r="M2" s="262"/>
      <c r="N2" s="262" t="s">
        <v>212</v>
      </c>
      <c r="O2" s="262"/>
      <c r="P2" s="262" t="s">
        <v>213</v>
      </c>
      <c r="Q2" s="262"/>
      <c r="R2" s="262" t="s">
        <v>213</v>
      </c>
      <c r="S2" s="262"/>
      <c r="T2" s="262" t="s">
        <v>212</v>
      </c>
      <c r="U2" s="262"/>
      <c r="V2" s="262" t="s">
        <v>213</v>
      </c>
      <c r="W2" s="262"/>
      <c r="X2" s="262" t="s">
        <v>213</v>
      </c>
      <c r="Y2" s="262"/>
      <c r="Z2" s="262" t="s">
        <v>213</v>
      </c>
      <c r="AA2" s="262"/>
      <c r="AB2" s="261" t="s">
        <v>213</v>
      </c>
      <c r="AC2" s="261"/>
      <c r="AD2" s="262" t="s">
        <v>212</v>
      </c>
      <c r="AE2" s="262"/>
      <c r="AF2" s="262" t="s">
        <v>213</v>
      </c>
      <c r="AG2" s="262"/>
      <c r="AH2" s="262" t="s">
        <v>213</v>
      </c>
      <c r="AI2" s="262"/>
      <c r="AJ2" s="262" t="s">
        <v>213</v>
      </c>
      <c r="AK2" s="262"/>
      <c r="AL2" s="262" t="s">
        <v>213</v>
      </c>
      <c r="AM2" s="262"/>
      <c r="AN2" s="262" t="s">
        <v>213</v>
      </c>
      <c r="AO2" s="262"/>
      <c r="AP2" s="261" t="s">
        <v>213</v>
      </c>
      <c r="AQ2" s="261"/>
      <c r="AR2" s="262" t="s">
        <v>213</v>
      </c>
      <c r="AS2" s="262"/>
      <c r="AT2" s="262" t="s">
        <v>213</v>
      </c>
      <c r="AU2" s="262"/>
      <c r="AV2" s="261" t="s">
        <v>213</v>
      </c>
      <c r="AW2" s="261"/>
      <c r="AX2" s="262" t="s">
        <v>213</v>
      </c>
      <c r="AY2" s="262"/>
      <c r="AZ2" s="262" t="s">
        <v>213</v>
      </c>
      <c r="BA2" s="262"/>
      <c r="BB2" s="262" t="s">
        <v>213</v>
      </c>
      <c r="BC2" s="262"/>
      <c r="BD2" s="262" t="s">
        <v>212</v>
      </c>
      <c r="BE2" s="262"/>
      <c r="BF2" s="262" t="s">
        <v>214</v>
      </c>
      <c r="BG2" s="262"/>
      <c r="BH2" s="262" t="s">
        <v>213</v>
      </c>
      <c r="BI2" s="262"/>
      <c r="BJ2" s="262" t="s">
        <v>213</v>
      </c>
      <c r="BK2" s="262"/>
      <c r="BL2" s="262" t="s">
        <v>213</v>
      </c>
      <c r="BM2" s="262"/>
      <c r="BN2" s="262" t="s">
        <v>213</v>
      </c>
      <c r="BO2" s="262"/>
      <c r="BP2" s="262" t="s">
        <v>213</v>
      </c>
      <c r="BQ2" s="262"/>
      <c r="BR2" s="262" t="s">
        <v>213</v>
      </c>
      <c r="BS2" s="262"/>
      <c r="BT2" s="262" t="s">
        <v>213</v>
      </c>
      <c r="BU2" s="262"/>
      <c r="BV2" s="262" t="s">
        <v>213</v>
      </c>
      <c r="BW2" s="262"/>
      <c r="BX2" s="262" t="s">
        <v>213</v>
      </c>
      <c r="BY2" s="262"/>
      <c r="BZ2" s="262" t="s">
        <v>212</v>
      </c>
      <c r="CA2" s="262"/>
      <c r="CB2" s="262" t="s">
        <v>212</v>
      </c>
      <c r="CC2" s="262"/>
      <c r="CD2" s="262" t="s">
        <v>212</v>
      </c>
      <c r="CE2" s="262"/>
      <c r="CF2" s="262" t="s">
        <v>212</v>
      </c>
      <c r="CG2" s="262"/>
      <c r="CH2" s="262" t="s">
        <v>213</v>
      </c>
      <c r="CI2" s="262"/>
      <c r="CJ2" s="262" t="s">
        <v>213</v>
      </c>
      <c r="CK2" s="262"/>
      <c r="CL2" s="262" t="s">
        <v>213</v>
      </c>
      <c r="CM2" s="262"/>
      <c r="CN2" s="262" t="s">
        <v>212</v>
      </c>
      <c r="CO2" s="262"/>
      <c r="CP2" s="262" t="s">
        <v>213</v>
      </c>
      <c r="CQ2" s="262"/>
      <c r="CR2" s="262" t="s">
        <v>213</v>
      </c>
      <c r="CS2" s="262"/>
      <c r="CT2" s="262" t="s">
        <v>213</v>
      </c>
      <c r="CU2" s="262"/>
      <c r="CV2" s="262" t="s">
        <v>213</v>
      </c>
      <c r="CW2" s="262"/>
      <c r="CX2" s="262" t="s">
        <v>213</v>
      </c>
      <c r="CY2" s="262"/>
      <c r="CZ2" s="262" t="s">
        <v>213</v>
      </c>
      <c r="DA2" s="262"/>
      <c r="DB2" s="262" t="s">
        <v>212</v>
      </c>
      <c r="DC2" s="262"/>
      <c r="DD2" s="262" t="s">
        <v>213</v>
      </c>
      <c r="DE2" s="262"/>
      <c r="DF2" s="262" t="s">
        <v>213</v>
      </c>
      <c r="DG2" s="262"/>
      <c r="DH2" s="262" t="s">
        <v>213</v>
      </c>
      <c r="DI2" s="262"/>
      <c r="DJ2" s="261" t="s">
        <v>213</v>
      </c>
      <c r="DK2" s="261"/>
      <c r="DL2" s="262" t="s">
        <v>213</v>
      </c>
      <c r="DM2" s="262"/>
      <c r="DN2" s="262" t="s">
        <v>213</v>
      </c>
      <c r="DO2" s="262"/>
      <c r="DP2" s="262" t="s">
        <v>213</v>
      </c>
      <c r="DQ2" s="262"/>
      <c r="DR2" s="262" t="s">
        <v>213</v>
      </c>
      <c r="DS2" s="262"/>
      <c r="DT2" s="262" t="s">
        <v>213</v>
      </c>
      <c r="DU2" s="262"/>
      <c r="DV2" s="262" t="s">
        <v>213</v>
      </c>
      <c r="DW2" s="262"/>
      <c r="DX2" s="262" t="s">
        <v>213</v>
      </c>
      <c r="DY2" s="262"/>
      <c r="DZ2" s="262" t="s">
        <v>213</v>
      </c>
      <c r="EA2" s="262"/>
      <c r="EB2" s="262" t="s">
        <v>213</v>
      </c>
      <c r="EC2" s="262"/>
      <c r="ED2" s="262" t="s">
        <v>213</v>
      </c>
      <c r="EE2" s="262"/>
      <c r="EF2" s="262" t="s">
        <v>213</v>
      </c>
      <c r="EG2" s="262"/>
      <c r="EH2" s="262" t="s">
        <v>213</v>
      </c>
      <c r="EI2" s="262"/>
      <c r="EJ2" s="262" t="s">
        <v>213</v>
      </c>
      <c r="EK2" s="262"/>
      <c r="EL2" s="262" t="s">
        <v>213</v>
      </c>
      <c r="EM2" s="262"/>
      <c r="EN2" s="262" t="s">
        <v>213</v>
      </c>
      <c r="EO2" s="262"/>
      <c r="EP2" s="262" t="s">
        <v>213</v>
      </c>
      <c r="EQ2" s="262"/>
      <c r="ER2" s="262" t="s">
        <v>213</v>
      </c>
      <c r="ES2" s="262"/>
      <c r="ET2" s="262" t="s">
        <v>213</v>
      </c>
      <c r="EU2" s="262"/>
      <c r="EV2" s="262" t="s">
        <v>213</v>
      </c>
      <c r="EW2" s="262"/>
      <c r="EX2" s="262" t="s">
        <v>213</v>
      </c>
      <c r="EY2" s="262"/>
      <c r="EZ2" s="262" t="s">
        <v>213</v>
      </c>
      <c r="FA2" s="262"/>
      <c r="FB2" s="262" t="s">
        <v>213</v>
      </c>
      <c r="FC2" s="262"/>
      <c r="FD2" s="262" t="s">
        <v>213</v>
      </c>
      <c r="FE2" s="262"/>
      <c r="FF2" s="262" t="s">
        <v>213</v>
      </c>
      <c r="FG2" s="262"/>
      <c r="FH2" s="262" t="s">
        <v>213</v>
      </c>
      <c r="FI2" s="262"/>
      <c r="FJ2" s="262" t="s">
        <v>213</v>
      </c>
      <c r="FK2" s="262"/>
      <c r="FL2" s="261" t="s">
        <v>213</v>
      </c>
      <c r="FM2" s="261"/>
    </row>
    <row r="3" spans="1:169" s="22" customFormat="1" ht="49.5" customHeight="1">
      <c r="B3" s="224" t="s">
        <v>67</v>
      </c>
      <c r="C3" s="226"/>
      <c r="D3" s="224" t="s">
        <v>215</v>
      </c>
      <c r="E3" s="226"/>
      <c r="F3" s="224"/>
      <c r="G3" s="226"/>
      <c r="H3" s="224" t="s">
        <v>215</v>
      </c>
      <c r="I3" s="226"/>
      <c r="J3" s="224" t="s">
        <v>215</v>
      </c>
      <c r="K3" s="226"/>
      <c r="L3" s="224"/>
      <c r="M3" s="226"/>
      <c r="N3" s="224"/>
      <c r="O3" s="226"/>
      <c r="P3" s="224" t="s">
        <v>215</v>
      </c>
      <c r="Q3" s="226"/>
      <c r="R3" s="224" t="s">
        <v>215</v>
      </c>
      <c r="S3" s="226"/>
      <c r="T3" s="224"/>
      <c r="U3" s="226"/>
      <c r="V3" s="224" t="s">
        <v>216</v>
      </c>
      <c r="W3" s="226"/>
      <c r="X3" s="224" t="s">
        <v>216</v>
      </c>
      <c r="Y3" s="226"/>
      <c r="Z3" s="224" t="s">
        <v>216</v>
      </c>
      <c r="AA3" s="226"/>
      <c r="AB3" s="263" t="s">
        <v>216</v>
      </c>
      <c r="AC3" s="264"/>
      <c r="AD3" s="224"/>
      <c r="AE3" s="226"/>
      <c r="AF3" s="224" t="s">
        <v>216</v>
      </c>
      <c r="AG3" s="226"/>
      <c r="AH3" s="224" t="s">
        <v>215</v>
      </c>
      <c r="AI3" s="226"/>
      <c r="AJ3" s="224" t="s">
        <v>215</v>
      </c>
      <c r="AK3" s="226"/>
      <c r="AL3" s="224" t="s">
        <v>215</v>
      </c>
      <c r="AM3" s="226"/>
      <c r="AN3" s="224" t="s">
        <v>215</v>
      </c>
      <c r="AO3" s="226"/>
      <c r="AP3" s="263" t="s">
        <v>215</v>
      </c>
      <c r="AQ3" s="264"/>
      <c r="AR3" s="224" t="s">
        <v>215</v>
      </c>
      <c r="AS3" s="226"/>
      <c r="AT3" s="224" t="s">
        <v>215</v>
      </c>
      <c r="AU3" s="226"/>
      <c r="AV3" s="263" t="s">
        <v>215</v>
      </c>
      <c r="AW3" s="264"/>
      <c r="AX3" s="224" t="s">
        <v>215</v>
      </c>
      <c r="AY3" s="226"/>
      <c r="AZ3" s="224" t="s">
        <v>215</v>
      </c>
      <c r="BA3" s="226"/>
      <c r="BB3" s="224" t="s">
        <v>215</v>
      </c>
      <c r="BC3" s="226"/>
      <c r="BD3" s="224"/>
      <c r="BE3" s="226"/>
      <c r="BF3" s="224"/>
      <c r="BG3" s="226"/>
      <c r="BH3" s="224" t="s">
        <v>215</v>
      </c>
      <c r="BI3" s="226"/>
      <c r="BJ3" s="224" t="s">
        <v>215</v>
      </c>
      <c r="BK3" s="226"/>
      <c r="BL3" s="224" t="s">
        <v>215</v>
      </c>
      <c r="BM3" s="226"/>
      <c r="BN3" s="224" t="s">
        <v>215</v>
      </c>
      <c r="BO3" s="226"/>
      <c r="BP3" s="224" t="s">
        <v>215</v>
      </c>
      <c r="BQ3" s="226"/>
      <c r="BR3" s="224" t="s">
        <v>215</v>
      </c>
      <c r="BS3" s="226"/>
      <c r="BT3" s="224" t="s">
        <v>215</v>
      </c>
      <c r="BU3" s="226"/>
      <c r="BV3" s="224" t="s">
        <v>215</v>
      </c>
      <c r="BW3" s="226"/>
      <c r="BX3" s="224" t="s">
        <v>215</v>
      </c>
      <c r="BY3" s="226"/>
      <c r="BZ3" s="224" t="s">
        <v>66</v>
      </c>
      <c r="CA3" s="226"/>
      <c r="CB3" s="224" t="s">
        <v>66</v>
      </c>
      <c r="CC3" s="226"/>
      <c r="CD3" s="224" t="s">
        <v>66</v>
      </c>
      <c r="CE3" s="226"/>
      <c r="CF3" s="108"/>
      <c r="CG3" s="108"/>
      <c r="CH3" s="224" t="s">
        <v>67</v>
      </c>
      <c r="CI3" s="226"/>
      <c r="CJ3" s="224" t="s">
        <v>67</v>
      </c>
      <c r="CK3" s="226"/>
      <c r="CL3" s="224" t="s">
        <v>215</v>
      </c>
      <c r="CM3" s="226"/>
      <c r="CN3" s="224"/>
      <c r="CO3" s="226"/>
      <c r="CP3" s="224" t="s">
        <v>215</v>
      </c>
      <c r="CQ3" s="226"/>
      <c r="CR3" s="224" t="s">
        <v>215</v>
      </c>
      <c r="CS3" s="226"/>
      <c r="CT3" s="224" t="s">
        <v>215</v>
      </c>
      <c r="CU3" s="226"/>
      <c r="CV3" s="224" t="s">
        <v>215</v>
      </c>
      <c r="CW3" s="226"/>
      <c r="CX3" s="224" t="s">
        <v>215</v>
      </c>
      <c r="CY3" s="226"/>
      <c r="CZ3" s="224" t="s">
        <v>215</v>
      </c>
      <c r="DA3" s="226"/>
      <c r="DB3" s="224" t="s">
        <v>215</v>
      </c>
      <c r="DC3" s="226"/>
      <c r="DD3" s="224" t="s">
        <v>215</v>
      </c>
      <c r="DE3" s="226"/>
      <c r="DF3" s="224" t="s">
        <v>215</v>
      </c>
      <c r="DG3" s="226"/>
      <c r="DH3" s="224" t="s">
        <v>215</v>
      </c>
      <c r="DI3" s="226"/>
      <c r="DJ3" s="263" t="s">
        <v>215</v>
      </c>
      <c r="DK3" s="264"/>
      <c r="DL3" s="224" t="s">
        <v>65</v>
      </c>
      <c r="DM3" s="226"/>
      <c r="DN3" s="224" t="s">
        <v>65</v>
      </c>
      <c r="DO3" s="226"/>
      <c r="DP3" s="224" t="s">
        <v>65</v>
      </c>
      <c r="DQ3" s="226"/>
      <c r="DR3" s="224" t="s">
        <v>65</v>
      </c>
      <c r="DS3" s="226"/>
      <c r="DT3" s="224" t="s">
        <v>65</v>
      </c>
      <c r="DU3" s="226"/>
      <c r="DV3" s="224" t="s">
        <v>217</v>
      </c>
      <c r="DW3" s="226"/>
      <c r="DX3" s="224" t="s">
        <v>65</v>
      </c>
      <c r="DY3" s="226"/>
      <c r="DZ3" s="224" t="s">
        <v>216</v>
      </c>
      <c r="EA3" s="226"/>
      <c r="EB3" s="224" t="s">
        <v>65</v>
      </c>
      <c r="EC3" s="226"/>
      <c r="ED3" s="224" t="s">
        <v>65</v>
      </c>
      <c r="EE3" s="226"/>
      <c r="EF3" s="224" t="s">
        <v>65</v>
      </c>
      <c r="EG3" s="226"/>
      <c r="EH3" s="224" t="s">
        <v>65</v>
      </c>
      <c r="EI3" s="226"/>
      <c r="EJ3" s="224" t="s">
        <v>65</v>
      </c>
      <c r="EK3" s="226"/>
      <c r="EL3" s="224" t="s">
        <v>67</v>
      </c>
      <c r="EM3" s="226"/>
      <c r="EN3" s="224" t="s">
        <v>67</v>
      </c>
      <c r="EO3" s="226"/>
      <c r="EP3" s="224" t="s">
        <v>67</v>
      </c>
      <c r="EQ3" s="226"/>
      <c r="ER3" s="224" t="s">
        <v>67</v>
      </c>
      <c r="ES3" s="226"/>
      <c r="ET3" s="224" t="s">
        <v>67</v>
      </c>
      <c r="EU3" s="226"/>
      <c r="EV3" s="224" t="s">
        <v>67</v>
      </c>
      <c r="EW3" s="226"/>
      <c r="EX3" s="224" t="s">
        <v>67</v>
      </c>
      <c r="EY3" s="226"/>
      <c r="EZ3" s="224" t="s">
        <v>67</v>
      </c>
      <c r="FA3" s="226"/>
      <c r="FB3" s="224" t="s">
        <v>67</v>
      </c>
      <c r="FC3" s="226"/>
      <c r="FD3" s="224" t="s">
        <v>67</v>
      </c>
      <c r="FE3" s="226"/>
      <c r="FF3" s="224" t="s">
        <v>67</v>
      </c>
      <c r="FG3" s="226"/>
      <c r="FH3" s="224" t="s">
        <v>67</v>
      </c>
      <c r="FI3" s="226"/>
      <c r="FJ3" s="224" t="s">
        <v>67</v>
      </c>
      <c r="FK3" s="226"/>
      <c r="FL3" s="263" t="s">
        <v>215</v>
      </c>
      <c r="FM3" s="264"/>
    </row>
    <row r="4" spans="1:169" s="22" customFormat="1" ht="30" customHeight="1">
      <c r="B4" s="224" t="s">
        <v>218</v>
      </c>
      <c r="C4" s="226"/>
      <c r="D4" s="224" t="s">
        <v>218</v>
      </c>
      <c r="E4" s="226"/>
      <c r="F4" s="106"/>
      <c r="G4" s="107"/>
      <c r="H4" s="224" t="s">
        <v>218</v>
      </c>
      <c r="I4" s="226"/>
      <c r="J4" s="224" t="s">
        <v>219</v>
      </c>
      <c r="K4" s="226"/>
      <c r="L4" s="106"/>
      <c r="M4" s="107"/>
      <c r="N4" s="224"/>
      <c r="O4" s="226"/>
      <c r="P4" s="224" t="s">
        <v>220</v>
      </c>
      <c r="Q4" s="226"/>
      <c r="R4" s="224" t="s">
        <v>220</v>
      </c>
      <c r="S4" s="226"/>
      <c r="T4" s="106"/>
      <c r="U4" s="107"/>
      <c r="V4" s="224" t="s">
        <v>220</v>
      </c>
      <c r="W4" s="226"/>
      <c r="X4" s="224" t="s">
        <v>220</v>
      </c>
      <c r="Y4" s="226"/>
      <c r="Z4" s="224" t="s">
        <v>220</v>
      </c>
      <c r="AA4" s="226"/>
      <c r="AB4" s="263" t="s">
        <v>220</v>
      </c>
      <c r="AC4" s="264"/>
      <c r="AD4" s="106"/>
      <c r="AE4" s="107"/>
      <c r="AF4" s="224" t="s">
        <v>220</v>
      </c>
      <c r="AG4" s="226"/>
      <c r="AH4" s="224" t="s">
        <v>220</v>
      </c>
      <c r="AI4" s="226"/>
      <c r="AJ4" s="224" t="s">
        <v>218</v>
      </c>
      <c r="AK4" s="226"/>
      <c r="AL4" s="224" t="s">
        <v>218</v>
      </c>
      <c r="AM4" s="226"/>
      <c r="AN4" s="224" t="s">
        <v>218</v>
      </c>
      <c r="AO4" s="226"/>
      <c r="AP4" s="263" t="s">
        <v>219</v>
      </c>
      <c r="AQ4" s="264"/>
      <c r="AR4" s="224" t="s">
        <v>218</v>
      </c>
      <c r="AS4" s="226"/>
      <c r="AT4" s="224" t="s">
        <v>218</v>
      </c>
      <c r="AU4" s="226"/>
      <c r="AV4" s="263" t="s">
        <v>218</v>
      </c>
      <c r="AW4" s="264"/>
      <c r="AX4" s="224" t="s">
        <v>220</v>
      </c>
      <c r="AY4" s="226"/>
      <c r="AZ4" s="224" t="s">
        <v>218</v>
      </c>
      <c r="BA4" s="226"/>
      <c r="BB4" s="224" t="s">
        <v>218</v>
      </c>
      <c r="BC4" s="226"/>
      <c r="BD4" s="106"/>
      <c r="BE4" s="107"/>
      <c r="BF4" s="106"/>
      <c r="BG4" s="107"/>
      <c r="BH4" s="224" t="s">
        <v>219</v>
      </c>
      <c r="BI4" s="226"/>
      <c r="BJ4" s="224" t="s">
        <v>220</v>
      </c>
      <c r="BK4" s="226"/>
      <c r="BL4" s="224" t="s">
        <v>218</v>
      </c>
      <c r="BM4" s="226"/>
      <c r="BN4" s="224" t="s">
        <v>218</v>
      </c>
      <c r="BO4" s="226"/>
      <c r="BP4" s="224" t="s">
        <v>218</v>
      </c>
      <c r="BQ4" s="226"/>
      <c r="BR4" s="224" t="s">
        <v>218</v>
      </c>
      <c r="BS4" s="226"/>
      <c r="BT4" s="224" t="s">
        <v>218</v>
      </c>
      <c r="BU4" s="226"/>
      <c r="BV4" s="224" t="s">
        <v>218</v>
      </c>
      <c r="BW4" s="226"/>
      <c r="BX4" s="224" t="s">
        <v>218</v>
      </c>
      <c r="BY4" s="226"/>
      <c r="BZ4" s="224" t="s">
        <v>220</v>
      </c>
      <c r="CA4" s="226"/>
      <c r="CB4" s="224" t="s">
        <v>220</v>
      </c>
      <c r="CC4" s="226"/>
      <c r="CD4" s="224" t="s">
        <v>220</v>
      </c>
      <c r="CE4" s="226"/>
      <c r="CF4" s="224" t="s">
        <v>218</v>
      </c>
      <c r="CG4" s="226"/>
      <c r="CH4" s="224" t="s">
        <v>218</v>
      </c>
      <c r="CI4" s="226"/>
      <c r="CJ4" s="224" t="s">
        <v>218</v>
      </c>
      <c r="CK4" s="226"/>
      <c r="CL4" s="224" t="s">
        <v>218</v>
      </c>
      <c r="CM4" s="226"/>
      <c r="CN4" s="106"/>
      <c r="CO4" s="107"/>
      <c r="CP4" s="224" t="s">
        <v>219</v>
      </c>
      <c r="CQ4" s="226"/>
      <c r="CR4" s="224" t="s">
        <v>221</v>
      </c>
      <c r="CS4" s="226"/>
      <c r="CT4" s="224" t="s">
        <v>219</v>
      </c>
      <c r="CU4" s="226"/>
      <c r="CV4" s="224" t="s">
        <v>220</v>
      </c>
      <c r="CW4" s="226"/>
      <c r="CX4" s="224" t="s">
        <v>218</v>
      </c>
      <c r="CY4" s="226"/>
      <c r="CZ4" s="224" t="s">
        <v>218</v>
      </c>
      <c r="DA4" s="226"/>
      <c r="DB4" s="106"/>
      <c r="DC4" s="107"/>
      <c r="DD4" s="224" t="s">
        <v>219</v>
      </c>
      <c r="DE4" s="226"/>
      <c r="DF4" s="224" t="s">
        <v>220</v>
      </c>
      <c r="DG4" s="226"/>
      <c r="DH4" s="224" t="s">
        <v>220</v>
      </c>
      <c r="DI4" s="226"/>
      <c r="DJ4" s="263" t="s">
        <v>219</v>
      </c>
      <c r="DK4" s="264"/>
      <c r="DL4" s="224" t="s">
        <v>218</v>
      </c>
      <c r="DM4" s="226"/>
      <c r="DN4" s="224" t="s">
        <v>218</v>
      </c>
      <c r="DO4" s="226"/>
      <c r="DP4" s="224" t="s">
        <v>218</v>
      </c>
      <c r="DQ4" s="226"/>
      <c r="DR4" s="224" t="s">
        <v>218</v>
      </c>
      <c r="DS4" s="226"/>
      <c r="DT4" s="224" t="s">
        <v>220</v>
      </c>
      <c r="DU4" s="226"/>
      <c r="DV4" s="224" t="s">
        <v>220</v>
      </c>
      <c r="DW4" s="226"/>
      <c r="DX4" s="224" t="s">
        <v>222</v>
      </c>
      <c r="DY4" s="226"/>
      <c r="DZ4" s="224" t="s">
        <v>223</v>
      </c>
      <c r="EA4" s="226"/>
      <c r="EB4" s="224" t="s">
        <v>222</v>
      </c>
      <c r="EC4" s="226"/>
      <c r="ED4" s="224" t="s">
        <v>218</v>
      </c>
      <c r="EE4" s="226"/>
      <c r="EF4" s="224" t="s">
        <v>218</v>
      </c>
      <c r="EG4" s="226"/>
      <c r="EH4" s="224" t="s">
        <v>220</v>
      </c>
      <c r="EI4" s="226"/>
      <c r="EJ4" s="224" t="s">
        <v>220</v>
      </c>
      <c r="EK4" s="226"/>
      <c r="EL4" s="224" t="s">
        <v>218</v>
      </c>
      <c r="EM4" s="226"/>
      <c r="EN4" s="224" t="s">
        <v>218</v>
      </c>
      <c r="EO4" s="226"/>
      <c r="EP4" s="224" t="s">
        <v>218</v>
      </c>
      <c r="EQ4" s="226"/>
      <c r="ER4" s="224" t="s">
        <v>218</v>
      </c>
      <c r="ES4" s="226"/>
      <c r="ET4" s="224" t="s">
        <v>218</v>
      </c>
      <c r="EU4" s="226"/>
      <c r="EV4" s="224" t="s">
        <v>218</v>
      </c>
      <c r="EW4" s="226"/>
      <c r="EX4" s="224" t="s">
        <v>218</v>
      </c>
      <c r="EY4" s="226"/>
      <c r="EZ4" s="224" t="s">
        <v>220</v>
      </c>
      <c r="FA4" s="226"/>
      <c r="FB4" s="224" t="s">
        <v>218</v>
      </c>
      <c r="FC4" s="226"/>
      <c r="FD4" s="224" t="s">
        <v>218</v>
      </c>
      <c r="FE4" s="226"/>
      <c r="FF4" s="224" t="s">
        <v>222</v>
      </c>
      <c r="FG4" s="226"/>
      <c r="FH4" s="224" t="s">
        <v>218</v>
      </c>
      <c r="FI4" s="226"/>
      <c r="FJ4" s="224" t="s">
        <v>222</v>
      </c>
      <c r="FK4" s="226"/>
      <c r="FL4" s="263" t="s">
        <v>218</v>
      </c>
      <c r="FM4" s="264"/>
    </row>
    <row r="5" spans="1:169" s="82" customFormat="1" ht="138.75" customHeight="1">
      <c r="B5" s="267" t="s">
        <v>78</v>
      </c>
      <c r="C5" s="267"/>
      <c r="D5" s="267" t="s">
        <v>224</v>
      </c>
      <c r="E5" s="267"/>
      <c r="F5" s="267" t="s">
        <v>79</v>
      </c>
      <c r="G5" s="267"/>
      <c r="H5" s="267" t="s">
        <v>225</v>
      </c>
      <c r="I5" s="267"/>
      <c r="J5" s="267" t="s">
        <v>226</v>
      </c>
      <c r="K5" s="267"/>
      <c r="L5" s="267" t="s">
        <v>78</v>
      </c>
      <c r="M5" s="267"/>
      <c r="N5" s="267" t="s">
        <v>80</v>
      </c>
      <c r="O5" s="267"/>
      <c r="P5" s="267" t="s">
        <v>227</v>
      </c>
      <c r="Q5" s="267"/>
      <c r="R5" s="267" t="s">
        <v>227</v>
      </c>
      <c r="S5" s="267"/>
      <c r="T5" s="267" t="s">
        <v>68</v>
      </c>
      <c r="U5" s="267"/>
      <c r="V5" s="267" t="s">
        <v>228</v>
      </c>
      <c r="W5" s="267"/>
      <c r="X5" s="267" t="s">
        <v>229</v>
      </c>
      <c r="Y5" s="267"/>
      <c r="Z5" s="267" t="s">
        <v>230</v>
      </c>
      <c r="AA5" s="267"/>
      <c r="AB5" s="268" t="s">
        <v>227</v>
      </c>
      <c r="AC5" s="268"/>
      <c r="AD5" s="267" t="s">
        <v>69</v>
      </c>
      <c r="AE5" s="267"/>
      <c r="AF5" s="267" t="s">
        <v>231</v>
      </c>
      <c r="AG5" s="267"/>
      <c r="AH5" s="267" t="s">
        <v>232</v>
      </c>
      <c r="AI5" s="267"/>
      <c r="AJ5" s="267" t="s">
        <v>233</v>
      </c>
      <c r="AK5" s="267"/>
      <c r="AL5" s="267" t="s">
        <v>225</v>
      </c>
      <c r="AM5" s="267"/>
      <c r="AN5" s="267" t="s">
        <v>234</v>
      </c>
      <c r="AO5" s="267"/>
      <c r="AP5" s="268" t="s">
        <v>235</v>
      </c>
      <c r="AQ5" s="268"/>
      <c r="AR5" s="267" t="s">
        <v>236</v>
      </c>
      <c r="AS5" s="267"/>
      <c r="AT5" s="267" t="s">
        <v>237</v>
      </c>
      <c r="AU5" s="267"/>
      <c r="AV5" s="268" t="s">
        <v>238</v>
      </c>
      <c r="AW5" s="268"/>
      <c r="AX5" s="267" t="s">
        <v>227</v>
      </c>
      <c r="AY5" s="267"/>
      <c r="AZ5" s="267" t="s">
        <v>225</v>
      </c>
      <c r="BA5" s="267"/>
      <c r="BB5" s="267" t="s">
        <v>239</v>
      </c>
      <c r="BC5" s="267"/>
      <c r="BD5" s="267" t="s">
        <v>71</v>
      </c>
      <c r="BE5" s="267"/>
      <c r="BF5" s="267" t="s">
        <v>72</v>
      </c>
      <c r="BG5" s="267"/>
      <c r="BH5" s="267" t="s">
        <v>240</v>
      </c>
      <c r="BI5" s="267"/>
      <c r="BJ5" s="267" t="s">
        <v>241</v>
      </c>
      <c r="BK5" s="267"/>
      <c r="BL5" s="267" t="s">
        <v>242</v>
      </c>
      <c r="BM5" s="267"/>
      <c r="BN5" s="267" t="s">
        <v>243</v>
      </c>
      <c r="BO5" s="267"/>
      <c r="BP5" s="267" t="s">
        <v>244</v>
      </c>
      <c r="BQ5" s="267"/>
      <c r="BR5" s="267" t="s">
        <v>245</v>
      </c>
      <c r="BS5" s="267"/>
      <c r="BT5" s="267" t="s">
        <v>246</v>
      </c>
      <c r="BU5" s="267"/>
      <c r="BV5" s="267" t="s">
        <v>247</v>
      </c>
      <c r="BW5" s="267"/>
      <c r="BX5" s="267" t="s">
        <v>245</v>
      </c>
      <c r="BY5" s="267"/>
      <c r="BZ5" s="267" t="s">
        <v>74</v>
      </c>
      <c r="CA5" s="267"/>
      <c r="CB5" s="267" t="s">
        <v>75</v>
      </c>
      <c r="CC5" s="267"/>
      <c r="CD5" s="267" t="s">
        <v>76</v>
      </c>
      <c r="CE5" s="267"/>
      <c r="CF5" s="267" t="s">
        <v>77</v>
      </c>
      <c r="CG5" s="267"/>
      <c r="CH5" s="267" t="s">
        <v>248</v>
      </c>
      <c r="CI5" s="267"/>
      <c r="CJ5" s="267" t="s">
        <v>248</v>
      </c>
      <c r="CK5" s="267"/>
      <c r="CL5" s="267" t="s">
        <v>249</v>
      </c>
      <c r="CM5" s="267"/>
      <c r="CN5" s="267" t="s">
        <v>70</v>
      </c>
      <c r="CO5" s="267"/>
      <c r="CP5" s="269" t="s">
        <v>250</v>
      </c>
      <c r="CQ5" s="269"/>
      <c r="CR5" s="269" t="s">
        <v>221</v>
      </c>
      <c r="CS5" s="269"/>
      <c r="CT5" s="269" t="s">
        <v>251</v>
      </c>
      <c r="CU5" s="269"/>
      <c r="CV5" s="269" t="s">
        <v>252</v>
      </c>
      <c r="CW5" s="269"/>
      <c r="CX5" s="269" t="s">
        <v>253</v>
      </c>
      <c r="CY5" s="269"/>
      <c r="CZ5" s="269" t="s">
        <v>254</v>
      </c>
      <c r="DA5" s="269"/>
      <c r="DB5" s="267" t="s">
        <v>73</v>
      </c>
      <c r="DC5" s="267"/>
      <c r="DD5" s="267" t="s">
        <v>255</v>
      </c>
      <c r="DE5" s="267"/>
      <c r="DF5" s="267" t="s">
        <v>256</v>
      </c>
      <c r="DG5" s="267"/>
      <c r="DH5" s="267" t="s">
        <v>257</v>
      </c>
      <c r="DI5" s="267"/>
      <c r="DJ5" s="268" t="s">
        <v>255</v>
      </c>
      <c r="DK5" s="268"/>
      <c r="DL5" s="267" t="s">
        <v>258</v>
      </c>
      <c r="DM5" s="267"/>
      <c r="DN5" s="267" t="s">
        <v>258</v>
      </c>
      <c r="DO5" s="267"/>
      <c r="DP5" s="267" t="s">
        <v>259</v>
      </c>
      <c r="DQ5" s="267"/>
      <c r="DR5" s="267" t="s">
        <v>259</v>
      </c>
      <c r="DS5" s="267"/>
      <c r="DT5" s="267" t="s">
        <v>231</v>
      </c>
      <c r="DU5" s="267"/>
      <c r="DV5" s="267" t="s">
        <v>260</v>
      </c>
      <c r="DW5" s="267"/>
      <c r="DX5" s="269" t="s">
        <v>261</v>
      </c>
      <c r="DY5" s="269"/>
      <c r="DZ5" s="267" t="s">
        <v>225</v>
      </c>
      <c r="EA5" s="267"/>
      <c r="EB5" s="269" t="s">
        <v>262</v>
      </c>
      <c r="EC5" s="269"/>
      <c r="ED5" s="269" t="s">
        <v>263</v>
      </c>
      <c r="EE5" s="269"/>
      <c r="EF5" s="269" t="s">
        <v>264</v>
      </c>
      <c r="EG5" s="269"/>
      <c r="EH5" s="269" t="s">
        <v>227</v>
      </c>
      <c r="EI5" s="269"/>
      <c r="EJ5" s="269" t="s">
        <v>265</v>
      </c>
      <c r="EK5" s="269"/>
      <c r="EL5" s="267" t="s">
        <v>266</v>
      </c>
      <c r="EM5" s="267"/>
      <c r="EN5" s="267" t="s">
        <v>267</v>
      </c>
      <c r="EO5" s="267"/>
      <c r="EP5" s="267" t="s">
        <v>268</v>
      </c>
      <c r="EQ5" s="267"/>
      <c r="ER5" s="267" t="s">
        <v>269</v>
      </c>
      <c r="ES5" s="267"/>
      <c r="ET5" s="267" t="s">
        <v>267</v>
      </c>
      <c r="EU5" s="267"/>
      <c r="EV5" s="267" t="s">
        <v>268</v>
      </c>
      <c r="EW5" s="267"/>
      <c r="EX5" s="267" t="s">
        <v>270</v>
      </c>
      <c r="EY5" s="267"/>
      <c r="EZ5" s="267" t="s">
        <v>265</v>
      </c>
      <c r="FA5" s="267"/>
      <c r="FB5" s="267" t="s">
        <v>271</v>
      </c>
      <c r="FC5" s="267"/>
      <c r="FD5" s="267" t="s">
        <v>272</v>
      </c>
      <c r="FE5" s="267"/>
      <c r="FF5" s="267" t="s">
        <v>273</v>
      </c>
      <c r="FG5" s="267"/>
      <c r="FH5" s="267" t="s">
        <v>274</v>
      </c>
      <c r="FI5" s="267"/>
      <c r="FJ5" s="267" t="s">
        <v>275</v>
      </c>
      <c r="FK5" s="267"/>
      <c r="FL5" s="268" t="s">
        <v>276</v>
      </c>
      <c r="FM5" s="268"/>
    </row>
    <row r="6" spans="1:169" s="22" customFormat="1" ht="30" customHeight="1">
      <c r="B6" s="262">
        <v>5065544</v>
      </c>
      <c r="C6" s="262"/>
      <c r="D6" s="224"/>
      <c r="E6" s="226"/>
      <c r="F6" s="262">
        <v>5065541</v>
      </c>
      <c r="G6" s="262"/>
      <c r="H6" s="224"/>
      <c r="I6" s="226"/>
      <c r="J6" s="224"/>
      <c r="K6" s="226"/>
      <c r="L6" s="262">
        <v>5065542</v>
      </c>
      <c r="M6" s="262"/>
      <c r="N6" s="262">
        <v>5065540</v>
      </c>
      <c r="O6" s="262"/>
      <c r="P6" s="224"/>
      <c r="Q6" s="226"/>
      <c r="R6" s="224"/>
      <c r="S6" s="226"/>
      <c r="T6" s="262">
        <v>5065546</v>
      </c>
      <c r="U6" s="262"/>
      <c r="V6" s="224"/>
      <c r="W6" s="226"/>
      <c r="X6" s="224"/>
      <c r="Y6" s="226"/>
      <c r="Z6" s="224"/>
      <c r="AA6" s="226"/>
      <c r="AB6" s="224"/>
      <c r="AC6" s="226"/>
      <c r="AD6" s="262">
        <v>5065547</v>
      </c>
      <c r="AE6" s="262"/>
      <c r="AF6" s="224"/>
      <c r="AG6" s="226"/>
      <c r="AH6" s="270"/>
      <c r="AI6" s="271"/>
      <c r="AJ6" s="270"/>
      <c r="AK6" s="271"/>
      <c r="AL6" s="270"/>
      <c r="AM6" s="271"/>
      <c r="AN6" s="270"/>
      <c r="AO6" s="271"/>
      <c r="AP6" s="270"/>
      <c r="AQ6" s="271"/>
      <c r="AR6" s="270"/>
      <c r="AS6" s="271"/>
      <c r="AT6" s="270"/>
      <c r="AU6" s="271"/>
      <c r="AV6" s="270"/>
      <c r="AW6" s="271"/>
      <c r="AX6" s="270"/>
      <c r="AY6" s="271"/>
      <c r="AZ6" s="270"/>
      <c r="BA6" s="271"/>
      <c r="BB6" s="270"/>
      <c r="BC6" s="271"/>
      <c r="BD6" s="262">
        <v>5065548</v>
      </c>
      <c r="BE6" s="262"/>
      <c r="BF6" s="262">
        <v>5465545</v>
      </c>
      <c r="BG6" s="262"/>
      <c r="BH6" s="224"/>
      <c r="BI6" s="226"/>
      <c r="BJ6" s="224"/>
      <c r="BK6" s="226"/>
      <c r="BL6" s="224"/>
      <c r="BM6" s="226"/>
      <c r="BN6" s="224"/>
      <c r="BO6" s="226"/>
      <c r="BP6" s="224"/>
      <c r="BQ6" s="226"/>
      <c r="BR6" s="224"/>
      <c r="BS6" s="226"/>
      <c r="BT6" s="224"/>
      <c r="BU6" s="226"/>
      <c r="BV6" s="224"/>
      <c r="BW6" s="226"/>
      <c r="BX6" s="224"/>
      <c r="BY6" s="226"/>
      <c r="BZ6" s="262">
        <v>5018351</v>
      </c>
      <c r="CA6" s="262"/>
      <c r="CB6" s="262">
        <v>5018354</v>
      </c>
      <c r="CC6" s="262"/>
      <c r="CD6" s="262">
        <v>5018350</v>
      </c>
      <c r="CE6" s="262"/>
      <c r="CF6" s="262">
        <v>5065543</v>
      </c>
      <c r="CG6" s="262"/>
      <c r="CH6" s="224"/>
      <c r="CI6" s="226"/>
      <c r="CJ6" s="224"/>
      <c r="CK6" s="226"/>
      <c r="CL6" s="224"/>
      <c r="CM6" s="226"/>
      <c r="CN6" s="262">
        <v>5008272</v>
      </c>
      <c r="CO6" s="262"/>
      <c r="CP6" s="224"/>
      <c r="CQ6" s="226"/>
      <c r="CR6" s="224"/>
      <c r="CS6" s="226"/>
      <c r="CT6" s="224"/>
      <c r="CU6" s="226"/>
      <c r="CV6" s="224"/>
      <c r="CW6" s="226"/>
      <c r="CX6" s="224"/>
      <c r="CY6" s="226"/>
      <c r="CZ6" s="224"/>
      <c r="DA6" s="226"/>
      <c r="DB6" s="262">
        <v>5008273</v>
      </c>
      <c r="DC6" s="262"/>
      <c r="DD6" s="224"/>
      <c r="DE6" s="226"/>
      <c r="DF6" s="224"/>
      <c r="DG6" s="226"/>
      <c r="DH6" s="224"/>
      <c r="DI6" s="226"/>
      <c r="DJ6" s="224"/>
      <c r="DK6" s="226"/>
      <c r="DL6" s="224"/>
      <c r="DM6" s="226"/>
      <c r="DN6" s="224"/>
      <c r="DO6" s="226"/>
      <c r="DP6" s="224"/>
      <c r="DQ6" s="226"/>
      <c r="DR6" s="224"/>
      <c r="DS6" s="226"/>
      <c r="DT6" s="224"/>
      <c r="DU6" s="226"/>
      <c r="DV6" s="224"/>
      <c r="DW6" s="226"/>
      <c r="DX6" s="224"/>
      <c r="DY6" s="226"/>
      <c r="DZ6" s="224"/>
      <c r="EA6" s="226"/>
      <c r="EB6" s="224"/>
      <c r="EC6" s="226"/>
      <c r="ED6" s="224"/>
      <c r="EE6" s="226"/>
      <c r="EF6" s="224"/>
      <c r="EG6" s="226"/>
      <c r="EH6" s="224"/>
      <c r="EI6" s="226"/>
      <c r="EJ6" s="224"/>
      <c r="EK6" s="226"/>
      <c r="EL6" s="224"/>
      <c r="EM6" s="226"/>
      <c r="EN6" s="224"/>
      <c r="EO6" s="226"/>
      <c r="EP6" s="224"/>
      <c r="EQ6" s="226"/>
      <c r="ER6" s="224"/>
      <c r="ES6" s="226"/>
      <c r="ET6" s="224"/>
      <c r="EU6" s="226"/>
      <c r="EV6" s="224"/>
      <c r="EW6" s="226"/>
      <c r="EX6" s="224"/>
      <c r="EY6" s="226"/>
      <c r="EZ6" s="224"/>
      <c r="FA6" s="226"/>
      <c r="FB6" s="224"/>
      <c r="FC6" s="226"/>
      <c r="FD6" s="224"/>
      <c r="FE6" s="226"/>
      <c r="FF6" s="224"/>
      <c r="FG6" s="226"/>
      <c r="FH6" s="224"/>
      <c r="FI6" s="226"/>
      <c r="FJ6" s="224"/>
      <c r="FK6" s="226"/>
      <c r="FL6" s="224"/>
      <c r="FM6" s="226"/>
    </row>
    <row r="7" spans="1:169" s="22" customFormat="1" ht="30" customHeight="1">
      <c r="B7" s="272" t="s">
        <v>92</v>
      </c>
      <c r="C7" s="272"/>
      <c r="D7" s="272" t="s">
        <v>92</v>
      </c>
      <c r="E7" s="272"/>
      <c r="F7" s="273" t="s">
        <v>93</v>
      </c>
      <c r="G7" s="273"/>
      <c r="H7" s="274" t="s">
        <v>94</v>
      </c>
      <c r="I7" s="274"/>
      <c r="J7" s="274" t="s">
        <v>94</v>
      </c>
      <c r="K7" s="274"/>
      <c r="L7" s="274" t="s">
        <v>94</v>
      </c>
      <c r="M7" s="274"/>
      <c r="N7" s="275" t="s">
        <v>95</v>
      </c>
      <c r="O7" s="275"/>
      <c r="P7" s="275" t="s">
        <v>95</v>
      </c>
      <c r="Q7" s="275"/>
      <c r="R7" s="275" t="s">
        <v>95</v>
      </c>
      <c r="S7" s="275"/>
      <c r="T7" s="276" t="s">
        <v>82</v>
      </c>
      <c r="U7" s="276"/>
      <c r="V7" s="276" t="s">
        <v>82</v>
      </c>
      <c r="W7" s="276"/>
      <c r="X7" s="276" t="s">
        <v>82</v>
      </c>
      <c r="Y7" s="276"/>
      <c r="Z7" s="276" t="s">
        <v>82</v>
      </c>
      <c r="AA7" s="276"/>
      <c r="AB7" s="276" t="s">
        <v>82</v>
      </c>
      <c r="AC7" s="276"/>
      <c r="AD7" s="277" t="s">
        <v>83</v>
      </c>
      <c r="AE7" s="277"/>
      <c r="AF7" s="277" t="s">
        <v>83</v>
      </c>
      <c r="AG7" s="277"/>
      <c r="AH7" s="278" t="s">
        <v>85</v>
      </c>
      <c r="AI7" s="278"/>
      <c r="AJ7" s="278" t="s">
        <v>85</v>
      </c>
      <c r="AK7" s="278"/>
      <c r="AL7" s="278" t="s">
        <v>85</v>
      </c>
      <c r="AM7" s="278"/>
      <c r="AN7" s="278" t="s">
        <v>85</v>
      </c>
      <c r="AO7" s="278"/>
      <c r="AP7" s="278" t="s">
        <v>85</v>
      </c>
      <c r="AQ7" s="278"/>
      <c r="AR7" s="278" t="s">
        <v>85</v>
      </c>
      <c r="AS7" s="278"/>
      <c r="AT7" s="278" t="s">
        <v>85</v>
      </c>
      <c r="AU7" s="278"/>
      <c r="AV7" s="278" t="s">
        <v>85</v>
      </c>
      <c r="AW7" s="278"/>
      <c r="AX7" s="278" t="s">
        <v>85</v>
      </c>
      <c r="AY7" s="278"/>
      <c r="AZ7" s="278" t="s">
        <v>85</v>
      </c>
      <c r="BA7" s="278"/>
      <c r="BB7" s="278" t="s">
        <v>85</v>
      </c>
      <c r="BC7" s="278"/>
      <c r="BD7" s="278" t="s">
        <v>85</v>
      </c>
      <c r="BE7" s="278"/>
      <c r="BF7" s="279" t="s">
        <v>86</v>
      </c>
      <c r="BG7" s="279"/>
      <c r="BH7" s="279" t="s">
        <v>86</v>
      </c>
      <c r="BI7" s="279"/>
      <c r="BJ7" s="279" t="s">
        <v>86</v>
      </c>
      <c r="BK7" s="279"/>
      <c r="BL7" s="279" t="s">
        <v>86</v>
      </c>
      <c r="BM7" s="279"/>
      <c r="BN7" s="279" t="s">
        <v>86</v>
      </c>
      <c r="BO7" s="279"/>
      <c r="BP7" s="279" t="s">
        <v>86</v>
      </c>
      <c r="BQ7" s="279"/>
      <c r="BR7" s="279" t="s">
        <v>86</v>
      </c>
      <c r="BS7" s="279"/>
      <c r="BT7" s="279" t="s">
        <v>86</v>
      </c>
      <c r="BU7" s="279"/>
      <c r="BV7" s="279" t="s">
        <v>86</v>
      </c>
      <c r="BW7" s="279"/>
      <c r="BX7" s="279" t="s">
        <v>86</v>
      </c>
      <c r="BY7" s="279"/>
      <c r="BZ7" s="280" t="s">
        <v>88</v>
      </c>
      <c r="CA7" s="280"/>
      <c r="CB7" s="281" t="s">
        <v>89</v>
      </c>
      <c r="CC7" s="281"/>
      <c r="CD7" s="261" t="s">
        <v>90</v>
      </c>
      <c r="CE7" s="261"/>
      <c r="CF7" s="282" t="s">
        <v>91</v>
      </c>
      <c r="CG7" s="282"/>
      <c r="CH7" s="282" t="s">
        <v>91</v>
      </c>
      <c r="CI7" s="282"/>
      <c r="CJ7" s="282" t="s">
        <v>91</v>
      </c>
      <c r="CK7" s="282"/>
      <c r="CL7" s="282" t="s">
        <v>91</v>
      </c>
      <c r="CM7" s="282"/>
      <c r="CN7" s="283" t="s">
        <v>84</v>
      </c>
      <c r="CO7" s="283"/>
      <c r="CP7" s="283" t="s">
        <v>84</v>
      </c>
      <c r="CQ7" s="283"/>
      <c r="CR7" s="283" t="s">
        <v>84</v>
      </c>
      <c r="CS7" s="283"/>
      <c r="CT7" s="283" t="s">
        <v>84</v>
      </c>
      <c r="CU7" s="283"/>
      <c r="CV7" s="283" t="s">
        <v>84</v>
      </c>
      <c r="CW7" s="283"/>
      <c r="CX7" s="283" t="s">
        <v>84</v>
      </c>
      <c r="CY7" s="283"/>
      <c r="CZ7" s="283" t="s">
        <v>84</v>
      </c>
      <c r="DA7" s="283"/>
      <c r="DB7" s="284" t="s">
        <v>87</v>
      </c>
      <c r="DC7" s="284"/>
      <c r="DD7" s="284" t="s">
        <v>87</v>
      </c>
      <c r="DE7" s="284"/>
      <c r="DF7" s="284" t="s">
        <v>87</v>
      </c>
      <c r="DG7" s="284"/>
      <c r="DH7" s="284" t="s">
        <v>87</v>
      </c>
      <c r="DI7" s="284"/>
      <c r="DJ7" s="284" t="s">
        <v>87</v>
      </c>
      <c r="DK7" s="284"/>
      <c r="DL7" s="277" t="s">
        <v>83</v>
      </c>
      <c r="DM7" s="277"/>
      <c r="DN7" s="277" t="s">
        <v>83</v>
      </c>
      <c r="DO7" s="277"/>
      <c r="DP7" s="277" t="s">
        <v>83</v>
      </c>
      <c r="DQ7" s="277"/>
      <c r="DR7" s="277" t="s">
        <v>83</v>
      </c>
      <c r="DS7" s="277"/>
      <c r="DT7" s="277" t="s">
        <v>83</v>
      </c>
      <c r="DU7" s="277"/>
      <c r="DV7" s="277" t="s">
        <v>83</v>
      </c>
      <c r="DW7" s="277"/>
      <c r="DX7" s="276" t="s">
        <v>82</v>
      </c>
      <c r="DY7" s="276"/>
      <c r="DZ7" s="276" t="s">
        <v>82</v>
      </c>
      <c r="EA7" s="276"/>
      <c r="EB7" s="276" t="s">
        <v>82</v>
      </c>
      <c r="EC7" s="276"/>
      <c r="ED7" s="276" t="s">
        <v>82</v>
      </c>
      <c r="EE7" s="276"/>
      <c r="EF7" s="276" t="s">
        <v>82</v>
      </c>
      <c r="EG7" s="276"/>
      <c r="EH7" s="276" t="s">
        <v>82</v>
      </c>
      <c r="EI7" s="276"/>
      <c r="EJ7" s="276" t="s">
        <v>82</v>
      </c>
      <c r="EK7" s="276"/>
      <c r="EL7" s="274" t="s">
        <v>94</v>
      </c>
      <c r="EM7" s="274"/>
      <c r="EN7" s="274" t="s">
        <v>94</v>
      </c>
      <c r="EO7" s="274"/>
      <c r="EP7" s="274" t="s">
        <v>94</v>
      </c>
      <c r="EQ7" s="274"/>
      <c r="ER7" s="272" t="s">
        <v>92</v>
      </c>
      <c r="ES7" s="272"/>
      <c r="ET7" s="272" t="s">
        <v>92</v>
      </c>
      <c r="EU7" s="272"/>
      <c r="EV7" s="272" t="s">
        <v>92</v>
      </c>
      <c r="EW7" s="272"/>
      <c r="EX7" s="273" t="s">
        <v>93</v>
      </c>
      <c r="EY7" s="273"/>
      <c r="EZ7" s="275" t="s">
        <v>95</v>
      </c>
      <c r="FA7" s="275"/>
      <c r="FB7" s="275" t="s">
        <v>95</v>
      </c>
      <c r="FC7" s="275"/>
      <c r="FD7" s="275" t="s">
        <v>95</v>
      </c>
      <c r="FE7" s="275"/>
      <c r="FF7" s="273" t="s">
        <v>93</v>
      </c>
      <c r="FG7" s="273"/>
      <c r="FH7" s="273" t="s">
        <v>93</v>
      </c>
      <c r="FI7" s="273"/>
      <c r="FJ7" s="273" t="s">
        <v>93</v>
      </c>
      <c r="FK7" s="273"/>
      <c r="FL7" s="273" t="s">
        <v>93</v>
      </c>
      <c r="FM7" s="273"/>
    </row>
    <row r="8" spans="1:169" s="22" customFormat="1" ht="30" customHeight="1">
      <c r="B8" s="285"/>
      <c r="C8" s="285"/>
      <c r="D8" s="286" t="s">
        <v>277</v>
      </c>
      <c r="E8" s="287"/>
      <c r="F8" s="285"/>
      <c r="G8" s="285"/>
      <c r="H8" s="286" t="s">
        <v>278</v>
      </c>
      <c r="I8" s="287"/>
      <c r="J8" s="286" t="s">
        <v>279</v>
      </c>
      <c r="K8" s="287"/>
      <c r="L8" s="285"/>
      <c r="M8" s="285"/>
      <c r="N8" s="285"/>
      <c r="O8" s="285"/>
      <c r="P8" s="286" t="s">
        <v>280</v>
      </c>
      <c r="Q8" s="287"/>
      <c r="R8" s="286" t="s">
        <v>281</v>
      </c>
      <c r="S8" s="287"/>
      <c r="T8" s="285"/>
      <c r="U8" s="285"/>
      <c r="V8" s="286" t="s">
        <v>282</v>
      </c>
      <c r="W8" s="287"/>
      <c r="X8" s="286" t="s">
        <v>283</v>
      </c>
      <c r="Y8" s="287"/>
      <c r="Z8" s="286" t="s">
        <v>284</v>
      </c>
      <c r="AA8" s="287"/>
      <c r="AB8" s="286" t="s">
        <v>285</v>
      </c>
      <c r="AC8" s="287"/>
      <c r="AD8" s="285"/>
      <c r="AE8" s="285"/>
      <c r="AF8" s="286" t="s">
        <v>286</v>
      </c>
      <c r="AG8" s="287"/>
      <c r="AH8" s="286" t="s">
        <v>287</v>
      </c>
      <c r="AI8" s="287"/>
      <c r="AJ8" s="286" t="s">
        <v>288</v>
      </c>
      <c r="AK8" s="287"/>
      <c r="AL8" s="286" t="s">
        <v>289</v>
      </c>
      <c r="AM8" s="287"/>
      <c r="AN8" s="286" t="s">
        <v>290</v>
      </c>
      <c r="AO8" s="287"/>
      <c r="AP8" s="286" t="s">
        <v>291</v>
      </c>
      <c r="AQ8" s="287"/>
      <c r="AR8" s="286" t="s">
        <v>292</v>
      </c>
      <c r="AS8" s="287"/>
      <c r="AT8" s="286" t="s">
        <v>293</v>
      </c>
      <c r="AU8" s="287"/>
      <c r="AV8" s="286" t="s">
        <v>294</v>
      </c>
      <c r="AW8" s="287"/>
      <c r="AX8" s="286" t="s">
        <v>295</v>
      </c>
      <c r="AY8" s="287"/>
      <c r="AZ8" s="286" t="s">
        <v>296</v>
      </c>
      <c r="BA8" s="287"/>
      <c r="BB8" s="286" t="s">
        <v>297</v>
      </c>
      <c r="BC8" s="287"/>
      <c r="BD8" s="286"/>
      <c r="BE8" s="287"/>
      <c r="BF8" s="285"/>
      <c r="BG8" s="285"/>
      <c r="BH8" s="286" t="s">
        <v>298</v>
      </c>
      <c r="BI8" s="287"/>
      <c r="BJ8" s="286" t="s">
        <v>299</v>
      </c>
      <c r="BK8" s="287"/>
      <c r="BL8" s="286" t="s">
        <v>300</v>
      </c>
      <c r="BM8" s="287"/>
      <c r="BN8" s="286" t="s">
        <v>301</v>
      </c>
      <c r="BO8" s="287"/>
      <c r="BP8" s="286" t="s">
        <v>302</v>
      </c>
      <c r="BQ8" s="287"/>
      <c r="BR8" s="286" t="s">
        <v>303</v>
      </c>
      <c r="BS8" s="287"/>
      <c r="BT8" s="286" t="s">
        <v>304</v>
      </c>
      <c r="BU8" s="287"/>
      <c r="BV8" s="286" t="s">
        <v>305</v>
      </c>
      <c r="BW8" s="287"/>
      <c r="BX8" s="286" t="s">
        <v>306</v>
      </c>
      <c r="BY8" s="287"/>
      <c r="BZ8" s="285"/>
      <c r="CA8" s="285"/>
      <c r="CB8" s="285"/>
      <c r="CC8" s="285"/>
      <c r="CD8" s="285"/>
      <c r="CE8" s="285"/>
      <c r="CF8" s="285"/>
      <c r="CG8" s="285"/>
      <c r="CH8" s="286" t="s">
        <v>307</v>
      </c>
      <c r="CI8" s="287"/>
      <c r="CJ8" s="286" t="s">
        <v>308</v>
      </c>
      <c r="CK8" s="287"/>
      <c r="CL8" s="286" t="s">
        <v>309</v>
      </c>
      <c r="CM8" s="287"/>
      <c r="CN8" s="285"/>
      <c r="CO8" s="285"/>
      <c r="CP8" s="286" t="s">
        <v>310</v>
      </c>
      <c r="CQ8" s="287"/>
      <c r="CR8" s="286" t="s">
        <v>311</v>
      </c>
      <c r="CS8" s="287"/>
      <c r="CT8" s="286" t="s">
        <v>312</v>
      </c>
      <c r="CU8" s="287"/>
      <c r="CV8" s="286" t="s">
        <v>313</v>
      </c>
      <c r="CW8" s="287"/>
      <c r="CX8" s="286" t="s">
        <v>314</v>
      </c>
      <c r="CY8" s="287"/>
      <c r="CZ8" s="286" t="s">
        <v>315</v>
      </c>
      <c r="DA8" s="287"/>
      <c r="DB8" s="285"/>
      <c r="DC8" s="285"/>
      <c r="DD8" s="286" t="s">
        <v>316</v>
      </c>
      <c r="DE8" s="287"/>
      <c r="DF8" s="286" t="s">
        <v>317</v>
      </c>
      <c r="DG8" s="287"/>
      <c r="DH8" s="286" t="s">
        <v>318</v>
      </c>
      <c r="DI8" s="287"/>
      <c r="DJ8" s="286" t="s">
        <v>319</v>
      </c>
      <c r="DK8" s="287"/>
      <c r="DL8" s="286" t="s">
        <v>320</v>
      </c>
      <c r="DM8" s="287"/>
      <c r="DN8" s="286" t="s">
        <v>321</v>
      </c>
      <c r="DO8" s="287"/>
      <c r="DP8" s="286" t="s">
        <v>322</v>
      </c>
      <c r="DQ8" s="287"/>
      <c r="DR8" s="286" t="s">
        <v>323</v>
      </c>
      <c r="DS8" s="287"/>
      <c r="DT8" s="286" t="s">
        <v>324</v>
      </c>
      <c r="DU8" s="287"/>
      <c r="DV8" s="286" t="s">
        <v>325</v>
      </c>
      <c r="DW8" s="287"/>
      <c r="DX8" s="286" t="s">
        <v>326</v>
      </c>
      <c r="DY8" s="287"/>
      <c r="DZ8" s="286" t="s">
        <v>327</v>
      </c>
      <c r="EA8" s="287"/>
      <c r="EB8" s="286" t="s">
        <v>328</v>
      </c>
      <c r="EC8" s="287"/>
      <c r="ED8" s="286" t="s">
        <v>329</v>
      </c>
      <c r="EE8" s="287"/>
      <c r="EF8" s="286" t="s">
        <v>330</v>
      </c>
      <c r="EG8" s="287"/>
      <c r="EH8" s="286" t="s">
        <v>331</v>
      </c>
      <c r="EI8" s="287"/>
      <c r="EJ8" s="286" t="s">
        <v>332</v>
      </c>
      <c r="EK8" s="287"/>
      <c r="EL8" s="286" t="s">
        <v>333</v>
      </c>
      <c r="EM8" s="287"/>
      <c r="EN8" s="286" t="s">
        <v>334</v>
      </c>
      <c r="EO8" s="287"/>
      <c r="EP8" s="286" t="s">
        <v>335</v>
      </c>
      <c r="EQ8" s="287"/>
      <c r="ER8" s="286" t="s">
        <v>336</v>
      </c>
      <c r="ES8" s="287"/>
      <c r="ET8" s="286" t="s">
        <v>337</v>
      </c>
      <c r="EU8" s="287"/>
      <c r="EV8" s="286" t="s">
        <v>338</v>
      </c>
      <c r="EW8" s="287"/>
      <c r="EX8" s="286" t="s">
        <v>339</v>
      </c>
      <c r="EY8" s="287"/>
      <c r="EZ8" s="286" t="s">
        <v>340</v>
      </c>
      <c r="FA8" s="287"/>
      <c r="FB8" s="286" t="s">
        <v>341</v>
      </c>
      <c r="FC8" s="287"/>
      <c r="FD8" s="286" t="s">
        <v>342</v>
      </c>
      <c r="FE8" s="287"/>
      <c r="FF8" s="286" t="s">
        <v>343</v>
      </c>
      <c r="FG8" s="287"/>
      <c r="FH8" s="286" t="s">
        <v>344</v>
      </c>
      <c r="FI8" s="287"/>
      <c r="FJ8" s="286" t="s">
        <v>345</v>
      </c>
      <c r="FK8" s="287"/>
      <c r="FL8" s="286" t="s">
        <v>346</v>
      </c>
      <c r="FM8" s="287"/>
    </row>
    <row r="9" spans="1:169" s="82" customFormat="1" ht="50.1" customHeight="1">
      <c r="A9" s="109" t="s">
        <v>99</v>
      </c>
      <c r="B9" s="109" t="s">
        <v>100</v>
      </c>
      <c r="C9" s="109" t="s">
        <v>101</v>
      </c>
      <c r="D9" s="109" t="s">
        <v>100</v>
      </c>
      <c r="E9" s="109" t="s">
        <v>101</v>
      </c>
      <c r="F9" s="109" t="s">
        <v>100</v>
      </c>
      <c r="G9" s="109" t="s">
        <v>101</v>
      </c>
      <c r="H9" s="109" t="s">
        <v>100</v>
      </c>
      <c r="I9" s="109" t="s">
        <v>101</v>
      </c>
      <c r="J9" s="109" t="s">
        <v>100</v>
      </c>
      <c r="K9" s="109" t="s">
        <v>101</v>
      </c>
      <c r="L9" s="109" t="s">
        <v>100</v>
      </c>
      <c r="M9" s="109" t="s">
        <v>101</v>
      </c>
      <c r="N9" s="109" t="s">
        <v>100</v>
      </c>
      <c r="O9" s="109" t="s">
        <v>101</v>
      </c>
      <c r="P9" s="109" t="s">
        <v>100</v>
      </c>
      <c r="Q9" s="109" t="s">
        <v>101</v>
      </c>
      <c r="R9" s="109" t="s">
        <v>100</v>
      </c>
      <c r="S9" s="109" t="s">
        <v>101</v>
      </c>
      <c r="T9" s="109" t="s">
        <v>100</v>
      </c>
      <c r="U9" s="109" t="s">
        <v>101</v>
      </c>
      <c r="V9" s="109" t="s">
        <v>100</v>
      </c>
      <c r="W9" s="109" t="s">
        <v>101</v>
      </c>
      <c r="X9" s="109" t="s">
        <v>100</v>
      </c>
      <c r="Y9" s="109" t="s">
        <v>101</v>
      </c>
      <c r="Z9" s="109" t="s">
        <v>100</v>
      </c>
      <c r="AA9" s="109" t="s">
        <v>101</v>
      </c>
      <c r="AB9" s="109" t="s">
        <v>100</v>
      </c>
      <c r="AC9" s="109" t="s">
        <v>101</v>
      </c>
      <c r="AD9" s="109" t="s">
        <v>100</v>
      </c>
      <c r="AE9" s="109" t="s">
        <v>101</v>
      </c>
      <c r="AF9" s="109" t="s">
        <v>100</v>
      </c>
      <c r="AG9" s="109" t="s">
        <v>101</v>
      </c>
      <c r="AH9" s="109" t="s">
        <v>100</v>
      </c>
      <c r="AI9" s="109" t="s">
        <v>101</v>
      </c>
      <c r="AJ9" s="109" t="s">
        <v>100</v>
      </c>
      <c r="AK9" s="109" t="s">
        <v>101</v>
      </c>
      <c r="AL9" s="109" t="s">
        <v>100</v>
      </c>
      <c r="AM9" s="109" t="s">
        <v>101</v>
      </c>
      <c r="AN9" s="109" t="s">
        <v>100</v>
      </c>
      <c r="AO9" s="109" t="s">
        <v>101</v>
      </c>
      <c r="AP9" s="109" t="s">
        <v>100</v>
      </c>
      <c r="AQ9" s="109" t="s">
        <v>101</v>
      </c>
      <c r="AR9" s="109" t="s">
        <v>100</v>
      </c>
      <c r="AS9" s="109" t="s">
        <v>101</v>
      </c>
      <c r="AT9" s="109" t="s">
        <v>100</v>
      </c>
      <c r="AU9" s="109" t="s">
        <v>101</v>
      </c>
      <c r="AV9" s="109" t="s">
        <v>100</v>
      </c>
      <c r="AW9" s="109" t="s">
        <v>101</v>
      </c>
      <c r="AX9" s="109" t="s">
        <v>100</v>
      </c>
      <c r="AY9" s="109" t="s">
        <v>101</v>
      </c>
      <c r="AZ9" s="109" t="s">
        <v>100</v>
      </c>
      <c r="BA9" s="109" t="s">
        <v>101</v>
      </c>
      <c r="BB9" s="109" t="s">
        <v>100</v>
      </c>
      <c r="BC9" s="109" t="s">
        <v>101</v>
      </c>
      <c r="BD9" s="109" t="s">
        <v>100</v>
      </c>
      <c r="BE9" s="109" t="s">
        <v>101</v>
      </c>
      <c r="BF9" s="109" t="s">
        <v>100</v>
      </c>
      <c r="BG9" s="109" t="s">
        <v>101</v>
      </c>
      <c r="BH9" s="109" t="s">
        <v>100</v>
      </c>
      <c r="BI9" s="109" t="s">
        <v>101</v>
      </c>
      <c r="BJ9" s="109" t="s">
        <v>100</v>
      </c>
      <c r="BK9" s="109" t="s">
        <v>101</v>
      </c>
      <c r="BL9" s="109" t="s">
        <v>100</v>
      </c>
      <c r="BM9" s="109" t="s">
        <v>101</v>
      </c>
      <c r="BN9" s="109" t="s">
        <v>100</v>
      </c>
      <c r="BO9" s="109" t="s">
        <v>101</v>
      </c>
      <c r="BP9" s="109" t="s">
        <v>100</v>
      </c>
      <c r="BQ9" s="109" t="s">
        <v>101</v>
      </c>
      <c r="BR9" s="109" t="s">
        <v>100</v>
      </c>
      <c r="BS9" s="109" t="s">
        <v>101</v>
      </c>
      <c r="BT9" s="109" t="s">
        <v>100</v>
      </c>
      <c r="BU9" s="109" t="s">
        <v>101</v>
      </c>
      <c r="BV9" s="109" t="s">
        <v>100</v>
      </c>
      <c r="BW9" s="109" t="s">
        <v>101</v>
      </c>
      <c r="BX9" s="109" t="s">
        <v>100</v>
      </c>
      <c r="BY9" s="109" t="s">
        <v>101</v>
      </c>
      <c r="BZ9" s="109" t="s">
        <v>100</v>
      </c>
      <c r="CA9" s="109" t="s">
        <v>101</v>
      </c>
      <c r="CB9" s="109" t="s">
        <v>100</v>
      </c>
      <c r="CC9" s="109" t="s">
        <v>101</v>
      </c>
      <c r="CD9" s="109" t="s">
        <v>100</v>
      </c>
      <c r="CE9" s="109" t="s">
        <v>101</v>
      </c>
      <c r="CF9" s="109" t="s">
        <v>100</v>
      </c>
      <c r="CG9" s="109" t="s">
        <v>101</v>
      </c>
      <c r="CH9" s="109" t="s">
        <v>100</v>
      </c>
      <c r="CI9" s="109" t="s">
        <v>101</v>
      </c>
      <c r="CJ9" s="109" t="s">
        <v>100</v>
      </c>
      <c r="CK9" s="109" t="s">
        <v>101</v>
      </c>
      <c r="CL9" s="109" t="s">
        <v>100</v>
      </c>
      <c r="CM9" s="109" t="s">
        <v>101</v>
      </c>
      <c r="CN9" s="109" t="s">
        <v>100</v>
      </c>
      <c r="CO9" s="109" t="s">
        <v>101</v>
      </c>
      <c r="CP9" s="109" t="s">
        <v>100</v>
      </c>
      <c r="CQ9" s="109" t="s">
        <v>101</v>
      </c>
      <c r="CR9" s="109" t="s">
        <v>100</v>
      </c>
      <c r="CS9" s="109" t="s">
        <v>101</v>
      </c>
      <c r="CT9" s="109" t="s">
        <v>100</v>
      </c>
      <c r="CU9" s="109" t="s">
        <v>101</v>
      </c>
      <c r="CV9" s="109" t="s">
        <v>100</v>
      </c>
      <c r="CW9" s="109" t="s">
        <v>101</v>
      </c>
      <c r="CX9" s="109" t="s">
        <v>100</v>
      </c>
      <c r="CY9" s="109" t="s">
        <v>101</v>
      </c>
      <c r="CZ9" s="109" t="s">
        <v>100</v>
      </c>
      <c r="DA9" s="109" t="s">
        <v>101</v>
      </c>
      <c r="DB9" s="109" t="s">
        <v>100</v>
      </c>
      <c r="DC9" s="109" t="s">
        <v>101</v>
      </c>
      <c r="DD9" s="109" t="s">
        <v>100</v>
      </c>
      <c r="DE9" s="109" t="s">
        <v>101</v>
      </c>
      <c r="DF9" s="109" t="s">
        <v>100</v>
      </c>
      <c r="DG9" s="109" t="s">
        <v>101</v>
      </c>
      <c r="DH9" s="109" t="s">
        <v>100</v>
      </c>
      <c r="DI9" s="109" t="s">
        <v>101</v>
      </c>
      <c r="DJ9" s="109" t="s">
        <v>100</v>
      </c>
      <c r="DK9" s="109" t="s">
        <v>101</v>
      </c>
      <c r="DL9" s="109" t="s">
        <v>100</v>
      </c>
      <c r="DM9" s="109" t="s">
        <v>101</v>
      </c>
      <c r="DN9" s="109" t="s">
        <v>100</v>
      </c>
      <c r="DO9" s="109" t="s">
        <v>101</v>
      </c>
      <c r="DP9" s="109" t="s">
        <v>100</v>
      </c>
      <c r="DQ9" s="109" t="s">
        <v>101</v>
      </c>
      <c r="DR9" s="109" t="s">
        <v>100</v>
      </c>
      <c r="DS9" s="109" t="s">
        <v>101</v>
      </c>
      <c r="DT9" s="109" t="s">
        <v>100</v>
      </c>
      <c r="DU9" s="109" t="s">
        <v>101</v>
      </c>
      <c r="DV9" s="109" t="s">
        <v>100</v>
      </c>
      <c r="DW9" s="109" t="s">
        <v>101</v>
      </c>
      <c r="DX9" s="109" t="s">
        <v>100</v>
      </c>
      <c r="DY9" s="109" t="s">
        <v>101</v>
      </c>
      <c r="DZ9" s="109" t="s">
        <v>100</v>
      </c>
      <c r="EA9" s="109" t="s">
        <v>101</v>
      </c>
      <c r="EB9" s="109" t="s">
        <v>100</v>
      </c>
      <c r="EC9" s="109" t="s">
        <v>101</v>
      </c>
      <c r="ED9" s="109" t="s">
        <v>100</v>
      </c>
      <c r="EE9" s="109" t="s">
        <v>101</v>
      </c>
      <c r="EF9" s="109" t="s">
        <v>100</v>
      </c>
      <c r="EG9" s="109" t="s">
        <v>101</v>
      </c>
      <c r="EH9" s="109" t="s">
        <v>100</v>
      </c>
      <c r="EI9" s="109" t="s">
        <v>101</v>
      </c>
      <c r="EJ9" s="109" t="s">
        <v>100</v>
      </c>
      <c r="EK9" s="109" t="s">
        <v>101</v>
      </c>
      <c r="EL9" s="109" t="s">
        <v>100</v>
      </c>
      <c r="EM9" s="109" t="s">
        <v>101</v>
      </c>
      <c r="EN9" s="109" t="s">
        <v>100</v>
      </c>
      <c r="EO9" s="109" t="s">
        <v>101</v>
      </c>
      <c r="EP9" s="109" t="s">
        <v>100</v>
      </c>
      <c r="EQ9" s="109" t="s">
        <v>101</v>
      </c>
      <c r="ER9" s="109" t="s">
        <v>100</v>
      </c>
      <c r="ES9" s="109" t="s">
        <v>101</v>
      </c>
      <c r="ET9" s="109" t="s">
        <v>100</v>
      </c>
      <c r="EU9" s="109" t="s">
        <v>101</v>
      </c>
      <c r="EV9" s="109" t="s">
        <v>100</v>
      </c>
      <c r="EW9" s="109" t="s">
        <v>101</v>
      </c>
      <c r="EX9" s="109" t="s">
        <v>100</v>
      </c>
      <c r="EY9" s="109" t="s">
        <v>101</v>
      </c>
      <c r="EZ9" s="109" t="s">
        <v>100</v>
      </c>
      <c r="FA9" s="109" t="s">
        <v>101</v>
      </c>
      <c r="FB9" s="109" t="s">
        <v>100</v>
      </c>
      <c r="FC9" s="109" t="s">
        <v>101</v>
      </c>
      <c r="FD9" s="109" t="s">
        <v>100</v>
      </c>
      <c r="FE9" s="109" t="s">
        <v>101</v>
      </c>
      <c r="FF9" s="109" t="s">
        <v>100</v>
      </c>
      <c r="FG9" s="109" t="s">
        <v>101</v>
      </c>
      <c r="FH9" s="109" t="s">
        <v>100</v>
      </c>
      <c r="FI9" s="109" t="s">
        <v>101</v>
      </c>
      <c r="FJ9" s="109" t="s">
        <v>100</v>
      </c>
      <c r="FK9" s="109" t="s">
        <v>101</v>
      </c>
      <c r="FL9" s="109" t="s">
        <v>100</v>
      </c>
      <c r="FM9" s="109"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90" t="s">
        <v>347</v>
      </c>
      <c r="D2" s="290"/>
      <c r="E2" s="290" t="s">
        <v>348</v>
      </c>
      <c r="F2" s="290"/>
      <c r="G2" s="290" t="s">
        <v>349</v>
      </c>
      <c r="H2" s="290"/>
      <c r="I2" s="290" t="s">
        <v>350</v>
      </c>
      <c r="J2" s="290"/>
      <c r="K2" s="290" t="s">
        <v>351</v>
      </c>
      <c r="L2" s="290"/>
      <c r="M2" s="290" t="s">
        <v>352</v>
      </c>
      <c r="N2" s="290"/>
      <c r="O2" s="290" t="s">
        <v>353</v>
      </c>
      <c r="P2" s="290"/>
      <c r="Q2" s="290" t="s">
        <v>354</v>
      </c>
      <c r="R2" s="290"/>
      <c r="S2" s="290" t="s">
        <v>355</v>
      </c>
      <c r="T2" s="290"/>
      <c r="V2" s="290" t="s">
        <v>356</v>
      </c>
      <c r="W2" s="290"/>
      <c r="X2" s="290" t="s">
        <v>357</v>
      </c>
      <c r="Y2" s="290"/>
      <c r="Z2" s="290" t="s">
        <v>358</v>
      </c>
      <c r="AA2" s="290"/>
      <c r="AB2" s="290" t="s">
        <v>359</v>
      </c>
      <c r="AC2" s="290"/>
      <c r="AD2" s="290" t="s">
        <v>360</v>
      </c>
      <c r="AE2" s="290"/>
      <c r="AF2" s="290" t="s">
        <v>361</v>
      </c>
      <c r="AG2" s="290"/>
      <c r="AH2" s="290" t="s">
        <v>362</v>
      </c>
      <c r="AI2" s="290"/>
      <c r="AJ2" s="290" t="s">
        <v>363</v>
      </c>
      <c r="AK2" s="290"/>
      <c r="AL2" s="290" t="s">
        <v>364</v>
      </c>
      <c r="AM2" s="290"/>
      <c r="AO2" s="290" t="s">
        <v>365</v>
      </c>
      <c r="AP2" s="290"/>
      <c r="AQ2" s="290" t="s">
        <v>366</v>
      </c>
      <c r="AR2" s="290"/>
      <c r="AS2" s="290" t="s">
        <v>367</v>
      </c>
      <c r="AT2" s="290"/>
      <c r="AU2" s="290" t="s">
        <v>368</v>
      </c>
      <c r="AV2" s="290"/>
      <c r="AW2" s="290" t="s">
        <v>369</v>
      </c>
      <c r="AX2" s="290"/>
      <c r="AY2" s="290" t="s">
        <v>370</v>
      </c>
      <c r="AZ2" s="290"/>
      <c r="BA2" s="290" t="s">
        <v>371</v>
      </c>
      <c r="BB2" s="290"/>
      <c r="BC2" s="290" t="s">
        <v>372</v>
      </c>
      <c r="BD2" s="290"/>
      <c r="BE2" s="290" t="s">
        <v>373</v>
      </c>
      <c r="BF2" s="290"/>
      <c r="BH2" s="290" t="s">
        <v>103</v>
      </c>
      <c r="BI2" s="290"/>
      <c r="BJ2" s="290" t="s">
        <v>374</v>
      </c>
      <c r="BK2" s="290"/>
      <c r="BL2" s="290" t="s">
        <v>375</v>
      </c>
      <c r="BM2" s="290"/>
      <c r="BN2" s="290" t="s">
        <v>376</v>
      </c>
      <c r="BO2" s="290"/>
      <c r="BP2" s="290" t="s">
        <v>377</v>
      </c>
      <c r="BQ2" s="290"/>
      <c r="BR2" s="290" t="s">
        <v>378</v>
      </c>
      <c r="BS2" s="290"/>
      <c r="BT2" s="290" t="s">
        <v>379</v>
      </c>
      <c r="BU2" s="290"/>
      <c r="BV2" s="290" t="s">
        <v>380</v>
      </c>
      <c r="BW2" s="290"/>
      <c r="BX2" s="290" t="s">
        <v>381</v>
      </c>
      <c r="BY2" s="290"/>
      <c r="BZ2" s="290" t="s">
        <v>382</v>
      </c>
      <c r="CA2" s="290"/>
      <c r="CB2" s="290" t="s">
        <v>383</v>
      </c>
      <c r="CC2" s="290"/>
      <c r="CD2" s="290" t="s">
        <v>384</v>
      </c>
      <c r="CE2" s="290"/>
      <c r="CF2" s="290" t="s">
        <v>385</v>
      </c>
      <c r="CG2" s="290"/>
      <c r="CH2" s="290" t="s">
        <v>386</v>
      </c>
      <c r="CI2" s="290"/>
      <c r="CJ2" s="290" t="s">
        <v>387</v>
      </c>
      <c r="CK2" s="290"/>
      <c r="CL2" s="290" t="s">
        <v>388</v>
      </c>
      <c r="CM2" s="290"/>
      <c r="CN2" s="290" t="s">
        <v>389</v>
      </c>
      <c r="CO2" s="290"/>
      <c r="CP2" s="290" t="s">
        <v>390</v>
      </c>
      <c r="CQ2" s="290"/>
      <c r="CR2" s="290" t="s">
        <v>391</v>
      </c>
      <c r="CS2" s="290"/>
    </row>
    <row r="3" spans="1:97" s="53" customFormat="1" ht="49.5" customHeight="1">
      <c r="A3" s="110"/>
      <c r="B3" s="67"/>
      <c r="C3" s="288"/>
      <c r="D3" s="288"/>
      <c r="E3" s="291" t="s">
        <v>110</v>
      </c>
      <c r="F3" s="291"/>
      <c r="G3" s="288"/>
      <c r="H3" s="288"/>
      <c r="I3" s="292" t="s">
        <v>112</v>
      </c>
      <c r="J3" s="292"/>
      <c r="K3" s="288"/>
      <c r="L3" s="288"/>
      <c r="M3" s="288"/>
      <c r="N3" s="288"/>
      <c r="O3" s="288"/>
      <c r="P3" s="288"/>
      <c r="Q3" s="289" t="s">
        <v>113</v>
      </c>
      <c r="R3" s="289"/>
      <c r="S3" s="288"/>
      <c r="T3" s="288"/>
      <c r="U3" s="52"/>
      <c r="V3" s="289" t="s">
        <v>108</v>
      </c>
      <c r="W3" s="289"/>
      <c r="X3" s="288"/>
      <c r="Y3" s="288"/>
      <c r="Z3" s="288"/>
      <c r="AA3" s="288"/>
      <c r="AB3" s="288"/>
      <c r="AC3" s="288"/>
      <c r="AD3" s="288"/>
      <c r="AE3" s="288"/>
      <c r="AF3" s="288"/>
      <c r="AG3" s="288"/>
      <c r="AH3" s="288"/>
      <c r="AI3" s="288"/>
      <c r="AJ3" s="288"/>
      <c r="AK3" s="288"/>
      <c r="AL3" s="288"/>
      <c r="AM3" s="288"/>
      <c r="AN3" s="52"/>
      <c r="AO3" s="291" t="s">
        <v>111</v>
      </c>
      <c r="AP3" s="291"/>
      <c r="AQ3" s="288"/>
      <c r="AR3" s="288"/>
      <c r="AS3" s="288"/>
      <c r="AT3" s="288"/>
      <c r="AU3" s="288"/>
      <c r="AV3" s="288"/>
      <c r="AW3" s="288"/>
      <c r="AX3" s="288"/>
      <c r="AY3" s="288"/>
      <c r="AZ3" s="288"/>
      <c r="BA3" s="288"/>
      <c r="BB3" s="288"/>
      <c r="BC3" s="288"/>
      <c r="BD3" s="288"/>
      <c r="BE3" s="288"/>
      <c r="BF3" s="288"/>
      <c r="BG3" s="52"/>
      <c r="BH3" s="291" t="s">
        <v>109</v>
      </c>
      <c r="BI3" s="291"/>
      <c r="BJ3" s="288"/>
      <c r="BK3" s="288"/>
      <c r="BL3" s="288"/>
      <c r="BM3" s="288"/>
      <c r="BN3" s="288"/>
      <c r="BO3" s="288"/>
      <c r="BP3" s="288"/>
      <c r="BQ3" s="288"/>
      <c r="BR3" s="288"/>
      <c r="BS3" s="288"/>
      <c r="BT3" s="288"/>
      <c r="BU3" s="288"/>
      <c r="BV3" s="288"/>
      <c r="BW3" s="288"/>
      <c r="BX3" s="288"/>
      <c r="BY3" s="288"/>
      <c r="BZ3" s="288"/>
      <c r="CA3" s="288"/>
      <c r="CB3" s="288"/>
      <c r="CC3" s="288"/>
      <c r="CD3" s="288"/>
      <c r="CE3" s="288"/>
      <c r="CF3" s="288"/>
      <c r="CG3" s="288"/>
      <c r="CH3" s="288"/>
      <c r="CI3" s="288"/>
      <c r="CJ3" s="288"/>
      <c r="CK3" s="288"/>
      <c r="CL3" s="288"/>
      <c r="CM3" s="288"/>
      <c r="CN3" s="288"/>
      <c r="CO3" s="288"/>
      <c r="CP3" s="288"/>
      <c r="CQ3" s="288"/>
      <c r="CR3" s="288"/>
      <c r="CS3" s="288"/>
    </row>
    <row r="4" spans="1:97" s="56" customFormat="1" ht="50.1" customHeight="1">
      <c r="A4" s="57" t="s">
        <v>99</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2023-02-03T10:31:22Z</dcterms:modified>
  <cp:category/>
  <cp:contentStatus/>
</cp:coreProperties>
</file>