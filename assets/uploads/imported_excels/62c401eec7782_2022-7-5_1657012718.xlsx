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<sst xmlns="http://schemas.openxmlformats.org/spreadsheetml/2006/main" count="606" uniqueCount="76">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</sst>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58" workbookViewId="0">
      <selection activeCell="S178" sqref="S17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35343.1799999992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Y210" sqref="Y210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35</v>
      </c>
      <c r="Q30" s="160" t="s">
        <v>36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37</v>
      </c>
      <c r="Q32" s="162" t="s">
        <v>38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35</v>
      </c>
      <c r="Q58" s="160" t="s">
        <v>42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37</v>
      </c>
      <c r="Q60" s="162" t="s">
        <v>38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35</v>
      </c>
      <c r="Q90" s="160" t="s">
        <v>42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37</v>
      </c>
      <c r="Q92" s="162" t="s">
        <v>38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35</v>
      </c>
      <c r="Q120" s="160" t="s">
        <v>42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37</v>
      </c>
      <c r="Q122" s="162" t="s">
        <v>38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35</v>
      </c>
      <c r="Q151" s="160" t="s">
        <v>42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37</v>
      </c>
      <c r="Q153" s="162" t="s">
        <v>38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8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8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8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9" t="s">
        <v>35</v>
      </c>
      <c r="Q181" s="160" t="s">
        <v>42</v>
      </c>
      <c r="R181" s="19">
        <f t="shared" si="78"/>
        <v>1</v>
      </c>
      <c r="S181" s="19">
        <f t="shared" si="71"/>
        <v>0</v>
      </c>
      <c r="T181" s="157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7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1" t="s">
        <v>37</v>
      </c>
      <c r="Q183" s="162" t="s">
        <v>38</v>
      </c>
      <c r="R183" s="19">
        <f t="shared" si="78"/>
        <v>1</v>
      </c>
      <c r="S183" s="19">
        <f t="shared" si="71"/>
        <v>0</v>
      </c>
      <c r="T183" s="157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x14ac:dyDescent="0.25">
      <c r="A188" s="51">
        <v>44746</v>
      </c>
      <c r="D188" s="136">
        <v>0.14199999999999999</v>
      </c>
      <c r="E188" s="137">
        <v>3023.6529999999998</v>
      </c>
      <c r="F188" s="138">
        <v>88.006</v>
      </c>
      <c r="G188" s="56"/>
      <c r="H188" s="56">
        <v>4140</v>
      </c>
      <c r="I188" s="56">
        <f t="shared" si="76"/>
        <v>35343.1799999992</v>
      </c>
      <c r="J188" s="56">
        <f t="shared" si="77"/>
        <v>1134.3600000000038</v>
      </c>
      <c r="K188" s="57">
        <f t="shared" si="72"/>
        <v>3.2095583928781438E-2</v>
      </c>
      <c r="L188" s="56">
        <f t="shared" si="73"/>
        <v>1134.3600000000038</v>
      </c>
      <c r="M188" s="57">
        <f t="shared" si="74"/>
        <v>3.2095583928781438E-2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x14ac:dyDescent="0.25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x14ac:dyDescent="0.25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x14ac:dyDescent="0.25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x14ac:dyDescent="0.25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x14ac:dyDescent="0.25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x14ac:dyDescent="0.25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x14ac:dyDescent="0.25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x14ac:dyDescent="0.25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x14ac:dyDescent="0.25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x14ac:dyDescent="0.25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x14ac:dyDescent="0.25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x14ac:dyDescent="0.25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x14ac:dyDescent="0.25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x14ac:dyDescent="0.25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x14ac:dyDescent="0.25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8"/>
    </row>
    <row r="204" spans="1:20" x14ac:dyDescent="0.25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7"/>
    </row>
    <row r="205" spans="1:20" x14ac:dyDescent="0.25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7"/>
    </row>
    <row r="206" spans="1:20" x14ac:dyDescent="0.25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3.3085356303837438E-2</v>
      </c>
      <c r="Q206" s="66">
        <f>IF(L185="",0,+SUM(L185:L215)/SUM(I185:I215))</f>
        <v>3.3085356303837438E-2</v>
      </c>
      <c r="R206" s="19">
        <f t="shared" si="78"/>
        <v>1</v>
      </c>
      <c r="S206" s="19">
        <f t="shared" si="80"/>
        <v>0</v>
      </c>
      <c r="T206" s="158"/>
    </row>
    <row r="207" spans="1:20" x14ac:dyDescent="0.25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8"/>
    </row>
    <row r="208" spans="1:20" x14ac:dyDescent="0.25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8"/>
    </row>
    <row r="209" spans="1:20" x14ac:dyDescent="0.25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7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9" t="s">
        <v>35</v>
      </c>
      <c r="Q212" s="160" t="s">
        <v>42</v>
      </c>
      <c r="R212" s="19">
        <f t="shared" si="78"/>
        <v>1</v>
      </c>
      <c r="S212" s="19">
        <f t="shared" si="80"/>
        <v>0</v>
      </c>
      <c r="T212" s="157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1" t="s">
        <v>37</v>
      </c>
      <c r="Q214" s="162" t="s">
        <v>38</v>
      </c>
      <c r="R214" s="19">
        <f t="shared" si="78"/>
        <v>1</v>
      </c>
      <c r="S214" s="19">
        <f t="shared" si="80"/>
        <v>0</v>
      </c>
      <c r="T214" s="157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8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7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7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8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7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9" t="s">
        <v>35</v>
      </c>
      <c r="Q243" s="160" t="s">
        <v>42</v>
      </c>
      <c r="R243" s="19">
        <f t="shared" si="85"/>
        <v>1</v>
      </c>
      <c r="S243" s="19">
        <f t="shared" si="80"/>
        <v>0</v>
      </c>
      <c r="T243" s="157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1" t="s">
        <v>37</v>
      </c>
      <c r="Q245" s="162" t="s">
        <v>38</v>
      </c>
      <c r="R245" s="19">
        <f t="shared" si="85"/>
        <v>1</v>
      </c>
      <c r="S245" s="19">
        <f t="shared" si="80"/>
        <v>0</v>
      </c>
      <c r="T245" s="157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9" t="s">
        <v>35</v>
      </c>
      <c r="Q273" s="160" t="s">
        <v>42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1" t="s">
        <v>37</v>
      </c>
      <c r="Q275" s="162" t="s">
        <v>38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8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7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7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8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7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9" t="s">
        <v>35</v>
      </c>
      <c r="Q304" s="160" t="s">
        <v>42</v>
      </c>
      <c r="R304" s="19">
        <f t="shared" si="88"/>
        <v>1</v>
      </c>
      <c r="S304" s="19">
        <f t="shared" si="91"/>
        <v>0</v>
      </c>
      <c r="T304" s="157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1" t="s">
        <v>37</v>
      </c>
      <c r="Q306" s="162" t="s">
        <v>38</v>
      </c>
      <c r="R306" s="19">
        <f t="shared" si="88"/>
        <v>1</v>
      </c>
      <c r="S306" s="19">
        <f t="shared" si="91"/>
        <v>0</v>
      </c>
      <c r="T306" s="157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8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8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7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8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8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9" t="s">
        <v>35</v>
      </c>
      <c r="Q334" s="160" t="s">
        <v>42</v>
      </c>
      <c r="R334" s="19">
        <f t="shared" si="98"/>
        <v>1</v>
      </c>
      <c r="S334" s="19">
        <f t="shared" si="101"/>
        <v>0</v>
      </c>
      <c r="T334" s="157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3" t="s">
        <v>37</v>
      </c>
      <c r="Q336" s="163" t="s">
        <v>38</v>
      </c>
      <c r="R336" s="19">
        <f t="shared" si="98"/>
        <v>1</v>
      </c>
      <c r="S336" s="19">
        <f t="shared" si="101"/>
        <v>0</v>
      </c>
      <c r="T336" s="157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8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7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7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8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7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9" t="s">
        <v>35</v>
      </c>
      <c r="Q365" s="160" t="s">
        <v>42</v>
      </c>
      <c r="R365" s="19">
        <f t="shared" si="98"/>
        <v>1</v>
      </c>
      <c r="S365" s="19">
        <f t="shared" si="101"/>
        <v>0</v>
      </c>
      <c r="T365" s="157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1" t="s">
        <v>37</v>
      </c>
      <c r="Q367" s="162" t="s">
        <v>38</v>
      </c>
      <c r="R367" s="19">
        <f t="shared" si="98"/>
        <v>1</v>
      </c>
      <c r="S367" s="19">
        <f t="shared" si="101"/>
        <v>0</v>
      </c>
      <c r="T367" s="157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63" workbookViewId="0">
      <selection activeCell="R188" sqref="R188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4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73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1205</v>
      </c>
      <c r="O209" s="30">
        <f>SUM(M186:M216)</f>
        <v>7186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301.25</v>
      </c>
      <c r="O212" s="30">
        <f>AVERAGE(M186:M216)</f>
        <v>1796.5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2022-07-05T09:16:58Z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