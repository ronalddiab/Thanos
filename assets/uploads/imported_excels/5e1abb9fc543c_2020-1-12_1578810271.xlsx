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AQ24" i="7"/>
  <c r="F14" i="9"/>
  <c r="N12" i="9"/>
  <c r="H21" i="9"/>
  <c r="R17" i="9"/>
  <c r="G17" i="5" s="1"/>
  <c r="F17" i="9"/>
  <c r="AI26" i="7"/>
  <c r="P21" i="9"/>
  <c r="AM28" i="7"/>
  <c r="F24" i="9"/>
  <c r="J26" i="9"/>
  <c r="AL32" i="7"/>
  <c r="AL33" i="7"/>
  <c r="AG33" i="7"/>
  <c r="AJ33" i="7"/>
  <c r="AO35" i="7"/>
  <c r="R30" i="9"/>
  <c r="G30" i="5" s="1"/>
  <c r="P22" i="9"/>
  <c r="AQ28" i="7"/>
  <c r="AF11" i="7"/>
  <c r="AW13" i="7"/>
  <c r="R6" i="9"/>
  <c r="G6" i="5" s="1"/>
  <c r="AW19" i="7"/>
  <c r="L11" i="9"/>
  <c r="F11" i="9"/>
  <c r="AN7" i="7"/>
  <c r="G6" i="9"/>
  <c r="AW17" i="7" l="1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<sst xmlns="http://schemas.openxmlformats.org/spreadsheetml/2006/main" count="128" uniqueCount="49">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</sst>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66320</v>
      </c>
      <c r="F12" s="11">
        <v>5.0000000000000001E-3</v>
      </c>
      <c r="G12" s="12">
        <f>Submetering!R12</f>
        <v>548.88445000000002</v>
      </c>
      <c r="H12" s="11">
        <v>0.52800000000000002</v>
      </c>
      <c r="I12" s="12">
        <f>Hotel!B17</f>
        <v>148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530</v>
      </c>
      <c r="F12" s="4">
        <f>Hotel!R17</f>
        <v>10020</v>
      </c>
      <c r="G12" s="4">
        <f>Hotel!S17</f>
        <v>0</v>
      </c>
      <c r="H12" s="4">
        <f>Hotel!T17</f>
        <v>1450</v>
      </c>
      <c r="I12" s="4">
        <f>Hotel!U17</f>
        <v>6890</v>
      </c>
      <c r="J12" s="4">
        <f>Hotel!V17</f>
        <v>4910</v>
      </c>
      <c r="K12" s="4">
        <f>Hotel!W17</f>
        <v>3290</v>
      </c>
      <c r="L12" s="4">
        <f>Hotel!X17</f>
        <v>4560</v>
      </c>
      <c r="M12" s="4">
        <f>Hotel!Y17</f>
        <v>5530</v>
      </c>
      <c r="N12" s="4">
        <f>Hotel!Z17</f>
        <v>2920</v>
      </c>
      <c r="O12" s="4">
        <f>Hotel!AA17</f>
        <v>3800</v>
      </c>
      <c r="P12" s="4">
        <f>Hotel!AB17</f>
        <v>7140</v>
      </c>
      <c r="Q12" s="4">
        <f>Hotel!AC17</f>
        <v>15280</v>
      </c>
      <c r="R12" s="4">
        <f>Hotel!AV17*0.00378541*100</f>
        <v>548.88445000000002</v>
      </c>
      <c r="S12" s="4">
        <f>Hotel!B17</f>
        <v>148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Q17" sqref="Q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>
        <v>148</v>
      </c>
      <c r="C17" s="24">
        <v>5928420</v>
      </c>
      <c r="D17" s="24">
        <v>12519020</v>
      </c>
      <c r="E17" s="24">
        <v>1470310</v>
      </c>
      <c r="F17" s="24">
        <v>2661300</v>
      </c>
      <c r="G17" s="24">
        <v>8174580</v>
      </c>
      <c r="H17" s="24">
        <v>3935390</v>
      </c>
      <c r="I17" s="24">
        <v>3868880</v>
      </c>
      <c r="J17" s="24">
        <v>4408870</v>
      </c>
      <c r="K17" s="24">
        <v>7051580</v>
      </c>
      <c r="L17" s="24">
        <v>2550220</v>
      </c>
      <c r="M17" s="24">
        <v>6466410</v>
      </c>
      <c r="N17" s="24">
        <v>8932360</v>
      </c>
      <c r="O17" s="24">
        <v>11857850</v>
      </c>
      <c r="Q17" s="37">
        <f t="shared" si="16"/>
        <v>530</v>
      </c>
      <c r="R17" s="37">
        <f t="shared" si="17"/>
        <v>10020</v>
      </c>
      <c r="S17" s="37">
        <f t="shared" si="15"/>
        <v>0</v>
      </c>
      <c r="T17" s="37">
        <f t="shared" si="18"/>
        <v>1450</v>
      </c>
      <c r="U17" s="37">
        <f t="shared" si="19"/>
        <v>6890</v>
      </c>
      <c r="V17" s="37">
        <f t="shared" si="20"/>
        <v>4910</v>
      </c>
      <c r="W17" s="37">
        <f t="shared" si="21"/>
        <v>3290</v>
      </c>
      <c r="X17" s="37">
        <f t="shared" si="22"/>
        <v>4560</v>
      </c>
      <c r="Y17" s="37">
        <f t="shared" si="23"/>
        <v>5530</v>
      </c>
      <c r="Z17" s="37">
        <f t="shared" si="24"/>
        <v>2920</v>
      </c>
      <c r="AA17" s="37">
        <f t="shared" si="25"/>
        <v>3800</v>
      </c>
      <c r="AB17" s="37">
        <f t="shared" si="26"/>
        <v>7140</v>
      </c>
      <c r="AC17" s="37">
        <f t="shared" si="27"/>
        <v>15280</v>
      </c>
      <c r="AD17" s="35">
        <f t="shared" si="28"/>
        <v>66320</v>
      </c>
      <c r="AF17" s="20">
        <f t="shared" si="1"/>
        <v>2.65</v>
      </c>
      <c r="AG17" s="20">
        <f t="shared" si="2"/>
        <v>50.1</v>
      </c>
      <c r="AH17" s="20">
        <f t="shared" si="3"/>
        <v>0</v>
      </c>
      <c r="AI17" s="20">
        <f t="shared" si="4"/>
        <v>7.25</v>
      </c>
      <c r="AJ17" s="20">
        <f t="shared" si="5"/>
        <v>34.450000000000003</v>
      </c>
      <c r="AK17" s="20">
        <f t="shared" si="6"/>
        <v>24.55</v>
      </c>
      <c r="AL17" s="20">
        <f t="shared" si="7"/>
        <v>16.45</v>
      </c>
      <c r="AM17" s="20">
        <f t="shared" si="8"/>
        <v>22.8</v>
      </c>
      <c r="AN17" s="20">
        <f t="shared" si="9"/>
        <v>27.650000000000002</v>
      </c>
      <c r="AO17" s="20">
        <f t="shared" si="10"/>
        <v>14.6</v>
      </c>
      <c r="AP17" s="20">
        <f t="shared" si="11"/>
        <v>19</v>
      </c>
      <c r="AQ17" s="20">
        <f t="shared" si="12"/>
        <v>35.700000000000003</v>
      </c>
      <c r="AR17" s="20">
        <f t="shared" si="13"/>
        <v>76.400000000000006</v>
      </c>
      <c r="AS17" s="35">
        <f t="shared" si="29"/>
        <v>331.6</v>
      </c>
      <c r="AU17" s="47">
        <v>734210</v>
      </c>
      <c r="AV17" s="37">
        <f t="shared" si="31"/>
        <v>1450</v>
      </c>
      <c r="AW17" s="35">
        <f t="shared" si="30"/>
        <v>2.9</v>
      </c>
    </row>
    <row r="18" spans="1:49" x14ac:dyDescent="0.25">
      <c r="A18" s="23">
        <v>43842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6"/>
        <v>0</v>
      </c>
      <c r="R18" s="37" t="str">
        <f t="shared" si="17"/>
        <v>0</v>
      </c>
      <c r="S18" s="37" t="str">
        <f t="shared" si="15"/>
        <v>0</v>
      </c>
      <c r="T18" s="37" t="str">
        <f t="shared" si="18"/>
        <v>0</v>
      </c>
      <c r="U18" s="37" t="str">
        <f t="shared" si="19"/>
        <v>0</v>
      </c>
      <c r="V18" s="37" t="str">
        <f t="shared" si="20"/>
        <v>0</v>
      </c>
      <c r="W18" s="37" t="str">
        <f t="shared" si="21"/>
        <v>0</v>
      </c>
      <c r="X18" s="37" t="str">
        <f t="shared" si="22"/>
        <v>0</v>
      </c>
      <c r="Y18" s="37" t="str">
        <f t="shared" si="23"/>
        <v>0</v>
      </c>
      <c r="Z18" s="37" t="str">
        <f t="shared" si="24"/>
        <v>0</v>
      </c>
      <c r="AA18" s="37" t="str">
        <f t="shared" si="25"/>
        <v>0</v>
      </c>
      <c r="AB18" s="37" t="str">
        <f t="shared" si="26"/>
        <v>0</v>
      </c>
      <c r="AC18" s="37" t="str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 t="str">
        <f t="shared" si="31"/>
        <v>0</v>
      </c>
      <c r="AW18" s="35">
        <f t="shared" si="30"/>
        <v>0</v>
      </c>
    </row>
    <row r="19" spans="1:49" x14ac:dyDescent="0.25">
      <c r="A19" s="23">
        <v>43843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5770</v>
      </c>
      <c r="R38" s="30">
        <f t="shared" si="64"/>
        <v>118340</v>
      </c>
      <c r="S38" s="30">
        <f t="shared" si="64"/>
        <v>10</v>
      </c>
      <c r="T38" s="30">
        <f t="shared" si="64"/>
        <v>16120</v>
      </c>
      <c r="U38" s="30">
        <f t="shared" si="64"/>
        <v>79330</v>
      </c>
      <c r="V38" s="30">
        <f t="shared" si="64"/>
        <v>51950</v>
      </c>
      <c r="W38" s="30">
        <f t="shared" si="64"/>
        <v>33120</v>
      </c>
      <c r="X38" s="30">
        <f t="shared" si="64"/>
        <v>49780</v>
      </c>
      <c r="Y38" s="30">
        <f t="shared" si="64"/>
        <v>59440</v>
      </c>
      <c r="Z38" s="30">
        <f t="shared" si="64"/>
        <v>32470</v>
      </c>
      <c r="AA38" s="30">
        <f t="shared" si="64"/>
        <v>41510</v>
      </c>
      <c r="AB38" s="30">
        <f t="shared" si="64"/>
        <v>79950</v>
      </c>
      <c r="AC38" s="30">
        <f t="shared" si="64"/>
        <v>167890</v>
      </c>
      <c r="AD38" s="35">
        <f t="shared" si="64"/>
        <v>735680</v>
      </c>
      <c r="AF38" s="35">
        <f t="shared" ref="AF38:AS38" si="65">SUM(AF7:AF34)</f>
        <v>28.85</v>
      </c>
      <c r="AG38" s="35">
        <f t="shared" si="65"/>
        <v>591.69999999999993</v>
      </c>
      <c r="AH38" s="35">
        <f t="shared" si="65"/>
        <v>0.05</v>
      </c>
      <c r="AI38" s="35">
        <f t="shared" si="65"/>
        <v>80.600000000000009</v>
      </c>
      <c r="AJ38" s="35">
        <f t="shared" si="65"/>
        <v>396.64999999999992</v>
      </c>
      <c r="AK38" s="35">
        <f t="shared" si="65"/>
        <v>259.75</v>
      </c>
      <c r="AL38" s="35">
        <f t="shared" si="65"/>
        <v>165.60000000000002</v>
      </c>
      <c r="AM38" s="35">
        <f t="shared" si="65"/>
        <v>248.90000000000003</v>
      </c>
      <c r="AN38" s="35">
        <f t="shared" si="65"/>
        <v>297.2</v>
      </c>
      <c r="AO38" s="35">
        <f t="shared" si="65"/>
        <v>162.35</v>
      </c>
      <c r="AP38" s="35">
        <f t="shared" si="65"/>
        <v>207.55</v>
      </c>
      <c r="AQ38" s="35">
        <f t="shared" si="65"/>
        <v>399.75</v>
      </c>
      <c r="AR38" s="35">
        <f t="shared" si="65"/>
        <v>839.44999999999993</v>
      </c>
      <c r="AS38" s="35">
        <f t="shared" si="65"/>
        <v>3678.4000000000005</v>
      </c>
      <c r="AU38" s="48"/>
      <c r="AV38" s="35">
        <f>SUM(AV7:AV34)</f>
        <v>17402</v>
      </c>
      <c r="AW38" s="35">
        <f>SUM(AW7:AW34)</f>
        <v>27.968</v>
      </c>
    </row>
    <row r="39" spans="1:49" x14ac:dyDescent="0.25">
      <c r="D39">
        <v>5.0000000000000001E-3</v>
      </c>
      <c r="AV39" s="36">
        <f>AV38*0.00378541*1000</f>
        <v>65873.704819999999</v>
      </c>
    </row>
    <row r="40" spans="1:49" x14ac:dyDescent="0.25">
      <c r="D40">
        <v>2E-3</v>
      </c>
      <c r="AV40">
        <f>AV39/31</f>
        <v>2124.95822</v>
      </c>
    </row>
    <row r="41" spans="1:49" x14ac:dyDescent="0.25">
      <c r="AV41">
        <f>AV38*0.00378541</f>
        <v>65.87370482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2020-01-12T06:23:52Z</dcterms:modified>
</cp:coreProperties>
</file>