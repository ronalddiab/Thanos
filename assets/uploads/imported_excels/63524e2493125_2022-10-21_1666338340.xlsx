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12" documentId="13_ncr:1_{76C55D63-F869-4AF5-AAA3-3D809A91432B}" xr6:coauthVersionLast="47" xr6:coauthVersionMax="47" xr10:uidLastSave="{9CB50814-FA98-42C7-B258-3704334EA6D6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7" l="1"/>
  <c r="J24" i="27"/>
  <c r="J23" i="27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L36" i="27"/>
  <c r="L26" i="27"/>
  <c r="L27" i="27"/>
  <c r="L28" i="27"/>
  <c r="L29" i="27"/>
  <c r="L30" i="27"/>
  <c r="L31" i="27"/>
  <c r="L32" i="27"/>
  <c r="L33" i="27"/>
  <c r="L34" i="27"/>
  <c r="L35" i="27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<sst xmlns="http://schemas.openxmlformats.org/spreadsheetml/2006/main" count="72" uniqueCount="33">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</sst>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22402.500000002874</v>
      </c>
      <c r="F19" s="82">
        <v>9.3200000000000005E-2</v>
      </c>
      <c r="G19" s="11">
        <f>IF('Water, Gas, Diesel'!K23&lt;0,0,'Water, Gas, Diesel'!K23)</f>
        <v>44</v>
      </c>
      <c r="H19" s="82">
        <v>0.7</v>
      </c>
      <c r="I19" s="11">
        <f>IF('Water, Gas, Diesel'!C23&lt;0,0,'Water, Gas, Diesel'!C23)</f>
        <v>2071</v>
      </c>
      <c r="J19" s="82">
        <v>0.21186441</v>
      </c>
      <c r="K19" s="11">
        <f>IF('Water, Gas, Diesel'!F23&lt;0,0,'Water, Gas, Diesel'!F23)</f>
        <v>277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20120.00000000171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2047</v>
      </c>
      <c r="J20" s="82">
        <v>0.21186441</v>
      </c>
      <c r="K20" s="11">
        <f>IF('Water, Gas, Diesel'!F24&lt;0,0,'Water, Gas, Diesel'!F24)</f>
        <v>239</v>
      </c>
      <c r="L20" s="82">
        <v>1.6949000000000001</v>
      </c>
      <c r="M20" s="11">
        <f>Electricity!H26</f>
        <v>130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0</v>
      </c>
      <c r="F21" s="82">
        <v>9.3200000000000005E-2</v>
      </c>
      <c r="G21" s="11">
        <f>IF('Water, Gas, Diesel'!K25&lt;0,0,'Water, Gas, Diesel'!K25)</f>
        <v>10960</v>
      </c>
      <c r="H21" s="82">
        <v>0.7</v>
      </c>
      <c r="I21" s="11">
        <f>IF('Water, Gas, Diesel'!C25&lt;0,0,'Water, Gas, Diesel'!C25)</f>
        <v>0</v>
      </c>
      <c r="J21" s="82">
        <v>0.21186441</v>
      </c>
      <c r="K21" s="11">
        <f>IF('Water, Gas, Diesel'!F25&lt;0,0,'Water, Gas, Diesel'!F25)</f>
        <v>0</v>
      </c>
      <c r="L21" s="82">
        <v>1.6949000000000001</v>
      </c>
      <c r="M21" s="11">
        <f>Electricity!H27</f>
        <v>146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J26" sqref="J2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hidden="1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12784.999999998945</v>
      </c>
      <c r="D25" s="78">
        <v>16235.701999999999</v>
      </c>
      <c r="E25" s="39">
        <f>(D26-D25)*2500</f>
        <v>9617.500000003929</v>
      </c>
      <c r="F25" s="47">
        <f t="shared" si="2"/>
        <v>22402.500000002874</v>
      </c>
      <c r="G25" s="67">
        <f t="shared" si="3"/>
        <v>2087.9130000002679</v>
      </c>
      <c r="H25" s="102">
        <v>130</v>
      </c>
    </row>
    <row r="26" spans="1:8" ht="30.95" customHeight="1">
      <c r="A26" s="99">
        <v>19</v>
      </c>
      <c r="B26" s="77">
        <v>15964.531999999999</v>
      </c>
      <c r="C26" s="70">
        <f t="shared" ref="C26:C38" si="4">(B27-B26)*2500</f>
        <v>11247.500000004038</v>
      </c>
      <c r="D26" s="103">
        <v>16239.549000000001</v>
      </c>
      <c r="E26" s="70">
        <f t="shared" ref="E26:E38" si="5">(D27-D26)*2500</f>
        <v>8872.4999999976717</v>
      </c>
      <c r="F26" s="47">
        <f t="shared" si="2"/>
        <v>20120.00000000171</v>
      </c>
      <c r="G26" s="67">
        <f t="shared" si="3"/>
        <v>1875.1840000001594</v>
      </c>
      <c r="H26" s="102">
        <v>130</v>
      </c>
    </row>
    <row r="27" spans="1:8" ht="30.95" customHeight="1">
      <c r="A27" s="101">
        <v>20</v>
      </c>
      <c r="B27" s="75">
        <v>15969.031000000001</v>
      </c>
      <c r="C27" s="39">
        <f t="shared" si="4"/>
        <v>-39922577.5</v>
      </c>
      <c r="D27" s="80">
        <v>16243.098</v>
      </c>
      <c r="E27" s="39">
        <f t="shared" si="5"/>
        <v>-40607745</v>
      </c>
      <c r="F27" s="51">
        <f t="shared" si="2"/>
        <v>-80530322.5</v>
      </c>
      <c r="G27" s="67">
        <f t="shared" si="3"/>
        <v>-7505426.057</v>
      </c>
      <c r="H27" s="102">
        <v>146</v>
      </c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28">
        <v>30</v>
      </c>
      <c r="B37" s="129"/>
      <c r="C37" s="108">
        <f>(B38-B37)*2500</f>
        <v>0</v>
      </c>
      <c r="D37" s="130"/>
      <c r="E37" s="108">
        <f>(D38-D37)*2500</f>
        <v>0</v>
      </c>
      <c r="F37" s="109">
        <f t="shared" si="2"/>
        <v>0</v>
      </c>
      <c r="G37" s="67">
        <f t="shared" si="3"/>
        <v>0</v>
      </c>
      <c r="H37" s="131"/>
    </row>
    <row r="38" spans="1:8" ht="30.95" customHeight="1">
      <c r="A38" s="99">
        <v>31</v>
      </c>
      <c r="B38" s="40"/>
      <c r="C38" s="70">
        <f t="shared" si="4"/>
        <v>0</v>
      </c>
      <c r="D38" s="103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2" activePane="bottomLeft" state="frozen"/>
      <selection pane="bottomLeft" activeCell="N23" sqref="N23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2071</v>
      </c>
      <c r="D23" s="46">
        <f t="shared" si="7"/>
        <v>438.77119311000001</v>
      </c>
      <c r="E23" s="52">
        <v>569543</v>
      </c>
      <c r="F23" s="56">
        <f t="shared" si="9"/>
        <v>277</v>
      </c>
      <c r="G23" s="48">
        <f t="shared" si="4"/>
        <v>234.74642</v>
      </c>
      <c r="H23" s="48">
        <f t="shared" si="5"/>
        <v>234.74642</v>
      </c>
      <c r="I23" s="49">
        <f t="shared" si="2"/>
        <v>469.49284</v>
      </c>
      <c r="J23" s="50">
        <f>4600+6360</f>
        <v>10960</v>
      </c>
      <c r="K23" s="38">
        <f t="shared" si="3"/>
        <v>44</v>
      </c>
      <c r="L23" s="39">
        <f t="shared" si="6"/>
        <v>30.799999999999997</v>
      </c>
    </row>
    <row r="24" spans="1:12" ht="32.450000000000003" customHeight="1">
      <c r="A24" s="40">
        <v>19</v>
      </c>
      <c r="B24" s="40">
        <v>7086800</v>
      </c>
      <c r="C24" s="53">
        <f t="shared" si="8"/>
        <v>2047</v>
      </c>
      <c r="D24" s="46">
        <f t="shared" si="7"/>
        <v>433.68644727000003</v>
      </c>
      <c r="E24" s="52">
        <v>569820</v>
      </c>
      <c r="F24" s="54">
        <f t="shared" si="9"/>
        <v>239</v>
      </c>
      <c r="G24" s="43">
        <f t="shared" si="4"/>
        <v>202.54293999999999</v>
      </c>
      <c r="H24" s="43">
        <f t="shared" si="5"/>
        <v>202.54293999999999</v>
      </c>
      <c r="I24" s="49">
        <f t="shared" si="2"/>
        <v>405.08587999999997</v>
      </c>
      <c r="J24" s="50">
        <f>4590+6326</f>
        <v>10916</v>
      </c>
      <c r="K24" s="38">
        <f t="shared" si="3"/>
        <v>-44</v>
      </c>
      <c r="L24" s="39">
        <f t="shared" si="6"/>
        <v>-30.799999999999997</v>
      </c>
    </row>
    <row r="25" spans="1:12" ht="32.450000000000003" customHeight="1">
      <c r="A25" s="45">
        <v>20</v>
      </c>
      <c r="B25" s="45">
        <v>7088847</v>
      </c>
      <c r="C25" s="55">
        <f t="shared" si="8"/>
        <v>-7088847</v>
      </c>
      <c r="D25" s="46">
        <f t="shared" si="7"/>
        <v>-1501874.3872352701</v>
      </c>
      <c r="E25" s="52">
        <v>570059</v>
      </c>
      <c r="F25" s="56">
        <f t="shared" si="9"/>
        <v>-570059</v>
      </c>
      <c r="G25" s="48">
        <f t="shared" si="4"/>
        <v>-483102.20013999997</v>
      </c>
      <c r="H25" s="48">
        <f t="shared" si="5"/>
        <v>-483102.20013999997</v>
      </c>
      <c r="I25" s="49">
        <f t="shared" si="2"/>
        <v>-966204.40027999994</v>
      </c>
      <c r="J25" s="50">
        <f>4600+6360</f>
        <v>10960</v>
      </c>
      <c r="K25" s="38">
        <f t="shared" si="3"/>
        <v>10960</v>
      </c>
      <c r="L25" s="39">
        <f t="shared" si="6"/>
        <v>7671.9999999999991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CCEA6-CCEB-471A-8FFF-3AFFECD46F65}"/>
</file>

<file path=customXml/itemProps2.xml><?xml version="1.0" encoding="utf-8"?>
<ds:datastoreItem xmlns:ds="http://schemas.openxmlformats.org/officeDocument/2006/customXml" ds:itemID="{24AEBB5B-D00D-43AF-8F2A-074ED349A6B7}"/>
</file>

<file path=customXml/itemProps3.xml><?xml version="1.0" encoding="utf-8"?>
<ds:datastoreItem xmlns:ds="http://schemas.openxmlformats.org/officeDocument/2006/customXml" ds:itemID="{EABE8B19-C2BB-4BEC-A32A-6CD528ACF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2022-10-21T07:45:01Z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