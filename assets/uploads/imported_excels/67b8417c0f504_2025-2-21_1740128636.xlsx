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D80BF3A-02B3-48F9-841A-B90049FB56C9}" xr6:coauthVersionLast="47" xr6:coauthVersionMax="47" xr10:uidLastSave="{00000000-0000-0000-0000-000000000000}"/>
  <bookViews>
    <workbookView xWindow="8440" yWindow="0" windowWidth="20531" windowHeight="10793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3" i="2" l="1"/>
  <c r="AB22" i="2"/>
  <c r="AB21" i="2"/>
  <c r="AB20" i="2"/>
  <c r="AB19" i="2"/>
  <c r="AB18" i="2"/>
  <c r="AB17" i="2"/>
  <c r="AB16" i="2"/>
  <c r="AB15" i="2"/>
  <c r="AB14" i="2"/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<sst xmlns="http://schemas.openxmlformats.org/spreadsheetml/2006/main" count="74" uniqueCount="40">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</sst>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opLeftCell="A6"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4780</v>
      </c>
      <c r="F11" s="110">
        <f>('February 2025'!C11*0.27)/('February 2025'!C11+'February 2025'!E11)</f>
        <v>0.23113807531380756</v>
      </c>
      <c r="G11" s="97">
        <f>'February 2025'!U11</f>
        <v>130</v>
      </c>
      <c r="H11" s="113">
        <v>0.62</v>
      </c>
      <c r="I11" s="98">
        <f>'February 2025'!W11</f>
        <v>92</v>
      </c>
      <c r="J11" s="99">
        <v>2.42</v>
      </c>
      <c r="K11" s="106">
        <f>'February 2025'!AB11*5.04</f>
        <v>9198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121</v>
      </c>
      <c r="P11" s="100">
        <f>'February 2025'!AD11</f>
        <v>188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4866</v>
      </c>
      <c r="F12" s="110">
        <f>('February 2025'!C12*0.27)/('February 2025'!C12+'February 2025'!E12)</f>
        <v>0.21762022194821209</v>
      </c>
      <c r="G12" s="97">
        <f>'February 2025'!U12</f>
        <v>75</v>
      </c>
      <c r="H12" s="113">
        <v>0.62</v>
      </c>
      <c r="I12" s="98">
        <f>'February 2025'!W12</f>
        <v>86</v>
      </c>
      <c r="J12" s="99">
        <v>2.42</v>
      </c>
      <c r="K12" s="106">
        <f>'February 2025'!AB12*5.04</f>
        <v>9399.6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125</v>
      </c>
      <c r="P12" s="100">
        <f>'February 2025'!AD12</f>
        <v>186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4484</v>
      </c>
      <c r="F13" s="110">
        <f>('February 2025'!C13*0.27)/('February 2025'!C13+'February 2025'!E13)</f>
        <v>0.22586306868867084</v>
      </c>
      <c r="G13" s="97">
        <f>'February 2025'!U13</f>
        <v>75</v>
      </c>
      <c r="H13" s="113">
        <v>0.62</v>
      </c>
      <c r="I13" s="98">
        <f>'February 2025'!W13</f>
        <v>77</v>
      </c>
      <c r="J13" s="99">
        <v>2.42</v>
      </c>
      <c r="K13" s="106">
        <f>'February 2025'!AB13*5.04</f>
        <v>8618.4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81</v>
      </c>
      <c r="P13" s="100">
        <f>'February 2025'!AD13</f>
        <v>129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4984</v>
      </c>
      <c r="F14" s="110">
        <f>('February 2025'!C14*0.27)/('February 2025'!C14+'February 2025'!E14)</f>
        <v>0.2170184590690209</v>
      </c>
      <c r="G14" s="97">
        <f>'February 2025'!U14</f>
        <v>50</v>
      </c>
      <c r="H14" s="113">
        <v>0.62</v>
      </c>
      <c r="I14" s="98">
        <f>'February 2025'!W14</f>
        <v>68</v>
      </c>
      <c r="J14" s="99">
        <v>2.42</v>
      </c>
      <c r="K14" s="106">
        <f>'February 2025'!AB14*5.04</f>
        <v>4687.2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85</v>
      </c>
      <c r="P14" s="100">
        <f>'February 2025'!AD14</f>
        <v>139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5086</v>
      </c>
      <c r="F15" s="110">
        <f>('February 2025'!C15*0.27)/('February 2025'!C15+'February 2025'!E15)</f>
        <v>0.21627605190719623</v>
      </c>
      <c r="G15" s="97">
        <f>'February 2025'!U15</f>
        <v>50</v>
      </c>
      <c r="H15" s="113">
        <v>0.62</v>
      </c>
      <c r="I15" s="98">
        <f>'February 2025'!W15</f>
        <v>83</v>
      </c>
      <c r="J15" s="99">
        <v>2.42</v>
      </c>
      <c r="K15" s="106">
        <f>'February 2025'!AB15*5.04</f>
        <v>4359.6000000000004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117</v>
      </c>
      <c r="P15" s="100">
        <f>'February 2025'!AD15</f>
        <v>203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5021</v>
      </c>
      <c r="F16" s="110">
        <f>('February 2025'!C16*0.27)/('February 2025'!C16+'February 2025'!E16)</f>
        <v>0.21993626767576183</v>
      </c>
      <c r="G16" s="97">
        <f>'February 2025'!U16</f>
        <v>25</v>
      </c>
      <c r="H16" s="113">
        <v>0.62</v>
      </c>
      <c r="I16" s="98">
        <f>'February 2025'!W16</f>
        <v>89</v>
      </c>
      <c r="J16" s="99">
        <v>2.42</v>
      </c>
      <c r="K16" s="106">
        <f>'February 2025'!AB16*5.04</f>
        <v>4586.3999999999996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155</v>
      </c>
      <c r="P16" s="100">
        <f>'February 2025'!AD16</f>
        <v>288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4842</v>
      </c>
      <c r="F17" s="110">
        <f>('February 2025'!C17*0.27)/('February 2025'!C17+'February 2025'!E17)</f>
        <v>0.21066914498141265</v>
      </c>
      <c r="G17" s="97">
        <f>'February 2025'!U17</f>
        <v>100</v>
      </c>
      <c r="H17" s="113">
        <v>0.62</v>
      </c>
      <c r="I17" s="98">
        <f>'February 2025'!W17</f>
        <v>78</v>
      </c>
      <c r="J17" s="99">
        <v>2.42</v>
      </c>
      <c r="K17" s="106">
        <f>'February 2025'!AB17*5.04</f>
        <v>3074.4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92</v>
      </c>
      <c r="P17" s="100">
        <f>'February 2025'!AD17</f>
        <v>163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4564</v>
      </c>
      <c r="F18" s="110">
        <f>('February 2025'!C18*0.27)/('February 2025'!C18+'February 2025'!E18)</f>
        <v>0.23261174408413673</v>
      </c>
      <c r="G18" s="97">
        <f>'February 2025'!U18</f>
        <v>100</v>
      </c>
      <c r="H18" s="113">
        <v>0.62</v>
      </c>
      <c r="I18" s="98">
        <f>'February 2025'!W18</f>
        <v>80</v>
      </c>
      <c r="J18" s="99">
        <v>2.42</v>
      </c>
      <c r="K18" s="106">
        <f>'February 2025'!AB18*5.04</f>
        <v>4309.2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93</v>
      </c>
      <c r="P18" s="100">
        <f>'February 2025'!AD18</f>
        <v>159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4619</v>
      </c>
      <c r="F19" s="110">
        <f>('February 2025'!C19*0.27)/('February 2025'!C19+'February 2025'!E19)</f>
        <v>0.24872266724399222</v>
      </c>
      <c r="G19" s="97">
        <f>'February 2025'!U19</f>
        <v>50</v>
      </c>
      <c r="H19" s="113">
        <v>0.62</v>
      </c>
      <c r="I19" s="98">
        <f>'February 2025'!W19</f>
        <v>88</v>
      </c>
      <c r="J19" s="99">
        <v>2.42</v>
      </c>
      <c r="K19" s="106">
        <f>'February 2025'!AB19*5.04</f>
        <v>4687.2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111</v>
      </c>
      <c r="P19" s="100">
        <f>'February 2025'!AD19</f>
        <v>195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4302</v>
      </c>
      <c r="F20" s="110">
        <f>('February 2025'!C20*0.27)/('February 2025'!C20+'February 2025'!E20)</f>
        <v>0.21658995815899584</v>
      </c>
      <c r="G20" s="97">
        <f>'February 2025'!U20</f>
        <v>125</v>
      </c>
      <c r="H20" s="113">
        <v>0.62</v>
      </c>
      <c r="I20" s="98">
        <f>'February 2025'!W20</f>
        <v>67</v>
      </c>
      <c r="J20" s="99">
        <v>2.42</v>
      </c>
      <c r="K20" s="106">
        <f>'February 2025'!AB20*5.04</f>
        <v>3452.4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120</v>
      </c>
      <c r="P20" s="100">
        <f>'February 2025'!AD20</f>
        <v>211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4863</v>
      </c>
      <c r="F21" s="110">
        <f>('February 2025'!C21*0.27)/('February 2025'!C21+'February 2025'!E21)</f>
        <v>0.23596545342381245</v>
      </c>
      <c r="G21" s="97">
        <f>'February 2025'!U21</f>
        <v>100</v>
      </c>
      <c r="H21" s="113">
        <v>0.62</v>
      </c>
      <c r="I21" s="98">
        <f>'February 2025'!W21</f>
        <v>81</v>
      </c>
      <c r="J21" s="99">
        <v>2.42</v>
      </c>
      <c r="K21" s="106">
        <f>'February 2025'!AB21*5.04</f>
        <v>8517.6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126</v>
      </c>
      <c r="P21" s="100">
        <f>'February 2025'!AD21</f>
        <v>221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 t="str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11" zoomScale="85" zoomScaleNormal="85" workbookViewId="0">
      <selection activeCell="AD22" sqref="AD2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-124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>
        <f t="shared" si="1"/>
        <v>4092</v>
      </c>
      <c r="D11" s="11">
        <v>649654</v>
      </c>
      <c r="E11" s="14">
        <f t="shared" si="2"/>
        <v>688</v>
      </c>
      <c r="F11" s="27">
        <v>1704</v>
      </c>
      <c r="G11" s="67">
        <f t="shared" si="3"/>
        <v>0</v>
      </c>
      <c r="H11" s="69">
        <f t="shared" si="4"/>
        <v>4780</v>
      </c>
      <c r="I11" s="73">
        <f t="shared" si="5"/>
        <v>-40919.43</v>
      </c>
      <c r="J11" s="32">
        <f t="shared" si="0"/>
        <v>84.80000000000291</v>
      </c>
      <c r="K11" s="20">
        <f t="shared" si="6"/>
        <v>45698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1005</v>
      </c>
      <c r="U11" s="32">
        <f t="shared" si="9"/>
        <v>130</v>
      </c>
      <c r="V11" s="41">
        <v>4110</v>
      </c>
      <c r="W11" s="32">
        <f t="shared" si="10"/>
        <v>92</v>
      </c>
      <c r="X11" s="43">
        <v>61265</v>
      </c>
      <c r="Y11" s="14">
        <f t="shared" si="11"/>
        <v>0</v>
      </c>
      <c r="Z11" s="47">
        <v>6280</v>
      </c>
      <c r="AA11" s="52">
        <v>0</v>
      </c>
      <c r="AB11" s="32">
        <f t="shared" si="12"/>
        <v>1825</v>
      </c>
      <c r="AC11" s="13">
        <v>121</v>
      </c>
      <c r="AD11" s="18">
        <v>188</v>
      </c>
    </row>
    <row r="12" spans="1:30" ht="20.7" customHeight="1" x14ac:dyDescent="0.2">
      <c r="A12" s="19">
        <v>45699</v>
      </c>
      <c r="B12" s="10">
        <v>13570030</v>
      </c>
      <c r="C12" s="14">
        <f t="shared" si="1"/>
        <v>3922</v>
      </c>
      <c r="D12" s="11">
        <v>650342</v>
      </c>
      <c r="E12" s="14">
        <f t="shared" si="2"/>
        <v>944</v>
      </c>
      <c r="F12" s="27">
        <v>1704</v>
      </c>
      <c r="G12" s="67">
        <f t="shared" si="3"/>
        <v>0</v>
      </c>
      <c r="H12" s="69">
        <f t="shared" si="4"/>
        <v>4866</v>
      </c>
      <c r="I12" s="73">
        <f t="shared" si="5"/>
        <v>-40834.629999999997</v>
      </c>
      <c r="J12" s="32">
        <f t="shared" si="0"/>
        <v>-382.9800000000032</v>
      </c>
      <c r="K12" s="20">
        <f t="shared" si="6"/>
        <v>45699</v>
      </c>
      <c r="L12" s="33">
        <v>6432</v>
      </c>
      <c r="M12" s="34">
        <v>0</v>
      </c>
      <c r="N12" s="32">
        <f t="shared" si="7"/>
        <v>0</v>
      </c>
      <c r="O12" s="85">
        <v>0.81</v>
      </c>
      <c r="P12" s="86">
        <v>0.78</v>
      </c>
      <c r="Q12" s="85">
        <v>0.82</v>
      </c>
      <c r="R12" s="86">
        <v>0.75</v>
      </c>
      <c r="S12" s="38">
        <f t="shared" si="8"/>
        <v>4760</v>
      </c>
      <c r="T12" s="123"/>
      <c r="U12" s="32">
        <f t="shared" si="9"/>
        <v>75</v>
      </c>
      <c r="V12" s="41">
        <v>4202</v>
      </c>
      <c r="W12" s="32">
        <f t="shared" si="10"/>
        <v>86</v>
      </c>
      <c r="X12" s="43">
        <v>61265</v>
      </c>
      <c r="Y12" s="14">
        <f t="shared" si="11"/>
        <v>0</v>
      </c>
      <c r="Z12" s="47">
        <v>4455</v>
      </c>
      <c r="AA12" s="52">
        <v>0</v>
      </c>
      <c r="AB12" s="32">
        <f t="shared" si="12"/>
        <v>1865</v>
      </c>
      <c r="AC12" s="13">
        <v>125</v>
      </c>
      <c r="AD12" s="18">
        <v>186</v>
      </c>
    </row>
    <row r="13" spans="1:30" ht="20.7" customHeight="1" x14ac:dyDescent="0.2">
      <c r="A13" s="19">
        <v>45700</v>
      </c>
      <c r="B13" s="10">
        <v>13573952</v>
      </c>
      <c r="C13" s="14">
        <f t="shared" si="1"/>
        <v>3751</v>
      </c>
      <c r="D13" s="11">
        <v>651286</v>
      </c>
      <c r="E13" s="14">
        <f t="shared" si="2"/>
        <v>733</v>
      </c>
      <c r="F13" s="27">
        <v>1704</v>
      </c>
      <c r="G13" s="67">
        <f t="shared" si="3"/>
        <v>0</v>
      </c>
      <c r="H13" s="69">
        <f t="shared" si="4"/>
        <v>4484</v>
      </c>
      <c r="I13" s="73">
        <f t="shared" si="5"/>
        <v>-41217.61</v>
      </c>
      <c r="J13" s="32">
        <f t="shared" si="0"/>
        <v>499.02000000000407</v>
      </c>
      <c r="K13" s="20">
        <f t="shared" si="6"/>
        <v>45700</v>
      </c>
      <c r="L13" s="33">
        <v>6432</v>
      </c>
      <c r="M13" s="34">
        <v>0</v>
      </c>
      <c r="N13" s="32">
        <f t="shared" si="7"/>
        <v>0</v>
      </c>
      <c r="O13" s="85">
        <v>0.79</v>
      </c>
      <c r="P13" s="86">
        <v>0.77</v>
      </c>
      <c r="Q13" s="85">
        <v>0.82</v>
      </c>
      <c r="R13" s="86">
        <v>0.75</v>
      </c>
      <c r="S13" s="38">
        <f t="shared" si="8"/>
        <v>4685</v>
      </c>
      <c r="T13" s="123"/>
      <c r="U13" s="32">
        <f t="shared" si="9"/>
        <v>75</v>
      </c>
      <c r="V13" s="41">
        <v>4288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2590</v>
      </c>
      <c r="AA13" s="52">
        <v>0</v>
      </c>
      <c r="AB13" s="32">
        <f t="shared" si="12"/>
        <v>1710</v>
      </c>
      <c r="AC13" s="13">
        <v>81</v>
      </c>
      <c r="AD13" s="18">
        <v>129</v>
      </c>
    </row>
    <row r="14" spans="1:30" ht="20.7" customHeight="1" x14ac:dyDescent="0.2">
      <c r="A14" s="19">
        <v>45701</v>
      </c>
      <c r="B14" s="10">
        <v>13577703</v>
      </c>
      <c r="C14" s="14">
        <f t="shared" si="1"/>
        <v>4006</v>
      </c>
      <c r="D14" s="11">
        <v>652019</v>
      </c>
      <c r="E14" s="14">
        <f t="shared" si="2"/>
        <v>978</v>
      </c>
      <c r="F14" s="27">
        <v>1704</v>
      </c>
      <c r="G14" s="67">
        <f t="shared" si="3"/>
        <v>0</v>
      </c>
      <c r="H14" s="69">
        <f t="shared" si="4"/>
        <v>4984</v>
      </c>
      <c r="I14" s="73">
        <f t="shared" si="5"/>
        <v>-40718.589999999997</v>
      </c>
      <c r="J14" s="32">
        <f t="shared" si="0"/>
        <v>101.00999999999476</v>
      </c>
      <c r="K14" s="20">
        <f t="shared" si="6"/>
        <v>45701</v>
      </c>
      <c r="L14" s="33">
        <v>6432</v>
      </c>
      <c r="M14" s="34">
        <v>0</v>
      </c>
      <c r="N14" s="32">
        <f t="shared" si="7"/>
        <v>297</v>
      </c>
      <c r="O14" s="85">
        <v>0.77</v>
      </c>
      <c r="P14" s="86">
        <v>0.76</v>
      </c>
      <c r="Q14" s="85">
        <v>0.82</v>
      </c>
      <c r="R14" s="86">
        <v>0.75</v>
      </c>
      <c r="S14" s="38">
        <f t="shared" si="8"/>
        <v>4610</v>
      </c>
      <c r="T14" s="123"/>
      <c r="U14" s="32">
        <f t="shared" si="9"/>
        <v>50</v>
      </c>
      <c r="V14" s="41">
        <v>4365</v>
      </c>
      <c r="W14" s="32">
        <f t="shared" si="10"/>
        <v>68</v>
      </c>
      <c r="X14" s="43">
        <v>61265</v>
      </c>
      <c r="Y14" s="14">
        <f t="shared" si="11"/>
        <v>0</v>
      </c>
      <c r="Z14" s="47">
        <v>880</v>
      </c>
      <c r="AA14" s="52">
        <v>8260</v>
      </c>
      <c r="AB14" s="32">
        <f t="shared" si="12"/>
        <v>930</v>
      </c>
      <c r="AC14" s="13">
        <v>85</v>
      </c>
      <c r="AD14" s="18">
        <v>139</v>
      </c>
    </row>
    <row r="15" spans="1:30" ht="20.7" customHeight="1" x14ac:dyDescent="0.2">
      <c r="A15" s="19">
        <v>45702</v>
      </c>
      <c r="B15" s="10">
        <v>13581709</v>
      </c>
      <c r="C15" s="14">
        <f t="shared" si="1"/>
        <v>4074</v>
      </c>
      <c r="D15" s="11">
        <v>652997</v>
      </c>
      <c r="E15" s="14">
        <f t="shared" si="2"/>
        <v>1012</v>
      </c>
      <c r="F15" s="27">
        <v>1704</v>
      </c>
      <c r="G15" s="67">
        <f t="shared" si="3"/>
        <v>0</v>
      </c>
      <c r="H15" s="69">
        <f t="shared" si="4"/>
        <v>5086</v>
      </c>
      <c r="I15" s="73">
        <f t="shared" si="5"/>
        <v>-40617.58</v>
      </c>
      <c r="J15" s="32">
        <f t="shared" si="0"/>
        <v>-65.989999999997963</v>
      </c>
      <c r="K15" s="20">
        <f t="shared" si="6"/>
        <v>45702</v>
      </c>
      <c r="L15" s="33">
        <v>6135</v>
      </c>
      <c r="M15" s="34">
        <v>0</v>
      </c>
      <c r="N15" s="32">
        <f t="shared" si="7"/>
        <v>341</v>
      </c>
      <c r="O15" s="85">
        <v>0.76</v>
      </c>
      <c r="P15" s="86">
        <v>0.75</v>
      </c>
      <c r="Q15" s="85">
        <v>0.82</v>
      </c>
      <c r="R15" s="86">
        <v>0.75</v>
      </c>
      <c r="S15" s="38">
        <f t="shared" si="8"/>
        <v>4560</v>
      </c>
      <c r="T15" s="123"/>
      <c r="U15" s="32">
        <f t="shared" si="9"/>
        <v>50</v>
      </c>
      <c r="V15" s="41">
        <v>4433</v>
      </c>
      <c r="W15" s="32">
        <f t="shared" si="10"/>
        <v>83</v>
      </c>
      <c r="X15" s="44">
        <v>61265</v>
      </c>
      <c r="Y15" s="14">
        <f t="shared" si="11"/>
        <v>0</v>
      </c>
      <c r="Z15" s="47">
        <v>8210</v>
      </c>
      <c r="AA15" s="52">
        <v>0</v>
      </c>
      <c r="AB15" s="32">
        <f t="shared" si="12"/>
        <v>865</v>
      </c>
      <c r="AC15" s="13">
        <v>117</v>
      </c>
      <c r="AD15" s="18">
        <v>203</v>
      </c>
    </row>
    <row r="16" spans="1:30" ht="20.7" customHeight="1" x14ac:dyDescent="0.2">
      <c r="A16" s="19">
        <v>45703</v>
      </c>
      <c r="B16" s="10">
        <v>13585783</v>
      </c>
      <c r="C16" s="14">
        <f t="shared" si="1"/>
        <v>4090</v>
      </c>
      <c r="D16" s="11">
        <v>654009</v>
      </c>
      <c r="E16" s="14">
        <f t="shared" si="2"/>
        <v>931</v>
      </c>
      <c r="F16" s="27">
        <v>1704</v>
      </c>
      <c r="G16" s="67">
        <f t="shared" si="3"/>
        <v>0</v>
      </c>
      <c r="H16" s="69">
        <f t="shared" si="4"/>
        <v>5021</v>
      </c>
      <c r="I16" s="73">
        <f t="shared" si="5"/>
        <v>-40683.57</v>
      </c>
      <c r="J16" s="32">
        <f t="shared" si="0"/>
        <v>-180</v>
      </c>
      <c r="K16" s="20">
        <f t="shared" si="6"/>
        <v>45703</v>
      </c>
      <c r="L16" s="33">
        <v>5794</v>
      </c>
      <c r="M16" s="34">
        <v>0</v>
      </c>
      <c r="N16" s="32">
        <f t="shared" si="7"/>
        <v>510</v>
      </c>
      <c r="O16" s="85">
        <v>0.75</v>
      </c>
      <c r="P16" s="86">
        <v>0.74</v>
      </c>
      <c r="Q16" s="85">
        <v>0.82</v>
      </c>
      <c r="R16" s="86">
        <v>0.75</v>
      </c>
      <c r="S16" s="38">
        <f t="shared" si="8"/>
        <v>4510</v>
      </c>
      <c r="T16" s="123"/>
      <c r="U16" s="32">
        <f t="shared" si="9"/>
        <v>25</v>
      </c>
      <c r="V16" s="41">
        <v>4516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7345</v>
      </c>
      <c r="AA16" s="52">
        <v>0</v>
      </c>
      <c r="AB16" s="32">
        <f t="shared" si="12"/>
        <v>910</v>
      </c>
      <c r="AC16" s="13">
        <v>155</v>
      </c>
      <c r="AD16" s="18">
        <v>288</v>
      </c>
    </row>
    <row r="17" spans="1:30" ht="20.7" customHeight="1" x14ac:dyDescent="0.2">
      <c r="A17" s="19">
        <v>45704</v>
      </c>
      <c r="B17" s="10">
        <v>13589873</v>
      </c>
      <c r="C17" s="14">
        <f t="shared" si="1"/>
        <v>3778</v>
      </c>
      <c r="D17" s="11">
        <v>654940</v>
      </c>
      <c r="E17" s="14">
        <f t="shared" si="2"/>
        <v>1064</v>
      </c>
      <c r="F17" s="27">
        <v>1704</v>
      </c>
      <c r="G17" s="67">
        <f t="shared" si="3"/>
        <v>0</v>
      </c>
      <c r="H17" s="69">
        <f t="shared" si="4"/>
        <v>4842</v>
      </c>
      <c r="I17" s="73">
        <f t="shared" si="5"/>
        <v>-40863.57</v>
      </c>
      <c r="J17" s="32">
        <f t="shared" si="0"/>
        <v>-278.9800000000032</v>
      </c>
      <c r="K17" s="20">
        <f t="shared" si="6"/>
        <v>45704</v>
      </c>
      <c r="L17" s="33">
        <v>5284</v>
      </c>
      <c r="M17" s="34">
        <v>0</v>
      </c>
      <c r="N17" s="32">
        <f t="shared" si="7"/>
        <v>458</v>
      </c>
      <c r="O17" s="85">
        <v>0.75</v>
      </c>
      <c r="P17" s="86">
        <v>0.73</v>
      </c>
      <c r="Q17" s="85">
        <v>0.82</v>
      </c>
      <c r="R17" s="86">
        <v>0.75</v>
      </c>
      <c r="S17" s="38">
        <f t="shared" si="8"/>
        <v>4485</v>
      </c>
      <c r="T17" s="123"/>
      <c r="U17" s="32">
        <f t="shared" si="9"/>
        <v>100</v>
      </c>
      <c r="V17" s="41">
        <v>4605</v>
      </c>
      <c r="W17" s="32">
        <f t="shared" si="10"/>
        <v>78</v>
      </c>
      <c r="X17" s="44">
        <v>61265</v>
      </c>
      <c r="Y17" s="14">
        <f t="shared" si="11"/>
        <v>0</v>
      </c>
      <c r="Z17" s="47">
        <v>6435</v>
      </c>
      <c r="AA17" s="52">
        <v>0</v>
      </c>
      <c r="AB17" s="32">
        <f t="shared" si="12"/>
        <v>610</v>
      </c>
      <c r="AC17" s="13">
        <v>92</v>
      </c>
      <c r="AD17" s="18">
        <v>163</v>
      </c>
    </row>
    <row r="18" spans="1:30" ht="20.7" customHeight="1" x14ac:dyDescent="0.2">
      <c r="A18" s="19">
        <v>45705</v>
      </c>
      <c r="B18" s="10">
        <v>13593651</v>
      </c>
      <c r="C18" s="14">
        <f t="shared" si="1"/>
        <v>3932</v>
      </c>
      <c r="D18" s="11">
        <v>656004</v>
      </c>
      <c r="E18" s="14">
        <f t="shared" si="2"/>
        <v>632</v>
      </c>
      <c r="F18" s="27">
        <v>1704</v>
      </c>
      <c r="G18" s="67">
        <f t="shared" si="3"/>
        <v>0</v>
      </c>
      <c r="H18" s="69">
        <f t="shared" si="4"/>
        <v>4564</v>
      </c>
      <c r="I18" s="73">
        <f t="shared" si="5"/>
        <v>-41142.550000000003</v>
      </c>
      <c r="J18" s="32">
        <f t="shared" si="0"/>
        <v>54.030000000006112</v>
      </c>
      <c r="K18" s="20">
        <f t="shared" si="6"/>
        <v>45705</v>
      </c>
      <c r="L18" s="33">
        <v>4826</v>
      </c>
      <c r="M18" s="34">
        <v>0</v>
      </c>
      <c r="N18" s="32">
        <f t="shared" si="7"/>
        <v>387</v>
      </c>
      <c r="O18" s="85">
        <v>0.73</v>
      </c>
      <c r="P18" s="86">
        <v>0.71</v>
      </c>
      <c r="Q18" s="85">
        <v>0.82</v>
      </c>
      <c r="R18" s="86">
        <v>0.75</v>
      </c>
      <c r="S18" s="38">
        <f t="shared" si="8"/>
        <v>4385</v>
      </c>
      <c r="T18" s="123"/>
      <c r="U18" s="32">
        <f t="shared" si="9"/>
        <v>100</v>
      </c>
      <c r="V18" s="41">
        <v>4683</v>
      </c>
      <c r="W18" s="32">
        <f t="shared" si="10"/>
        <v>80</v>
      </c>
      <c r="X18" s="44">
        <v>61265</v>
      </c>
      <c r="Y18" s="14">
        <f t="shared" si="11"/>
        <v>0</v>
      </c>
      <c r="Z18" s="47">
        <v>5825</v>
      </c>
      <c r="AA18" s="52">
        <v>0</v>
      </c>
      <c r="AB18" s="32">
        <f t="shared" si="12"/>
        <v>855</v>
      </c>
      <c r="AC18" s="13">
        <v>93</v>
      </c>
      <c r="AD18" s="18">
        <v>159</v>
      </c>
    </row>
    <row r="19" spans="1:30" ht="20.7" customHeight="1" x14ac:dyDescent="0.2">
      <c r="A19" s="19">
        <v>45706</v>
      </c>
      <c r="B19" s="10">
        <v>13597583</v>
      </c>
      <c r="C19" s="14">
        <f t="shared" si="1"/>
        <v>4255</v>
      </c>
      <c r="D19" s="11">
        <v>656636</v>
      </c>
      <c r="E19" s="14">
        <f t="shared" si="2"/>
        <v>364</v>
      </c>
      <c r="F19" s="27">
        <v>1704</v>
      </c>
      <c r="G19" s="67">
        <f t="shared" si="3"/>
        <v>0</v>
      </c>
      <c r="H19" s="69">
        <f t="shared" si="4"/>
        <v>4619</v>
      </c>
      <c r="I19" s="73">
        <f t="shared" si="5"/>
        <v>-41088.519999999997</v>
      </c>
      <c r="J19" s="32">
        <f t="shared" si="0"/>
        <v>-317.99000000000524</v>
      </c>
      <c r="K19" s="20">
        <f t="shared" si="6"/>
        <v>45706</v>
      </c>
      <c r="L19" s="33">
        <v>4439</v>
      </c>
      <c r="M19" s="34">
        <v>0</v>
      </c>
      <c r="N19" s="32">
        <f t="shared" si="7"/>
        <v>386</v>
      </c>
      <c r="O19" s="85">
        <v>0.7</v>
      </c>
      <c r="P19" s="86">
        <v>0.7</v>
      </c>
      <c r="Q19" s="85">
        <v>0.82</v>
      </c>
      <c r="R19" s="86">
        <v>0.75</v>
      </c>
      <c r="S19" s="38">
        <f t="shared" si="8"/>
        <v>4285</v>
      </c>
      <c r="T19" s="123"/>
      <c r="U19" s="32">
        <f t="shared" si="9"/>
        <v>50</v>
      </c>
      <c r="V19" s="41">
        <v>4763</v>
      </c>
      <c r="W19" s="32">
        <f t="shared" si="10"/>
        <v>88</v>
      </c>
      <c r="X19" s="44">
        <v>61265</v>
      </c>
      <c r="Y19" s="14" t="str">
        <f t="shared" si="11"/>
        <v>0</v>
      </c>
      <c r="Z19" s="47">
        <v>4970</v>
      </c>
      <c r="AA19" s="52">
        <v>0</v>
      </c>
      <c r="AB19" s="32">
        <f t="shared" si="12"/>
        <v>930</v>
      </c>
      <c r="AC19" s="13">
        <v>111</v>
      </c>
      <c r="AD19" s="18">
        <v>195</v>
      </c>
    </row>
    <row r="20" spans="1:30" ht="20.7" customHeight="1" x14ac:dyDescent="0.2">
      <c r="A20" s="19">
        <v>45707</v>
      </c>
      <c r="B20" s="10">
        <v>13601838</v>
      </c>
      <c r="C20" s="14">
        <f t="shared" si="1"/>
        <v>3451</v>
      </c>
      <c r="D20" s="11">
        <v>657000</v>
      </c>
      <c r="E20" s="14">
        <f t="shared" si="2"/>
        <v>851</v>
      </c>
      <c r="F20" s="27">
        <v>1704</v>
      </c>
      <c r="G20" s="67">
        <f t="shared" si="3"/>
        <v>0</v>
      </c>
      <c r="H20" s="69">
        <f t="shared" si="4"/>
        <v>4302</v>
      </c>
      <c r="I20" s="73">
        <f t="shared" si="5"/>
        <v>-41406.51</v>
      </c>
      <c r="J20" s="32">
        <f t="shared" si="0"/>
        <v>560.02999999999884</v>
      </c>
      <c r="K20" s="20">
        <f t="shared" si="6"/>
        <v>45707</v>
      </c>
      <c r="L20" s="33">
        <v>4053</v>
      </c>
      <c r="M20" s="34">
        <v>0</v>
      </c>
      <c r="N20" s="32">
        <f t="shared" si="7"/>
        <v>411</v>
      </c>
      <c r="O20" s="85">
        <v>0.69</v>
      </c>
      <c r="P20" s="86">
        <v>0.69</v>
      </c>
      <c r="Q20" s="85">
        <v>0.82</v>
      </c>
      <c r="R20" s="86">
        <v>0.75</v>
      </c>
      <c r="S20" s="38">
        <f t="shared" si="8"/>
        <v>4235</v>
      </c>
      <c r="T20" s="123"/>
      <c r="U20" s="32">
        <f t="shared" si="9"/>
        <v>125</v>
      </c>
      <c r="V20" s="41">
        <v>4851</v>
      </c>
      <c r="W20" s="32">
        <f t="shared" si="10"/>
        <v>67</v>
      </c>
      <c r="X20" s="44">
        <v>61256</v>
      </c>
      <c r="Y20" s="14">
        <f t="shared" si="11"/>
        <v>9</v>
      </c>
      <c r="Z20" s="47">
        <v>4040</v>
      </c>
      <c r="AA20" s="52">
        <v>0</v>
      </c>
      <c r="AB20" s="32">
        <f t="shared" si="12"/>
        <v>685</v>
      </c>
      <c r="AC20" s="13">
        <v>120</v>
      </c>
      <c r="AD20" s="18">
        <v>211</v>
      </c>
    </row>
    <row r="21" spans="1:30" ht="20.7" customHeight="1" x14ac:dyDescent="0.2">
      <c r="A21" s="19">
        <v>45708</v>
      </c>
      <c r="B21" s="10">
        <v>13605289</v>
      </c>
      <c r="C21" s="14">
        <f t="shared" si="1"/>
        <v>4250</v>
      </c>
      <c r="D21" s="11">
        <v>657851</v>
      </c>
      <c r="E21" s="14">
        <f t="shared" si="2"/>
        <v>613</v>
      </c>
      <c r="F21" s="27">
        <v>1704</v>
      </c>
      <c r="G21" s="67">
        <f t="shared" si="3"/>
        <v>0</v>
      </c>
      <c r="H21" s="69">
        <f t="shared" si="4"/>
        <v>4863</v>
      </c>
      <c r="I21" s="73">
        <f t="shared" si="5"/>
        <v>-40846.480000000003</v>
      </c>
      <c r="J21" s="32">
        <f t="shared" si="0"/>
        <v>-4863.9799999999959</v>
      </c>
      <c r="K21" s="20">
        <f t="shared" si="6"/>
        <v>45708</v>
      </c>
      <c r="L21" s="33">
        <v>3642</v>
      </c>
      <c r="M21" s="34">
        <v>0</v>
      </c>
      <c r="N21" s="32">
        <f t="shared" si="7"/>
        <v>368</v>
      </c>
      <c r="O21" s="85">
        <v>0.66</v>
      </c>
      <c r="P21" s="86">
        <v>0.67</v>
      </c>
      <c r="Q21" s="85">
        <v>0.82</v>
      </c>
      <c r="R21" s="86">
        <v>0.75</v>
      </c>
      <c r="S21" s="38">
        <f t="shared" si="8"/>
        <v>4110</v>
      </c>
      <c r="T21" s="123"/>
      <c r="U21" s="32">
        <f t="shared" si="9"/>
        <v>100</v>
      </c>
      <c r="V21" s="41">
        <v>4918</v>
      </c>
      <c r="W21" s="32">
        <f t="shared" si="10"/>
        <v>81</v>
      </c>
      <c r="X21" s="44">
        <v>61265</v>
      </c>
      <c r="Y21" s="14">
        <f t="shared" si="11"/>
        <v>0</v>
      </c>
      <c r="Z21" s="47">
        <v>3355</v>
      </c>
      <c r="AA21" s="52">
        <v>8300</v>
      </c>
      <c r="AB21" s="32">
        <f t="shared" si="12"/>
        <v>1690</v>
      </c>
      <c r="AC21" s="13">
        <v>126</v>
      </c>
      <c r="AD21" s="18">
        <v>221</v>
      </c>
    </row>
    <row r="22" spans="1:30" ht="20.7" customHeight="1" x14ac:dyDescent="0.2">
      <c r="A22" s="19">
        <v>45709</v>
      </c>
      <c r="B22" s="10">
        <v>13609539</v>
      </c>
      <c r="C22" s="14" t="str">
        <f t="shared" si="1"/>
        <v>0</v>
      </c>
      <c r="D22" s="11">
        <v>658464</v>
      </c>
      <c r="E22" s="14" t="str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-45710.46</v>
      </c>
      <c r="J22" s="32">
        <f t="shared" si="0"/>
        <v>0.45999999999912689</v>
      </c>
      <c r="K22" s="20">
        <f t="shared" si="6"/>
        <v>45709</v>
      </c>
      <c r="L22" s="33">
        <v>3274</v>
      </c>
      <c r="M22" s="34">
        <v>0</v>
      </c>
      <c r="N22" s="32" t="str">
        <f t="shared" si="7"/>
        <v>0</v>
      </c>
      <c r="O22" s="85">
        <v>0.64</v>
      </c>
      <c r="P22" s="86">
        <v>0.65</v>
      </c>
      <c r="Q22" s="85">
        <v>0.82</v>
      </c>
      <c r="R22" s="86">
        <v>0.75</v>
      </c>
      <c r="S22" s="38">
        <f t="shared" si="8"/>
        <v>4010</v>
      </c>
      <c r="T22" s="123"/>
      <c r="U22" s="32" t="str">
        <f t="shared" si="9"/>
        <v>0</v>
      </c>
      <c r="V22" s="41">
        <v>4999</v>
      </c>
      <c r="W22" s="32" t="str">
        <f t="shared" si="10"/>
        <v>0</v>
      </c>
      <c r="X22" s="44">
        <v>61265</v>
      </c>
      <c r="Y22" s="14" t="str">
        <f t="shared" si="11"/>
        <v>0</v>
      </c>
      <c r="Z22" s="47">
        <v>9965</v>
      </c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78673</v>
      </c>
      <c r="D31" s="77"/>
      <c r="E31" s="76">
        <f>SUM(E2:E30)</f>
        <v>15319</v>
      </c>
      <c r="F31" s="78"/>
      <c r="G31" s="76">
        <f>SUM(G2:G30)</f>
        <v>0</v>
      </c>
      <c r="H31" s="77">
        <f>SUM(H2:H30)</f>
        <v>93992</v>
      </c>
      <c r="I31" s="76">
        <f>SUM(I2:I29)</f>
        <v>-1185710.0199999998</v>
      </c>
      <c r="J31" s="76">
        <f>SUM(J2:J30)</f>
        <v>40966.589999999997</v>
      </c>
      <c r="K31" s="75"/>
      <c r="L31" s="77"/>
      <c r="M31" s="77"/>
      <c r="N31" s="76">
        <f>SUM(N2:N30)</f>
        <v>3158</v>
      </c>
      <c r="O31" s="75"/>
      <c r="P31" s="75"/>
      <c r="Q31" s="75"/>
      <c r="R31" s="75"/>
      <c r="S31" s="75"/>
      <c r="T31" s="77">
        <f>SUM(T2:T30)</f>
        <v>1005</v>
      </c>
      <c r="U31" s="76">
        <f>SUM(U2:U30)</f>
        <v>1525</v>
      </c>
      <c r="V31" s="75"/>
      <c r="W31" s="76">
        <f>SUM(W2:W30)</f>
        <v>1559</v>
      </c>
      <c r="X31" s="75"/>
      <c r="Y31" s="76">
        <f>SUM(Y2:Y30)</f>
        <v>9</v>
      </c>
      <c r="Z31" s="75"/>
      <c r="AA31" s="75">
        <f>SUM(AA2:AA30)</f>
        <v>24570</v>
      </c>
      <c r="AB31" s="76">
        <f>SUM(AB2:AB30)</f>
        <v>25130</v>
      </c>
      <c r="AC31" s="79">
        <f>SUM(AC2:AC30)</f>
        <v>2260</v>
      </c>
      <c r="AD31" s="80">
        <f>SUM(AD2:AD30)</f>
        <v>3857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2025-02-21T08:51:59Z</dcterms:modified>
  <cp:category/>
  <cp:contentStatus/>
</cp:coreProperties>
</file>