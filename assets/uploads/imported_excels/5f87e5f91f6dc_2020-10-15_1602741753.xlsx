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 repairLoad="1"/>
</workbook>
</file>

<file path=xl/calcChain.xml><?xml version="1.0" encoding="utf-8"?>
<calcChain xmlns="http://schemas.openxmlformats.org/spreadsheetml/2006/main">
  <c r="AV45" i="7" l="1"/>
  <c r="AU44" i="7"/>
  <c r="AJ38" i="7"/>
  <c r="AI38" i="7"/>
  <c r="AH38" i="7"/>
  <c r="AG38" i="7"/>
  <c r="AF38" i="7"/>
  <c r="U38" i="7"/>
  <c r="T38" i="7"/>
  <c r="S38" i="7"/>
  <c r="R38" i="7"/>
  <c r="Q38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W32" i="7"/>
  <c r="AV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W31" i="7"/>
  <c r="AV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AW30" i="7"/>
  <c r="AV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AW29" i="7"/>
  <c r="AV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AW28" i="7"/>
  <c r="AV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AW27" i="7"/>
  <c r="AV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AW26" i="7"/>
  <c r="AV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AW25" i="7"/>
  <c r="AV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AW24" i="7"/>
  <c r="AV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AW23" i="7"/>
  <c r="AV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AW22" i="7"/>
  <c r="AV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AW21" i="7"/>
  <c r="AV21" i="7"/>
  <c r="AO21" i="7"/>
  <c r="AN21" i="7"/>
  <c r="AJ21" i="7"/>
  <c r="AI21" i="7"/>
  <c r="AH21" i="7"/>
  <c r="AG21" i="7"/>
  <c r="AF21" i="7"/>
  <c r="AC21" i="7"/>
  <c r="AR21" i="7" s="1"/>
  <c r="AB21" i="7"/>
  <c r="AQ21" i="7" s="1"/>
  <c r="AA21" i="7"/>
  <c r="O16" i="9" s="1"/>
  <c r="Z21" i="7"/>
  <c r="Y21" i="7"/>
  <c r="X21" i="7"/>
  <c r="AM21" i="7" s="1"/>
  <c r="W21" i="7"/>
  <c r="AL21" i="7" s="1"/>
  <c r="V21" i="7"/>
  <c r="J16" i="9" s="1"/>
  <c r="U21" i="7"/>
  <c r="T21" i="7"/>
  <c r="S21" i="7"/>
  <c r="R21" i="7"/>
  <c r="Q21" i="7"/>
  <c r="AW20" i="7"/>
  <c r="AW38" i="7" s="1"/>
  <c r="AV20" i="7"/>
  <c r="AV38" i="7" s="1"/>
  <c r="AK20" i="7"/>
  <c r="AJ20" i="7"/>
  <c r="AI20" i="7"/>
  <c r="AH20" i="7"/>
  <c r="AG20" i="7"/>
  <c r="AF20" i="7"/>
  <c r="AC20" i="7"/>
  <c r="AC38" i="7" s="1"/>
  <c r="AB20" i="7"/>
  <c r="AQ20" i="7" s="1"/>
  <c r="AQ38" i="7" s="1"/>
  <c r="AA20" i="7"/>
  <c r="AA38" i="7" s="1"/>
  <c r="Z20" i="7"/>
  <c r="AO20" i="7" s="1"/>
  <c r="AO38" i="7" s="1"/>
  <c r="Y20" i="7"/>
  <c r="AN20" i="7" s="1"/>
  <c r="AN38" i="7" s="1"/>
  <c r="X20" i="7"/>
  <c r="AM20" i="7" s="1"/>
  <c r="AM38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B25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B24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B23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B22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B21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B20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B19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B18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B17" i="9"/>
  <c r="R16" i="9"/>
  <c r="P16" i="9"/>
  <c r="N16" i="9"/>
  <c r="M16" i="9"/>
  <c r="L16" i="9"/>
  <c r="K16" i="9"/>
  <c r="I16" i="9"/>
  <c r="H16" i="9"/>
  <c r="G16" i="9"/>
  <c r="F16" i="9"/>
  <c r="E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G27" i="5"/>
  <c r="E27" i="5"/>
  <c r="B27" i="5"/>
  <c r="I26" i="5"/>
  <c r="G26" i="5"/>
  <c r="E26" i="5"/>
  <c r="B26" i="5"/>
  <c r="I25" i="5"/>
  <c r="G25" i="5"/>
  <c r="E25" i="5"/>
  <c r="B25" i="5"/>
  <c r="I24" i="5"/>
  <c r="G24" i="5"/>
  <c r="E24" i="5"/>
  <c r="B24" i="5"/>
  <c r="I23" i="5"/>
  <c r="G23" i="5"/>
  <c r="E23" i="5"/>
  <c r="B23" i="5"/>
  <c r="I22" i="5"/>
  <c r="G22" i="5"/>
  <c r="E22" i="5"/>
  <c r="B22" i="5"/>
  <c r="I21" i="5"/>
  <c r="G21" i="5"/>
  <c r="E21" i="5"/>
  <c r="B21" i="5"/>
  <c r="I20" i="5"/>
  <c r="G20" i="5"/>
  <c r="E20" i="5"/>
  <c r="B20" i="5"/>
  <c r="I19" i="5"/>
  <c r="G19" i="5"/>
  <c r="E19" i="5"/>
  <c r="B19" i="5"/>
  <c r="I18" i="5"/>
  <c r="G18" i="5"/>
  <c r="E18" i="5"/>
  <c r="B18" i="5"/>
  <c r="I17" i="5"/>
  <c r="G17" i="5"/>
  <c r="E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AV39" i="7" l="1"/>
  <c r="AV40" i="7" s="1"/>
  <c r="AV41" i="7"/>
  <c r="Q16" i="9"/>
  <c r="E16" i="5" s="1"/>
  <c r="AR20" i="7"/>
  <c r="AR38" i="7" s="1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AS20" i="7" l="1"/>
  <c r="AS38" i="7" s="1"/>
  <c r="AP38" i="7"/>
  <c r="AD38" i="7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<sst xmlns="http://schemas.openxmlformats.org/spreadsheetml/2006/main" count="128" uniqueCount="49">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</sst>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31" sqref="AN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44120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14130</v>
      </c>
      <c r="R38" s="30">
        <f t="shared" si="38"/>
        <v>190590</v>
      </c>
      <c r="S38" s="30">
        <f t="shared" si="38"/>
        <v>48240</v>
      </c>
      <c r="T38" s="30">
        <f t="shared" si="38"/>
        <v>22030</v>
      </c>
      <c r="U38" s="30">
        <f t="shared" si="38"/>
        <v>65950</v>
      </c>
      <c r="V38" s="30">
        <f t="shared" si="38"/>
        <v>46630</v>
      </c>
      <c r="W38" s="30">
        <f t="shared" si="38"/>
        <v>33280</v>
      </c>
      <c r="X38" s="30">
        <f t="shared" si="38"/>
        <v>51550</v>
      </c>
      <c r="Y38" s="30">
        <f t="shared" si="38"/>
        <v>72590</v>
      </c>
      <c r="Z38" s="30">
        <f t="shared" si="38"/>
        <v>37690</v>
      </c>
      <c r="AA38" s="30">
        <f t="shared" si="38"/>
        <v>46820</v>
      </c>
      <c r="AB38" s="30">
        <f t="shared" si="38"/>
        <v>95950</v>
      </c>
      <c r="AC38" s="30">
        <f t="shared" si="38"/>
        <v>142960</v>
      </c>
      <c r="AD38" s="35">
        <f t="shared" si="38"/>
        <v>868410</v>
      </c>
      <c r="AF38" s="35">
        <f t="shared" ref="AF38:AS38" si="39">SUM(AF7:AF34)</f>
        <v>70.650000000000006</v>
      </c>
      <c r="AG38" s="35">
        <f t="shared" si="39"/>
        <v>952.95</v>
      </c>
      <c r="AH38" s="35">
        <f t="shared" si="39"/>
        <v>241.20000000000005</v>
      </c>
      <c r="AI38" s="35">
        <f t="shared" si="39"/>
        <v>110.14999999999999</v>
      </c>
      <c r="AJ38" s="35">
        <f t="shared" si="39"/>
        <v>329.75</v>
      </c>
      <c r="AK38" s="35">
        <f t="shared" si="39"/>
        <v>233.15</v>
      </c>
      <c r="AL38" s="35">
        <f t="shared" si="39"/>
        <v>166.4</v>
      </c>
      <c r="AM38" s="35">
        <f t="shared" si="39"/>
        <v>257.75</v>
      </c>
      <c r="AN38" s="35">
        <f t="shared" si="39"/>
        <v>362.95</v>
      </c>
      <c r="AO38" s="35">
        <f t="shared" si="39"/>
        <v>188.45</v>
      </c>
      <c r="AP38" s="35">
        <f t="shared" si="39"/>
        <v>234.10000000000005</v>
      </c>
      <c r="AQ38" s="35">
        <f t="shared" si="39"/>
        <v>479.75</v>
      </c>
      <c r="AR38" s="35">
        <f t="shared" si="39"/>
        <v>714.79999999999984</v>
      </c>
      <c r="AS38" s="35">
        <f t="shared" si="39"/>
        <v>4342.0499999999993</v>
      </c>
      <c r="AU38" s="48"/>
      <c r="AV38" s="35">
        <f>SUM(AV7:AV34)</f>
        <v>30982</v>
      </c>
      <c r="AW38" s="35">
        <f>SUM(AW7:AW34)</f>
        <v>52.879999999999995</v>
      </c>
    </row>
    <row r="39" spans="1:49" x14ac:dyDescent="0.25">
      <c r="D39">
        <v>5.0000000000000001E-3</v>
      </c>
      <c r="AV39" s="36">
        <f>AV38*0.00378541*1000</f>
        <v>117279.57261999999</v>
      </c>
    </row>
    <row r="40" spans="1:49" x14ac:dyDescent="0.25">
      <c r="D40">
        <v>2E-3</v>
      </c>
      <c r="AV40">
        <f>AV39/31</f>
        <v>3783.2120199999999</v>
      </c>
    </row>
    <row r="41" spans="1:49" x14ac:dyDescent="0.25">
      <c r="AV41">
        <f>AV38*0.00378541</f>
        <v>117.27957262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2020-10-15T06:01:25Z</dcterms:modified>
</cp:coreProperties>
</file>