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 tabRatio="722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  <sheet name="Waste Record - August" sheetId="6" r:id="rId6"/>
    <sheet name="Waste Record - Sep" sheetId="7" r:id="rId7"/>
    <sheet name="Waste Record - Oct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8" l="1"/>
  <c r="N38" i="8" l="1"/>
  <c r="L38" i="8"/>
  <c r="J38" i="8"/>
  <c r="H38" i="8"/>
  <c r="F38" i="8"/>
  <c r="D38" i="8"/>
  <c r="B38" i="8"/>
  <c r="H41" i="7" l="1"/>
  <c r="N38" i="7" l="1"/>
  <c r="L38" i="7"/>
  <c r="J38" i="7"/>
  <c r="H38" i="7"/>
  <c r="F38" i="7"/>
  <c r="D38" i="7"/>
  <c r="B38" i="7"/>
  <c r="H41" i="6" l="1"/>
  <c r="H43" i="5"/>
  <c r="P7" i="1"/>
  <c r="P8" i="1"/>
  <c r="N38" i="6"/>
  <c r="L38" i="6"/>
  <c r="J38" i="6"/>
  <c r="H38" i="6"/>
  <c r="F38" i="6"/>
  <c r="D38" i="6"/>
  <c r="B38" i="6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<sst xmlns="http://schemas.openxmlformats.org/spreadsheetml/2006/main" count="221" uniqueCount="48">
  <si>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</si>
  <si>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</si>
  <si>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</si>
  <si>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</si>
  <si>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</si>
  <si>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</si>
  <si>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</si>
  <si>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</si>
  <si>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</si>
  <si>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</si>
  <si>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</si>
  <si>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</si>
  <si>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</si>
  <si>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</si>
  <si>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</si>
  <si>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</si>
  <si>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</si>
  <si>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</si>
  <si>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</si>
  <si>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</si>
  <si>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</si>
  <si>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</si>
  <si>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</si>
  <si>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</si>
  <si>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</si>
  <si>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</si>
  <si>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</si>
  <si>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</si>
  <si>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</si>
  <si>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</si>
  <si>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</si>
  <si>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</si>
  <si>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</si>
  <si>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</si>
  <si>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</si>
  <si>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</si>
  <si>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</si>
  <si>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</si>
  <si>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</si>
  <si>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</si>
  <si>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</si>
  <si>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</si>
  <si>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</si>
  <si>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</si>
  <si>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</si>
  <si>
    <t>Month of August 2022</t>
  </si>
  <si>
    <t>Month of Sep 2022</t>
  </si>
  <si>
    <t>Month of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</si>
</sst>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W1" zoomScale="115" zoomScaleNormal="115" workbookViewId="0">
      <selection activeCell="AA16" sqref="AA16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>
        <f>'Waste Record - May'!F39</f>
        <v>0</v>
      </c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P8" s="5">
        <f>'Waste Record - May'!F40</f>
        <v>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D9" s="5">
        <v>300</v>
      </c>
      <c r="N9" s="5">
        <v>500</v>
      </c>
      <c r="P9" s="5">
        <v>3</v>
      </c>
      <c r="T9" s="5">
        <v>6391</v>
      </c>
      <c r="V9" s="5">
        <v>7766</v>
      </c>
      <c r="W9" s="5">
        <v>19340910</v>
      </c>
      <c r="Z9" s="5">
        <v>15000</v>
      </c>
      <c r="AA9" s="5">
        <v>6958000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D10" s="5">
        <v>1120</v>
      </c>
      <c r="F10" s="5">
        <v>12</v>
      </c>
      <c r="L10" s="5">
        <v>1</v>
      </c>
      <c r="N10" s="5">
        <v>500</v>
      </c>
      <c r="P10" s="5">
        <v>7</v>
      </c>
      <c r="T10" s="5">
        <v>6282</v>
      </c>
      <c r="V10" s="5">
        <v>6876</v>
      </c>
      <c r="W10" s="5">
        <v>16710548</v>
      </c>
      <c r="X10" s="5">
        <v>313</v>
      </c>
      <c r="Y10" s="14">
        <v>12763637</v>
      </c>
      <c r="Z10" s="5">
        <v>15000</v>
      </c>
      <c r="AA10" s="5">
        <v>6958000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D11" s="5">
        <v>1430</v>
      </c>
      <c r="N11" s="5">
        <v>500</v>
      </c>
      <c r="T11" s="5">
        <v>6313</v>
      </c>
      <c r="V11" s="5">
        <v>6961</v>
      </c>
      <c r="W11" s="5">
        <v>16710548</v>
      </c>
      <c r="Z11" s="5">
        <v>16000</v>
      </c>
      <c r="AA11" s="5">
        <v>6958000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3" sqref="H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4" workbookViewId="0">
      <selection activeCell="L25" sqref="L25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9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146</v>
      </c>
      <c r="I7" s="10"/>
      <c r="J7" s="15">
        <v>170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375</v>
      </c>
      <c r="I8" s="10"/>
      <c r="J8" s="15">
        <v>210</v>
      </c>
      <c r="K8" s="10"/>
      <c r="L8" s="15">
        <v>275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203</v>
      </c>
      <c r="I9" s="10"/>
      <c r="J9" s="15">
        <v>217</v>
      </c>
      <c r="K9" s="10"/>
      <c r="L9" s="15">
        <v>150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346</v>
      </c>
      <c r="I10" s="10"/>
      <c r="J10" s="15">
        <v>300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323</v>
      </c>
      <c r="I11" s="10"/>
      <c r="J11" s="15">
        <v>180</v>
      </c>
      <c r="K11" s="10"/>
      <c r="L11" s="15">
        <v>115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173</v>
      </c>
      <c r="I12" s="10"/>
      <c r="J12" s="15">
        <v>175</v>
      </c>
      <c r="K12" s="10"/>
      <c r="L12" s="15">
        <v>40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212</v>
      </c>
      <c r="I13" s="10"/>
      <c r="J13" s="15">
        <v>164</v>
      </c>
      <c r="K13" s="10"/>
      <c r="L13" s="15">
        <v>145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>
        <v>3</v>
      </c>
      <c r="G14" s="10"/>
      <c r="H14" s="16">
        <v>109</v>
      </c>
      <c r="I14" s="10"/>
      <c r="J14" s="15">
        <v>150</v>
      </c>
      <c r="K14" s="10"/>
      <c r="L14" s="15">
        <v>210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30</v>
      </c>
      <c r="C15" s="10"/>
      <c r="D15" s="15"/>
      <c r="E15" s="10"/>
      <c r="F15" s="15"/>
      <c r="G15" s="10"/>
      <c r="H15" s="16">
        <v>301</v>
      </c>
      <c r="I15" s="10"/>
      <c r="J15" s="15">
        <v>104</v>
      </c>
      <c r="K15" s="10"/>
      <c r="L15" s="15"/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124</v>
      </c>
      <c r="I16" s="10"/>
      <c r="J16" s="15">
        <v>160</v>
      </c>
      <c r="K16" s="10"/>
      <c r="L16" s="15">
        <v>30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249</v>
      </c>
      <c r="I17" s="10"/>
      <c r="J17" s="15">
        <v>115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210</v>
      </c>
      <c r="I18" s="10"/>
      <c r="J18" s="15">
        <v>230</v>
      </c>
      <c r="K18" s="10"/>
      <c r="L18" s="15">
        <v>152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131</v>
      </c>
      <c r="I19" s="10"/>
      <c r="J19" s="15">
        <v>420</v>
      </c>
      <c r="K19" s="10"/>
      <c r="L19" s="15">
        <v>146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15</v>
      </c>
      <c r="C20" s="10"/>
      <c r="D20" s="15"/>
      <c r="E20" s="10"/>
      <c r="F20" s="15"/>
      <c r="G20" s="10"/>
      <c r="H20" s="16">
        <v>244</v>
      </c>
      <c r="I20" s="10"/>
      <c r="J20" s="15">
        <v>239</v>
      </c>
      <c r="K20" s="10"/>
      <c r="L20" s="15">
        <v>165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</v>
      </c>
      <c r="C21" s="10"/>
      <c r="D21" s="15"/>
      <c r="E21" s="10"/>
      <c r="F21" s="15"/>
      <c r="G21" s="10"/>
      <c r="H21" s="16">
        <v>328</v>
      </c>
      <c r="I21" s="10"/>
      <c r="J21" s="15">
        <v>165</v>
      </c>
      <c r="K21" s="10"/>
      <c r="L21" s="15"/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208</v>
      </c>
      <c r="I22" s="10"/>
      <c r="J22" s="15">
        <v>195</v>
      </c>
      <c r="K22" s="10"/>
      <c r="L22" s="15">
        <v>75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5</v>
      </c>
      <c r="C23" s="10"/>
      <c r="D23" s="15"/>
      <c r="E23" s="10"/>
      <c r="F23" s="15"/>
      <c r="G23" s="10"/>
      <c r="H23" s="16">
        <v>190</v>
      </c>
      <c r="I23" s="10"/>
      <c r="J23" s="15">
        <v>209</v>
      </c>
      <c r="K23" s="10"/>
      <c r="L23" s="15">
        <v>5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15</v>
      </c>
      <c r="C24" s="10"/>
      <c r="D24" s="15"/>
      <c r="E24" s="10"/>
      <c r="F24" s="15"/>
      <c r="G24" s="10"/>
      <c r="H24" s="16">
        <v>131</v>
      </c>
      <c r="I24" s="10"/>
      <c r="J24" s="15">
        <v>189</v>
      </c>
      <c r="K24" s="10"/>
      <c r="L24" s="15">
        <v>15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127</v>
      </c>
      <c r="I25" s="10"/>
      <c r="J25" s="15">
        <v>555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178</v>
      </c>
      <c r="I26" s="10"/>
      <c r="J26" s="15">
        <v>270</v>
      </c>
      <c r="K26" s="10"/>
      <c r="L26" s="15">
        <v>330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159</v>
      </c>
      <c r="I27" s="10"/>
      <c r="J27" s="15">
        <v>117</v>
      </c>
      <c r="K27" s="10"/>
      <c r="L27" s="15">
        <v>60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240</v>
      </c>
      <c r="I28" s="10"/>
      <c r="J28" s="15">
        <v>187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3</v>
      </c>
      <c r="C29" s="10"/>
      <c r="D29" s="15"/>
      <c r="E29" s="10"/>
      <c r="F29" s="15"/>
      <c r="G29" s="10"/>
      <c r="H29" s="16">
        <v>173</v>
      </c>
      <c r="I29" s="10"/>
      <c r="J29" s="15">
        <v>106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40</v>
      </c>
      <c r="C30" s="10"/>
      <c r="D30" s="15"/>
      <c r="E30" s="10"/>
      <c r="F30" s="15"/>
      <c r="G30" s="10"/>
      <c r="H30" s="16">
        <v>91</v>
      </c>
      <c r="I30" s="10"/>
      <c r="J30" s="15">
        <v>190</v>
      </c>
      <c r="K30" s="10"/>
      <c r="L30" s="15">
        <v>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3</v>
      </c>
      <c r="C31" s="10"/>
      <c r="D31" s="15"/>
      <c r="E31" s="10"/>
      <c r="F31" s="15"/>
      <c r="G31" s="10"/>
      <c r="H31" s="16">
        <v>115</v>
      </c>
      <c r="I31" s="10"/>
      <c r="J31" s="15">
        <v>258</v>
      </c>
      <c r="K31" s="10"/>
      <c r="L31" s="15">
        <v>205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40</v>
      </c>
      <c r="C32" s="10"/>
      <c r="D32" s="15"/>
      <c r="E32" s="10"/>
      <c r="F32" s="15"/>
      <c r="G32" s="10"/>
      <c r="H32" s="16">
        <v>154</v>
      </c>
      <c r="I32" s="10"/>
      <c r="J32" s="15">
        <v>275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10</v>
      </c>
      <c r="C33" s="10"/>
      <c r="D33" s="15"/>
      <c r="E33" s="10"/>
      <c r="F33" s="15"/>
      <c r="G33" s="10"/>
      <c r="H33" s="16">
        <v>168</v>
      </c>
      <c r="I33" s="10"/>
      <c r="J33" s="15">
        <v>278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95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136</v>
      </c>
      <c r="I35" s="10"/>
      <c r="J35" s="15">
        <v>60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77</v>
      </c>
      <c r="C36" s="10"/>
      <c r="D36" s="15"/>
      <c r="E36" s="10"/>
      <c r="F36" s="15"/>
      <c r="G36" s="10"/>
      <c r="H36" s="16">
        <v>97</v>
      </c>
      <c r="I36" s="10"/>
      <c r="J36" s="15">
        <v>212</v>
      </c>
      <c r="K36" s="10"/>
      <c r="L36" s="15">
        <v>120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42</v>
      </c>
      <c r="C37" s="10"/>
      <c r="D37" s="15"/>
      <c r="E37" s="10"/>
      <c r="F37" s="15"/>
      <c r="G37" s="10"/>
      <c r="H37" s="16">
        <v>132</v>
      </c>
      <c r="I37" s="10"/>
      <c r="J37" s="15">
        <v>216</v>
      </c>
      <c r="K37" s="10"/>
      <c r="L37" s="15">
        <v>20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300</v>
      </c>
      <c r="C38" s="12"/>
      <c r="D38" s="12">
        <f t="shared" ref="D38:N38" si="0">SUM(D7:D37)</f>
        <v>0</v>
      </c>
      <c r="E38" s="12"/>
      <c r="F38" s="12">
        <f t="shared" si="0"/>
        <v>3</v>
      </c>
      <c r="G38" s="12"/>
      <c r="H38" s="12">
        <f t="shared" si="0"/>
        <v>5868</v>
      </c>
      <c r="I38" s="12"/>
      <c r="J38" s="12">
        <f t="shared" si="0"/>
        <v>6391</v>
      </c>
      <c r="K38" s="12"/>
      <c r="L38" s="12">
        <f t="shared" si="0"/>
        <v>2398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7766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4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152</v>
      </c>
      <c r="C7" s="10"/>
      <c r="D7" s="15"/>
      <c r="E7" s="10"/>
      <c r="F7" s="15"/>
      <c r="G7" s="10"/>
      <c r="H7" s="16">
        <v>244</v>
      </c>
      <c r="I7" s="10"/>
      <c r="J7" s="15">
        <v>208</v>
      </c>
      <c r="K7" s="10"/>
      <c r="L7" s="15">
        <v>65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182</v>
      </c>
      <c r="I8" s="10"/>
      <c r="J8" s="15">
        <v>325</v>
      </c>
      <c r="K8" s="10"/>
      <c r="L8" s="15"/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7</v>
      </c>
      <c r="C9" s="10"/>
      <c r="D9" s="15"/>
      <c r="E9" s="10"/>
      <c r="F9" s="15"/>
      <c r="G9" s="10"/>
      <c r="H9" s="16">
        <v>166</v>
      </c>
      <c r="I9" s="10"/>
      <c r="J9" s="15">
        <v>273</v>
      </c>
      <c r="K9" s="10"/>
      <c r="L9" s="15">
        <v>662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75</v>
      </c>
      <c r="C10" s="10"/>
      <c r="D10" s="15"/>
      <c r="E10" s="10"/>
      <c r="F10" s="15"/>
      <c r="G10" s="10"/>
      <c r="H10" s="16">
        <v>219</v>
      </c>
      <c r="I10" s="10"/>
      <c r="J10" s="15">
        <v>436</v>
      </c>
      <c r="K10" s="10"/>
      <c r="L10" s="15">
        <v>95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49</v>
      </c>
      <c r="C11" s="10"/>
      <c r="D11" s="15"/>
      <c r="E11" s="10"/>
      <c r="F11" s="15"/>
      <c r="G11" s="10"/>
      <c r="H11" s="16">
        <v>74</v>
      </c>
      <c r="I11" s="10"/>
      <c r="J11" s="15">
        <v>73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21</v>
      </c>
      <c r="C12" s="10"/>
      <c r="D12" s="15"/>
      <c r="E12" s="10"/>
      <c r="F12" s="15"/>
      <c r="G12" s="10"/>
      <c r="H12" s="16">
        <v>85</v>
      </c>
      <c r="I12" s="10"/>
      <c r="J12" s="15">
        <v>131</v>
      </c>
      <c r="K12" s="10"/>
      <c r="L12" s="15">
        <v>120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26</v>
      </c>
      <c r="C13" s="10"/>
      <c r="D13" s="15"/>
      <c r="E13" s="10"/>
      <c r="F13" s="15"/>
      <c r="G13" s="10"/>
      <c r="H13" s="16">
        <v>95</v>
      </c>
      <c r="I13" s="10"/>
      <c r="J13" s="15">
        <v>350</v>
      </c>
      <c r="K13" s="10"/>
      <c r="L13" s="15">
        <v>30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107</v>
      </c>
      <c r="I14" s="10"/>
      <c r="J14" s="15">
        <v>115</v>
      </c>
      <c r="K14" s="10"/>
      <c r="L14" s="15">
        <v>2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23</v>
      </c>
      <c r="C15" s="10"/>
      <c r="D15" s="15"/>
      <c r="E15" s="10"/>
      <c r="F15" s="15"/>
      <c r="G15" s="10"/>
      <c r="H15" s="16">
        <v>133</v>
      </c>
      <c r="I15" s="10"/>
      <c r="J15" s="15">
        <v>164</v>
      </c>
      <c r="K15" s="10"/>
      <c r="L15" s="15">
        <v>90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120</v>
      </c>
      <c r="C16" s="10"/>
      <c r="D16" s="15"/>
      <c r="E16" s="10"/>
      <c r="F16" s="15"/>
      <c r="G16" s="10"/>
      <c r="H16" s="16">
        <v>311</v>
      </c>
      <c r="I16" s="10"/>
      <c r="J16" s="15">
        <v>390</v>
      </c>
      <c r="K16" s="10"/>
      <c r="L16" s="15">
        <v>280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71</v>
      </c>
      <c r="C17" s="10"/>
      <c r="D17" s="15">
        <v>10</v>
      </c>
      <c r="E17" s="10"/>
      <c r="F17" s="15"/>
      <c r="G17" s="10"/>
      <c r="H17" s="16">
        <v>231</v>
      </c>
      <c r="I17" s="10"/>
      <c r="J17" s="15">
        <v>269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74</v>
      </c>
      <c r="I18" s="10"/>
      <c r="J18" s="15">
        <v>171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10</v>
      </c>
      <c r="C19" s="10"/>
      <c r="D19" s="15"/>
      <c r="E19" s="10"/>
      <c r="F19" s="15"/>
      <c r="G19" s="10"/>
      <c r="H19" s="16">
        <v>95</v>
      </c>
      <c r="I19" s="10"/>
      <c r="J19" s="15">
        <v>139</v>
      </c>
      <c r="K19" s="10"/>
      <c r="L19" s="15">
        <v>5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121</v>
      </c>
      <c r="I20" s="10"/>
      <c r="J20" s="15">
        <v>243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60</v>
      </c>
      <c r="C21" s="10"/>
      <c r="D21" s="15"/>
      <c r="E21" s="10"/>
      <c r="F21" s="15"/>
      <c r="G21" s="10"/>
      <c r="H21" s="16">
        <v>231</v>
      </c>
      <c r="I21" s="10"/>
      <c r="J21" s="15">
        <v>310</v>
      </c>
      <c r="K21" s="10"/>
      <c r="L21" s="15">
        <v>180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125</v>
      </c>
      <c r="I22" s="10"/>
      <c r="J22" s="15">
        <v>580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15</v>
      </c>
      <c r="C23" s="10"/>
      <c r="D23" s="15">
        <v>2</v>
      </c>
      <c r="E23" s="10"/>
      <c r="F23" s="15"/>
      <c r="G23" s="10"/>
      <c r="H23" s="16">
        <v>260</v>
      </c>
      <c r="I23" s="10"/>
      <c r="J23" s="15">
        <v>160</v>
      </c>
      <c r="K23" s="10"/>
      <c r="L23" s="15">
        <v>80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35</v>
      </c>
      <c r="C24" s="10"/>
      <c r="D24" s="15"/>
      <c r="E24" s="10"/>
      <c r="F24" s="15"/>
      <c r="G24" s="10"/>
      <c r="H24" s="16">
        <v>115</v>
      </c>
      <c r="I24" s="10"/>
      <c r="J24" s="15">
        <v>60</v>
      </c>
      <c r="K24" s="10"/>
      <c r="L24" s="15">
        <v>120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45</v>
      </c>
      <c r="C25" s="10"/>
      <c r="D25" s="15"/>
      <c r="E25" s="10"/>
      <c r="F25" s="15"/>
      <c r="G25" s="10"/>
      <c r="H25" s="16">
        <v>102</v>
      </c>
      <c r="I25" s="10"/>
      <c r="J25" s="15">
        <v>325</v>
      </c>
      <c r="K25" s="10"/>
      <c r="L25" s="15">
        <v>30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160</v>
      </c>
      <c r="I26" s="10"/>
      <c r="J26" s="15">
        <v>98</v>
      </c>
      <c r="K26" s="10"/>
      <c r="L26" s="15">
        <v>10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95</v>
      </c>
      <c r="I27" s="10"/>
      <c r="J27" s="15">
        <v>205</v>
      </c>
      <c r="K27" s="10"/>
      <c r="L27" s="15">
        <v>40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275</v>
      </c>
      <c r="C28" s="10"/>
      <c r="D28" s="15"/>
      <c r="E28" s="10"/>
      <c r="F28" s="15"/>
      <c r="G28" s="10"/>
      <c r="H28" s="16">
        <v>203</v>
      </c>
      <c r="I28" s="10"/>
      <c r="J28" s="15">
        <v>120</v>
      </c>
      <c r="K28" s="10"/>
      <c r="L28" s="15">
        <v>34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78</v>
      </c>
      <c r="I29" s="10"/>
      <c r="J29" s="15">
        <v>88</v>
      </c>
      <c r="K29" s="10"/>
      <c r="L29" s="15">
        <v>276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30</v>
      </c>
      <c r="C30" s="10"/>
      <c r="D30" s="15"/>
      <c r="E30" s="10"/>
      <c r="F30" s="15"/>
      <c r="G30" s="10"/>
      <c r="H30" s="16">
        <v>172</v>
      </c>
      <c r="I30" s="10"/>
      <c r="J30" s="15">
        <v>233</v>
      </c>
      <c r="K30" s="10"/>
      <c r="L30" s="15">
        <v>311</v>
      </c>
      <c r="M30" s="10">
        <v>314</v>
      </c>
      <c r="N30" s="15"/>
      <c r="O30" s="10"/>
    </row>
    <row r="31" spans="1:15" s="8" customFormat="1" ht="19.899999999999999" customHeight="1" x14ac:dyDescent="0.25">
      <c r="A31" s="11">
        <v>25</v>
      </c>
      <c r="B31" s="15">
        <v>10</v>
      </c>
      <c r="C31" s="10"/>
      <c r="D31" s="15"/>
      <c r="E31" s="10"/>
      <c r="F31" s="15"/>
      <c r="G31" s="10"/>
      <c r="H31" s="16">
        <v>143</v>
      </c>
      <c r="I31" s="10"/>
      <c r="J31" s="15">
        <v>174</v>
      </c>
      <c r="K31" s="10"/>
      <c r="L31" s="15">
        <v>35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16</v>
      </c>
      <c r="C32" s="10"/>
      <c r="D32" s="15"/>
      <c r="E32" s="10"/>
      <c r="F32" s="15"/>
      <c r="G32" s="10"/>
      <c r="H32" s="16">
        <v>88</v>
      </c>
      <c r="I32" s="10"/>
      <c r="J32" s="15">
        <v>329</v>
      </c>
      <c r="K32" s="10"/>
      <c r="L32" s="15">
        <v>554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47</v>
      </c>
      <c r="I33" s="10"/>
      <c r="J33" s="15">
        <v>50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71</v>
      </c>
      <c r="I34" s="10"/>
      <c r="J34" s="15">
        <v>90</v>
      </c>
      <c r="K34" s="10"/>
      <c r="L34" s="15">
        <v>35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40</v>
      </c>
      <c r="I35" s="10"/>
      <c r="J35" s="15">
        <v>20</v>
      </c>
      <c r="K35" s="10"/>
      <c r="L35" s="15">
        <v>20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50</v>
      </c>
      <c r="C36" s="10"/>
      <c r="D36" s="15"/>
      <c r="E36" s="10"/>
      <c r="F36" s="15">
        <v>7</v>
      </c>
      <c r="G36" s="10"/>
      <c r="H36" s="16">
        <v>85</v>
      </c>
      <c r="I36" s="10"/>
      <c r="J36" s="15">
        <v>153</v>
      </c>
      <c r="K36" s="10"/>
      <c r="L36" s="15">
        <v>150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1120</v>
      </c>
      <c r="C38" s="12"/>
      <c r="D38" s="12">
        <f t="shared" ref="D38:N38" si="0">SUM(D7:D37)</f>
        <v>12</v>
      </c>
      <c r="E38" s="12"/>
      <c r="F38" s="12">
        <f t="shared" si="0"/>
        <v>7</v>
      </c>
      <c r="G38" s="12"/>
      <c r="H38" s="12">
        <f t="shared" si="0"/>
        <v>4152</v>
      </c>
      <c r="I38" s="12"/>
      <c r="J38" s="12">
        <f t="shared" si="0"/>
        <v>6282</v>
      </c>
      <c r="K38" s="12"/>
      <c r="L38" s="12">
        <f t="shared" si="0"/>
        <v>3224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6876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4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8</v>
      </c>
      <c r="C7" s="10"/>
      <c r="D7" s="15"/>
      <c r="E7" s="10"/>
      <c r="F7" s="15"/>
      <c r="G7" s="10"/>
      <c r="H7" s="16">
        <v>136</v>
      </c>
      <c r="I7" s="10"/>
      <c r="J7" s="15">
        <v>154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47</v>
      </c>
      <c r="I8" s="10"/>
      <c r="J8" s="15">
        <v>145</v>
      </c>
      <c r="K8" s="10"/>
      <c r="L8" s="15">
        <v>452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90</v>
      </c>
      <c r="C9" s="10"/>
      <c r="D9" s="15"/>
      <c r="E9" s="10"/>
      <c r="F9" s="15"/>
      <c r="G9" s="10"/>
      <c r="H9" s="16">
        <v>95</v>
      </c>
      <c r="I9" s="10"/>
      <c r="J9" s="15">
        <v>150</v>
      </c>
      <c r="K9" s="10"/>
      <c r="L9" s="15"/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45</v>
      </c>
      <c r="C10" s="10"/>
      <c r="D10" s="15"/>
      <c r="E10" s="10"/>
      <c r="F10" s="15"/>
      <c r="G10" s="10"/>
      <c r="H10" s="16">
        <v>174</v>
      </c>
      <c r="I10" s="10"/>
      <c r="J10" s="15">
        <v>210</v>
      </c>
      <c r="K10" s="10"/>
      <c r="L10" s="15">
        <v>55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37</v>
      </c>
      <c r="C11" s="10"/>
      <c r="D11" s="15"/>
      <c r="E11" s="10"/>
      <c r="F11" s="15"/>
      <c r="G11" s="10"/>
      <c r="H11" s="16">
        <v>167</v>
      </c>
      <c r="I11" s="10"/>
      <c r="J11" s="15">
        <v>254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15</v>
      </c>
      <c r="C12" s="10"/>
      <c r="D12" s="15"/>
      <c r="E12" s="10"/>
      <c r="F12" s="15"/>
      <c r="G12" s="10"/>
      <c r="H12" s="16">
        <v>143</v>
      </c>
      <c r="I12" s="10"/>
      <c r="J12" s="15">
        <v>246</v>
      </c>
      <c r="K12" s="10"/>
      <c r="L12" s="15">
        <v>25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/>
      <c r="C13" s="10"/>
      <c r="D13" s="15"/>
      <c r="E13" s="10"/>
      <c r="F13" s="15"/>
      <c r="G13" s="10"/>
      <c r="H13" s="16">
        <v>13</v>
      </c>
      <c r="I13" s="10"/>
      <c r="J13" s="15">
        <v>50</v>
      </c>
      <c r="K13" s="10"/>
      <c r="L13" s="15"/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>
        <v>47</v>
      </c>
      <c r="C14" s="10"/>
      <c r="D14" s="15"/>
      <c r="E14" s="10"/>
      <c r="F14" s="15"/>
      <c r="G14" s="10"/>
      <c r="H14" s="16">
        <v>303</v>
      </c>
      <c r="I14" s="10"/>
      <c r="J14" s="15">
        <v>354</v>
      </c>
      <c r="K14" s="10"/>
      <c r="L14" s="15">
        <v>207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110</v>
      </c>
      <c r="I15" s="10"/>
      <c r="J15" s="15">
        <v>115</v>
      </c>
      <c r="K15" s="10"/>
      <c r="L15" s="15">
        <v>70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94</v>
      </c>
      <c r="I16" s="10"/>
      <c r="J16" s="15">
        <v>188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10</v>
      </c>
      <c r="C17" s="10"/>
      <c r="D17" s="15"/>
      <c r="E17" s="10"/>
      <c r="F17" s="15"/>
      <c r="G17" s="10"/>
      <c r="H17" s="16">
        <v>218</v>
      </c>
      <c r="I17" s="10"/>
      <c r="J17" s="15">
        <v>297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126</v>
      </c>
      <c r="I18" s="10"/>
      <c r="J18" s="15">
        <v>200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15</v>
      </c>
      <c r="C19" s="10"/>
      <c r="D19" s="15"/>
      <c r="E19" s="10"/>
      <c r="F19" s="15"/>
      <c r="G19" s="10"/>
      <c r="H19" s="16">
        <v>58</v>
      </c>
      <c r="I19" s="10"/>
      <c r="J19" s="15">
        <v>122</v>
      </c>
      <c r="K19" s="10"/>
      <c r="L19" s="15"/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12</v>
      </c>
      <c r="C20" s="10"/>
      <c r="D20" s="15"/>
      <c r="E20" s="10"/>
      <c r="F20" s="15"/>
      <c r="G20" s="10"/>
      <c r="H20" s="16">
        <v>140</v>
      </c>
      <c r="I20" s="10"/>
      <c r="J20" s="15">
        <v>200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50</v>
      </c>
      <c r="C21" s="10"/>
      <c r="D21" s="15"/>
      <c r="E21" s="10"/>
      <c r="F21" s="15"/>
      <c r="G21" s="10"/>
      <c r="H21" s="16">
        <v>203</v>
      </c>
      <c r="I21" s="10"/>
      <c r="J21" s="15">
        <v>327</v>
      </c>
      <c r="K21" s="10"/>
      <c r="L21" s="15">
        <v>150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>
        <v>60</v>
      </c>
      <c r="C22" s="10"/>
      <c r="D22" s="15"/>
      <c r="E22" s="10"/>
      <c r="F22" s="15"/>
      <c r="G22" s="10"/>
      <c r="H22" s="16">
        <v>141</v>
      </c>
      <c r="I22" s="10"/>
      <c r="J22" s="15">
        <v>250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133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217</v>
      </c>
      <c r="C24" s="10"/>
      <c r="D24" s="15"/>
      <c r="E24" s="10"/>
      <c r="F24" s="15"/>
      <c r="G24" s="10"/>
      <c r="H24" s="16">
        <v>682</v>
      </c>
      <c r="I24" s="10"/>
      <c r="J24" s="15">
        <v>382</v>
      </c>
      <c r="K24" s="10"/>
      <c r="L24" s="15"/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30</v>
      </c>
      <c r="C25" s="10"/>
      <c r="D25" s="15"/>
      <c r="E25" s="10"/>
      <c r="F25" s="15"/>
      <c r="G25" s="10"/>
      <c r="H25" s="16">
        <v>616</v>
      </c>
      <c r="I25" s="10"/>
      <c r="J25" s="15">
        <v>148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57</v>
      </c>
      <c r="C26" s="10"/>
      <c r="D26" s="15"/>
      <c r="E26" s="10"/>
      <c r="F26" s="15"/>
      <c r="G26" s="10"/>
      <c r="H26" s="16">
        <v>155</v>
      </c>
      <c r="I26" s="10"/>
      <c r="J26" s="15">
        <v>367</v>
      </c>
      <c r="K26" s="10"/>
      <c r="L26" s="15"/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>
        <v>47</v>
      </c>
      <c r="C27" s="10"/>
      <c r="D27" s="15"/>
      <c r="E27" s="10"/>
      <c r="F27" s="15"/>
      <c r="G27" s="10"/>
      <c r="H27" s="16">
        <v>265</v>
      </c>
      <c r="I27" s="10"/>
      <c r="J27" s="15">
        <v>146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137</v>
      </c>
      <c r="C28" s="10"/>
      <c r="D28" s="15"/>
      <c r="E28" s="10"/>
      <c r="F28" s="15"/>
      <c r="G28" s="10"/>
      <c r="H28" s="16">
        <v>202</v>
      </c>
      <c r="I28" s="10"/>
      <c r="J28" s="15">
        <v>198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119</v>
      </c>
      <c r="C29" s="10"/>
      <c r="D29" s="15"/>
      <c r="E29" s="10"/>
      <c r="F29" s="15"/>
      <c r="G29" s="10"/>
      <c r="H29" s="16">
        <v>191</v>
      </c>
      <c r="I29" s="10"/>
      <c r="J29" s="15">
        <v>202</v>
      </c>
      <c r="K29" s="10"/>
      <c r="L29" s="15"/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61</v>
      </c>
      <c r="C30" s="10"/>
      <c r="D30" s="15"/>
      <c r="E30" s="10"/>
      <c r="F30" s="15"/>
      <c r="G30" s="10"/>
      <c r="H30" s="16">
        <v>144</v>
      </c>
      <c r="I30" s="10"/>
      <c r="J30" s="15">
        <v>230</v>
      </c>
      <c r="K30" s="10"/>
      <c r="L30" s="15"/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5</v>
      </c>
      <c r="C31" s="10"/>
      <c r="D31" s="15"/>
      <c r="E31" s="10"/>
      <c r="F31" s="15"/>
      <c r="G31" s="10"/>
      <c r="H31" s="16">
        <v>153</v>
      </c>
      <c r="I31" s="10"/>
      <c r="J31" s="15">
        <v>110</v>
      </c>
      <c r="K31" s="10"/>
      <c r="L31" s="15">
        <v>402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107</v>
      </c>
      <c r="C32" s="10"/>
      <c r="D32" s="15"/>
      <c r="E32" s="10"/>
      <c r="F32" s="15"/>
      <c r="G32" s="10"/>
      <c r="H32" s="16">
        <v>332</v>
      </c>
      <c r="I32" s="10"/>
      <c r="J32" s="15">
        <v>299</v>
      </c>
      <c r="K32" s="10"/>
      <c r="L32" s="15">
        <v>30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32</v>
      </c>
      <c r="C33" s="10"/>
      <c r="D33" s="15"/>
      <c r="E33" s="10"/>
      <c r="F33" s="15"/>
      <c r="G33" s="10"/>
      <c r="H33" s="16">
        <v>157</v>
      </c>
      <c r="I33" s="10"/>
      <c r="J33" s="15">
        <v>163</v>
      </c>
      <c r="K33" s="10"/>
      <c r="L33" s="15">
        <v>40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>
        <v>47</v>
      </c>
      <c r="C34" s="10"/>
      <c r="D34" s="15"/>
      <c r="E34" s="10"/>
      <c r="F34" s="15"/>
      <c r="G34" s="10"/>
      <c r="H34" s="16">
        <v>107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>
        <v>45</v>
      </c>
      <c r="C35" s="10"/>
      <c r="D35" s="15"/>
      <c r="E35" s="10"/>
      <c r="F35" s="15"/>
      <c r="G35" s="10"/>
      <c r="H35" s="16">
        <v>177</v>
      </c>
      <c r="I35" s="10"/>
      <c r="J35" s="15">
        <v>199</v>
      </c>
      <c r="K35" s="10"/>
      <c r="L35" s="15">
        <v>210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107</v>
      </c>
      <c r="C36" s="10"/>
      <c r="D36" s="15"/>
      <c r="E36" s="10"/>
      <c r="F36" s="15"/>
      <c r="G36" s="10"/>
      <c r="H36" s="16">
        <v>177</v>
      </c>
      <c r="I36" s="10"/>
      <c r="J36" s="15">
        <v>352</v>
      </c>
      <c r="K36" s="10"/>
      <c r="L36" s="15"/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30</v>
      </c>
      <c r="C37" s="10"/>
      <c r="D37" s="15"/>
      <c r="E37" s="10"/>
      <c r="F37" s="15"/>
      <c r="G37" s="10"/>
      <c r="H37" s="16">
        <v>91</v>
      </c>
      <c r="I37" s="10"/>
      <c r="J37" s="15">
        <v>100</v>
      </c>
      <c r="K37" s="10"/>
      <c r="L37" s="15">
        <v>70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1430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 t="shared" si="0"/>
        <v>5750</v>
      </c>
      <c r="I38" s="12"/>
      <c r="J38" s="12">
        <f t="shared" si="0"/>
        <v>6313</v>
      </c>
      <c r="K38" s="12"/>
      <c r="L38" s="12">
        <f t="shared" si="0"/>
        <v>1711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6961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Import Data</vt:lpstr>
      <vt:lpstr>Waste Record - April</vt:lpstr>
      <vt:lpstr>Waste Record - May</vt:lpstr>
      <vt:lpstr>Waste Record - June</vt:lpstr>
      <vt:lpstr>Waste Record - July</vt:lpstr>
      <vt:lpstr>Waste Record - August</vt:lpstr>
      <vt:lpstr>Waste Record - Sep</vt:lpstr>
      <vt:lpstr>Waste Record -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2022-11-11T07:00:14Z</dcterms:modified>
</cp:coreProperties>
</file>