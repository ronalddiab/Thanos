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706" documentId="8_{5B502D95-7A37-4D5A-8B6B-374537CC2F26}" xr6:coauthVersionLast="47" xr6:coauthVersionMax="47" xr10:uidLastSave="{3BEED8A5-E36C-421E-ABFA-52E7CF68B143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2" l="1"/>
  <c r="V27" i="2"/>
  <c r="V28" i="2"/>
  <c r="N27" i="2"/>
  <c r="N28" i="2"/>
  <c r="N29" i="2"/>
  <c r="M27" i="2"/>
  <c r="M28" i="2"/>
  <c r="M29" i="2"/>
  <c r="L27" i="2"/>
  <c r="L28" i="2"/>
  <c r="L29" i="2"/>
  <c r="F27" i="2"/>
  <c r="F28" i="2"/>
  <c r="F29" i="2"/>
  <c r="G23" i="4"/>
  <c r="E23" i="4"/>
  <c r="C23" i="4"/>
  <c r="G22" i="4"/>
  <c r="E22" i="4"/>
  <c r="C22" i="4"/>
  <c r="G21" i="4"/>
  <c r="E21" i="4"/>
  <c r="C21" i="4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V25" i="2"/>
  <c r="N26" i="2"/>
  <c r="M26" i="2"/>
  <c r="L26" i="2"/>
  <c r="F26" i="2"/>
  <c r="K25" i="6"/>
  <c r="I25" i="6"/>
  <c r="G25" i="6"/>
  <c r="E25" i="6"/>
  <c r="C25" i="6"/>
  <c r="V23" i="2"/>
  <c r="V24" i="2"/>
  <c r="N24" i="2"/>
  <c r="N25" i="2"/>
  <c r="M24" i="2"/>
  <c r="M25" i="2"/>
  <c r="L24" i="2"/>
  <c r="L25" i="2"/>
  <c r="F24" i="2"/>
  <c r="F25" i="2"/>
  <c r="K24" i="6"/>
  <c r="I24" i="6"/>
  <c r="G24" i="6"/>
  <c r="E24" i="6"/>
  <c r="C24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5" i="6"/>
  <c r="K16" i="6"/>
  <c r="I16" i="6"/>
  <c r="I15" i="6"/>
  <c r="G15" i="6"/>
  <c r="G16" i="6"/>
  <c r="E15" i="6"/>
  <c r="E16" i="6"/>
  <c r="C15" i="6"/>
  <c r="C16" i="6"/>
  <c r="V12" i="2"/>
  <c r="V13" i="2"/>
  <c r="V14" i="2"/>
  <c r="N13" i="2"/>
  <c r="N14" i="2"/>
  <c r="N15" i="2"/>
  <c r="M13" i="2"/>
  <c r="M14" i="2"/>
  <c r="M15" i="2"/>
  <c r="L13" i="2"/>
  <c r="L14" i="2"/>
  <c r="L15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M4" i="4"/>
  <c r="M5" i="4"/>
  <c r="M6" i="4"/>
  <c r="M7" i="4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X39" i="2"/>
  <c r="O39" i="2"/>
  <c r="Q39" i="2"/>
  <c r="H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40" i="2"/>
  <c r="G30" i="22"/>
  <c r="P39" i="4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24" i="4"/>
  <c r="G26" i="4"/>
  <c r="E8" i="4"/>
  <c r="E12" i="4"/>
  <c r="E13" i="4"/>
  <c r="E14" i="4"/>
  <c r="E15" i="4"/>
  <c r="E16" i="4"/>
  <c r="E17" i="4"/>
  <c r="E24" i="4"/>
  <c r="E26" i="4"/>
  <c r="C8" i="4"/>
  <c r="C12" i="4"/>
  <c r="C13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8" i="4" l="1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X10" i="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<sst xmlns="http://schemas.openxmlformats.org/spreadsheetml/2006/main" count="478" uniqueCount="186">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</sst>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  <c:pt idx="8">
                  <c:v>77.599999999976717</c:v>
                </c:pt>
                <c:pt idx="9">
                  <c:v>71.800000000017462</c:v>
                </c:pt>
                <c:pt idx="10">
                  <c:v>62.5</c:v>
                </c:pt>
                <c:pt idx="11">
                  <c:v>58.399999999994179</c:v>
                </c:pt>
                <c:pt idx="12">
                  <c:v>54.799999999988358</c:v>
                </c:pt>
                <c:pt idx="13">
                  <c:v>66.700000000011642</c:v>
                </c:pt>
                <c:pt idx="14">
                  <c:v>79.600000000005821</c:v>
                </c:pt>
                <c:pt idx="15">
                  <c:v>85.699999999982538</c:v>
                </c:pt>
                <c:pt idx="16">
                  <c:v>79.5</c:v>
                </c:pt>
                <c:pt idx="17">
                  <c:v>66.900000000023283</c:v>
                </c:pt>
                <c:pt idx="18">
                  <c:v>66.699999999982538</c:v>
                </c:pt>
                <c:pt idx="19">
                  <c:v>66.100000000005821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  <c:pt idx="8">
                  <c:v>2727</c:v>
                </c:pt>
                <c:pt idx="9">
                  <c:v>2826</c:v>
                </c:pt>
                <c:pt idx="10">
                  <c:v>2681</c:v>
                </c:pt>
                <c:pt idx="11">
                  <c:v>2765</c:v>
                </c:pt>
                <c:pt idx="12">
                  <c:v>2771</c:v>
                </c:pt>
                <c:pt idx="13">
                  <c:v>2051</c:v>
                </c:pt>
                <c:pt idx="14">
                  <c:v>2489</c:v>
                </c:pt>
                <c:pt idx="15">
                  <c:v>2765</c:v>
                </c:pt>
                <c:pt idx="16">
                  <c:v>2723</c:v>
                </c:pt>
                <c:pt idx="17">
                  <c:v>2566</c:v>
                </c:pt>
                <c:pt idx="18">
                  <c:v>2664</c:v>
                </c:pt>
                <c:pt idx="19">
                  <c:v>2552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  <c:pt idx="8">
                  <c:v>3928</c:v>
                </c:pt>
                <c:pt idx="9">
                  <c:v>3807</c:v>
                </c:pt>
                <c:pt idx="10">
                  <c:v>3705</c:v>
                </c:pt>
                <c:pt idx="11">
                  <c:v>3389</c:v>
                </c:pt>
                <c:pt idx="12">
                  <c:v>3503</c:v>
                </c:pt>
                <c:pt idx="13">
                  <c:v>3453</c:v>
                </c:pt>
                <c:pt idx="14">
                  <c:v>3611</c:v>
                </c:pt>
                <c:pt idx="15">
                  <c:v>3982</c:v>
                </c:pt>
                <c:pt idx="16">
                  <c:v>3811</c:v>
                </c:pt>
                <c:pt idx="17">
                  <c:v>3589</c:v>
                </c:pt>
                <c:pt idx="18">
                  <c:v>3555</c:v>
                </c:pt>
                <c:pt idx="19">
                  <c:v>3406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  <c:pt idx="8">
                  <c:v>1887</c:v>
                </c:pt>
                <c:pt idx="9">
                  <c:v>1739</c:v>
                </c:pt>
                <c:pt idx="10">
                  <c:v>1649</c:v>
                </c:pt>
                <c:pt idx="11">
                  <c:v>1598</c:v>
                </c:pt>
                <c:pt idx="12">
                  <c:v>1617</c:v>
                </c:pt>
                <c:pt idx="13">
                  <c:v>1630</c:v>
                </c:pt>
                <c:pt idx="14">
                  <c:v>1693</c:v>
                </c:pt>
                <c:pt idx="15">
                  <c:v>1891</c:v>
                </c:pt>
                <c:pt idx="16">
                  <c:v>1680</c:v>
                </c:pt>
                <c:pt idx="17">
                  <c:v>1650</c:v>
                </c:pt>
                <c:pt idx="18">
                  <c:v>1967</c:v>
                </c:pt>
                <c:pt idx="19">
                  <c:v>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383.99052</c:v>
                </c:pt>
                <c:pt idx="8">
                  <c:v>287.99288999999999</c:v>
                </c:pt>
                <c:pt idx="9">
                  <c:v>159.99605</c:v>
                </c:pt>
                <c:pt idx="10">
                  <c:v>319.99209999999999</c:v>
                </c:pt>
                <c:pt idx="11">
                  <c:v>383.99052</c:v>
                </c:pt>
                <c:pt idx="12">
                  <c:v>159.99605</c:v>
                </c:pt>
                <c:pt idx="13">
                  <c:v>511.98736000000002</c:v>
                </c:pt>
                <c:pt idx="14">
                  <c:v>63.998420000000003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415.98973000000001</c:v>
                </c:pt>
                <c:pt idx="18">
                  <c:v>447.98894000000001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383.99052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8</v>
      </c>
      <c r="L9" s="137">
        <f>'Consommation mensuel énergie'!E17</f>
        <v>12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8542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77.599999999976717</v>
      </c>
      <c r="J10" s="134">
        <v>11.4</v>
      </c>
      <c r="K10" s="137">
        <f>'Consommation mensuel énergie'!D18</f>
        <v>11</v>
      </c>
      <c r="L10" s="137">
        <f>'Consommation mensuel énergie'!E18</f>
        <v>16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8372</v>
      </c>
      <c r="F11" s="134">
        <v>1.05</v>
      </c>
      <c r="G11" s="134">
        <f>'Consommation mensuel énergie'!V20</f>
        <v>319.99209999999999</v>
      </c>
      <c r="H11" s="134">
        <v>9.9649999999999999</v>
      </c>
      <c r="I11" s="134">
        <f>'Consommation mensuel énergie'!F19</f>
        <v>71.800000000017462</v>
      </c>
      <c r="J11" s="134">
        <v>11.4</v>
      </c>
      <c r="K11" s="137">
        <f>'Consommation mensuel énergie'!D19</f>
        <v>14</v>
      </c>
      <c r="L11" s="137">
        <f>'Consommation mensuel énergie'!E19</f>
        <v>24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8035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62.5</v>
      </c>
      <c r="J12" s="134">
        <v>11.4</v>
      </c>
      <c r="K12" s="137">
        <f>'Consommation mensuel énergie'!D20</f>
        <v>28</v>
      </c>
      <c r="L12" s="137">
        <f>'Consommation mensuel énergie'!E20</f>
        <v>55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7752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58.399999999994179</v>
      </c>
      <c r="J13" s="134">
        <v>11.4</v>
      </c>
      <c r="K13" s="137">
        <f>'Consommation mensuel énergie'!D21</f>
        <v>14</v>
      </c>
      <c r="L13" s="137">
        <f>'Consommation mensuel énergie'!E21</f>
        <v>24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7891</v>
      </c>
      <c r="F14" s="134">
        <v>1.05</v>
      </c>
      <c r="G14" s="134">
        <f>'Consommation mensuel énergie'!V23</f>
        <v>511.98736000000002</v>
      </c>
      <c r="H14" s="134">
        <v>9.9649999999999999</v>
      </c>
      <c r="I14" s="134">
        <f>'Consommation mensuel énergie'!F22</f>
        <v>54.799999999988358</v>
      </c>
      <c r="J14" s="134">
        <v>11.4</v>
      </c>
      <c r="K14" s="137">
        <f>'Consommation mensuel énergie'!D22</f>
        <v>12</v>
      </c>
      <c r="L14" s="137">
        <f>'Consommation mensuel énergie'!E22</f>
        <v>23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7134</v>
      </c>
      <c r="F15" s="134">
        <v>1.05</v>
      </c>
      <c r="G15" s="134">
        <f>'Consommation mensuel énergie'!V24</f>
        <v>63.998420000000003</v>
      </c>
      <c r="H15" s="134">
        <v>9.9649999999999999</v>
      </c>
      <c r="I15" s="134">
        <f>'Consommation mensuel énergie'!F23</f>
        <v>66.700000000011642</v>
      </c>
      <c r="J15" s="134">
        <v>11.4</v>
      </c>
      <c r="K15" s="137">
        <f>'Consommation mensuel énergie'!D23</f>
        <v>11</v>
      </c>
      <c r="L15" s="137">
        <f>'Consommation mensuel énergie'!E23</f>
        <v>22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7793</v>
      </c>
      <c r="F16" s="134">
        <v>1.05</v>
      </c>
      <c r="G16" s="134">
        <f>'Consommation mensuel énergie'!V25</f>
        <v>223.99447000000001</v>
      </c>
      <c r="H16" s="134">
        <v>9.9649999999999999</v>
      </c>
      <c r="I16" s="134">
        <f>'Consommation mensuel énergie'!F24</f>
        <v>79.600000000005821</v>
      </c>
      <c r="J16" s="134">
        <v>11.4</v>
      </c>
      <c r="K16" s="137">
        <f>'Consommation mensuel énergie'!D24</f>
        <v>11</v>
      </c>
      <c r="L16" s="137">
        <f>'Consommation mensuel énergie'!E24</f>
        <v>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8638</v>
      </c>
      <c r="F17" s="134">
        <v>1.05</v>
      </c>
      <c r="G17" s="134">
        <f>'Consommation mensuel énergie'!V26</f>
        <v>191.99526</v>
      </c>
      <c r="H17" s="134">
        <v>9.9649999999999999</v>
      </c>
      <c r="I17" s="134">
        <f>'Consommation mensuel énergie'!F25</f>
        <v>85.699999999982538</v>
      </c>
      <c r="J17" s="134">
        <v>11.4</v>
      </c>
      <c r="K17" s="137">
        <f>'Consommation mensuel énergie'!D25</f>
        <v>19</v>
      </c>
      <c r="L17" s="137">
        <f>'Consommation mensuel énergie'!E25</f>
        <v>31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8214</v>
      </c>
      <c r="F18" s="134">
        <v>1.05</v>
      </c>
      <c r="G18" s="134">
        <f>'Consommation mensuel énergie'!V27</f>
        <v>415.98973000000001</v>
      </c>
      <c r="H18" s="134">
        <v>9.9649999999999999</v>
      </c>
      <c r="I18" s="134">
        <f>'Consommation mensuel énergie'!F26</f>
        <v>79.5</v>
      </c>
      <c r="J18" s="134">
        <v>11.4</v>
      </c>
      <c r="K18" s="137">
        <f>'Consommation mensuel énergie'!D26</f>
        <v>22</v>
      </c>
      <c r="L18" s="137">
        <f>'Consommation mensuel énergie'!E26</f>
        <v>38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7805</v>
      </c>
      <c r="F19" s="134">
        <v>1.05</v>
      </c>
      <c r="G19" s="134">
        <f>'Consommation mensuel énergie'!V28</f>
        <v>447.98894000000001</v>
      </c>
      <c r="H19" s="134">
        <v>9.9649999999999999</v>
      </c>
      <c r="I19" s="134">
        <f>'Consommation mensuel énergie'!F27</f>
        <v>66.900000000023283</v>
      </c>
      <c r="J19" s="134">
        <v>11.4</v>
      </c>
      <c r="K19" s="137">
        <f>'Consommation mensuel énergie'!D27</f>
        <v>21</v>
      </c>
      <c r="L19" s="137">
        <f>'Consommation mensuel énergie'!E27</f>
        <v>38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8186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66.699999999982538</v>
      </c>
      <c r="J20" s="134">
        <v>11.4</v>
      </c>
      <c r="K20" s="137">
        <f>'Consommation mensuel énergie'!D28</f>
        <v>18</v>
      </c>
      <c r="L20" s="137">
        <f>'Consommation mensuel énergie'!E28</f>
        <v>26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7560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66.100000000005821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5824.3401399999993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8</v>
      </c>
      <c r="I9" s="137">
        <f>'Consommation mensuel énergie'!E17</f>
        <v>12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2727</v>
      </c>
      <c r="F10" s="137">
        <f>'Consommation mensuel énergie'!M18</f>
        <v>3928</v>
      </c>
      <c r="G10" s="137">
        <f>'Consommation mensuel énergie'!N18</f>
        <v>1887</v>
      </c>
      <c r="H10" s="137">
        <f>'Consommation mensuel énergie'!D18</f>
        <v>11</v>
      </c>
      <c r="I10" s="137">
        <f>'Consommation mensuel énergie'!E18</f>
        <v>16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2826</v>
      </c>
      <c r="F11" s="137">
        <f>'Consommation mensuel énergie'!M19</f>
        <v>3807</v>
      </c>
      <c r="G11" s="137">
        <f>'Consommation mensuel énergie'!N19</f>
        <v>1739</v>
      </c>
      <c r="H11" s="137">
        <f>'Consommation mensuel énergie'!D19</f>
        <v>14</v>
      </c>
      <c r="I11" s="137">
        <f>'Consommation mensuel énergie'!E19</f>
        <v>24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2681</v>
      </c>
      <c r="F12" s="137">
        <f>'Consommation mensuel énergie'!M20</f>
        <v>3705</v>
      </c>
      <c r="G12" s="137">
        <f>'Consommation mensuel énergie'!N20</f>
        <v>1649</v>
      </c>
      <c r="H12" s="137">
        <f>'Consommation mensuel énergie'!D20</f>
        <v>28</v>
      </c>
      <c r="I12" s="137">
        <f>'Consommation mensuel énergie'!E20</f>
        <v>55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2765</v>
      </c>
      <c r="F13" s="137">
        <f>'Consommation mensuel énergie'!M21</f>
        <v>3389</v>
      </c>
      <c r="G13" s="137">
        <f>'Consommation mensuel énergie'!N21</f>
        <v>1598</v>
      </c>
      <c r="H13" s="137">
        <f>'Consommation mensuel énergie'!D21</f>
        <v>14</v>
      </c>
      <c r="I13" s="137">
        <f>'Consommation mensuel énergie'!E21</f>
        <v>24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2771</v>
      </c>
      <c r="F14" s="137">
        <f>'Consommation mensuel énergie'!M22</f>
        <v>3503</v>
      </c>
      <c r="G14" s="137">
        <f>'Consommation mensuel énergie'!N22</f>
        <v>1617</v>
      </c>
      <c r="H14" s="137">
        <f>'Consommation mensuel énergie'!D22</f>
        <v>12</v>
      </c>
      <c r="I14" s="137">
        <f>'Consommation mensuel énergie'!E22</f>
        <v>23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2051</v>
      </c>
      <c r="F15" s="137">
        <f>'Consommation mensuel énergie'!M23</f>
        <v>3453</v>
      </c>
      <c r="G15" s="137">
        <f>'Consommation mensuel énergie'!N23</f>
        <v>1630</v>
      </c>
      <c r="H15" s="137">
        <f>'Consommation mensuel énergie'!D23</f>
        <v>11</v>
      </c>
      <c r="I15" s="137">
        <f>'Consommation mensuel énergie'!E23</f>
        <v>22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2489</v>
      </c>
      <c r="F16" s="137">
        <f>'Consommation mensuel énergie'!M24</f>
        <v>3611</v>
      </c>
      <c r="G16" s="137">
        <f>'Consommation mensuel énergie'!N24</f>
        <v>1693</v>
      </c>
      <c r="H16" s="137">
        <f>'Consommation mensuel énergie'!D24</f>
        <v>11</v>
      </c>
      <c r="I16" s="137">
        <f>'Consommation mensuel énergie'!E24</f>
        <v>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2765</v>
      </c>
      <c r="F17" s="137">
        <f>'Consommation mensuel énergie'!M25</f>
        <v>3982</v>
      </c>
      <c r="G17" s="137">
        <f>'Consommation mensuel énergie'!N25</f>
        <v>1891</v>
      </c>
      <c r="H17" s="137">
        <f>'Consommation mensuel énergie'!D25</f>
        <v>19</v>
      </c>
      <c r="I17" s="137">
        <f>'Consommation mensuel énergie'!E25</f>
        <v>31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2723</v>
      </c>
      <c r="F18" s="137">
        <f>'Consommation mensuel énergie'!M26</f>
        <v>3811</v>
      </c>
      <c r="G18" s="137">
        <f>'Consommation mensuel énergie'!N26</f>
        <v>1680</v>
      </c>
      <c r="H18" s="137">
        <f>'Consommation mensuel énergie'!D26</f>
        <v>22</v>
      </c>
      <c r="I18" s="137">
        <f>'Consommation mensuel énergie'!E26</f>
        <v>38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2566</v>
      </c>
      <c r="F19" s="137">
        <f>'Consommation mensuel énergie'!M27</f>
        <v>3589</v>
      </c>
      <c r="G19" s="137">
        <f>'Consommation mensuel énergie'!N27</f>
        <v>1650</v>
      </c>
      <c r="H19" s="137">
        <f>'Consommation mensuel énergie'!D27</f>
        <v>21</v>
      </c>
      <c r="I19" s="137">
        <f>'Consommation mensuel énergie'!E27</f>
        <v>38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2664</v>
      </c>
      <c r="F20" s="137">
        <f>'Consommation mensuel énergie'!M28</f>
        <v>3555</v>
      </c>
      <c r="G20" s="137">
        <f>'Consommation mensuel énergie'!N28</f>
        <v>1967</v>
      </c>
      <c r="H20" s="137">
        <f>'Consommation mensuel énergie'!D28</f>
        <v>18</v>
      </c>
      <c r="I20" s="137">
        <f>'Consommation mensuel énergie'!E28</f>
        <v>26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2552</v>
      </c>
      <c r="F21" s="137">
        <f>'Consommation mensuel énergie'!M29</f>
        <v>3406</v>
      </c>
      <c r="G21" s="137">
        <f>'Consommation mensuel énergie'!N29</f>
        <v>1602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H23" activePane="bottomRight" state="frozen"/>
      <selection pane="bottomRight" activeCell="V25" sqref="V25:V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V10*10.491</f>
        <v>8056.8890906400002</v>
      </c>
    </row>
    <row r="11" spans="1:24" ht="32.25" customHeight="1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V11*10.491</f>
        <v>2014.22227266</v>
      </c>
    </row>
    <row r="12" spans="1:24" ht="32.25" customHeight="1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2014.22227266</v>
      </c>
    </row>
    <row r="13" spans="1:24" ht="32.25" customHeight="1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2690.7065015999997</v>
      </c>
    </row>
    <row r="14" spans="1:24" ht="32.25" customHeight="1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5706.9631058699997</v>
      </c>
    </row>
    <row r="15" spans="1:24" ht="32.25" customHeight="1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2349.92598477</v>
      </c>
    </row>
    <row r="16" spans="1:24" ht="32.25" customHeight="1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6">
        <f t="shared" si="0"/>
        <v>819.22800000010227</v>
      </c>
      <c r="I16" s="167"/>
      <c r="J16" s="167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1007.11113633</v>
      </c>
    </row>
    <row r="17" spans="1:24" s="5" customFormat="1" ht="32.25" customHeight="1">
      <c r="A17" s="2"/>
      <c r="B17" s="6">
        <v>44538</v>
      </c>
      <c r="C17" s="7"/>
      <c r="D17" s="143">
        <v>8</v>
      </c>
      <c r="E17" s="143">
        <v>12</v>
      </c>
      <c r="F17" s="13">
        <f>'Suivi EAU-ELEC'!E16</f>
        <v>75.100000000005821</v>
      </c>
      <c r="G17" s="11"/>
      <c r="H17" s="166">
        <f t="shared" si="0"/>
        <v>660.12900000005106</v>
      </c>
      <c r="I17" s="167"/>
      <c r="J17" s="167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>
        <f>'Suvi Gaz'!O11</f>
        <v>383.99052</v>
      </c>
      <c r="W17" s="11"/>
      <c r="X17" s="34">
        <f t="shared" si="1"/>
        <v>4028.4445453200001</v>
      </c>
    </row>
    <row r="18" spans="1:24" ht="32.25" customHeight="1">
      <c r="A18" s="2"/>
      <c r="B18" s="6">
        <v>44539</v>
      </c>
      <c r="C18" s="7"/>
      <c r="D18" s="143">
        <v>11</v>
      </c>
      <c r="E18" s="143">
        <v>16</v>
      </c>
      <c r="F18" s="13">
        <f>'Suivi EAU-ELEC'!E17</f>
        <v>77.599999999976717</v>
      </c>
      <c r="G18" s="11"/>
      <c r="H18" s="166">
        <f t="shared" si="0"/>
        <v>682.10399999979529</v>
      </c>
      <c r="I18" s="167"/>
      <c r="J18" s="167"/>
      <c r="K18" s="60">
        <v>42286</v>
      </c>
      <c r="L18" s="90">
        <f>'Suivi EAU-ELEC'!G17</f>
        <v>2727</v>
      </c>
      <c r="M18" s="91">
        <f>'Suivi EAU-ELEC'!I17</f>
        <v>3928</v>
      </c>
      <c r="N18" s="91">
        <f>'Suivi EAU-ELEC'!K17</f>
        <v>1887</v>
      </c>
      <c r="O18" s="91">
        <f t="shared" si="2"/>
        <v>8542</v>
      </c>
      <c r="P18" s="12"/>
      <c r="Q18" s="34">
        <f t="shared" si="3"/>
        <v>8152.3734999999997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3021.33340899</v>
      </c>
    </row>
    <row r="19" spans="1:24" ht="32.25" customHeight="1">
      <c r="A19" s="2"/>
      <c r="B19" s="6">
        <v>44540</v>
      </c>
      <c r="C19" s="7"/>
      <c r="D19" s="143">
        <v>14</v>
      </c>
      <c r="E19" s="143">
        <v>24</v>
      </c>
      <c r="F19" s="13">
        <f>'Suivi EAU-ELEC'!E18</f>
        <v>71.800000000017462</v>
      </c>
      <c r="G19" s="12"/>
      <c r="H19" s="166">
        <f t="shared" si="0"/>
        <v>631.12200000015343</v>
      </c>
      <c r="I19" s="167"/>
      <c r="J19" s="167"/>
      <c r="K19" s="60">
        <v>42287</v>
      </c>
      <c r="L19" s="90">
        <f>'Suivi EAU-ELEC'!G18</f>
        <v>2826</v>
      </c>
      <c r="M19" s="91">
        <f>'Suivi EAU-ELEC'!I18</f>
        <v>3807</v>
      </c>
      <c r="N19" s="91">
        <f>'Suivi EAU-ELEC'!K18</f>
        <v>1739</v>
      </c>
      <c r="O19" s="91">
        <f t="shared" si="2"/>
        <v>8372</v>
      </c>
      <c r="P19" s="12"/>
      <c r="Q19" s="34">
        <f t="shared" si="3"/>
        <v>7909.5064000000002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1678.5185605499998</v>
      </c>
    </row>
    <row r="20" spans="1:24" ht="32.25" customHeight="1">
      <c r="A20" s="2"/>
      <c r="B20" s="6">
        <v>44541</v>
      </c>
      <c r="C20" s="7"/>
      <c r="D20" s="143">
        <v>28</v>
      </c>
      <c r="E20" s="143">
        <v>55</v>
      </c>
      <c r="F20" s="13">
        <f>'Suivi EAU-ELEC'!E19</f>
        <v>62.5</v>
      </c>
      <c r="G20" s="12"/>
      <c r="H20" s="166">
        <f t="shared" si="0"/>
        <v>549.375</v>
      </c>
      <c r="I20" s="167"/>
      <c r="J20" s="167"/>
      <c r="K20" s="60">
        <v>42288</v>
      </c>
      <c r="L20" s="90">
        <f>'Suivi EAU-ELEC'!G19</f>
        <v>2681</v>
      </c>
      <c r="M20" s="91">
        <f>'Suivi EAU-ELEC'!I19</f>
        <v>3705</v>
      </c>
      <c r="N20" s="91">
        <f>'Suivi EAU-ELEC'!K19</f>
        <v>1649</v>
      </c>
      <c r="O20" s="91">
        <f t="shared" si="2"/>
        <v>8035</v>
      </c>
      <c r="P20" s="12"/>
      <c r="Q20" s="34">
        <f t="shared" si="3"/>
        <v>7591.4450999999999</v>
      </c>
      <c r="R20" s="12"/>
      <c r="S20" s="28"/>
      <c r="T20" s="12"/>
      <c r="U20" s="28"/>
      <c r="V20" s="146">
        <f>'Suvi Gaz'!O14</f>
        <v>319.99209999999999</v>
      </c>
      <c r="W20" s="11"/>
      <c r="X20" s="34">
        <f t="shared" si="1"/>
        <v>3357.0371210999997</v>
      </c>
    </row>
    <row r="21" spans="1:24" ht="32.25" customHeight="1">
      <c r="A21" s="2"/>
      <c r="B21" s="6">
        <v>44542</v>
      </c>
      <c r="C21" s="7"/>
      <c r="D21" s="143">
        <v>14</v>
      </c>
      <c r="E21" s="143">
        <v>24</v>
      </c>
      <c r="F21" s="13">
        <f>'Suivi EAU-ELEC'!E20</f>
        <v>58.399999999994179</v>
      </c>
      <c r="G21" s="12"/>
      <c r="H21" s="166">
        <f t="shared" si="0"/>
        <v>513.33599999994874</v>
      </c>
      <c r="I21" s="167"/>
      <c r="J21" s="167"/>
      <c r="K21" s="60">
        <v>42289</v>
      </c>
      <c r="L21" s="90">
        <f>'Suivi EAU-ELEC'!G20</f>
        <v>2765</v>
      </c>
      <c r="M21" s="91">
        <f>'Suivi EAU-ELEC'!I20</f>
        <v>3389</v>
      </c>
      <c r="N21" s="91">
        <f>'Suivi EAU-ELEC'!K20</f>
        <v>1598</v>
      </c>
      <c r="O21" s="91">
        <f>L21+M21+N21</f>
        <v>7752</v>
      </c>
      <c r="P21" s="12"/>
      <c r="Q21" s="34">
        <f t="shared" si="3"/>
        <v>7281.6262999999999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4028.4445453200001</v>
      </c>
    </row>
    <row r="22" spans="1:24" ht="32.25" customHeight="1">
      <c r="A22" s="2"/>
      <c r="B22" s="6">
        <v>44543</v>
      </c>
      <c r="C22" s="7"/>
      <c r="D22" s="143">
        <v>12</v>
      </c>
      <c r="E22" s="143">
        <v>23</v>
      </c>
      <c r="F22" s="13">
        <f>'Suivi EAU-ELEC'!E21</f>
        <v>54.799999999988358</v>
      </c>
      <c r="G22" s="12"/>
      <c r="H22" s="166">
        <f t="shared" ref="H22:H35" si="4">F22*8.79</f>
        <v>481.69199999989763</v>
      </c>
      <c r="I22" s="167"/>
      <c r="J22" s="167"/>
      <c r="K22" s="60">
        <v>42290</v>
      </c>
      <c r="L22" s="90">
        <f>'Suivi EAU-ELEC'!G21</f>
        <v>2771</v>
      </c>
      <c r="M22" s="91">
        <f>'Suivi EAU-ELEC'!I21</f>
        <v>3503</v>
      </c>
      <c r="N22" s="91">
        <f>'Suivi EAU-ELEC'!K21</f>
        <v>1617</v>
      </c>
      <c r="O22" s="91">
        <f t="shared" si="2"/>
        <v>7891</v>
      </c>
      <c r="P22" s="12"/>
      <c r="Q22" s="34">
        <f t="shared" si="3"/>
        <v>7419.5545000000002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1678.5185605499998</v>
      </c>
    </row>
    <row r="23" spans="1:24" ht="32.25" customHeight="1">
      <c r="A23" s="2"/>
      <c r="B23" s="6">
        <v>44544</v>
      </c>
      <c r="C23" s="7"/>
      <c r="D23" s="143">
        <v>11</v>
      </c>
      <c r="E23" s="143">
        <v>22</v>
      </c>
      <c r="F23" s="13">
        <f>'Suivi EAU-ELEC'!E22</f>
        <v>66.700000000011642</v>
      </c>
      <c r="G23" s="14"/>
      <c r="H23" s="166">
        <f t="shared" si="4"/>
        <v>586.29300000010232</v>
      </c>
      <c r="I23" s="167"/>
      <c r="J23" s="167"/>
      <c r="K23" s="60">
        <v>42291</v>
      </c>
      <c r="L23" s="90">
        <f>'Suivi EAU-ELEC'!G22</f>
        <v>2051</v>
      </c>
      <c r="M23" s="91">
        <f>'Suivi EAU-ELEC'!I22</f>
        <v>3453</v>
      </c>
      <c r="N23" s="91">
        <f>'Suivi EAU-ELEC'!K22</f>
        <v>1630</v>
      </c>
      <c r="O23" s="91">
        <f>L23+M23+N23</f>
        <v>7134</v>
      </c>
      <c r="P23" s="12"/>
      <c r="Q23" s="34">
        <f>L23*0.6985+M23*0.9514+N23*1.3304</f>
        <v>6886.3597000000009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5371.2593937600004</v>
      </c>
    </row>
    <row r="24" spans="1:24" ht="32.25" customHeight="1">
      <c r="A24" s="2"/>
      <c r="B24" s="6">
        <v>44545</v>
      </c>
      <c r="C24" s="7"/>
      <c r="D24" s="143">
        <v>11</v>
      </c>
      <c r="E24" s="143">
        <v>20</v>
      </c>
      <c r="F24" s="13">
        <f>'Suivi EAU-ELEC'!E23</f>
        <v>79.600000000005821</v>
      </c>
      <c r="G24" s="14"/>
      <c r="H24" s="166">
        <f t="shared" si="4"/>
        <v>699.68400000005113</v>
      </c>
      <c r="I24" s="167"/>
      <c r="J24" s="167"/>
      <c r="K24" s="60">
        <v>42292</v>
      </c>
      <c r="L24" s="90">
        <f>'Suivi EAU-ELEC'!G23</f>
        <v>2489</v>
      </c>
      <c r="M24" s="91">
        <f>'Suivi EAU-ELEC'!I23</f>
        <v>3611</v>
      </c>
      <c r="N24" s="91">
        <f>'Suivi EAU-ELEC'!K23</f>
        <v>1693</v>
      </c>
      <c r="O24" s="91">
        <f>L24+M24+N24</f>
        <v>7793</v>
      </c>
      <c r="P24" s="12"/>
      <c r="Q24" s="34">
        <f>L24*0.6985+M24*0.9514+N24*1.3304</f>
        <v>7426.4390999999996</v>
      </c>
      <c r="R24" s="12"/>
      <c r="S24" s="28"/>
      <c r="T24" s="14"/>
      <c r="U24" s="28"/>
      <c r="V24" s="146">
        <f>'Suvi Gaz'!O18</f>
        <v>63.998420000000003</v>
      </c>
      <c r="W24" s="11"/>
      <c r="X24" s="34">
        <f t="shared" si="1"/>
        <v>671.40742422000005</v>
      </c>
    </row>
    <row r="25" spans="1:24" ht="32.25" customHeight="1">
      <c r="A25" s="2"/>
      <c r="B25" s="6">
        <v>44546</v>
      </c>
      <c r="C25" s="7"/>
      <c r="D25" s="143">
        <v>19</v>
      </c>
      <c r="E25" s="143">
        <v>31</v>
      </c>
      <c r="F25" s="13">
        <f>'Suivi EAU-ELEC'!E24</f>
        <v>85.699999999982538</v>
      </c>
      <c r="G25" s="14"/>
      <c r="H25" s="166">
        <f t="shared" si="4"/>
        <v>753.30299999984641</v>
      </c>
      <c r="I25" s="167"/>
      <c r="J25" s="167"/>
      <c r="K25" s="60">
        <v>42293</v>
      </c>
      <c r="L25" s="90">
        <f>'Suivi EAU-ELEC'!G24</f>
        <v>2765</v>
      </c>
      <c r="M25" s="91">
        <f>'Suivi EAU-ELEC'!I24</f>
        <v>3982</v>
      </c>
      <c r="N25" s="91">
        <f>'Suivi EAU-ELEC'!K24</f>
        <v>1891</v>
      </c>
      <c r="O25" s="91">
        <f>L25+M25+N25</f>
        <v>8638</v>
      </c>
      <c r="P25" s="12"/>
      <c r="Q25" s="34">
        <f>L25*0.6985+M25*0.9514+N25*1.3304</f>
        <v>8235.6136999999999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2349.92598477</v>
      </c>
    </row>
    <row r="26" spans="1:24" ht="32.25" customHeight="1">
      <c r="A26" s="2"/>
      <c r="B26" s="6">
        <v>44547</v>
      </c>
      <c r="C26" s="7"/>
      <c r="D26" s="143">
        <v>22</v>
      </c>
      <c r="E26" s="143">
        <v>38</v>
      </c>
      <c r="F26" s="13">
        <f>'Suivi EAU-ELEC'!E25</f>
        <v>79.5</v>
      </c>
      <c r="G26" s="14"/>
      <c r="H26" s="166">
        <f t="shared" si="4"/>
        <v>698.80499999999995</v>
      </c>
      <c r="I26" s="167"/>
      <c r="J26" s="167"/>
      <c r="K26" s="60">
        <v>42294</v>
      </c>
      <c r="L26" s="90">
        <f>'Suivi EAU-ELEC'!G25</f>
        <v>2723</v>
      </c>
      <c r="M26" s="91">
        <f>'Suivi EAU-ELEC'!I25</f>
        <v>3811</v>
      </c>
      <c r="N26" s="91">
        <f>'Suivi EAU-ELEC'!K25</f>
        <v>1680</v>
      </c>
      <c r="O26" s="91">
        <f>L26+M26+N26</f>
        <v>8214</v>
      </c>
      <c r="P26" s="14"/>
      <c r="Q26" s="34">
        <f>L26*0.6985+M26*0.9514+N26*1.3304</f>
        <v>7762.8729000000003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2014.22227266</v>
      </c>
    </row>
    <row r="27" spans="1:24" ht="32.25" customHeight="1">
      <c r="A27" s="2"/>
      <c r="B27" s="6">
        <v>44548</v>
      </c>
      <c r="C27" s="7"/>
      <c r="D27" s="143">
        <v>21</v>
      </c>
      <c r="E27" s="143">
        <v>38</v>
      </c>
      <c r="F27" s="13">
        <f>'Suivi EAU-ELEC'!E26</f>
        <v>66.900000000023283</v>
      </c>
      <c r="G27" s="14"/>
      <c r="H27" s="166">
        <f t="shared" si="4"/>
        <v>588.05100000020457</v>
      </c>
      <c r="I27" s="167"/>
      <c r="J27" s="167"/>
      <c r="K27" s="60">
        <v>42295</v>
      </c>
      <c r="L27" s="90">
        <f>'Suivi EAU-ELEC'!G26</f>
        <v>2566</v>
      </c>
      <c r="M27" s="91">
        <f>'Suivi EAU-ELEC'!I26</f>
        <v>3589</v>
      </c>
      <c r="N27" s="91">
        <f>'Suivi EAU-ELEC'!K26</f>
        <v>1650</v>
      </c>
      <c r="O27" s="91">
        <f t="shared" si="2"/>
        <v>7805</v>
      </c>
      <c r="P27" s="14"/>
      <c r="Q27" s="34">
        <f t="shared" si="3"/>
        <v>7402.0856000000003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1"/>
        <v>4364.1482574299998</v>
      </c>
    </row>
    <row r="28" spans="1:24" ht="32.25" customHeight="1">
      <c r="A28" s="2"/>
      <c r="B28" s="6">
        <v>44549</v>
      </c>
      <c r="C28" s="7"/>
      <c r="D28" s="143">
        <v>18</v>
      </c>
      <c r="E28" s="143">
        <v>26</v>
      </c>
      <c r="F28" s="13">
        <f>'Suivi EAU-ELEC'!E27</f>
        <v>66.699999999982538</v>
      </c>
      <c r="G28" s="11"/>
      <c r="H28" s="166">
        <f t="shared" si="4"/>
        <v>586.29299999984642</v>
      </c>
      <c r="I28" s="167"/>
      <c r="J28" s="167"/>
      <c r="K28" s="60">
        <v>42296</v>
      </c>
      <c r="L28" s="90">
        <f>'Suivi EAU-ELEC'!G27</f>
        <v>2664</v>
      </c>
      <c r="M28" s="91">
        <f>'Suivi EAU-ELEC'!I27</f>
        <v>3555</v>
      </c>
      <c r="N28" s="91">
        <f>'Suivi EAU-ELEC'!K27</f>
        <v>1967</v>
      </c>
      <c r="O28" s="91">
        <f t="shared" si="2"/>
        <v>8186</v>
      </c>
      <c r="P28" s="11"/>
      <c r="Q28" s="34">
        <f>L28*0.6985+M28*0.9514+N28*1.3304</f>
        <v>7859.9277999999995</v>
      </c>
      <c r="R28" s="11"/>
      <c r="S28" s="28"/>
      <c r="T28" s="11"/>
      <c r="U28" s="28"/>
      <c r="V28" s="146">
        <f>'Suvi Gaz'!O22</f>
        <v>447.98894000000001</v>
      </c>
      <c r="W28" s="11"/>
      <c r="X28" s="34">
        <f t="shared" si="1"/>
        <v>4699.85196954</v>
      </c>
    </row>
    <row r="29" spans="1:24" ht="32.25" customHeight="1">
      <c r="A29" s="2"/>
      <c r="B29" s="6">
        <v>44550</v>
      </c>
      <c r="C29" s="7"/>
      <c r="D29" s="143"/>
      <c r="E29" s="143"/>
      <c r="F29" s="13">
        <f>'Suivi EAU-ELEC'!E28</f>
        <v>66.100000000005821</v>
      </c>
      <c r="G29" s="11"/>
      <c r="H29" s="166">
        <f t="shared" si="4"/>
        <v>581.01900000005116</v>
      </c>
      <c r="I29" s="167"/>
      <c r="J29" s="167"/>
      <c r="K29" s="60">
        <v>42297</v>
      </c>
      <c r="L29" s="90">
        <f>'Suivi EAU-ELEC'!G28</f>
        <v>2552</v>
      </c>
      <c r="M29" s="91">
        <f>'Suivi EAU-ELEC'!I28</f>
        <v>3406</v>
      </c>
      <c r="N29" s="91">
        <f>'Suivi EAU-ELEC'!K28</f>
        <v>1602</v>
      </c>
      <c r="O29" s="91">
        <f>L29+M29+N29</f>
        <v>7560</v>
      </c>
      <c r="P29" s="11"/>
      <c r="Q29" s="34">
        <f t="shared" si="3"/>
        <v>7154.3411999999998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44551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44552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44553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44554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44555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44556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44557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44558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44559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>V38*10.491</f>
        <v>0</v>
      </c>
    </row>
    <row r="39" spans="1:24" ht="33.75" customHeight="1">
      <c r="A39" s="2"/>
      <c r="B39" s="6">
        <v>44560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>V39*10.491</f>
        <v>0</v>
      </c>
    </row>
    <row r="40" spans="1:24" ht="33.75" customHeight="1">
      <c r="A40" s="2"/>
      <c r="B40" s="6">
        <v>44561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405</v>
      </c>
      <c r="E41" s="8">
        <f>SUM(E10:E40)</f>
        <v>656</v>
      </c>
      <c r="F41" s="152">
        <f>SUM(F10:F40)</f>
        <v>1529.3999999999942</v>
      </c>
      <c r="G41" s="1"/>
      <c r="H41" s="247">
        <f>SUM(H10:H40)</f>
        <v>13443.425999999949</v>
      </c>
      <c r="I41" s="248"/>
      <c r="J41" s="249"/>
      <c r="K41" s="1"/>
      <c r="L41" s="53">
        <f>SUM(L10:L40)</f>
        <v>56253</v>
      </c>
      <c r="M41" s="53">
        <f>SUM(M10:M40)</f>
        <v>78874</v>
      </c>
      <c r="N41" s="54">
        <f>SUM(N10:N40)</f>
        <v>36343</v>
      </c>
      <c r="O41" s="55">
        <f>SUM(O10:O40)</f>
        <v>171470</v>
      </c>
      <c r="P41" s="31"/>
      <c r="Q41" s="32">
        <f>SUM(Q10:Q40)</f>
        <v>162391.48329999999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5824.3401399999993</v>
      </c>
      <c r="W41" s="31"/>
      <c r="X41" s="32">
        <f>SUM(X10:X40)</f>
        <v>61103.152408740018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2" t="s">
        <v>33</v>
      </c>
      <c r="B43" s="203"/>
      <c r="C43" s="203"/>
      <c r="D43" s="203"/>
      <c r="E43" s="203"/>
      <c r="F43" s="204"/>
      <c r="G43" s="26"/>
      <c r="H43" s="27" t="s">
        <v>34</v>
      </c>
      <c r="I43" s="241" t="s">
        <v>35</v>
      </c>
      <c r="J43" s="242"/>
      <c r="K43" s="243"/>
      <c r="L43" s="216" t="s">
        <v>36</v>
      </c>
      <c r="M43" s="217"/>
      <c r="N43" s="202" t="s">
        <v>37</v>
      </c>
      <c r="O43" s="203"/>
      <c r="P43" s="203"/>
      <c r="Q43" s="203"/>
      <c r="R43" s="203"/>
      <c r="S43" s="203"/>
      <c r="T43" s="203"/>
      <c r="U43" s="203"/>
      <c r="V43" s="203"/>
      <c r="W43" s="203"/>
      <c r="X43" s="204"/>
    </row>
    <row r="44" spans="1:24" s="18" customFormat="1" ht="29.25" customHeight="1" thickBot="1">
      <c r="A44" s="210" t="s">
        <v>38</v>
      </c>
      <c r="B44" s="211"/>
      <c r="C44" s="212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7">
        <f>L41</f>
        <v>56253</v>
      </c>
      <c r="J44" s="208"/>
      <c r="K44" s="209"/>
      <c r="L44" s="168">
        <f>I44*H44</f>
        <v>39292.720500000003</v>
      </c>
      <c r="M44" s="169"/>
      <c r="N44" s="225">
        <f>L44+L45+L46</f>
        <v>162684.17129999999</v>
      </c>
      <c r="O44" s="226"/>
      <c r="P44" s="226"/>
      <c r="Q44" s="226"/>
      <c r="R44" s="226"/>
      <c r="S44" s="226"/>
      <c r="T44" s="226"/>
      <c r="U44" s="226"/>
      <c r="V44" s="226"/>
      <c r="W44" s="226"/>
      <c r="X44" s="227"/>
    </row>
    <row r="45" spans="1:24" s="18" customFormat="1" ht="29.25" customHeight="1" thickBot="1">
      <c r="A45" s="213"/>
      <c r="B45" s="214"/>
      <c r="C45" s="215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7">
        <f>M41</f>
        <v>78874</v>
      </c>
      <c r="J45" s="208"/>
      <c r="K45" s="209"/>
      <c r="L45" s="168">
        <f>I45*H45</f>
        <v>75040.723599999998</v>
      </c>
      <c r="M45" s="169"/>
      <c r="N45" s="228"/>
      <c r="O45" s="229"/>
      <c r="P45" s="229"/>
      <c r="Q45" s="229"/>
      <c r="R45" s="229"/>
      <c r="S45" s="229"/>
      <c r="T45" s="229"/>
      <c r="U45" s="229"/>
      <c r="V45" s="229"/>
      <c r="W45" s="229"/>
      <c r="X45" s="230"/>
    </row>
    <row r="46" spans="1:24" s="18" customFormat="1" ht="24.75" customHeight="1" thickBot="1">
      <c r="A46" s="213"/>
      <c r="B46" s="214"/>
      <c r="C46" s="215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8">
        <f>N41</f>
        <v>36343</v>
      </c>
      <c r="J46" s="239"/>
      <c r="K46" s="240"/>
      <c r="L46" s="168">
        <f>I46*H46</f>
        <v>48350.727200000001</v>
      </c>
      <c r="M46" s="169"/>
      <c r="N46" s="231"/>
      <c r="O46" s="232"/>
      <c r="P46" s="232"/>
      <c r="Q46" s="232"/>
      <c r="R46" s="232"/>
      <c r="S46" s="232"/>
      <c r="T46" s="232"/>
      <c r="U46" s="232"/>
      <c r="V46" s="232"/>
      <c r="W46" s="232"/>
      <c r="X46" s="23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4">
        <f>N44*1.3</f>
        <v>211489.42268999998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6"/>
    </row>
    <row r="48" spans="1:24" s="23" customFormat="1" ht="32.25" customHeight="1" thickBot="1">
      <c r="A48" s="199" t="s">
        <v>39</v>
      </c>
      <c r="B48" s="200"/>
      <c r="C48" s="200"/>
      <c r="D48" s="200"/>
      <c r="E48" s="200"/>
      <c r="F48" s="201"/>
      <c r="G48" s="21"/>
      <c r="H48" s="22">
        <v>8.7899999999999991</v>
      </c>
      <c r="I48" s="199">
        <f>F41</f>
        <v>1529.3999999999942</v>
      </c>
      <c r="J48" s="200"/>
      <c r="K48" s="201"/>
      <c r="L48" s="205">
        <f>I48*H48</f>
        <v>13443.425999999947</v>
      </c>
      <c r="M48" s="206"/>
      <c r="N48" s="222">
        <f>L48</f>
        <v>13443.425999999947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s="23" customFormat="1" ht="36.75" customHeight="1">
      <c r="A49" s="234" t="s">
        <v>40</v>
      </c>
      <c r="B49" s="235"/>
      <c r="C49" s="235"/>
      <c r="D49" s="235"/>
      <c r="E49" s="235"/>
      <c r="F49" s="236"/>
      <c r="G49" s="24"/>
      <c r="H49" s="25">
        <v>10.491</v>
      </c>
      <c r="I49" s="197">
        <f>V41</f>
        <v>5824.3401399999993</v>
      </c>
      <c r="J49" s="237"/>
      <c r="K49" s="198"/>
      <c r="L49" s="197">
        <f>I49*H49</f>
        <v>61103.152408739988</v>
      </c>
      <c r="M49" s="198"/>
      <c r="N49" s="219">
        <f>L49</f>
        <v>61103.152408739988</v>
      </c>
      <c r="O49" s="220"/>
      <c r="P49" s="220"/>
      <c r="Q49" s="220"/>
      <c r="R49" s="220"/>
      <c r="S49" s="220"/>
      <c r="T49" s="220"/>
      <c r="U49" s="220"/>
      <c r="V49" s="220"/>
      <c r="W49" s="220"/>
      <c r="X49" s="22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4" activePane="bottomRight" state="frozen"/>
      <selection pane="bottomRight" activeCell="B26" sqref="B26:K2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>H10-H9</f>
        <v>4977</v>
      </c>
      <c r="J10" s="51">
        <v>8429559</v>
      </c>
      <c r="K10" s="50">
        <f>J10-J9</f>
        <v>2203</v>
      </c>
    </row>
    <row r="11" spans="1:12" ht="19.5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>D11-D10</f>
        <v>99</v>
      </c>
      <c r="F11" s="51">
        <v>11287276</v>
      </c>
      <c r="G11" s="50">
        <f>F11-F10</f>
        <v>3397</v>
      </c>
      <c r="H11" s="51">
        <v>19214235</v>
      </c>
      <c r="I11" s="50">
        <f>H11-H10</f>
        <v>4591</v>
      </c>
      <c r="J11" s="51">
        <v>8431751</v>
      </c>
      <c r="K11" s="50">
        <f>J11-J10</f>
        <v>2192</v>
      </c>
    </row>
    <row r="12" spans="1:12" ht="19.5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>D12-D11</f>
        <v>71.19999999999709</v>
      </c>
      <c r="F12" s="51">
        <v>11290317</v>
      </c>
      <c r="G12" s="50">
        <f>F12-F11</f>
        <v>3041</v>
      </c>
      <c r="H12" s="51">
        <v>19218430</v>
      </c>
      <c r="I12" s="50">
        <f>H12-H11</f>
        <v>4195</v>
      </c>
      <c r="J12" s="51">
        <v>8433664</v>
      </c>
      <c r="K12" s="50">
        <f>J12-J11</f>
        <v>1913</v>
      </c>
    </row>
    <row r="13" spans="1:12" ht="19.5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>D13-D12</f>
        <v>76.69999999999709</v>
      </c>
      <c r="F13" s="51">
        <v>11293210</v>
      </c>
      <c r="G13" s="50">
        <f>F13-F12</f>
        <v>2893</v>
      </c>
      <c r="H13" s="51">
        <v>19222675</v>
      </c>
      <c r="I13" s="50">
        <f>H13-H12</f>
        <v>4245</v>
      </c>
      <c r="J13" s="51">
        <v>8435647</v>
      </c>
      <c r="K13" s="50">
        <f>J13-J12</f>
        <v>1983</v>
      </c>
    </row>
    <row r="14" spans="1:12" ht="19.5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>D14-D13</f>
        <v>93</v>
      </c>
      <c r="F14" s="51">
        <v>11296100</v>
      </c>
      <c r="G14" s="50">
        <f>F14-F13</f>
        <v>2890</v>
      </c>
      <c r="H14" s="51">
        <v>19226705</v>
      </c>
      <c r="I14" s="50">
        <f>H14-H13</f>
        <v>4030</v>
      </c>
      <c r="J14" s="51">
        <v>8437550</v>
      </c>
      <c r="K14" s="50">
        <f>J14-J13</f>
        <v>1903</v>
      </c>
    </row>
    <row r="15" spans="1:12" ht="19.5">
      <c r="A15" s="59">
        <v>44537</v>
      </c>
      <c r="B15" s="116">
        <v>2560</v>
      </c>
      <c r="C15" s="115">
        <f t="shared" ref="C15:C28" si="0">B15-B14</f>
        <v>0</v>
      </c>
      <c r="D15" s="57">
        <v>131143.1</v>
      </c>
      <c r="E15" s="50">
        <f t="shared" ref="E15:E28" si="1">D15-D14</f>
        <v>93.200000000011642</v>
      </c>
      <c r="F15" s="51">
        <v>11299001</v>
      </c>
      <c r="G15" s="50">
        <f t="shared" ref="G15:G28" si="2">F15-F14</f>
        <v>2901</v>
      </c>
      <c r="H15" s="51">
        <v>19230741</v>
      </c>
      <c r="I15" s="50">
        <f>H15-H14</f>
        <v>4036</v>
      </c>
      <c r="J15" s="51">
        <v>8439365</v>
      </c>
      <c r="K15" s="50">
        <f t="shared" ref="K15:K28" si="3">J15-J14</f>
        <v>1815</v>
      </c>
    </row>
    <row r="16" spans="1:12" ht="19.5">
      <c r="A16" s="59">
        <v>44538</v>
      </c>
      <c r="B16" s="116">
        <v>2560</v>
      </c>
      <c r="C16" s="115">
        <f t="shared" si="0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>H16-H15</f>
        <v>3746</v>
      </c>
      <c r="J16" s="51">
        <v>8440911</v>
      </c>
      <c r="K16" s="50">
        <f t="shared" si="3"/>
        <v>1546</v>
      </c>
    </row>
    <row r="17" spans="1:29" ht="19.5">
      <c r="A17" s="59">
        <v>44539</v>
      </c>
      <c r="B17" s="116">
        <v>2560</v>
      </c>
      <c r="C17" s="115">
        <f t="shared" si="0"/>
        <v>0</v>
      </c>
      <c r="D17" s="57">
        <v>131295.79999999999</v>
      </c>
      <c r="E17" s="50">
        <f t="shared" si="1"/>
        <v>77.599999999976717</v>
      </c>
      <c r="F17" s="51">
        <v>11304481</v>
      </c>
      <c r="G17" s="50">
        <f t="shared" si="2"/>
        <v>2727</v>
      </c>
      <c r="H17" s="51">
        <v>19238415</v>
      </c>
      <c r="I17" s="50">
        <f>H17-H16</f>
        <v>3928</v>
      </c>
      <c r="J17" s="51">
        <v>8442798</v>
      </c>
      <c r="K17" s="50">
        <f t="shared" si="3"/>
        <v>1887</v>
      </c>
    </row>
    <row r="18" spans="1:29" ht="19.5">
      <c r="A18" s="59">
        <v>44540</v>
      </c>
      <c r="B18" s="116">
        <v>2560</v>
      </c>
      <c r="C18" s="115">
        <f t="shared" si="0"/>
        <v>0</v>
      </c>
      <c r="D18" s="57">
        <v>131367.6</v>
      </c>
      <c r="E18" s="50">
        <f t="shared" si="1"/>
        <v>71.800000000017462</v>
      </c>
      <c r="F18" s="51">
        <v>11307307</v>
      </c>
      <c r="G18" s="50">
        <f t="shared" si="2"/>
        <v>2826</v>
      </c>
      <c r="H18" s="51">
        <v>19242222</v>
      </c>
      <c r="I18" s="50">
        <f>H18-H17</f>
        <v>3807</v>
      </c>
      <c r="J18" s="51">
        <v>8444537</v>
      </c>
      <c r="K18" s="50">
        <f t="shared" si="3"/>
        <v>1739</v>
      </c>
    </row>
    <row r="19" spans="1:29" ht="19.5">
      <c r="A19" s="59">
        <v>44541</v>
      </c>
      <c r="B19" s="116">
        <v>2560</v>
      </c>
      <c r="C19" s="115">
        <f t="shared" si="0"/>
        <v>0</v>
      </c>
      <c r="D19" s="57">
        <v>131430.1</v>
      </c>
      <c r="E19" s="50">
        <f t="shared" si="1"/>
        <v>62.5</v>
      </c>
      <c r="F19" s="51">
        <v>11309988</v>
      </c>
      <c r="G19" s="50">
        <f t="shared" si="2"/>
        <v>2681</v>
      </c>
      <c r="H19" s="51">
        <v>19245927</v>
      </c>
      <c r="I19" s="50">
        <f>H19-H18</f>
        <v>3705</v>
      </c>
      <c r="J19" s="51">
        <v>8446186</v>
      </c>
      <c r="K19" s="50">
        <f t="shared" si="3"/>
        <v>1649</v>
      </c>
    </row>
    <row r="20" spans="1:29" ht="25.5">
      <c r="A20" s="59">
        <v>44542</v>
      </c>
      <c r="B20" s="116">
        <v>2560</v>
      </c>
      <c r="C20" s="115">
        <f t="shared" si="0"/>
        <v>0</v>
      </c>
      <c r="D20" s="57">
        <v>131488.5</v>
      </c>
      <c r="E20" s="50">
        <f t="shared" si="1"/>
        <v>58.399999999994179</v>
      </c>
      <c r="F20" s="51">
        <v>11312753</v>
      </c>
      <c r="G20" s="50">
        <f t="shared" si="2"/>
        <v>2765</v>
      </c>
      <c r="H20" s="51">
        <v>19249316</v>
      </c>
      <c r="I20" s="50">
        <f>H20-H19</f>
        <v>3389</v>
      </c>
      <c r="J20" s="51">
        <v>8447784</v>
      </c>
      <c r="K20" s="50">
        <f t="shared" si="3"/>
        <v>1598</v>
      </c>
      <c r="L20" s="117" t="s">
        <v>18</v>
      </c>
      <c r="AC20" t="s">
        <v>56</v>
      </c>
    </row>
    <row r="21" spans="1:29" ht="19.5">
      <c r="A21" s="59">
        <v>44543</v>
      </c>
      <c r="B21" s="116">
        <v>2560</v>
      </c>
      <c r="C21" s="115">
        <f t="shared" si="0"/>
        <v>0</v>
      </c>
      <c r="D21" s="57">
        <v>131543.29999999999</v>
      </c>
      <c r="E21" s="50">
        <f t="shared" si="1"/>
        <v>54.799999999988358</v>
      </c>
      <c r="F21" s="51">
        <v>11315524</v>
      </c>
      <c r="G21" s="50">
        <f t="shared" si="2"/>
        <v>2771</v>
      </c>
      <c r="H21" s="51">
        <v>19252819</v>
      </c>
      <c r="I21" s="50">
        <f>H21-H20</f>
        <v>3503</v>
      </c>
      <c r="J21" s="51">
        <v>8449401</v>
      </c>
      <c r="K21" s="50">
        <f t="shared" si="3"/>
        <v>1617</v>
      </c>
    </row>
    <row r="22" spans="1:29" ht="19.5">
      <c r="A22" s="59">
        <v>44544</v>
      </c>
      <c r="B22" s="116">
        <v>2560</v>
      </c>
      <c r="C22" s="115">
        <f t="shared" si="0"/>
        <v>0</v>
      </c>
      <c r="D22" s="57">
        <v>131610</v>
      </c>
      <c r="E22" s="50">
        <f t="shared" si="1"/>
        <v>66.700000000011642</v>
      </c>
      <c r="F22" s="51">
        <v>11317575</v>
      </c>
      <c r="G22" s="50">
        <f t="shared" si="2"/>
        <v>2051</v>
      </c>
      <c r="H22" s="51">
        <v>19256272</v>
      </c>
      <c r="I22" s="50">
        <f>H22-H21</f>
        <v>3453</v>
      </c>
      <c r="J22" s="51">
        <v>8451031</v>
      </c>
      <c r="K22" s="50">
        <f t="shared" si="3"/>
        <v>1630</v>
      </c>
    </row>
    <row r="23" spans="1:29" ht="19.5">
      <c r="A23" s="59">
        <v>44545</v>
      </c>
      <c r="B23" s="116">
        <v>2560</v>
      </c>
      <c r="C23" s="115">
        <f t="shared" si="0"/>
        <v>0</v>
      </c>
      <c r="D23" s="57">
        <v>131689.60000000001</v>
      </c>
      <c r="E23" s="50">
        <f t="shared" si="1"/>
        <v>79.600000000005821</v>
      </c>
      <c r="F23" s="51">
        <v>11320064</v>
      </c>
      <c r="G23" s="50">
        <f t="shared" si="2"/>
        <v>2489</v>
      </c>
      <c r="H23" s="51">
        <v>19259883</v>
      </c>
      <c r="I23" s="50">
        <f>H23-H22</f>
        <v>3611</v>
      </c>
      <c r="J23" s="51">
        <v>8452724</v>
      </c>
      <c r="K23" s="50">
        <f t="shared" si="3"/>
        <v>1693</v>
      </c>
    </row>
    <row r="24" spans="1:29" ht="19.5">
      <c r="A24" s="59">
        <v>44546</v>
      </c>
      <c r="B24" s="116">
        <v>2560</v>
      </c>
      <c r="C24" s="115">
        <f t="shared" si="0"/>
        <v>0</v>
      </c>
      <c r="D24" s="57">
        <v>131775.29999999999</v>
      </c>
      <c r="E24" s="50">
        <f t="shared" si="1"/>
        <v>85.699999999982538</v>
      </c>
      <c r="F24" s="51">
        <v>11322829</v>
      </c>
      <c r="G24" s="50">
        <f t="shared" si="2"/>
        <v>2765</v>
      </c>
      <c r="H24" s="51">
        <v>19263865</v>
      </c>
      <c r="I24" s="50">
        <f>H24-H23</f>
        <v>3982</v>
      </c>
      <c r="J24" s="51">
        <v>8454615</v>
      </c>
      <c r="K24" s="50">
        <f t="shared" si="3"/>
        <v>1891</v>
      </c>
    </row>
    <row r="25" spans="1:29" ht="19.5">
      <c r="A25" s="59">
        <v>44547</v>
      </c>
      <c r="B25" s="116">
        <v>2560</v>
      </c>
      <c r="C25" s="115">
        <f t="shared" si="0"/>
        <v>0</v>
      </c>
      <c r="D25" s="57">
        <v>131854.79999999999</v>
      </c>
      <c r="E25" s="50">
        <f t="shared" si="1"/>
        <v>79.5</v>
      </c>
      <c r="F25" s="51">
        <v>11325552</v>
      </c>
      <c r="G25" s="50">
        <f t="shared" si="2"/>
        <v>2723</v>
      </c>
      <c r="H25" s="51">
        <v>19267676</v>
      </c>
      <c r="I25" s="50">
        <f>H25-H24</f>
        <v>3811</v>
      </c>
      <c r="J25" s="51">
        <v>8456295</v>
      </c>
      <c r="K25" s="50">
        <f t="shared" si="3"/>
        <v>1680</v>
      </c>
    </row>
    <row r="26" spans="1:29" ht="19.5">
      <c r="A26" s="59">
        <v>44548</v>
      </c>
      <c r="B26" s="116">
        <v>2560</v>
      </c>
      <c r="C26" s="115">
        <f t="shared" si="0"/>
        <v>0</v>
      </c>
      <c r="D26" s="57">
        <v>131921.70000000001</v>
      </c>
      <c r="E26" s="50">
        <f t="shared" si="1"/>
        <v>66.900000000023283</v>
      </c>
      <c r="F26" s="51">
        <v>11328118</v>
      </c>
      <c r="G26" s="50">
        <f t="shared" si="2"/>
        <v>2566</v>
      </c>
      <c r="H26" s="51">
        <v>19271265</v>
      </c>
      <c r="I26" s="50">
        <f>H26-H25</f>
        <v>3589</v>
      </c>
      <c r="J26" s="51">
        <v>8457945</v>
      </c>
      <c r="K26" s="50">
        <f t="shared" si="3"/>
        <v>1650</v>
      </c>
    </row>
    <row r="27" spans="1:29" ht="19.5">
      <c r="A27" s="59">
        <v>44549</v>
      </c>
      <c r="B27" s="116">
        <v>2560</v>
      </c>
      <c r="C27" s="115">
        <f t="shared" si="0"/>
        <v>0</v>
      </c>
      <c r="D27" s="57">
        <v>131988.4</v>
      </c>
      <c r="E27" s="50">
        <f t="shared" si="1"/>
        <v>66.699999999982538</v>
      </c>
      <c r="F27" s="51">
        <v>11330782</v>
      </c>
      <c r="G27" s="50">
        <f t="shared" si="2"/>
        <v>2664</v>
      </c>
      <c r="H27" s="51">
        <v>19274820</v>
      </c>
      <c r="I27" s="50">
        <f>H27-H26</f>
        <v>3555</v>
      </c>
      <c r="J27" s="51">
        <v>8459912</v>
      </c>
      <c r="K27" s="50">
        <f t="shared" si="3"/>
        <v>1967</v>
      </c>
    </row>
    <row r="28" spans="1:29" ht="19.5">
      <c r="A28" s="59">
        <v>44550</v>
      </c>
      <c r="B28" s="116">
        <v>2560</v>
      </c>
      <c r="C28" s="115">
        <f t="shared" si="0"/>
        <v>0</v>
      </c>
      <c r="D28" s="57">
        <v>132054.5</v>
      </c>
      <c r="E28" s="50">
        <f t="shared" si="1"/>
        <v>66.100000000005821</v>
      </c>
      <c r="F28" s="51">
        <v>11333334</v>
      </c>
      <c r="G28" s="50">
        <f t="shared" si="2"/>
        <v>2552</v>
      </c>
      <c r="H28" s="51">
        <v>19278226</v>
      </c>
      <c r="I28" s="50">
        <f>H28-H27</f>
        <v>3406</v>
      </c>
      <c r="J28" s="51">
        <v>8461514</v>
      </c>
      <c r="K28" s="50">
        <f t="shared" si="3"/>
        <v>1602</v>
      </c>
    </row>
    <row r="29" spans="1:29" ht="19.5">
      <c r="A29" s="59">
        <v>44551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44552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44553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44554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44555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44556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44557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44558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44559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44560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44561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44562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 E29:E40">
    <cfRule type="cellIs" dxfId="5" priority="6" stopIfTrue="1" operator="lessThanOrEqual">
      <formula>0</formula>
    </cfRule>
  </conditionalFormatting>
  <conditionalFormatting sqref="E10:E25 E29:E40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28">
    <cfRule type="cellIs" dxfId="1" priority="2" stopIfTrue="1" operator="lessThanOrEqual">
      <formula>0</formula>
    </cfRule>
  </conditionalFormatting>
  <conditionalFormatting sqref="E26:E28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6" activePane="bottomRight" state="frozen"/>
      <selection pane="bottomRight" activeCell="B21" sqref="B21:H2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O4*10.491</f>
        <v>8056.8890906400002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44532</v>
      </c>
      <c r="B5" s="41">
        <v>53</v>
      </c>
      <c r="C5" s="39">
        <f t="shared" ref="C4:C35" si="7">IF(AC5&gt;0,((B5-R5)+(S5-B6)),IF(B6=0, ,(B5-B6)))</f>
        <v>0</v>
      </c>
      <c r="D5" s="41">
        <v>54</v>
      </c>
      <c r="E5" s="39">
        <f t="shared" ref="E4:E35" si="8">IF(AC5&gt;0,((D5-U5)+(V5-D6)),IF(D6=0, ,(D5-D6)))</f>
        <v>1</v>
      </c>
      <c r="F5" s="41">
        <v>56</v>
      </c>
      <c r="G5" s="39">
        <f t="shared" ref="G4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6" si="10">O5*10.491</f>
        <v>2014.22227266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2014.22227266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2690.7065015999997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5706.9631058699997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1"/>
        <v>3</v>
      </c>
      <c r="J9" s="39">
        <f t="shared" si="12"/>
        <v>288</v>
      </c>
      <c r="K9" s="39">
        <f t="shared" si="13"/>
        <v>72</v>
      </c>
      <c r="L9" s="39">
        <f t="shared" si="14"/>
        <v>1.75</v>
      </c>
      <c r="M9" s="149">
        <f t="shared" ref="M9:M42" si="17">6049*4</f>
        <v>24196</v>
      </c>
      <c r="N9" s="39">
        <f t="shared" si="15"/>
        <v>423.43</v>
      </c>
      <c r="O9" s="39">
        <f t="shared" si="16"/>
        <v>223.99447000000001</v>
      </c>
      <c r="P9" s="42">
        <f t="shared" si="10"/>
        <v>2349.92598477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1"/>
        <v>1</v>
      </c>
      <c r="J10" s="39">
        <f t="shared" si="12"/>
        <v>281</v>
      </c>
      <c r="K10" s="39">
        <f t="shared" si="13"/>
        <v>70.25</v>
      </c>
      <c r="L10" s="39">
        <f t="shared" si="14"/>
        <v>0.75</v>
      </c>
      <c r="M10" s="149">
        <f t="shared" si="17"/>
        <v>24196</v>
      </c>
      <c r="N10" s="39">
        <f t="shared" si="15"/>
        <v>181.47</v>
      </c>
      <c r="O10" s="148">
        <f t="shared" si="16"/>
        <v>95.997630000000001</v>
      </c>
      <c r="P10" s="42">
        <f t="shared" si="10"/>
        <v>1007.11113633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44538</v>
      </c>
      <c r="B11" s="41">
        <v>69</v>
      </c>
      <c r="C11" s="39">
        <f t="shared" si="7"/>
        <v>4</v>
      </c>
      <c r="D11" s="41">
        <v>69</v>
      </c>
      <c r="E11" s="39">
        <f t="shared" si="8"/>
        <v>4</v>
      </c>
      <c r="F11" s="41">
        <v>70</v>
      </c>
      <c r="G11" s="39">
        <f t="shared" si="9"/>
        <v>4</v>
      </c>
      <c r="H11" s="41">
        <v>70</v>
      </c>
      <c r="I11" s="39">
        <f t="shared" si="11"/>
        <v>0</v>
      </c>
      <c r="J11" s="39">
        <f t="shared" si="12"/>
        <v>278</v>
      </c>
      <c r="K11" s="39">
        <f t="shared" si="13"/>
        <v>69.5</v>
      </c>
      <c r="L11" s="39">
        <f t="shared" si="14"/>
        <v>3</v>
      </c>
      <c r="M11" s="149">
        <f t="shared" si="17"/>
        <v>24196</v>
      </c>
      <c r="N11" s="39">
        <f t="shared" si="15"/>
        <v>725.88</v>
      </c>
      <c r="O11" s="39">
        <f t="shared" si="16"/>
        <v>383.99052</v>
      </c>
      <c r="P11" s="42">
        <f t="shared" si="10"/>
        <v>4028.4445453200001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44539</v>
      </c>
      <c r="B12" s="41">
        <v>65</v>
      </c>
      <c r="C12" s="39">
        <f t="shared" si="7"/>
        <v>2</v>
      </c>
      <c r="D12" s="41">
        <v>65</v>
      </c>
      <c r="E12" s="39">
        <f t="shared" si="8"/>
        <v>2</v>
      </c>
      <c r="F12" s="41">
        <v>66</v>
      </c>
      <c r="G12" s="39">
        <f t="shared" si="9"/>
        <v>1</v>
      </c>
      <c r="H12" s="41">
        <v>70</v>
      </c>
      <c r="I12" s="39">
        <f t="shared" si="11"/>
        <v>4</v>
      </c>
      <c r="J12" s="39">
        <f t="shared" si="12"/>
        <v>266</v>
      </c>
      <c r="K12" s="39">
        <f t="shared" si="13"/>
        <v>66.5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3021.33340899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44540</v>
      </c>
      <c r="B13" s="41">
        <v>63</v>
      </c>
      <c r="C13" s="39">
        <f t="shared" si="7"/>
        <v>1</v>
      </c>
      <c r="D13" s="41">
        <v>63</v>
      </c>
      <c r="E13" s="39">
        <f t="shared" si="8"/>
        <v>2</v>
      </c>
      <c r="F13" s="41">
        <v>65</v>
      </c>
      <c r="G13" s="39">
        <f t="shared" si="9"/>
        <v>1</v>
      </c>
      <c r="H13" s="41">
        <v>66</v>
      </c>
      <c r="I13" s="39">
        <f t="shared" si="11"/>
        <v>1</v>
      </c>
      <c r="J13" s="39">
        <f t="shared" si="12"/>
        <v>257</v>
      </c>
      <c r="K13" s="39">
        <f t="shared" si="13"/>
        <v>64.25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1678.5185605499998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44541</v>
      </c>
      <c r="B14" s="41">
        <v>62</v>
      </c>
      <c r="C14" s="39">
        <f t="shared" si="7"/>
        <v>2</v>
      </c>
      <c r="D14" s="41">
        <v>61</v>
      </c>
      <c r="E14" s="39">
        <f t="shared" si="8"/>
        <v>1</v>
      </c>
      <c r="F14" s="41">
        <v>64</v>
      </c>
      <c r="G14" s="39">
        <f t="shared" si="9"/>
        <v>4</v>
      </c>
      <c r="H14" s="41">
        <v>65</v>
      </c>
      <c r="I14" s="39">
        <f>IF(AC14&gt;0,((H14-AA14)+(AB14-H15)),IF(H15=0, ,(H14-H15)))</f>
        <v>3</v>
      </c>
      <c r="J14" s="39">
        <f t="shared" si="12"/>
        <v>252</v>
      </c>
      <c r="K14" s="39">
        <f t="shared" si="13"/>
        <v>63</v>
      </c>
      <c r="L14" s="39">
        <f t="shared" si="14"/>
        <v>2.5</v>
      </c>
      <c r="M14" s="149">
        <f t="shared" si="17"/>
        <v>24196</v>
      </c>
      <c r="N14" s="39">
        <f t="shared" si="15"/>
        <v>604.9</v>
      </c>
      <c r="O14" s="39">
        <f t="shared" si="16"/>
        <v>319.99209999999999</v>
      </c>
      <c r="P14" s="42">
        <f t="shared" si="10"/>
        <v>3357.0371210999997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44542</v>
      </c>
      <c r="B15" s="41">
        <v>60</v>
      </c>
      <c r="C15" s="39">
        <f t="shared" si="7"/>
        <v>3</v>
      </c>
      <c r="D15" s="41">
        <v>60</v>
      </c>
      <c r="E15" s="39">
        <f t="shared" si="8"/>
        <v>5</v>
      </c>
      <c r="F15" s="41">
        <v>60</v>
      </c>
      <c r="G15" s="39">
        <f t="shared" si="9"/>
        <v>2</v>
      </c>
      <c r="H15" s="41">
        <v>62</v>
      </c>
      <c r="I15" s="39">
        <f>IF(AC15&gt;0,((H15-AA15)+(AB15-H16)),IF(H16=0, ,(H15-H16)))</f>
        <v>2</v>
      </c>
      <c r="J15" s="39">
        <f t="shared" si="12"/>
        <v>242</v>
      </c>
      <c r="K15" s="39">
        <f t="shared" si="13"/>
        <v>60.5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4028.4445453200001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44543</v>
      </c>
      <c r="B16" s="41">
        <v>57</v>
      </c>
      <c r="C16" s="39">
        <f t="shared" si="7"/>
        <v>2</v>
      </c>
      <c r="D16" s="41">
        <v>55</v>
      </c>
      <c r="E16" s="39">
        <f t="shared" si="8"/>
        <v>0</v>
      </c>
      <c r="F16" s="41">
        <v>58</v>
      </c>
      <c r="G16" s="39">
        <f t="shared" si="9"/>
        <v>3</v>
      </c>
      <c r="H16" s="41">
        <v>60</v>
      </c>
      <c r="I16" s="39">
        <f t="shared" si="11"/>
        <v>0</v>
      </c>
      <c r="J16" s="39">
        <f t="shared" si="12"/>
        <v>230</v>
      </c>
      <c r="K16" s="39">
        <f t="shared" si="13"/>
        <v>57.5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1678.5185605499998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44544</v>
      </c>
      <c r="B17" s="41">
        <v>55</v>
      </c>
      <c r="C17" s="39">
        <f t="shared" si="7"/>
        <v>4</v>
      </c>
      <c r="D17" s="41">
        <v>55</v>
      </c>
      <c r="E17" s="39">
        <f t="shared" si="8"/>
        <v>4</v>
      </c>
      <c r="F17" s="41">
        <v>55</v>
      </c>
      <c r="G17" s="39">
        <f t="shared" si="9"/>
        <v>3</v>
      </c>
      <c r="H17" s="41">
        <v>60</v>
      </c>
      <c r="I17" s="39">
        <f t="shared" si="11"/>
        <v>5</v>
      </c>
      <c r="J17" s="39">
        <f t="shared" si="12"/>
        <v>225</v>
      </c>
      <c r="K17" s="39">
        <f t="shared" si="13"/>
        <v>56.25</v>
      </c>
      <c r="L17" s="39">
        <f t="shared" si="14"/>
        <v>4</v>
      </c>
      <c r="M17" s="149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5371.2593937600004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44545</v>
      </c>
      <c r="B18" s="41">
        <v>51</v>
      </c>
      <c r="C18" s="39">
        <f t="shared" si="7"/>
        <v>1</v>
      </c>
      <c r="D18" s="41">
        <v>51</v>
      </c>
      <c r="E18" s="39">
        <f t="shared" si="8"/>
        <v>1</v>
      </c>
      <c r="F18" s="41">
        <v>52</v>
      </c>
      <c r="G18" s="39">
        <f t="shared" si="9"/>
        <v>0</v>
      </c>
      <c r="H18" s="41">
        <v>55</v>
      </c>
      <c r="I18" s="39">
        <f t="shared" si="11"/>
        <v>0</v>
      </c>
      <c r="J18" s="39">
        <f t="shared" si="12"/>
        <v>209</v>
      </c>
      <c r="K18" s="39">
        <f t="shared" si="13"/>
        <v>52.25</v>
      </c>
      <c r="L18" s="39">
        <f t="shared" si="14"/>
        <v>0.5</v>
      </c>
      <c r="M18" s="149">
        <f t="shared" si="17"/>
        <v>24196</v>
      </c>
      <c r="N18" s="39">
        <f t="shared" si="15"/>
        <v>120.98</v>
      </c>
      <c r="O18" s="39">
        <f t="shared" si="16"/>
        <v>63.998420000000003</v>
      </c>
      <c r="P18" s="42">
        <f t="shared" si="10"/>
        <v>671.40742422000005</v>
      </c>
      <c r="Q18" s="39">
        <v>500</v>
      </c>
      <c r="R18" s="39">
        <v>50</v>
      </c>
      <c r="S18" s="39">
        <v>60</v>
      </c>
      <c r="T18" s="39">
        <v>500</v>
      </c>
      <c r="U18" s="39">
        <v>50</v>
      </c>
      <c r="V18" s="39">
        <v>60</v>
      </c>
      <c r="W18" s="39">
        <v>500</v>
      </c>
      <c r="X18" s="39">
        <v>52</v>
      </c>
      <c r="Y18" s="39">
        <v>65</v>
      </c>
      <c r="Z18" s="39">
        <v>500</v>
      </c>
      <c r="AA18" s="39">
        <v>55</v>
      </c>
      <c r="AB18" s="39">
        <v>65</v>
      </c>
      <c r="AC18" s="39">
        <f t="shared" si="4"/>
        <v>2000</v>
      </c>
      <c r="AD18" s="38">
        <f t="shared" si="5"/>
        <v>51.75</v>
      </c>
      <c r="AE18" s="38">
        <f t="shared" si="6"/>
        <v>62.5</v>
      </c>
    </row>
    <row r="19" spans="1:31" ht="32.25" customHeight="1">
      <c r="A19" s="40">
        <v>44546</v>
      </c>
      <c r="B19" s="41">
        <v>60</v>
      </c>
      <c r="C19" s="39">
        <f t="shared" si="7"/>
        <v>1</v>
      </c>
      <c r="D19" s="41">
        <v>60</v>
      </c>
      <c r="E19" s="39">
        <f t="shared" si="8"/>
        <v>2</v>
      </c>
      <c r="F19" s="41">
        <v>65</v>
      </c>
      <c r="G19" s="39">
        <f t="shared" si="9"/>
        <v>2</v>
      </c>
      <c r="H19" s="41">
        <v>65</v>
      </c>
      <c r="I19" s="39">
        <f t="shared" si="11"/>
        <v>2</v>
      </c>
      <c r="J19" s="39">
        <f t="shared" si="12"/>
        <v>250</v>
      </c>
      <c r="K19" s="39">
        <f t="shared" si="13"/>
        <v>62.5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2349.92598477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44547</v>
      </c>
      <c r="B20" s="41">
        <v>59</v>
      </c>
      <c r="C20" s="39">
        <f t="shared" si="7"/>
        <v>1</v>
      </c>
      <c r="D20" s="41">
        <v>58</v>
      </c>
      <c r="E20" s="39">
        <f t="shared" si="8"/>
        <v>1</v>
      </c>
      <c r="F20" s="41">
        <v>63</v>
      </c>
      <c r="G20" s="39">
        <f t="shared" si="9"/>
        <v>2</v>
      </c>
      <c r="H20" s="41">
        <v>63</v>
      </c>
      <c r="I20" s="39">
        <f t="shared" si="11"/>
        <v>2</v>
      </c>
      <c r="J20" s="39">
        <f t="shared" si="12"/>
        <v>243</v>
      </c>
      <c r="K20" s="39">
        <f t="shared" si="13"/>
        <v>60.75</v>
      </c>
      <c r="L20" s="39">
        <f t="shared" ref="L20:L42" si="18">IF(AC20&gt;0,((K20-AD20)+(AE20-K21)),IF(K21=0, ,(K20-K21)))</f>
        <v>1.5</v>
      </c>
      <c r="M20" s="149">
        <f t="shared" si="17"/>
        <v>24196</v>
      </c>
      <c r="N20" s="39">
        <f t="shared" si="15"/>
        <v>362.94</v>
      </c>
      <c r="O20" s="39">
        <f t="shared" si="16"/>
        <v>191.99526</v>
      </c>
      <c r="P20" s="42">
        <f t="shared" si="10"/>
        <v>2014.22227266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44548</v>
      </c>
      <c r="B21" s="41">
        <v>58</v>
      </c>
      <c r="C21" s="39">
        <f t="shared" si="7"/>
        <v>4</v>
      </c>
      <c r="D21" s="41">
        <v>57</v>
      </c>
      <c r="E21" s="39">
        <f t="shared" si="8"/>
        <v>3</v>
      </c>
      <c r="F21" s="41">
        <v>61</v>
      </c>
      <c r="G21" s="39">
        <f t="shared" si="9"/>
        <v>5</v>
      </c>
      <c r="H21" s="41">
        <v>61</v>
      </c>
      <c r="I21" s="39">
        <f t="shared" si="11"/>
        <v>1</v>
      </c>
      <c r="J21" s="39">
        <f t="shared" si="12"/>
        <v>237</v>
      </c>
      <c r="K21" s="39">
        <f t="shared" si="13"/>
        <v>59.25</v>
      </c>
      <c r="L21" s="39">
        <f>IF(AC21&gt;0,((K21-AD21)+(AE21-K22)),IF(K22=0, ,(K21-K22)))</f>
        <v>3.25</v>
      </c>
      <c r="M21" s="149">
        <f t="shared" si="17"/>
        <v>24196</v>
      </c>
      <c r="N21" s="39">
        <f t="shared" si="15"/>
        <v>786.37</v>
      </c>
      <c r="O21" s="39">
        <f t="shared" si="16"/>
        <v>415.98973000000001</v>
      </c>
      <c r="P21" s="42">
        <f t="shared" si="10"/>
        <v>4364.1482574299998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44549</v>
      </c>
      <c r="B22" s="41">
        <v>54</v>
      </c>
      <c r="C22" s="39">
        <f t="shared" si="7"/>
        <v>3</v>
      </c>
      <c r="D22" s="41">
        <v>54</v>
      </c>
      <c r="E22" s="39">
        <f t="shared" si="8"/>
        <v>3</v>
      </c>
      <c r="F22" s="41">
        <v>56</v>
      </c>
      <c r="G22" s="39">
        <f t="shared" si="9"/>
        <v>3</v>
      </c>
      <c r="H22" s="41">
        <v>60</v>
      </c>
      <c r="I22" s="39">
        <f t="shared" si="11"/>
        <v>5</v>
      </c>
      <c r="J22" s="39">
        <f t="shared" si="12"/>
        <v>224</v>
      </c>
      <c r="K22" s="39">
        <f t="shared" si="13"/>
        <v>56</v>
      </c>
      <c r="L22" s="39">
        <f>IF(AC22&gt;0,((K22-AD22)+(AE22-K23)),IF(K23=0, ,(K22-K23)))</f>
        <v>3.5</v>
      </c>
      <c r="M22" s="149">
        <f t="shared" si="17"/>
        <v>24196</v>
      </c>
      <c r="N22" s="39">
        <f t="shared" si="15"/>
        <v>846.86</v>
      </c>
      <c r="O22" s="39">
        <f t="shared" si="16"/>
        <v>447.98894000000001</v>
      </c>
      <c r="P22" s="42">
        <f t="shared" si="10"/>
        <v>4699.85196954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44550</v>
      </c>
      <c r="B23" s="41">
        <v>51</v>
      </c>
      <c r="C23" s="39">
        <f t="shared" si="7"/>
        <v>0</v>
      </c>
      <c r="D23" s="41">
        <v>51</v>
      </c>
      <c r="E23" s="39">
        <f t="shared" si="8"/>
        <v>0</v>
      </c>
      <c r="F23" s="41">
        <v>53</v>
      </c>
      <c r="G23" s="39">
        <f t="shared" si="9"/>
        <v>0</v>
      </c>
      <c r="H23" s="41">
        <v>55</v>
      </c>
      <c r="I23" s="39">
        <f t="shared" si="11"/>
        <v>0</v>
      </c>
      <c r="J23" s="39">
        <f t="shared" si="12"/>
        <v>210</v>
      </c>
      <c r="K23" s="39">
        <f t="shared" si="13"/>
        <v>52.5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44551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44552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44553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44554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44555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44556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44557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44558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44559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44560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44561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44562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11009.18</v>
      </c>
      <c r="O43" s="39">
        <f>N43*0.529</f>
        <v>5823.8562200000006</v>
      </c>
      <c r="P43" s="42">
        <f>O43*10.491</f>
        <v>61098.075604020007</v>
      </c>
      <c r="Q43" s="284">
        <f>SUM(Q4:Q42)</f>
        <v>2394</v>
      </c>
      <c r="R43" s="285"/>
      <c r="S43" s="286"/>
      <c r="T43" s="287">
        <f>SUM(T4:T42)</f>
        <v>2390</v>
      </c>
      <c r="U43" s="285"/>
      <c r="V43" s="286"/>
      <c r="W43" s="287">
        <f>SUM(W4:W42)</f>
        <v>2390</v>
      </c>
      <c r="X43" s="285"/>
      <c r="Y43" s="286"/>
      <c r="Z43" s="287">
        <f>SUM(Z4:Z42)</f>
        <v>2390</v>
      </c>
      <c r="AA43" s="285"/>
      <c r="AB43" s="286"/>
      <c r="AC43" s="39">
        <f t="shared" si="20"/>
        <v>9564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9564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9564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11009.18</v>
      </c>
      <c r="L47" s="46">
        <f>O43</f>
        <v>5823.8562200000006</v>
      </c>
      <c r="M47" s="46">
        <f>P43</f>
        <v>61098.075604020007</v>
      </c>
    </row>
    <row r="48" spans="1:31" ht="54.75" customHeight="1" thickBot="1">
      <c r="H48" s="280" t="s">
        <v>86</v>
      </c>
      <c r="I48" s="281"/>
      <c r="J48" s="282"/>
      <c r="K48" s="43">
        <f>AC44</f>
        <v>9564</v>
      </c>
      <c r="L48" s="44">
        <f>K48*0.529</f>
        <v>5059.3560000000007</v>
      </c>
      <c r="M48" s="44">
        <f>L48*10.491</f>
        <v>53077.703796000009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44497</v>
      </c>
      <c r="D8" s="324"/>
      <c r="E8" s="113">
        <v>44528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893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9"/>
      <c r="H17" s="340"/>
      <c r="I17" s="339">
        <f>+E17</f>
        <v>178715</v>
      </c>
      <c r="J17" s="340"/>
    </row>
    <row r="18" spans="1:10">
      <c r="A18" s="337" t="s">
        <v>111</v>
      </c>
      <c r="B18" s="338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9"/>
      <c r="H18" s="340"/>
      <c r="I18" s="339">
        <f>+E18</f>
        <v>115147</v>
      </c>
      <c r="J18" s="340"/>
    </row>
    <row r="19" spans="1:10">
      <c r="A19" s="337" t="s">
        <v>112</v>
      </c>
      <c r="B19" s="338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9"/>
      <c r="H19" s="340"/>
      <c r="I19" s="339">
        <f>+E19</f>
        <v>80666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374528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178715</v>
      </c>
      <c r="E25" s="72">
        <v>0.95140000000000002</v>
      </c>
      <c r="F25" s="73">
        <f>PRODUCT(D25*E25)</f>
        <v>170029.451</v>
      </c>
      <c r="G25" s="151">
        <v>14</v>
      </c>
      <c r="H25" s="65">
        <f>PRODUCT(0.14,F25)</f>
        <v>23804.123140000003</v>
      </c>
      <c r="I25" s="361">
        <f>SUM(H25,F25)</f>
        <v>193833.57414000001</v>
      </c>
      <c r="J25" s="362"/>
    </row>
    <row r="26" spans="1:10" ht="15">
      <c r="A26" s="363" t="s">
        <v>124</v>
      </c>
      <c r="B26" s="364"/>
      <c r="C26" s="365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61">
        <f t="shared" ref="I26:I31" si="0">SUM(H26,F26)</f>
        <v>91690.404630000005</v>
      </c>
      <c r="J26" s="362"/>
    </row>
    <row r="27" spans="1:10" ht="15">
      <c r="A27" s="363" t="s">
        <v>125</v>
      </c>
      <c r="B27" s="364"/>
      <c r="C27" s="365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61">
        <f>SUM(H27,F27)</f>
        <v>122342.57289600001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403992.3469</v>
      </c>
      <c r="G32" s="85"/>
      <c r="H32" s="86"/>
      <c r="I32" s="373">
        <f>SUM(I25:J31)</f>
        <v>460497.29546600004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44297</v>
      </c>
      <c r="D8" s="324"/>
      <c r="E8" s="113">
        <v>44327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1">
        <f>SUM(H25,F25)</f>
        <v>7469.6126519999998</v>
      </c>
      <c r="J25" s="362"/>
    </row>
    <row r="26" spans="1:10" ht="15">
      <c r="A26" s="363" t="s">
        <v>124</v>
      </c>
      <c r="B26" s="364"/>
      <c r="C26" s="36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1">
        <f t="shared" ref="I26:I31" si="0">SUM(H26,F26)</f>
        <v>3025.1057100000003</v>
      </c>
      <c r="J26" s="362"/>
    </row>
    <row r="27" spans="1:10" ht="15">
      <c r="A27" s="363" t="s">
        <v>125</v>
      </c>
      <c r="B27" s="364"/>
      <c r="C27" s="36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1">
        <f>SUM(H27,F27)</f>
        <v>4660.6838879999996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59508.8825</v>
      </c>
      <c r="G32" s="85"/>
      <c r="H32" s="86"/>
      <c r="I32" s="373">
        <f>SUM(I25:J31)</f>
        <v>67786.146049999996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2932.1999999999971</v>
      </c>
      <c r="C13" s="395"/>
      <c r="D13" s="395">
        <v>8.7899999999999991</v>
      </c>
      <c r="E13" s="395"/>
      <c r="F13" s="397">
        <f>PRODUCT(D13,B13)</f>
        <v>25774.037999999971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2932.1999999999971</v>
      </c>
      <c r="C19" s="395"/>
      <c r="D19" s="395">
        <v>2.61</v>
      </c>
      <c r="E19" s="395"/>
      <c r="F19" s="395">
        <f>PRODUCT(D19,B19)</f>
        <v>7653.0419999999922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33450.079999999965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2341.5055999999977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2549.7655999999979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35999.845599999964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7">
        <f>PRODUCT(D13,B13)</f>
        <v>1018.3000000000247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1345.5920000000322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94.19144000000226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302.45144000000226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1648.0434400000345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7">
        <f>PRODUCT(D13,B13)</f>
        <v>0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15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81.06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2021-12-20T11:55:08Z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