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33DD3F2B-00B5-46DF-8006-F03F1811B7A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4" l="1"/>
  <c r="O3" i="4" s="1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2" i="4"/>
  <c r="N2" i="4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D2" i="4" l="1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C7" i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F36" i="1" l="1"/>
  <c r="E36" i="1"/>
  <c r="E35" i="2"/>
  <c r="I6" i="1" l="1"/>
  <c r="C36" i="1"/>
  <c r="F35" i="2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5" i="2" l="1"/>
  <c r="G39" i="2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J34" i="1" l="1"/>
  <c r="K34" i="1" s="1"/>
  <c r="L34" i="1" l="1"/>
  <c r="J30" i="4" s="1"/>
  <c r="G6" i="1" l="1"/>
  <c r="E2" i="4" l="1"/>
  <c r="G45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G36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6" i="1" l="1"/>
  <c r="K6" i="1"/>
  <c r="K36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s="1"/>
  <c r="J2" i="4" l="1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<sst xmlns="http://schemas.openxmlformats.org/spreadsheetml/2006/main" count="115" uniqueCount="45">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</sst>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P13" sqref="P13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11</v>
      </c>
      <c r="D2" s="45">
        <f>Water!D5</f>
        <v>2020</v>
      </c>
      <c r="E2" s="43">
        <f>Electricity!G6</f>
        <v>23199.999999998909</v>
      </c>
      <c r="F2" s="43">
        <f>Electricity!E6</f>
        <v>4559.9999999994907</v>
      </c>
      <c r="G2" s="43">
        <f>Electricity!F6</f>
        <v>18639.999999999418</v>
      </c>
      <c r="H2" s="47">
        <v>1553.67</v>
      </c>
      <c r="I2" s="57" t="s">
        <v>28</v>
      </c>
      <c r="J2" s="106">
        <f>Electricity!L6</f>
        <v>27025074.585598573</v>
      </c>
      <c r="K2" s="43">
        <f>J2/E2</f>
        <v>1164.8739045517175</v>
      </c>
      <c r="L2" s="58">
        <f>Water!G5</f>
        <v>236</v>
      </c>
      <c r="M2" s="58">
        <v>12550</v>
      </c>
      <c r="N2" s="106">
        <f>M2*L2</f>
        <v>2961800</v>
      </c>
      <c r="O2" s="43">
        <f>Electricity!C6</f>
        <v>161</v>
      </c>
    </row>
    <row r="3" spans="1:15" x14ac:dyDescent="0.25">
      <c r="A3" s="48" t="s">
        <v>44</v>
      </c>
      <c r="B3" s="45">
        <v>2</v>
      </c>
      <c r="C3" s="45">
        <v>11</v>
      </c>
      <c r="D3" s="45">
        <f>D2</f>
        <v>2020</v>
      </c>
      <c r="E3" s="43">
        <f>Electricity!G7</f>
        <v>21760.000000002947</v>
      </c>
      <c r="F3" s="43">
        <f>Electricity!E7</f>
        <v>3640.0000000003274</v>
      </c>
      <c r="G3" s="43">
        <f>Electricity!F7</f>
        <v>18120.000000002619</v>
      </c>
      <c r="H3" s="47">
        <v>1553.67</v>
      </c>
      <c r="I3" s="57" t="s">
        <v>28</v>
      </c>
      <c r="J3" s="106">
        <f>Electricity!L7</f>
        <v>25009861.017603297</v>
      </c>
      <c r="K3" s="43">
        <f t="shared" ref="K3:K31" si="0">J3/E3</f>
        <v>1149.3502305882312</v>
      </c>
      <c r="L3" s="58">
        <f>Water!G6</f>
        <v>270</v>
      </c>
      <c r="M3" s="58">
        <v>12550</v>
      </c>
      <c r="N3" s="106">
        <f t="shared" ref="N3:N31" si="1">M3*L3</f>
        <v>3388500</v>
      </c>
      <c r="O3" s="43">
        <f>O2</f>
        <v>161</v>
      </c>
    </row>
    <row r="4" spans="1:15" x14ac:dyDescent="0.25">
      <c r="A4" s="48" t="s">
        <v>44</v>
      </c>
      <c r="B4" s="45">
        <v>3</v>
      </c>
      <c r="C4" s="45">
        <v>11</v>
      </c>
      <c r="D4" s="45">
        <f t="shared" ref="D4:D31" si="2">D3</f>
        <v>2020</v>
      </c>
      <c r="E4" s="43">
        <f>Electricity!G8</f>
        <v>25119.999999998072</v>
      </c>
      <c r="F4" s="43">
        <f>Electricity!E8</f>
        <v>4720.0000000002547</v>
      </c>
      <c r="G4" s="43">
        <f>Electricity!F8</f>
        <v>20399.999999997817</v>
      </c>
      <c r="H4" s="47">
        <v>1553.67</v>
      </c>
      <c r="I4" s="57" t="s">
        <v>28</v>
      </c>
      <c r="J4" s="106">
        <f>Electricity!L8</f>
        <v>29146352.02559809</v>
      </c>
      <c r="K4" s="43">
        <f t="shared" si="0"/>
        <v>1160.2847143949175</v>
      </c>
      <c r="L4" s="58">
        <f>Water!G7</f>
        <v>324</v>
      </c>
      <c r="M4" s="58">
        <v>12550</v>
      </c>
      <c r="N4" s="106">
        <f t="shared" si="1"/>
        <v>4066200</v>
      </c>
      <c r="O4" s="43">
        <f t="shared" ref="N4:O31" si="3">O3</f>
        <v>161</v>
      </c>
    </row>
    <row r="5" spans="1:15" x14ac:dyDescent="0.25">
      <c r="A5" s="48" t="s">
        <v>44</v>
      </c>
      <c r="B5" s="45">
        <v>4</v>
      </c>
      <c r="C5" s="45">
        <v>11</v>
      </c>
      <c r="D5" s="45">
        <f t="shared" si="2"/>
        <v>2020</v>
      </c>
      <c r="E5" s="43">
        <f>Electricity!G9</f>
        <v>25800.000000000182</v>
      </c>
      <c r="F5" s="43">
        <f>Electricity!E9</f>
        <v>4759.9999999993088</v>
      </c>
      <c r="G5" s="43">
        <f>Electricity!F9</f>
        <v>21040.000000000873</v>
      </c>
      <c r="H5" s="47">
        <v>1553.67</v>
      </c>
      <c r="I5" s="57" t="s">
        <v>28</v>
      </c>
      <c r="J5" s="106">
        <f>Electricity!L9</f>
        <v>29888799.129599828</v>
      </c>
      <c r="K5" s="43">
        <f t="shared" si="0"/>
        <v>1158.4805864185898</v>
      </c>
      <c r="L5" s="58">
        <f>Water!G8</f>
        <v>346</v>
      </c>
      <c r="M5" s="58">
        <v>12550</v>
      </c>
      <c r="N5" s="106">
        <f t="shared" si="1"/>
        <v>4342300</v>
      </c>
      <c r="O5" s="43">
        <f t="shared" si="3"/>
        <v>161</v>
      </c>
    </row>
    <row r="6" spans="1:15" x14ac:dyDescent="0.25">
      <c r="A6" s="48" t="s">
        <v>44</v>
      </c>
      <c r="B6" s="45">
        <v>5</v>
      </c>
      <c r="C6" s="45">
        <v>11</v>
      </c>
      <c r="D6" s="45">
        <f t="shared" si="2"/>
        <v>2020</v>
      </c>
      <c r="E6" s="43">
        <f>Electricity!G10</f>
        <v>24959.999999997308</v>
      </c>
      <c r="F6" s="43">
        <f>Electricity!E10</f>
        <v>4600.0000000003638</v>
      </c>
      <c r="G6" s="43">
        <f>Electricity!F10</f>
        <v>20359.999999996944</v>
      </c>
      <c r="H6" s="47">
        <v>1553.67</v>
      </c>
      <c r="I6" s="57" t="s">
        <v>28</v>
      </c>
      <c r="J6" s="106">
        <f>Electricity!L10</f>
        <v>28913011.507197339</v>
      </c>
      <c r="K6" s="43">
        <f t="shared" si="0"/>
        <v>1158.3738584615569</v>
      </c>
      <c r="L6" s="58">
        <f>Water!G9</f>
        <v>402</v>
      </c>
      <c r="M6" s="58">
        <v>12550</v>
      </c>
      <c r="N6" s="106">
        <f t="shared" si="1"/>
        <v>5045100</v>
      </c>
      <c r="O6" s="43">
        <f t="shared" si="3"/>
        <v>161</v>
      </c>
    </row>
    <row r="7" spans="1:15" x14ac:dyDescent="0.25">
      <c r="A7" s="48" t="s">
        <v>44</v>
      </c>
      <c r="B7" s="45">
        <v>6</v>
      </c>
      <c r="C7" s="45">
        <v>11</v>
      </c>
      <c r="D7" s="45">
        <f t="shared" si="2"/>
        <v>2020</v>
      </c>
      <c r="E7" s="43">
        <f>Electricity!G11</f>
        <v>25720.000000005712</v>
      </c>
      <c r="F7" s="43">
        <f>Electricity!E11</f>
        <v>4800.0000000001819</v>
      </c>
      <c r="G7" s="43">
        <f>Electricity!F11</f>
        <v>20920.00000000553</v>
      </c>
      <c r="H7" s="47">
        <v>1553.67</v>
      </c>
      <c r="I7" s="57" t="s">
        <v>28</v>
      </c>
      <c r="J7" s="106">
        <f>Electricity!L11</f>
        <v>29825160.806406155</v>
      </c>
      <c r="K7" s="43">
        <f t="shared" si="0"/>
        <v>1159.6096736547252</v>
      </c>
      <c r="L7" s="58">
        <f>Water!G10</f>
        <v>471</v>
      </c>
      <c r="M7" s="58">
        <v>12550</v>
      </c>
      <c r="N7" s="106">
        <f t="shared" si="1"/>
        <v>5911050</v>
      </c>
      <c r="O7" s="43">
        <f t="shared" si="3"/>
        <v>161</v>
      </c>
    </row>
    <row r="8" spans="1:15" x14ac:dyDescent="0.25">
      <c r="A8" s="48" t="s">
        <v>44</v>
      </c>
      <c r="B8" s="45">
        <v>7</v>
      </c>
      <c r="C8" s="45">
        <v>11</v>
      </c>
      <c r="D8" s="45">
        <f t="shared" si="2"/>
        <v>2020</v>
      </c>
      <c r="E8" s="43">
        <f>Electricity!G12</f>
        <v>25279.999999993379</v>
      </c>
      <c r="F8" s="43">
        <f>Electricity!E12</f>
        <v>4559.9999999994907</v>
      </c>
      <c r="G8" s="43">
        <f>Electricity!F12</f>
        <v>20719.999999993888</v>
      </c>
      <c r="H8" s="47">
        <v>1553.67</v>
      </c>
      <c r="I8" s="57" t="s">
        <v>28</v>
      </c>
      <c r="J8" s="106">
        <f>Electricity!L12</f>
        <v>29231203.123192705</v>
      </c>
      <c r="K8" s="43">
        <f t="shared" si="0"/>
        <v>1156.2975918987486</v>
      </c>
      <c r="L8" s="58">
        <f>Water!G11</f>
        <v>304</v>
      </c>
      <c r="M8" s="58">
        <v>12550</v>
      </c>
      <c r="N8" s="106">
        <f t="shared" si="1"/>
        <v>3815200</v>
      </c>
      <c r="O8" s="43">
        <f t="shared" si="3"/>
        <v>161</v>
      </c>
    </row>
    <row r="9" spans="1:15" x14ac:dyDescent="0.25">
      <c r="A9" s="48" t="s">
        <v>44</v>
      </c>
      <c r="B9" s="45">
        <v>8</v>
      </c>
      <c r="C9" s="45">
        <v>11</v>
      </c>
      <c r="D9" s="45">
        <f t="shared" si="2"/>
        <v>2020</v>
      </c>
      <c r="E9" s="43">
        <f>Electricity!G13</f>
        <v>24560.000000003129</v>
      </c>
      <c r="F9" s="43">
        <f>Electricity!E13</f>
        <v>4760.0000000002183</v>
      </c>
      <c r="G9" s="43">
        <f>Electricity!F13</f>
        <v>19800.00000000291</v>
      </c>
      <c r="H9" s="47">
        <v>1553.67</v>
      </c>
      <c r="I9" s="57" t="s">
        <v>28</v>
      </c>
      <c r="J9" s="106">
        <f>Electricity!L13</f>
        <v>28573607.116803434</v>
      </c>
      <c r="K9" s="43">
        <f t="shared" si="0"/>
        <v>1163.420485211718</v>
      </c>
      <c r="L9" s="58">
        <f>Water!G12</f>
        <v>298</v>
      </c>
      <c r="M9" s="58">
        <v>12550</v>
      </c>
      <c r="N9" s="106">
        <f t="shared" si="1"/>
        <v>3739900</v>
      </c>
      <c r="O9" s="43">
        <f t="shared" si="3"/>
        <v>161</v>
      </c>
    </row>
    <row r="10" spans="1:15" x14ac:dyDescent="0.25">
      <c r="A10" s="48" t="s">
        <v>44</v>
      </c>
      <c r="B10" s="45">
        <v>9</v>
      </c>
      <c r="C10" s="45">
        <v>11</v>
      </c>
      <c r="D10" s="45">
        <f t="shared" si="2"/>
        <v>2020</v>
      </c>
      <c r="E10" s="43">
        <f>Electricity!G14</f>
        <v>25080.000000003565</v>
      </c>
      <c r="F10" s="43">
        <f>Electricity!E14</f>
        <v>4600.0000000003638</v>
      </c>
      <c r="G10" s="43">
        <f>Electricity!F14</f>
        <v>20480.000000003201</v>
      </c>
      <c r="H10" s="47">
        <v>1553.67</v>
      </c>
      <c r="I10" s="57" t="s">
        <v>28</v>
      </c>
      <c r="J10" s="106">
        <f>Electricity!L14</f>
        <v>29040288.153603975</v>
      </c>
      <c r="K10" s="43">
        <f t="shared" si="0"/>
        <v>1157.9062262200896</v>
      </c>
      <c r="L10" s="58">
        <f>Water!G13</f>
        <v>299</v>
      </c>
      <c r="M10" s="58">
        <v>12550</v>
      </c>
      <c r="N10" s="106">
        <f t="shared" si="1"/>
        <v>3752450</v>
      </c>
      <c r="O10" s="43">
        <f t="shared" si="3"/>
        <v>161</v>
      </c>
    </row>
    <row r="11" spans="1:15" x14ac:dyDescent="0.25">
      <c r="A11" s="48" t="s">
        <v>44</v>
      </c>
      <c r="B11" s="45">
        <v>10</v>
      </c>
      <c r="C11" s="45">
        <v>11</v>
      </c>
      <c r="D11" s="45">
        <f t="shared" si="2"/>
        <v>2020</v>
      </c>
      <c r="E11" s="43">
        <f>Electricity!G15</f>
        <v>26359.999999995125</v>
      </c>
      <c r="F11" s="43">
        <f>Electricity!E15</f>
        <v>4920.0000000000728</v>
      </c>
      <c r="G11" s="43">
        <f>Electricity!F15</f>
        <v>21439.999999995052</v>
      </c>
      <c r="H11" s="47">
        <v>1553.67</v>
      </c>
      <c r="I11" s="57" t="s">
        <v>28</v>
      </c>
      <c r="J11" s="106">
        <f>Electricity!L15</f>
        <v>30567607.910394866</v>
      </c>
      <c r="K11" s="43">
        <f t="shared" si="0"/>
        <v>1159.6209374203536</v>
      </c>
      <c r="L11" s="58">
        <f>Water!G14</f>
        <v>382</v>
      </c>
      <c r="M11" s="58">
        <v>12550</v>
      </c>
      <c r="N11" s="106">
        <f t="shared" si="1"/>
        <v>4794100</v>
      </c>
      <c r="O11" s="43">
        <f t="shared" si="3"/>
        <v>161</v>
      </c>
    </row>
    <row r="12" spans="1:15" x14ac:dyDescent="0.25">
      <c r="A12" s="48" t="s">
        <v>44</v>
      </c>
      <c r="B12" s="45">
        <v>11</v>
      </c>
      <c r="C12" s="45">
        <v>11</v>
      </c>
      <c r="D12" s="45">
        <f t="shared" si="2"/>
        <v>2020</v>
      </c>
      <c r="E12" s="43">
        <f>Electricity!G16</f>
        <v>26120.0000000008</v>
      </c>
      <c r="F12" s="43">
        <f>Electricity!E16</f>
        <v>4719.9999999993452</v>
      </c>
      <c r="G12" s="43">
        <f>Electricity!F16</f>
        <v>21400.000000001455</v>
      </c>
      <c r="H12" s="47">
        <v>1553.67</v>
      </c>
      <c r="I12" s="57" t="s">
        <v>28</v>
      </c>
      <c r="J12" s="106">
        <f>Electricity!L16</f>
        <v>30206990.745600499</v>
      </c>
      <c r="K12" s="43">
        <f t="shared" si="0"/>
        <v>1156.4697835221889</v>
      </c>
      <c r="L12" s="58">
        <f>Water!G15</f>
        <v>505</v>
      </c>
      <c r="M12" s="58">
        <v>12550</v>
      </c>
      <c r="N12" s="106">
        <f t="shared" si="1"/>
        <v>6337750</v>
      </c>
      <c r="O12" s="43">
        <f t="shared" si="3"/>
        <v>161</v>
      </c>
    </row>
    <row r="13" spans="1:15" x14ac:dyDescent="0.25">
      <c r="A13" s="48" t="s">
        <v>44</v>
      </c>
      <c r="B13" s="45">
        <v>12</v>
      </c>
      <c r="C13" s="45">
        <v>11</v>
      </c>
      <c r="D13" s="45">
        <f t="shared" si="2"/>
        <v>2020</v>
      </c>
      <c r="E13" s="43">
        <f>Electricity!G17</f>
        <v>27812.000000001717</v>
      </c>
      <c r="F13" s="43">
        <f>Electricity!E17</f>
        <v>5092.000000000553</v>
      </c>
      <c r="G13" s="43">
        <f>Electricity!F17</f>
        <v>22720.000000001164</v>
      </c>
      <c r="H13" s="47">
        <v>1553.67</v>
      </c>
      <c r="I13" s="57" t="s">
        <v>28</v>
      </c>
      <c r="J13" s="106">
        <f>Electricity!L17</f>
        <v>32198870.261762116</v>
      </c>
      <c r="K13" s="43">
        <f t="shared" si="0"/>
        <v>1157.7330023644515</v>
      </c>
      <c r="L13" s="58">
        <f>Water!G16</f>
        <v>315</v>
      </c>
      <c r="M13" s="58">
        <v>12550</v>
      </c>
      <c r="N13" s="106">
        <f t="shared" si="1"/>
        <v>3953250</v>
      </c>
      <c r="O13" s="43">
        <f t="shared" si="3"/>
        <v>161</v>
      </c>
    </row>
    <row r="14" spans="1:15" x14ac:dyDescent="0.25">
      <c r="A14" s="48" t="s">
        <v>44</v>
      </c>
      <c r="B14" s="45">
        <v>13</v>
      </c>
      <c r="C14" s="45">
        <v>11</v>
      </c>
      <c r="D14" s="45">
        <f t="shared" si="2"/>
        <v>2020</v>
      </c>
      <c r="E14" s="43">
        <f>Electricity!G18</f>
        <v>26747.999999998683</v>
      </c>
      <c r="F14" s="43">
        <f>Electricity!E18</f>
        <v>5148.0000000001382</v>
      </c>
      <c r="G14" s="43">
        <f>Electricity!F18</f>
        <v>21599.999999998545</v>
      </c>
      <c r="H14" s="47">
        <v>1553.67</v>
      </c>
      <c r="I14" s="57" t="s">
        <v>28</v>
      </c>
      <c r="J14" s="106">
        <f>Electricity!L18</f>
        <v>31100048.547838677</v>
      </c>
      <c r="K14" s="43">
        <f t="shared" si="0"/>
        <v>1162.7055685599</v>
      </c>
      <c r="L14" s="58">
        <f>Water!G17</f>
        <v>344</v>
      </c>
      <c r="M14" s="58">
        <v>12550</v>
      </c>
      <c r="N14" s="106">
        <f t="shared" si="1"/>
        <v>4317200</v>
      </c>
      <c r="O14" s="43">
        <f t="shared" si="3"/>
        <v>161</v>
      </c>
    </row>
    <row r="15" spans="1:15" x14ac:dyDescent="0.25">
      <c r="A15" s="48" t="s">
        <v>44</v>
      </c>
      <c r="B15" s="45">
        <v>14</v>
      </c>
      <c r="C15" s="45">
        <v>11</v>
      </c>
      <c r="D15" s="45">
        <f t="shared" si="2"/>
        <v>2020</v>
      </c>
      <c r="E15" s="43">
        <f>Electricity!G19</f>
        <v>28280.000000000655</v>
      </c>
      <c r="F15" s="43">
        <f>Electricity!E19</f>
        <v>5239.9999999997817</v>
      </c>
      <c r="G15" s="43">
        <f>Electricity!F19</f>
        <v>23040.000000000873</v>
      </c>
      <c r="H15" s="47">
        <v>1553.67</v>
      </c>
      <c r="I15" s="57" t="s">
        <v>28</v>
      </c>
      <c r="J15" s="106">
        <f>Electricity!L19</f>
        <v>32773736.44800058</v>
      </c>
      <c r="K15" s="43">
        <f t="shared" si="0"/>
        <v>1158.9015717114505</v>
      </c>
      <c r="L15" s="58">
        <f>Water!G18</f>
        <v>407</v>
      </c>
      <c r="M15" s="58">
        <v>12550</v>
      </c>
      <c r="N15" s="106">
        <f t="shared" si="1"/>
        <v>5107850</v>
      </c>
      <c r="O15" s="43">
        <f t="shared" si="3"/>
        <v>161</v>
      </c>
    </row>
    <row r="16" spans="1:15" x14ac:dyDescent="0.25">
      <c r="A16" s="48" t="s">
        <v>44</v>
      </c>
      <c r="B16" s="45">
        <v>15</v>
      </c>
      <c r="C16" s="45">
        <v>11</v>
      </c>
      <c r="D16" s="45">
        <f t="shared" si="2"/>
        <v>2020</v>
      </c>
      <c r="E16" s="43">
        <f>Electricity!G20</f>
        <v>28719.999999996617</v>
      </c>
      <c r="F16" s="43">
        <f>Electricity!E20</f>
        <v>5199.9999999998181</v>
      </c>
      <c r="G16" s="43">
        <f>Electricity!F20</f>
        <v>23519.999999996799</v>
      </c>
      <c r="H16" s="47">
        <v>1553.67</v>
      </c>
      <c r="I16" s="57" t="s">
        <v>28</v>
      </c>
      <c r="J16" s="106">
        <f>Electricity!L20</f>
        <v>33219204.710396312</v>
      </c>
      <c r="K16" s="43">
        <f t="shared" si="0"/>
        <v>1156.6575456267487</v>
      </c>
      <c r="L16" s="58">
        <f>Water!G19</f>
        <v>525</v>
      </c>
      <c r="M16" s="58">
        <v>12550</v>
      </c>
      <c r="N16" s="106">
        <f t="shared" si="1"/>
        <v>6588750</v>
      </c>
      <c r="O16" s="43">
        <f t="shared" si="3"/>
        <v>161</v>
      </c>
    </row>
    <row r="17" spans="1:15" x14ac:dyDescent="0.25">
      <c r="A17" s="48" t="s">
        <v>44</v>
      </c>
      <c r="B17" s="45">
        <v>16</v>
      </c>
      <c r="C17" s="45">
        <v>11</v>
      </c>
      <c r="D17" s="45">
        <f t="shared" si="2"/>
        <v>2020</v>
      </c>
      <c r="E17" s="43">
        <f>Electricity!G21</f>
        <v>25600.00000000673</v>
      </c>
      <c r="F17" s="43">
        <f>Electricity!E21</f>
        <v>4960.0000000000364</v>
      </c>
      <c r="G17" s="43">
        <f>Electricity!F21</f>
        <v>20640.000000006694</v>
      </c>
      <c r="H17" s="47">
        <v>1553.67</v>
      </c>
      <c r="I17" s="57" t="s">
        <v>28</v>
      </c>
      <c r="J17" s="106">
        <f>Electricity!L21</f>
        <v>29782735.257607155</v>
      </c>
      <c r="K17" s="43">
        <f t="shared" si="0"/>
        <v>1163.3880959999735</v>
      </c>
      <c r="L17" s="58">
        <f>Water!G20</f>
        <v>272</v>
      </c>
      <c r="M17" s="58">
        <v>12550</v>
      </c>
      <c r="N17" s="106">
        <f t="shared" si="1"/>
        <v>3413600</v>
      </c>
      <c r="O17" s="43">
        <f t="shared" si="3"/>
        <v>161</v>
      </c>
    </row>
    <row r="18" spans="1:15" x14ac:dyDescent="0.25">
      <c r="A18" s="48" t="s">
        <v>44</v>
      </c>
      <c r="B18" s="45">
        <v>17</v>
      </c>
      <c r="C18" s="45">
        <v>11</v>
      </c>
      <c r="D18" s="45">
        <f t="shared" si="2"/>
        <v>2020</v>
      </c>
      <c r="E18" s="43">
        <f>Electricity!G22</f>
        <v>22879.999999992833</v>
      </c>
      <c r="F18" s="43">
        <f>Electricity!E22</f>
        <v>5199.9999999998181</v>
      </c>
      <c r="G18" s="43">
        <f>Electricity!F22</f>
        <v>17679.999999993015</v>
      </c>
      <c r="H18" s="47">
        <v>1553.67</v>
      </c>
      <c r="I18" s="57" t="s">
        <v>28</v>
      </c>
      <c r="J18" s="106">
        <f>Electricity!L22</f>
        <v>27025074.5855923</v>
      </c>
      <c r="K18" s="43">
        <f t="shared" si="0"/>
        <v>1181.1658472727606</v>
      </c>
      <c r="L18" s="58">
        <f>Water!G21</f>
        <v>296</v>
      </c>
      <c r="M18" s="58">
        <v>12550</v>
      </c>
      <c r="N18" s="106">
        <f t="shared" si="1"/>
        <v>3714800</v>
      </c>
      <c r="O18" s="43">
        <f t="shared" si="3"/>
        <v>161</v>
      </c>
    </row>
    <row r="19" spans="1:15" x14ac:dyDescent="0.25">
      <c r="A19" s="48" t="s">
        <v>44</v>
      </c>
      <c r="B19" s="45">
        <v>18</v>
      </c>
      <c r="C19" s="45">
        <v>11</v>
      </c>
      <c r="D19" s="45">
        <f t="shared" si="2"/>
        <v>2020</v>
      </c>
      <c r="E19" s="43">
        <f>Electricity!G23</f>
        <v>32680.000000006658</v>
      </c>
      <c r="F19" s="43">
        <f>Electricity!E23</f>
        <v>5039.9999999999636</v>
      </c>
      <c r="G19" s="43">
        <f>Electricity!F23</f>
        <v>27640.000000006694</v>
      </c>
      <c r="H19" s="47">
        <v>1553.67</v>
      </c>
      <c r="I19" s="57" t="s">
        <v>28</v>
      </c>
      <c r="J19" s="106">
        <f>Electricity!L23</f>
        <v>37334482.944007039</v>
      </c>
      <c r="K19" s="43">
        <f t="shared" si="0"/>
        <v>1142.4260386780732</v>
      </c>
      <c r="L19" s="58">
        <f>Water!G22</f>
        <v>381</v>
      </c>
      <c r="M19" s="58">
        <v>12550</v>
      </c>
      <c r="N19" s="106">
        <f t="shared" si="1"/>
        <v>4781550</v>
      </c>
      <c r="O19" s="43">
        <f t="shared" si="3"/>
        <v>161</v>
      </c>
    </row>
    <row r="20" spans="1:15" x14ac:dyDescent="0.25">
      <c r="A20" s="48" t="s">
        <v>44</v>
      </c>
      <c r="B20" s="45">
        <v>19</v>
      </c>
      <c r="C20" s="45">
        <v>11</v>
      </c>
      <c r="D20" s="45">
        <f t="shared" si="2"/>
        <v>2020</v>
      </c>
      <c r="E20" s="43">
        <f>Electricity!G24</f>
        <v>26239.999999996144</v>
      </c>
      <c r="F20" s="43">
        <f>Electricity!E24</f>
        <v>5079.9999999999272</v>
      </c>
      <c r="G20" s="43">
        <f>Electricity!F24</f>
        <v>21159.999999996217</v>
      </c>
      <c r="H20" s="47">
        <v>1553.67</v>
      </c>
      <c r="I20" s="57" t="s">
        <v>28</v>
      </c>
      <c r="J20" s="106">
        <f>Electricity!L24</f>
        <v>30525182.361595873</v>
      </c>
      <c r="K20" s="43">
        <f t="shared" si="0"/>
        <v>1163.30725463416</v>
      </c>
      <c r="L20" s="58">
        <f>Water!G23</f>
        <v>408</v>
      </c>
      <c r="M20" s="58">
        <v>12550</v>
      </c>
      <c r="N20" s="106">
        <f t="shared" si="1"/>
        <v>5120400</v>
      </c>
      <c r="O20" s="43">
        <f t="shared" si="3"/>
        <v>161</v>
      </c>
    </row>
    <row r="21" spans="1:15" x14ac:dyDescent="0.25">
      <c r="A21" s="48" t="s">
        <v>44</v>
      </c>
      <c r="B21" s="45">
        <v>20</v>
      </c>
      <c r="C21" s="45">
        <v>11</v>
      </c>
      <c r="D21" s="45">
        <f t="shared" si="2"/>
        <v>2020</v>
      </c>
      <c r="E21" s="43">
        <f>Electricity!G25</f>
        <v>27239.999999999782</v>
      </c>
      <c r="F21" s="43">
        <f>Electricity!E25</f>
        <v>4920.0000000000728</v>
      </c>
      <c r="G21" s="43">
        <f>Electricity!F25</f>
        <v>22319.999999999709</v>
      </c>
      <c r="H21" s="47">
        <v>1553.67</v>
      </c>
      <c r="I21" s="57" t="s">
        <v>28</v>
      </c>
      <c r="J21" s="106">
        <f>Electricity!L25</f>
        <v>31500969.983999811</v>
      </c>
      <c r="K21" s="43">
        <f t="shared" si="0"/>
        <v>1156.423274008813</v>
      </c>
      <c r="L21" s="58">
        <f>Water!G24</f>
        <v>492</v>
      </c>
      <c r="M21" s="58">
        <v>12550</v>
      </c>
      <c r="N21" s="106">
        <f t="shared" si="1"/>
        <v>6174600</v>
      </c>
      <c r="O21" s="43">
        <f t="shared" si="3"/>
        <v>161</v>
      </c>
    </row>
    <row r="22" spans="1:15" x14ac:dyDescent="0.25">
      <c r="A22" s="48" t="s">
        <v>44</v>
      </c>
      <c r="B22" s="45">
        <v>21</v>
      </c>
      <c r="C22" s="45">
        <v>11</v>
      </c>
      <c r="D22" s="45">
        <f t="shared" si="2"/>
        <v>2020</v>
      </c>
      <c r="E22" s="43">
        <f>Electricity!G26</f>
        <v>28200.000000004366</v>
      </c>
      <c r="F22" s="43">
        <f>Electricity!E26</f>
        <v>5000</v>
      </c>
      <c r="G22" s="43">
        <f>Electricity!F26</f>
        <v>23200.000000004366</v>
      </c>
      <c r="H22" s="47">
        <v>1553.67</v>
      </c>
      <c r="I22" s="57" t="s">
        <v>28</v>
      </c>
      <c r="J22" s="106">
        <f>Electricity!L26</f>
        <v>32561608.70400463</v>
      </c>
      <c r="K22" s="43">
        <f t="shared" si="0"/>
        <v>1154.6669753191343</v>
      </c>
      <c r="L22" s="58">
        <f>Water!G25</f>
        <v>329</v>
      </c>
      <c r="M22" s="58">
        <v>12550</v>
      </c>
      <c r="N22" s="106">
        <f t="shared" si="1"/>
        <v>4128950</v>
      </c>
      <c r="O22" s="43">
        <f t="shared" si="3"/>
        <v>161</v>
      </c>
    </row>
    <row r="23" spans="1:15" x14ac:dyDescent="0.25">
      <c r="A23" s="48" t="s">
        <v>44</v>
      </c>
      <c r="B23" s="45">
        <v>22</v>
      </c>
      <c r="C23" s="45">
        <v>11</v>
      </c>
      <c r="D23" s="45">
        <f t="shared" si="2"/>
        <v>2020</v>
      </c>
      <c r="E23" s="43">
        <f>Electricity!G27</f>
        <v>26919.999999998254</v>
      </c>
      <c r="F23" s="43">
        <f>Electricity!E27</f>
        <v>5000</v>
      </c>
      <c r="G23" s="43">
        <f>Electricity!F27</f>
        <v>21919.999999998254</v>
      </c>
      <c r="H23" s="47">
        <v>1553.67</v>
      </c>
      <c r="I23" s="57" t="s">
        <v>28</v>
      </c>
      <c r="J23" s="106">
        <f>Electricity!L27</f>
        <v>31203991.142398149</v>
      </c>
      <c r="K23" s="43">
        <f t="shared" si="0"/>
        <v>1159.1378581872277</v>
      </c>
      <c r="L23" s="58">
        <f>Water!G26</f>
        <v>339</v>
      </c>
      <c r="M23" s="58">
        <v>12550</v>
      </c>
      <c r="N23" s="106">
        <f t="shared" si="1"/>
        <v>4254450</v>
      </c>
      <c r="O23" s="43">
        <f t="shared" si="3"/>
        <v>161</v>
      </c>
    </row>
    <row r="24" spans="1:15" x14ac:dyDescent="0.25">
      <c r="A24" s="48" t="s">
        <v>44</v>
      </c>
      <c r="B24" s="45">
        <v>23</v>
      </c>
      <c r="C24" s="45">
        <v>11</v>
      </c>
      <c r="D24" s="45">
        <f t="shared" si="2"/>
        <v>2020</v>
      </c>
      <c r="E24" s="43">
        <f>Electricity!G28</f>
        <v>26039.999999998145</v>
      </c>
      <c r="F24" s="43">
        <f>Electricity!E28</f>
        <v>4800.0000000001819</v>
      </c>
      <c r="G24" s="43">
        <f>Electricity!F28</f>
        <v>21239.999999997963</v>
      </c>
      <c r="H24" s="47">
        <v>1553.67</v>
      </c>
      <c r="I24" s="57" t="s">
        <v>28</v>
      </c>
      <c r="J24" s="106">
        <f>Electricity!L28</f>
        <v>30164565.196798131</v>
      </c>
      <c r="K24" s="43">
        <f t="shared" si="0"/>
        <v>1158.3934407373379</v>
      </c>
      <c r="L24" s="58">
        <f>Water!G27</f>
        <v>441</v>
      </c>
      <c r="M24" s="58">
        <v>12550</v>
      </c>
      <c r="N24" s="106">
        <f t="shared" si="1"/>
        <v>5534550</v>
      </c>
      <c r="O24" s="43">
        <f t="shared" si="3"/>
        <v>161</v>
      </c>
    </row>
    <row r="25" spans="1:15" x14ac:dyDescent="0.25">
      <c r="A25" s="48" t="s">
        <v>44</v>
      </c>
      <c r="B25" s="45">
        <v>24</v>
      </c>
      <c r="C25" s="45">
        <v>11</v>
      </c>
      <c r="D25" s="45">
        <f t="shared" si="2"/>
        <v>2020</v>
      </c>
      <c r="E25" s="43">
        <f>Electricity!G29</f>
        <v>26239.999999997963</v>
      </c>
      <c r="F25" s="43">
        <f>Electricity!E29</f>
        <v>4680.000000000291</v>
      </c>
      <c r="G25" s="43">
        <f>Electricity!F29</f>
        <v>21559.999999997672</v>
      </c>
      <c r="H25" s="47">
        <v>1553.67</v>
      </c>
      <c r="I25" s="57" t="s">
        <v>28</v>
      </c>
      <c r="J25" s="106">
        <f>Electricity!L29</f>
        <v>30313054.617597993</v>
      </c>
      <c r="K25" s="43">
        <f t="shared" si="0"/>
        <v>1155.2231180487938</v>
      </c>
      <c r="L25" s="58">
        <f>Water!G28</f>
        <v>447</v>
      </c>
      <c r="M25" s="58">
        <v>12550</v>
      </c>
      <c r="N25" s="106">
        <f t="shared" si="1"/>
        <v>5609850</v>
      </c>
      <c r="O25" s="43">
        <f t="shared" si="3"/>
        <v>161</v>
      </c>
    </row>
    <row r="26" spans="1:15" x14ac:dyDescent="0.25">
      <c r="A26" s="48" t="s">
        <v>44</v>
      </c>
      <c r="B26" s="45">
        <v>25</v>
      </c>
      <c r="C26" s="45">
        <v>11</v>
      </c>
      <c r="D26" s="45">
        <f t="shared" si="2"/>
        <v>2020</v>
      </c>
      <c r="E26" s="43">
        <f>Electricity!G30</f>
        <v>25759.999999999309</v>
      </c>
      <c r="F26" s="43">
        <f>Electricity!E30</f>
        <v>4759.9999999993088</v>
      </c>
      <c r="G26" s="43">
        <f>Electricity!F30</f>
        <v>21000</v>
      </c>
      <c r="H26" s="47">
        <v>1553.67</v>
      </c>
      <c r="I26" s="57" t="s">
        <v>28</v>
      </c>
      <c r="J26" s="106">
        <f>Electricity!L30</f>
        <v>29846373.580798902</v>
      </c>
      <c r="K26" s="43">
        <f t="shared" si="0"/>
        <v>1158.6325147825971</v>
      </c>
      <c r="L26" s="58">
        <f>Water!G29</f>
        <v>320</v>
      </c>
      <c r="M26" s="58">
        <v>12550</v>
      </c>
      <c r="N26" s="106">
        <f t="shared" si="1"/>
        <v>4016000</v>
      </c>
      <c r="O26" s="43">
        <f t="shared" si="3"/>
        <v>161</v>
      </c>
    </row>
    <row r="27" spans="1:15" x14ac:dyDescent="0.25">
      <c r="A27" s="48" t="s">
        <v>44</v>
      </c>
      <c r="B27" s="45">
        <v>26</v>
      </c>
      <c r="C27" s="45">
        <v>11</v>
      </c>
      <c r="D27" s="45">
        <f t="shared" si="2"/>
        <v>2020</v>
      </c>
      <c r="E27" s="43">
        <f>Electricity!G31</f>
        <v>25960.000000006403</v>
      </c>
      <c r="F27" s="43">
        <f>Electricity!E31</f>
        <v>4680.000000000291</v>
      </c>
      <c r="G27" s="43">
        <f>Electricity!F31</f>
        <v>21280.000000006112</v>
      </c>
      <c r="H27" s="47">
        <v>1553.67</v>
      </c>
      <c r="I27" s="57" t="s">
        <v>28</v>
      </c>
      <c r="J27" s="106">
        <f>Electricity!L31</f>
        <v>30016075.776006948</v>
      </c>
      <c r="K27" s="43">
        <f t="shared" si="0"/>
        <v>1156.2432887519085</v>
      </c>
      <c r="L27" s="58">
        <f>Water!G30</f>
        <v>338</v>
      </c>
      <c r="M27" s="58">
        <v>12550</v>
      </c>
      <c r="N27" s="106">
        <f t="shared" si="1"/>
        <v>4241900</v>
      </c>
      <c r="O27" s="43">
        <f t="shared" si="3"/>
        <v>161</v>
      </c>
    </row>
    <row r="28" spans="1:15" x14ac:dyDescent="0.25">
      <c r="A28" s="48" t="s">
        <v>44</v>
      </c>
      <c r="B28" s="45">
        <v>27</v>
      </c>
      <c r="C28" s="45">
        <v>11</v>
      </c>
      <c r="D28" s="45">
        <f t="shared" si="2"/>
        <v>2020</v>
      </c>
      <c r="E28" s="43">
        <f>Electricity!G32</f>
        <v>26639.99999999578</v>
      </c>
      <c r="F28" s="43">
        <f>Electricity!E32</f>
        <v>4840.0000000001455</v>
      </c>
      <c r="G28" s="43">
        <f>Electricity!F32</f>
        <v>21799.999999995634</v>
      </c>
      <c r="H28" s="47">
        <v>1553.67</v>
      </c>
      <c r="I28" s="57" t="s">
        <v>28</v>
      </c>
      <c r="J28" s="106">
        <f>Electricity!L32</f>
        <v>30822161.203195602</v>
      </c>
      <c r="K28" s="43">
        <f t="shared" si="0"/>
        <v>1156.9880331531713</v>
      </c>
      <c r="L28" s="58">
        <f>Water!G31</f>
        <v>487</v>
      </c>
      <c r="M28" s="58">
        <v>12550</v>
      </c>
      <c r="N28" s="106">
        <f t="shared" si="1"/>
        <v>6111850</v>
      </c>
      <c r="O28" s="43">
        <f t="shared" si="3"/>
        <v>161</v>
      </c>
    </row>
    <row r="29" spans="1:15" x14ac:dyDescent="0.25">
      <c r="A29" s="48" t="s">
        <v>44</v>
      </c>
      <c r="B29" s="45">
        <v>28</v>
      </c>
      <c r="C29" s="45">
        <v>11</v>
      </c>
      <c r="D29" s="45">
        <f t="shared" si="2"/>
        <v>2020</v>
      </c>
      <c r="E29" s="43">
        <f>Electricity!G33</f>
        <v>26520.000000003165</v>
      </c>
      <c r="F29" s="43">
        <f>Electricity!E33</f>
        <v>4720.0000000002547</v>
      </c>
      <c r="G29" s="43">
        <f>Electricity!F33</f>
        <v>21800.00000000291</v>
      </c>
      <c r="H29" s="47">
        <v>1553.67</v>
      </c>
      <c r="I29" s="57" t="s">
        <v>28</v>
      </c>
      <c r="J29" s="106">
        <f>Electricity!L33</f>
        <v>30631246.233603492</v>
      </c>
      <c r="K29" s="43">
        <f t="shared" si="0"/>
        <v>1155.0243677827993</v>
      </c>
      <c r="L29" s="58">
        <f>Water!G32</f>
        <v>426</v>
      </c>
      <c r="M29" s="58">
        <v>12550</v>
      </c>
      <c r="N29" s="106">
        <f t="shared" si="1"/>
        <v>5346300</v>
      </c>
      <c r="O29" s="43">
        <f t="shared" si="3"/>
        <v>161</v>
      </c>
    </row>
    <row r="30" spans="1:15" s="43" customFormat="1" x14ac:dyDescent="0.25">
      <c r="A30" s="48" t="s">
        <v>44</v>
      </c>
      <c r="B30" s="45">
        <v>29</v>
      </c>
      <c r="C30" s="45">
        <v>11</v>
      </c>
      <c r="D30" s="45">
        <f t="shared" si="2"/>
        <v>2020</v>
      </c>
      <c r="E30" s="43">
        <f>Electricity!G34</f>
        <v>25079.99999999538</v>
      </c>
      <c r="F30" s="43">
        <f>Electricity!E34</f>
        <v>4599.9999999994543</v>
      </c>
      <c r="G30" s="43">
        <f>Electricity!F34</f>
        <v>20479.999999995925</v>
      </c>
      <c r="H30" s="47">
        <v>1553.67</v>
      </c>
      <c r="I30" s="57" t="s">
        <v>28</v>
      </c>
      <c r="J30" s="106">
        <f>Electricity!L34</f>
        <v>29040288.153594807</v>
      </c>
      <c r="K30" s="43">
        <f t="shared" si="0"/>
        <v>1157.9062262201019</v>
      </c>
      <c r="L30" s="58">
        <f>Water!G33</f>
        <v>322</v>
      </c>
      <c r="M30" s="58">
        <v>12550</v>
      </c>
      <c r="N30" s="106">
        <f t="shared" si="1"/>
        <v>4041100</v>
      </c>
      <c r="O30" s="43">
        <f t="shared" si="3"/>
        <v>161</v>
      </c>
    </row>
    <row r="31" spans="1:15" s="43" customFormat="1" x14ac:dyDescent="0.25">
      <c r="A31" s="48" t="s">
        <v>44</v>
      </c>
      <c r="B31" s="45">
        <v>30</v>
      </c>
      <c r="C31" s="45">
        <v>11</v>
      </c>
      <c r="D31" s="45">
        <f t="shared" si="2"/>
        <v>2020</v>
      </c>
      <c r="E31" s="43">
        <f>Electricity!G35</f>
        <v>25040.000000002692</v>
      </c>
      <c r="F31" s="43">
        <f>Electricity!E35</f>
        <v>4600.0000000003638</v>
      </c>
      <c r="G31" s="43">
        <f>Electricity!F35</f>
        <v>20440.000000002328</v>
      </c>
      <c r="H31" s="47">
        <v>1553.67</v>
      </c>
      <c r="I31" s="57" t="s">
        <v>28</v>
      </c>
      <c r="J31" s="106">
        <f>Electricity!L35</f>
        <v>28997862.604803048</v>
      </c>
      <c r="K31" s="43">
        <f t="shared" si="0"/>
        <v>1158.0616056230003</v>
      </c>
      <c r="L31" s="58">
        <f>Water!G34</f>
        <v>221</v>
      </c>
      <c r="M31" s="58">
        <v>12550</v>
      </c>
      <c r="N31" s="106">
        <f t="shared" si="1"/>
        <v>2773550</v>
      </c>
      <c r="O31" s="43">
        <f t="shared" si="3"/>
        <v>161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5" activePane="bottomLeft" state="frozen"/>
      <selection pane="bottomLeft" activeCell="G33" sqref="G33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44136</v>
      </c>
      <c r="C6" s="59">
        <v>161</v>
      </c>
      <c r="D6" s="87">
        <v>1035.78</v>
      </c>
      <c r="E6" s="115">
        <v>4559.9999999994907</v>
      </c>
      <c r="F6" s="115">
        <v>18639.999999999418</v>
      </c>
      <c r="G6" s="80">
        <f>F6+E6</f>
        <v>23199.999999998909</v>
      </c>
      <c r="H6" s="81">
        <f t="shared" ref="H6:H33" si="0">E6*1.5*D6</f>
        <v>7084735.1999992086</v>
      </c>
      <c r="I6" s="81">
        <f t="shared" ref="I6:I33" si="1">F6*D6</f>
        <v>19306939.199999396</v>
      </c>
      <c r="J6" s="81">
        <f t="shared" ref="J6:J30" si="2">I6+H6</f>
        <v>26391674.399998605</v>
      </c>
      <c r="K6" s="81">
        <f>J6*0.024</f>
        <v>633400.18559996656</v>
      </c>
      <c r="L6" s="104">
        <f>J6+K6</f>
        <v>27025074.585598573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44137</v>
      </c>
      <c r="C7" s="59">
        <f>C6</f>
        <v>161</v>
      </c>
      <c r="D7" s="87">
        <v>1035.78</v>
      </c>
      <c r="E7" s="115">
        <v>3640.0000000003274</v>
      </c>
      <c r="F7" s="115">
        <v>18120.000000002619</v>
      </c>
      <c r="G7" s="80">
        <f t="shared" ref="G7:G33" si="3">F7+E7</f>
        <v>21760.000000002947</v>
      </c>
      <c r="H7" s="81">
        <f t="shared" si="0"/>
        <v>5655358.8000005083</v>
      </c>
      <c r="I7" s="81">
        <f t="shared" si="1"/>
        <v>18768333.600002714</v>
      </c>
      <c r="J7" s="81">
        <f t="shared" si="2"/>
        <v>24423692.400003221</v>
      </c>
      <c r="K7" s="81">
        <f t="shared" ref="K7:K35" si="4">J7*0.024</f>
        <v>586168.6176000773</v>
      </c>
      <c r="L7" s="104">
        <f>J7+K7</f>
        <v>25009861.017603297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44138</v>
      </c>
      <c r="C8" s="59">
        <f t="shared" ref="C8:C35" si="5">C7</f>
        <v>161</v>
      </c>
      <c r="D8" s="87">
        <v>1035.78</v>
      </c>
      <c r="E8" s="115">
        <v>4720.0000000002547</v>
      </c>
      <c r="F8" s="115">
        <v>20399.999999997817</v>
      </c>
      <c r="G8" s="80">
        <f t="shared" si="3"/>
        <v>25119.999999998072</v>
      </c>
      <c r="H8" s="81">
        <f t="shared" si="0"/>
        <v>7333322.4000003953</v>
      </c>
      <c r="I8" s="81">
        <f t="shared" si="1"/>
        <v>21129911.999997739</v>
      </c>
      <c r="J8" s="81">
        <f t="shared" si="2"/>
        <v>28463234.399998136</v>
      </c>
      <c r="K8" s="81">
        <f t="shared" si="4"/>
        <v>683117.62559995533</v>
      </c>
      <c r="L8" s="104">
        <f t="shared" ref="L8:L30" si="6">J8+K8</f>
        <v>29146352.02559809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44139</v>
      </c>
      <c r="C9" s="59">
        <f t="shared" si="5"/>
        <v>161</v>
      </c>
      <c r="D9" s="87">
        <v>1035.78</v>
      </c>
      <c r="E9" s="115">
        <v>4759.9999999993088</v>
      </c>
      <c r="F9" s="115">
        <v>21040.000000000873</v>
      </c>
      <c r="G9" s="80">
        <f t="shared" si="3"/>
        <v>25800.000000000182</v>
      </c>
      <c r="H9" s="81">
        <f t="shared" si="0"/>
        <v>7395469.1999989254</v>
      </c>
      <c r="I9" s="81">
        <f t="shared" si="1"/>
        <v>21792811.200000905</v>
      </c>
      <c r="J9" s="81">
        <f t="shared" si="2"/>
        <v>29188280.399999831</v>
      </c>
      <c r="K9" s="81">
        <f t="shared" si="4"/>
        <v>700518.729599996</v>
      </c>
      <c r="L9" s="104">
        <f t="shared" si="6"/>
        <v>29888799.129599828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44140</v>
      </c>
      <c r="C10" s="59">
        <f t="shared" si="5"/>
        <v>161</v>
      </c>
      <c r="D10" s="87">
        <v>1035.78</v>
      </c>
      <c r="E10" s="115">
        <v>4600.0000000003638</v>
      </c>
      <c r="F10" s="115">
        <v>20359.999999996944</v>
      </c>
      <c r="G10" s="80">
        <f t="shared" si="3"/>
        <v>24959.999999997308</v>
      </c>
      <c r="H10" s="81">
        <f t="shared" si="0"/>
        <v>7146882.0000005653</v>
      </c>
      <c r="I10" s="81">
        <f t="shared" si="1"/>
        <v>21088480.799996834</v>
      </c>
      <c r="J10" s="81">
        <f t="shared" si="2"/>
        <v>28235362.7999974</v>
      </c>
      <c r="K10" s="81">
        <f t="shared" si="4"/>
        <v>677648.70719993766</v>
      </c>
      <c r="L10" s="104">
        <f t="shared" si="6"/>
        <v>28913011.507197339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44141</v>
      </c>
      <c r="C11" s="59">
        <f t="shared" si="5"/>
        <v>161</v>
      </c>
      <c r="D11" s="87">
        <v>1035.78</v>
      </c>
      <c r="E11" s="115">
        <v>4800.0000000001819</v>
      </c>
      <c r="F11" s="115">
        <v>20920.00000000553</v>
      </c>
      <c r="G11" s="80">
        <f t="shared" si="3"/>
        <v>25720.000000005712</v>
      </c>
      <c r="H11" s="81">
        <f t="shared" si="0"/>
        <v>7457616.0000002822</v>
      </c>
      <c r="I11" s="81">
        <f t="shared" si="1"/>
        <v>21668517.600005727</v>
      </c>
      <c r="J11" s="81">
        <f t="shared" si="2"/>
        <v>29126133.60000601</v>
      </c>
      <c r="K11" s="81">
        <f t="shared" si="4"/>
        <v>699027.20640014426</v>
      </c>
      <c r="L11" s="104">
        <f t="shared" si="6"/>
        <v>29825160.806406155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44142</v>
      </c>
      <c r="C12" s="59">
        <f t="shared" si="5"/>
        <v>161</v>
      </c>
      <c r="D12" s="87">
        <v>1035.78</v>
      </c>
      <c r="E12" s="115">
        <v>4559.9999999994907</v>
      </c>
      <c r="F12" s="115">
        <v>20719.999999993888</v>
      </c>
      <c r="G12" s="80">
        <f t="shared" si="3"/>
        <v>25279.999999993379</v>
      </c>
      <c r="H12" s="81">
        <f t="shared" si="0"/>
        <v>7084735.1999992086</v>
      </c>
      <c r="I12" s="81">
        <f t="shared" si="1"/>
        <v>21461361.599993668</v>
      </c>
      <c r="J12" s="81">
        <f t="shared" si="2"/>
        <v>28546096.799992878</v>
      </c>
      <c r="K12" s="81">
        <f t="shared" si="4"/>
        <v>685106.32319982909</v>
      </c>
      <c r="L12" s="104">
        <f t="shared" si="6"/>
        <v>29231203.123192705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44143</v>
      </c>
      <c r="C13" s="59">
        <f t="shared" si="5"/>
        <v>161</v>
      </c>
      <c r="D13" s="87">
        <v>1035.78</v>
      </c>
      <c r="E13" s="115">
        <v>4760.0000000002183</v>
      </c>
      <c r="F13" s="115">
        <v>19800.00000000291</v>
      </c>
      <c r="G13" s="80">
        <f t="shared" si="3"/>
        <v>24560.000000003129</v>
      </c>
      <c r="H13" s="81">
        <f t="shared" si="0"/>
        <v>7395469.2000003392</v>
      </c>
      <c r="I13" s="81">
        <f t="shared" si="1"/>
        <v>20508444.000003014</v>
      </c>
      <c r="J13" s="81">
        <f t="shared" si="2"/>
        <v>27903913.200003352</v>
      </c>
      <c r="K13" s="81">
        <f t="shared" si="4"/>
        <v>669693.91680008045</v>
      </c>
      <c r="L13" s="104">
        <f t="shared" si="6"/>
        <v>28573607.116803434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44144</v>
      </c>
      <c r="C14" s="59">
        <f t="shared" si="5"/>
        <v>161</v>
      </c>
      <c r="D14" s="87">
        <v>1035.78</v>
      </c>
      <c r="E14" s="115">
        <v>4600.0000000003638</v>
      </c>
      <c r="F14" s="115">
        <v>20480.000000003201</v>
      </c>
      <c r="G14" s="80">
        <f t="shared" si="3"/>
        <v>25080.000000003565</v>
      </c>
      <c r="H14" s="81">
        <f t="shared" si="0"/>
        <v>7146882.0000005653</v>
      </c>
      <c r="I14" s="81">
        <f t="shared" si="1"/>
        <v>21212774.400003314</v>
      </c>
      <c r="J14" s="81">
        <f t="shared" si="2"/>
        <v>28359656.40000388</v>
      </c>
      <c r="K14" s="81">
        <f t="shared" si="4"/>
        <v>680631.75360009319</v>
      </c>
      <c r="L14" s="104">
        <f t="shared" si="6"/>
        <v>29040288.153603975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44145</v>
      </c>
      <c r="C15" s="59">
        <f t="shared" si="5"/>
        <v>161</v>
      </c>
      <c r="D15" s="87">
        <v>1035.78</v>
      </c>
      <c r="E15" s="115">
        <v>4920.0000000000728</v>
      </c>
      <c r="F15" s="115">
        <v>21439.999999995052</v>
      </c>
      <c r="G15" s="80">
        <f t="shared" si="3"/>
        <v>26359.999999995125</v>
      </c>
      <c r="H15" s="81">
        <f t="shared" si="0"/>
        <v>7644056.4000001131</v>
      </c>
      <c r="I15" s="81">
        <f t="shared" si="1"/>
        <v>22207123.199994873</v>
      </c>
      <c r="J15" s="81">
        <f t="shared" si="2"/>
        <v>29851179.599994987</v>
      </c>
      <c r="K15" s="81">
        <f t="shared" si="4"/>
        <v>716428.3103998797</v>
      </c>
      <c r="L15" s="104">
        <f t="shared" si="6"/>
        <v>30567607.910394866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44146</v>
      </c>
      <c r="C16" s="59">
        <f t="shared" si="5"/>
        <v>161</v>
      </c>
      <c r="D16" s="87">
        <v>1035.78</v>
      </c>
      <c r="E16" s="115">
        <v>4719.9999999993452</v>
      </c>
      <c r="F16" s="115">
        <v>21400.000000001455</v>
      </c>
      <c r="G16" s="80">
        <f t="shared" si="3"/>
        <v>26120.0000000008</v>
      </c>
      <c r="H16" s="81">
        <f t="shared" si="0"/>
        <v>7333322.3999989824</v>
      </c>
      <c r="I16" s="81">
        <f t="shared" si="1"/>
        <v>22165692.000001505</v>
      </c>
      <c r="J16" s="81">
        <f t="shared" si="2"/>
        <v>29499014.400000487</v>
      </c>
      <c r="K16" s="81">
        <f t="shared" si="4"/>
        <v>707976.34560001164</v>
      </c>
      <c r="L16" s="104">
        <f t="shared" si="6"/>
        <v>30206990.745600499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44147</v>
      </c>
      <c r="C17" s="59">
        <f t="shared" si="5"/>
        <v>161</v>
      </c>
      <c r="D17" s="87">
        <v>1035.78</v>
      </c>
      <c r="E17" s="115">
        <v>5092.000000000553</v>
      </c>
      <c r="F17" s="115">
        <v>22720.000000001164</v>
      </c>
      <c r="G17" s="80">
        <f t="shared" si="3"/>
        <v>27812.000000001717</v>
      </c>
      <c r="H17" s="81">
        <f t="shared" si="0"/>
        <v>7911287.6400008593</v>
      </c>
      <c r="I17" s="81">
        <f t="shared" si="1"/>
        <v>23532921.600001205</v>
      </c>
      <c r="J17" s="81">
        <f t="shared" si="2"/>
        <v>31444209.240002066</v>
      </c>
      <c r="K17" s="81">
        <f t="shared" si="4"/>
        <v>754661.02176004963</v>
      </c>
      <c r="L17" s="104">
        <f t="shared" si="6"/>
        <v>32198870.261762116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44148</v>
      </c>
      <c r="C18" s="59">
        <f t="shared" si="5"/>
        <v>161</v>
      </c>
      <c r="D18" s="87">
        <v>1035.78</v>
      </c>
      <c r="E18" s="115">
        <v>5148.0000000001382</v>
      </c>
      <c r="F18" s="115">
        <v>21599.999999998545</v>
      </c>
      <c r="G18" s="80">
        <f t="shared" si="3"/>
        <v>26747.999999998683</v>
      </c>
      <c r="H18" s="81">
        <f t="shared" si="0"/>
        <v>7998293.1600002144</v>
      </c>
      <c r="I18" s="81">
        <f t="shared" si="1"/>
        <v>22372847.999998491</v>
      </c>
      <c r="J18" s="81">
        <f t="shared" si="2"/>
        <v>30371141.159998707</v>
      </c>
      <c r="K18" s="81">
        <f t="shared" si="4"/>
        <v>728907.38783996901</v>
      </c>
      <c r="L18" s="104">
        <f t="shared" si="6"/>
        <v>31100048.547838677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44149</v>
      </c>
      <c r="C19" s="59">
        <f t="shared" si="5"/>
        <v>161</v>
      </c>
      <c r="D19" s="87">
        <v>1035.78</v>
      </c>
      <c r="E19" s="115">
        <v>5239.9999999997817</v>
      </c>
      <c r="F19" s="115">
        <v>23040.000000000873</v>
      </c>
      <c r="G19" s="80">
        <f t="shared" si="3"/>
        <v>28280.000000000655</v>
      </c>
      <c r="H19" s="81">
        <f t="shared" si="0"/>
        <v>8141230.7999996608</v>
      </c>
      <c r="I19" s="81">
        <f t="shared" si="1"/>
        <v>23864371.200000905</v>
      </c>
      <c r="J19" s="81">
        <f t="shared" si="2"/>
        <v>32005602.000000566</v>
      </c>
      <c r="K19" s="81">
        <f t="shared" si="4"/>
        <v>768134.4480000136</v>
      </c>
      <c r="L19" s="104">
        <f t="shared" si="6"/>
        <v>32773736.44800058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44150</v>
      </c>
      <c r="C20" s="59">
        <f t="shared" si="5"/>
        <v>161</v>
      </c>
      <c r="D20" s="87">
        <v>1035.78</v>
      </c>
      <c r="E20" s="115">
        <v>5199.9999999998181</v>
      </c>
      <c r="F20" s="115">
        <v>23519.999999996799</v>
      </c>
      <c r="G20" s="80">
        <f t="shared" si="3"/>
        <v>28719.999999996617</v>
      </c>
      <c r="H20" s="81">
        <f t="shared" si="0"/>
        <v>8079083.9999997169</v>
      </c>
      <c r="I20" s="81">
        <f t="shared" si="1"/>
        <v>24361545.599996682</v>
      </c>
      <c r="J20" s="81">
        <f t="shared" si="2"/>
        <v>32440629.599996399</v>
      </c>
      <c r="K20" s="81">
        <f t="shared" si="4"/>
        <v>778575.11039991362</v>
      </c>
      <c r="L20" s="104">
        <f t="shared" si="6"/>
        <v>33219204.710396312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44151</v>
      </c>
      <c r="C21" s="59">
        <f t="shared" si="5"/>
        <v>161</v>
      </c>
      <c r="D21" s="87">
        <v>1035.78</v>
      </c>
      <c r="E21" s="115">
        <v>4960.0000000000364</v>
      </c>
      <c r="F21" s="115">
        <v>20640.000000006694</v>
      </c>
      <c r="G21" s="80">
        <f t="shared" si="3"/>
        <v>25600.00000000673</v>
      </c>
      <c r="H21" s="81">
        <f t="shared" si="0"/>
        <v>7706203.2000000561</v>
      </c>
      <c r="I21" s="81">
        <f t="shared" si="1"/>
        <v>21378499.200006932</v>
      </c>
      <c r="J21" s="81">
        <f t="shared" si="2"/>
        <v>29084702.400006987</v>
      </c>
      <c r="K21" s="81">
        <f t="shared" si="4"/>
        <v>698032.85760016774</v>
      </c>
      <c r="L21" s="104">
        <f t="shared" si="6"/>
        <v>29782735.257607155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44152</v>
      </c>
      <c r="C22" s="59">
        <f t="shared" si="5"/>
        <v>161</v>
      </c>
      <c r="D22" s="87">
        <v>1035.78</v>
      </c>
      <c r="E22" s="115">
        <v>5199.9999999998181</v>
      </c>
      <c r="F22" s="115">
        <v>17679.999999993015</v>
      </c>
      <c r="G22" s="80">
        <f t="shared" si="3"/>
        <v>22879.999999992833</v>
      </c>
      <c r="H22" s="81">
        <f t="shared" si="0"/>
        <v>8079083.9999997169</v>
      </c>
      <c r="I22" s="81">
        <f t="shared" si="1"/>
        <v>18312590.399992764</v>
      </c>
      <c r="J22" s="81">
        <f t="shared" si="2"/>
        <v>26391674.399992481</v>
      </c>
      <c r="K22" s="81">
        <f t="shared" si="4"/>
        <v>633400.18559981952</v>
      </c>
      <c r="L22" s="104">
        <f t="shared" si="6"/>
        <v>27025074.5855923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44153</v>
      </c>
      <c r="C23" s="59">
        <f t="shared" si="5"/>
        <v>161</v>
      </c>
      <c r="D23" s="87">
        <v>1035.78</v>
      </c>
      <c r="E23" s="115">
        <v>5039.9999999999636</v>
      </c>
      <c r="F23" s="115">
        <v>27640.000000006694</v>
      </c>
      <c r="G23" s="80">
        <f t="shared" si="3"/>
        <v>32680.000000006658</v>
      </c>
      <c r="H23" s="81">
        <f t="shared" si="0"/>
        <v>7830496.799999943</v>
      </c>
      <c r="I23" s="81">
        <f t="shared" si="1"/>
        <v>28628959.200006932</v>
      </c>
      <c r="J23" s="81">
        <f t="shared" si="2"/>
        <v>36459456.000006877</v>
      </c>
      <c r="K23" s="81">
        <f t="shared" si="4"/>
        <v>875026.94400016509</v>
      </c>
      <c r="L23" s="104">
        <f t="shared" si="6"/>
        <v>37334482.944007039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44154</v>
      </c>
      <c r="C24" s="59">
        <f t="shared" si="5"/>
        <v>161</v>
      </c>
      <c r="D24" s="87">
        <v>1035.78</v>
      </c>
      <c r="E24" s="115">
        <v>5079.9999999999272</v>
      </c>
      <c r="F24" s="115">
        <v>21159.999999996217</v>
      </c>
      <c r="G24" s="80">
        <f t="shared" si="3"/>
        <v>26239.999999996144</v>
      </c>
      <c r="H24" s="81">
        <f t="shared" si="0"/>
        <v>7892643.5999998869</v>
      </c>
      <c r="I24" s="81">
        <f t="shared" si="1"/>
        <v>21917104.799996082</v>
      </c>
      <c r="J24" s="81">
        <f t="shared" si="2"/>
        <v>29809748.399995968</v>
      </c>
      <c r="K24" s="81">
        <f t="shared" si="4"/>
        <v>715433.9615999033</v>
      </c>
      <c r="L24" s="104">
        <f t="shared" si="6"/>
        <v>30525182.361595873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44155</v>
      </c>
      <c r="C25" s="59">
        <f t="shared" si="5"/>
        <v>161</v>
      </c>
      <c r="D25" s="87">
        <v>1035.78</v>
      </c>
      <c r="E25" s="115">
        <v>4920.0000000000728</v>
      </c>
      <c r="F25" s="115">
        <v>22319.999999999709</v>
      </c>
      <c r="G25" s="80">
        <f t="shared" si="3"/>
        <v>27239.999999999782</v>
      </c>
      <c r="H25" s="81">
        <f t="shared" si="0"/>
        <v>7644056.4000001131</v>
      </c>
      <c r="I25" s="81">
        <f t="shared" si="1"/>
        <v>23118609.5999997</v>
      </c>
      <c r="J25" s="81">
        <f t="shared" si="2"/>
        <v>30762665.999999814</v>
      </c>
      <c r="K25" s="81">
        <f t="shared" si="4"/>
        <v>738303.98399999551</v>
      </c>
      <c r="L25" s="104">
        <f t="shared" si="6"/>
        <v>31500969.983999811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44156</v>
      </c>
      <c r="C26" s="59">
        <f t="shared" si="5"/>
        <v>161</v>
      </c>
      <c r="D26" s="87">
        <v>1035.78</v>
      </c>
      <c r="E26" s="115">
        <v>5000</v>
      </c>
      <c r="F26" s="115">
        <v>23200.000000004366</v>
      </c>
      <c r="G26" s="80">
        <f t="shared" si="3"/>
        <v>28200.000000004366</v>
      </c>
      <c r="H26" s="81">
        <f t="shared" si="0"/>
        <v>7768350</v>
      </c>
      <c r="I26" s="81">
        <f t="shared" si="1"/>
        <v>24030096.000004523</v>
      </c>
      <c r="J26" s="81">
        <f t="shared" si="2"/>
        <v>31798446.000004523</v>
      </c>
      <c r="K26" s="81">
        <f t="shared" si="4"/>
        <v>763162.70400010853</v>
      </c>
      <c r="L26" s="104">
        <f>J26+K26</f>
        <v>32561608.70400463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44157</v>
      </c>
      <c r="C27" s="59">
        <f t="shared" si="5"/>
        <v>161</v>
      </c>
      <c r="D27" s="87">
        <v>1035.78</v>
      </c>
      <c r="E27" s="115">
        <v>5000</v>
      </c>
      <c r="F27" s="115">
        <v>21919.999999998254</v>
      </c>
      <c r="G27" s="80">
        <f t="shared" si="3"/>
        <v>26919.999999998254</v>
      </c>
      <c r="H27" s="81">
        <f t="shared" si="0"/>
        <v>7768350</v>
      </c>
      <c r="I27" s="81">
        <f t="shared" si="1"/>
        <v>22704297.599998191</v>
      </c>
      <c r="J27" s="81">
        <f t="shared" si="2"/>
        <v>30472647.599998191</v>
      </c>
      <c r="K27" s="81">
        <f t="shared" si="4"/>
        <v>731343.54239995661</v>
      </c>
      <c r="L27" s="104">
        <f t="shared" si="6"/>
        <v>31203991.142398149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44158</v>
      </c>
      <c r="C28" s="59">
        <f t="shared" si="5"/>
        <v>161</v>
      </c>
      <c r="D28" s="87">
        <v>1035.78</v>
      </c>
      <c r="E28" s="115">
        <v>4800.0000000001819</v>
      </c>
      <c r="F28" s="115">
        <v>21239.999999997963</v>
      </c>
      <c r="G28" s="80">
        <f t="shared" si="3"/>
        <v>26039.999999998145</v>
      </c>
      <c r="H28" s="81">
        <f t="shared" si="0"/>
        <v>7457616.0000002822</v>
      </c>
      <c r="I28" s="81">
        <f t="shared" si="1"/>
        <v>21999967.199997891</v>
      </c>
      <c r="J28" s="81">
        <f t="shared" si="2"/>
        <v>29457583.199998174</v>
      </c>
      <c r="K28" s="81">
        <f t="shared" si="4"/>
        <v>706981.99679995619</v>
      </c>
      <c r="L28" s="104">
        <f t="shared" si="6"/>
        <v>30164565.196798131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44159</v>
      </c>
      <c r="C29" s="59">
        <f t="shared" si="5"/>
        <v>161</v>
      </c>
      <c r="D29" s="87">
        <v>1035.78</v>
      </c>
      <c r="E29" s="115">
        <v>4680.000000000291</v>
      </c>
      <c r="F29" s="115">
        <v>21559.999999997672</v>
      </c>
      <c r="G29" s="80">
        <f t="shared" si="3"/>
        <v>26239.999999997963</v>
      </c>
      <c r="H29" s="81">
        <f t="shared" si="0"/>
        <v>7271175.6000004523</v>
      </c>
      <c r="I29" s="81">
        <f t="shared" si="1"/>
        <v>22331416.799997587</v>
      </c>
      <c r="J29" s="81">
        <f t="shared" si="2"/>
        <v>29602592.399998039</v>
      </c>
      <c r="K29" s="81">
        <f t="shared" si="4"/>
        <v>710462.21759995294</v>
      </c>
      <c r="L29" s="104">
        <f t="shared" si="6"/>
        <v>30313054.617597993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44160</v>
      </c>
      <c r="C30" s="59">
        <f t="shared" si="5"/>
        <v>161</v>
      </c>
      <c r="D30" s="87">
        <v>1035.78</v>
      </c>
      <c r="E30" s="115">
        <v>4759.9999999993088</v>
      </c>
      <c r="F30" s="115">
        <v>21000</v>
      </c>
      <c r="G30" s="80">
        <f t="shared" si="3"/>
        <v>25759.999999999309</v>
      </c>
      <c r="H30" s="81">
        <f t="shared" si="0"/>
        <v>7395469.1999989254</v>
      </c>
      <c r="I30" s="81">
        <f t="shared" si="1"/>
        <v>21751380</v>
      </c>
      <c r="J30" s="81">
        <f t="shared" si="2"/>
        <v>29146849.199998926</v>
      </c>
      <c r="K30" s="81">
        <f t="shared" si="4"/>
        <v>699524.3807999742</v>
      </c>
      <c r="L30" s="104">
        <f t="shared" si="6"/>
        <v>29846373.580798902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44161</v>
      </c>
      <c r="C31" s="59">
        <f t="shared" si="5"/>
        <v>161</v>
      </c>
      <c r="D31" s="87">
        <v>1035.78</v>
      </c>
      <c r="E31" s="115">
        <v>4680.000000000291</v>
      </c>
      <c r="F31" s="115">
        <v>21280.000000006112</v>
      </c>
      <c r="G31" s="80">
        <f t="shared" si="3"/>
        <v>25960.000000006403</v>
      </c>
      <c r="H31" s="81">
        <f t="shared" si="0"/>
        <v>7271175.6000004523</v>
      </c>
      <c r="I31" s="81">
        <f t="shared" si="1"/>
        <v>22041398.400006332</v>
      </c>
      <c r="J31" s="81">
        <f t="shared" ref="J31:J33" si="7">I31+H31</f>
        <v>29312574.000006784</v>
      </c>
      <c r="K31" s="81">
        <f t="shared" si="4"/>
        <v>703501.77600016282</v>
      </c>
      <c r="L31" s="104">
        <f t="shared" ref="L31:L33" si="8">J31+K31</f>
        <v>30016075.776006948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44162</v>
      </c>
      <c r="C32" s="59">
        <f t="shared" si="5"/>
        <v>161</v>
      </c>
      <c r="D32" s="87">
        <v>1035.78</v>
      </c>
      <c r="E32" s="115">
        <v>4840.0000000001455</v>
      </c>
      <c r="F32" s="115">
        <v>21799.999999995634</v>
      </c>
      <c r="G32" s="80">
        <f t="shared" si="3"/>
        <v>26639.99999999578</v>
      </c>
      <c r="H32" s="81">
        <f t="shared" si="0"/>
        <v>7519762.8000002261</v>
      </c>
      <c r="I32" s="81">
        <f t="shared" si="1"/>
        <v>22580003.999995477</v>
      </c>
      <c r="J32" s="81">
        <f t="shared" si="7"/>
        <v>30099766.799995705</v>
      </c>
      <c r="K32" s="81">
        <f t="shared" si="4"/>
        <v>722394.40319989691</v>
      </c>
      <c r="L32" s="104">
        <f t="shared" si="8"/>
        <v>30822161.203195602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44163</v>
      </c>
      <c r="C33" s="59">
        <f t="shared" si="5"/>
        <v>161</v>
      </c>
      <c r="D33" s="87">
        <v>1035.78</v>
      </c>
      <c r="E33" s="115">
        <v>4720.0000000002547</v>
      </c>
      <c r="F33" s="115">
        <v>21800.00000000291</v>
      </c>
      <c r="G33" s="80">
        <f t="shared" si="3"/>
        <v>26520.000000003165</v>
      </c>
      <c r="H33" s="81">
        <f t="shared" si="0"/>
        <v>7333322.4000003953</v>
      </c>
      <c r="I33" s="81">
        <f t="shared" si="1"/>
        <v>22580004.000003014</v>
      </c>
      <c r="J33" s="81">
        <f t="shared" si="7"/>
        <v>29913326.400003411</v>
      </c>
      <c r="K33" s="81">
        <f t="shared" si="4"/>
        <v>717919.83360008185</v>
      </c>
      <c r="L33" s="104">
        <f t="shared" si="8"/>
        <v>30631246.233603492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44164</v>
      </c>
      <c r="C34" s="59">
        <f t="shared" si="5"/>
        <v>161</v>
      </c>
      <c r="D34" s="87">
        <v>1035.78</v>
      </c>
      <c r="E34" s="115">
        <v>4599.9999999994543</v>
      </c>
      <c r="F34" s="115">
        <v>20479.999999995925</v>
      </c>
      <c r="G34" s="80">
        <f t="shared" ref="G34" si="9">F34+E34</f>
        <v>25079.99999999538</v>
      </c>
      <c r="H34" s="81">
        <f t="shared" ref="H34" si="10">E34*1.5*D34</f>
        <v>7146881.9999991516</v>
      </c>
      <c r="I34" s="81">
        <f t="shared" ref="I34" si="11">F34*D34</f>
        <v>21212774.399995778</v>
      </c>
      <c r="J34" s="81">
        <f t="shared" ref="J34" si="12">I34+H34</f>
        <v>28359656.399994928</v>
      </c>
      <c r="K34" s="81">
        <f t="shared" si="4"/>
        <v>680631.75359987828</v>
      </c>
      <c r="L34" s="104">
        <f t="shared" ref="L34" si="13">J34+K34</f>
        <v>29040288.153594807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44165</v>
      </c>
      <c r="C35" s="59">
        <f t="shared" si="5"/>
        <v>161</v>
      </c>
      <c r="D35" s="87">
        <v>1035.78</v>
      </c>
      <c r="E35" s="115">
        <v>4600.0000000003638</v>
      </c>
      <c r="F35" s="115">
        <v>20440.000000002328</v>
      </c>
      <c r="G35" s="80">
        <f t="shared" ref="G35" si="14">F35+E35</f>
        <v>25040.000000002692</v>
      </c>
      <c r="H35" s="81">
        <f t="shared" ref="H35" si="15">E35*1.5*D35</f>
        <v>7146882.0000005653</v>
      </c>
      <c r="I35" s="81">
        <f t="shared" ref="I35" si="16">F35*D35</f>
        <v>21171343.20000241</v>
      </c>
      <c r="J35" s="81">
        <f t="shared" ref="J35" si="17">I35+H35</f>
        <v>28318225.200002976</v>
      </c>
      <c r="K35" s="81">
        <f t="shared" si="4"/>
        <v>679637.40480007138</v>
      </c>
      <c r="L35" s="104">
        <f t="shared" ref="L35" si="18">J35+K35</f>
        <v>28997862.604803048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SUM(C6:C35)</f>
        <v>4830</v>
      </c>
      <c r="D36" s="88"/>
      <c r="E36" s="82">
        <f t="shared" ref="E36:L36" si="19">SUM(E6:E35)</f>
        <v>144199.99999999983</v>
      </c>
      <c r="F36" s="82">
        <f t="shared" si="19"/>
        <v>638360.00000000047</v>
      </c>
      <c r="G36" s="82">
        <f t="shared" si="19"/>
        <v>782560.00000000035</v>
      </c>
      <c r="H36" s="82">
        <f t="shared" si="19"/>
        <v>224039213.99999967</v>
      </c>
      <c r="I36" s="82">
        <f t="shared" si="19"/>
        <v>661200520.80000055</v>
      </c>
      <c r="J36" s="82">
        <f t="shared" si="19"/>
        <v>885239734.80000043</v>
      </c>
      <c r="K36" s="82">
        <f t="shared" si="19"/>
        <v>21245753.635200009</v>
      </c>
      <c r="L36" s="82">
        <f t="shared" si="19"/>
        <v>906485488.43520033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topLeftCell="A4" zoomScaleNormal="100" workbookViewId="0">
      <selection activeCell="G36" sqref="G36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11</v>
      </c>
      <c r="D5" s="78">
        <v>2020</v>
      </c>
      <c r="E5" s="114">
        <v>15</v>
      </c>
      <c r="F5" s="109">
        <v>221</v>
      </c>
      <c r="G5" s="56">
        <f>E5+F5</f>
        <v>236</v>
      </c>
    </row>
    <row r="6" spans="1:43" ht="15.75" x14ac:dyDescent="0.25">
      <c r="B6" s="78">
        <v>2</v>
      </c>
      <c r="C6" s="78">
        <v>11</v>
      </c>
      <c r="D6" s="78">
        <f>D5</f>
        <v>2020</v>
      </c>
      <c r="E6" s="113">
        <v>15</v>
      </c>
      <c r="F6" s="108">
        <v>255</v>
      </c>
      <c r="G6" s="56">
        <f t="shared" ref="G6:G34" si="0">E6+F6</f>
        <v>270</v>
      </c>
    </row>
    <row r="7" spans="1:43" ht="15.75" x14ac:dyDescent="0.25">
      <c r="B7" s="78">
        <v>3</v>
      </c>
      <c r="C7" s="78">
        <v>11</v>
      </c>
      <c r="D7" s="78">
        <f t="shared" ref="D7:D34" si="1">D6</f>
        <v>2020</v>
      </c>
      <c r="E7" s="113">
        <v>18</v>
      </c>
      <c r="F7" s="108">
        <v>306</v>
      </c>
      <c r="G7" s="56">
        <f t="shared" si="0"/>
        <v>324</v>
      </c>
    </row>
    <row r="8" spans="1:43" ht="15.75" x14ac:dyDescent="0.25">
      <c r="B8" s="78">
        <v>4</v>
      </c>
      <c r="C8" s="78">
        <v>11</v>
      </c>
      <c r="D8" s="78">
        <f t="shared" si="1"/>
        <v>2020</v>
      </c>
      <c r="E8" s="113">
        <v>19</v>
      </c>
      <c r="F8" s="108">
        <v>327</v>
      </c>
      <c r="G8" s="56">
        <f t="shared" si="0"/>
        <v>346</v>
      </c>
    </row>
    <row r="9" spans="1:43" ht="15.75" x14ac:dyDescent="0.25">
      <c r="B9" s="78">
        <v>5</v>
      </c>
      <c r="C9" s="78">
        <v>11</v>
      </c>
      <c r="D9" s="78">
        <f t="shared" si="1"/>
        <v>2020</v>
      </c>
      <c r="E9" s="113">
        <v>23</v>
      </c>
      <c r="F9" s="108">
        <v>379</v>
      </c>
      <c r="G9" s="56">
        <f t="shared" si="0"/>
        <v>402</v>
      </c>
    </row>
    <row r="10" spans="1:43" ht="15.75" x14ac:dyDescent="0.25">
      <c r="B10" s="78">
        <v>6</v>
      </c>
      <c r="C10" s="78">
        <v>11</v>
      </c>
      <c r="D10" s="78">
        <f t="shared" si="1"/>
        <v>2020</v>
      </c>
      <c r="E10" s="113">
        <v>26</v>
      </c>
      <c r="F10" s="108">
        <v>445</v>
      </c>
      <c r="G10" s="56">
        <f t="shared" si="0"/>
        <v>471</v>
      </c>
    </row>
    <row r="11" spans="1:43" ht="15.75" x14ac:dyDescent="0.25">
      <c r="B11" s="78">
        <v>7</v>
      </c>
      <c r="C11" s="78">
        <v>11</v>
      </c>
      <c r="D11" s="78">
        <f t="shared" si="1"/>
        <v>2020</v>
      </c>
      <c r="E11" s="113">
        <v>15</v>
      </c>
      <c r="F11" s="109">
        <v>289</v>
      </c>
      <c r="G11" s="56">
        <f t="shared" si="0"/>
        <v>304</v>
      </c>
    </row>
    <row r="12" spans="1:43" ht="15.75" x14ac:dyDescent="0.25">
      <c r="B12" s="78">
        <v>8</v>
      </c>
      <c r="C12" s="78">
        <v>11</v>
      </c>
      <c r="D12" s="78">
        <f t="shared" si="1"/>
        <v>2020</v>
      </c>
      <c r="E12" s="114">
        <v>15</v>
      </c>
      <c r="F12" s="109">
        <v>283</v>
      </c>
      <c r="G12" s="56">
        <f t="shared" si="0"/>
        <v>298</v>
      </c>
    </row>
    <row r="13" spans="1:43" ht="15.75" x14ac:dyDescent="0.25">
      <c r="B13" s="78">
        <v>9</v>
      </c>
      <c r="C13" s="78">
        <v>11</v>
      </c>
      <c r="D13" s="78">
        <f t="shared" si="1"/>
        <v>2020</v>
      </c>
      <c r="E13" s="113">
        <v>16</v>
      </c>
      <c r="F13" s="109">
        <v>283</v>
      </c>
      <c r="G13" s="56">
        <f t="shared" si="0"/>
        <v>299</v>
      </c>
    </row>
    <row r="14" spans="1:43" ht="15.75" x14ac:dyDescent="0.25">
      <c r="B14" s="78">
        <v>10</v>
      </c>
      <c r="C14" s="78">
        <v>11</v>
      </c>
      <c r="D14" s="78">
        <f t="shared" si="1"/>
        <v>2020</v>
      </c>
      <c r="E14" s="113">
        <v>10</v>
      </c>
      <c r="F14" s="108">
        <v>372</v>
      </c>
      <c r="G14" s="56">
        <f t="shared" si="0"/>
        <v>382</v>
      </c>
    </row>
    <row r="15" spans="1:43" ht="15.75" x14ac:dyDescent="0.25">
      <c r="B15" s="78">
        <v>11</v>
      </c>
      <c r="C15" s="78">
        <v>11</v>
      </c>
      <c r="D15" s="78">
        <f t="shared" si="1"/>
        <v>2020</v>
      </c>
      <c r="E15" s="113">
        <v>12</v>
      </c>
      <c r="F15" s="108">
        <v>493</v>
      </c>
      <c r="G15" s="56">
        <f t="shared" si="0"/>
        <v>505</v>
      </c>
    </row>
    <row r="16" spans="1:43" ht="15.75" x14ac:dyDescent="0.25">
      <c r="B16" s="78">
        <v>12</v>
      </c>
      <c r="C16" s="78">
        <v>11</v>
      </c>
      <c r="D16" s="78">
        <f t="shared" si="1"/>
        <v>2020</v>
      </c>
      <c r="E16" s="113">
        <v>7</v>
      </c>
      <c r="F16" s="108">
        <v>308</v>
      </c>
      <c r="G16" s="56">
        <f t="shared" si="0"/>
        <v>315</v>
      </c>
    </row>
    <row r="17" spans="2:7" ht="15.75" x14ac:dyDescent="0.25">
      <c r="B17" s="78">
        <v>13</v>
      </c>
      <c r="C17" s="78">
        <v>11</v>
      </c>
      <c r="D17" s="78">
        <f t="shared" si="1"/>
        <v>2020</v>
      </c>
      <c r="E17" s="113">
        <v>8</v>
      </c>
      <c r="F17" s="108">
        <v>336</v>
      </c>
      <c r="G17" s="56">
        <f t="shared" si="0"/>
        <v>344</v>
      </c>
    </row>
    <row r="18" spans="2:7" ht="15.75" x14ac:dyDescent="0.25">
      <c r="B18" s="78">
        <v>14</v>
      </c>
      <c r="C18" s="78">
        <v>11</v>
      </c>
      <c r="D18" s="78">
        <f t="shared" si="1"/>
        <v>2020</v>
      </c>
      <c r="E18" s="113">
        <v>10</v>
      </c>
      <c r="F18" s="108">
        <v>397</v>
      </c>
      <c r="G18" s="56">
        <f t="shared" si="0"/>
        <v>407</v>
      </c>
    </row>
    <row r="19" spans="2:7" ht="15.75" x14ac:dyDescent="0.25">
      <c r="B19" s="78">
        <v>15</v>
      </c>
      <c r="C19" s="78">
        <v>11</v>
      </c>
      <c r="D19" s="78">
        <f t="shared" si="1"/>
        <v>2020</v>
      </c>
      <c r="E19" s="114">
        <v>13</v>
      </c>
      <c r="F19" s="109">
        <v>512</v>
      </c>
      <c r="G19" s="56">
        <f t="shared" si="0"/>
        <v>525</v>
      </c>
    </row>
    <row r="20" spans="2:7" ht="15.75" x14ac:dyDescent="0.25">
      <c r="B20" s="78">
        <v>16</v>
      </c>
      <c r="C20" s="78">
        <v>11</v>
      </c>
      <c r="D20" s="78">
        <f t="shared" si="1"/>
        <v>2020</v>
      </c>
      <c r="E20" s="113">
        <v>7</v>
      </c>
      <c r="F20" s="108">
        <v>265</v>
      </c>
      <c r="G20" s="56">
        <f t="shared" si="0"/>
        <v>272</v>
      </c>
    </row>
    <row r="21" spans="2:7" ht="15.75" x14ac:dyDescent="0.25">
      <c r="B21" s="78">
        <v>17</v>
      </c>
      <c r="C21" s="78">
        <v>11</v>
      </c>
      <c r="D21" s="78">
        <f t="shared" si="1"/>
        <v>2020</v>
      </c>
      <c r="E21" s="113">
        <v>6</v>
      </c>
      <c r="F21" s="108">
        <v>290</v>
      </c>
      <c r="G21" s="56">
        <f t="shared" si="0"/>
        <v>296</v>
      </c>
    </row>
    <row r="22" spans="2:7" ht="15.75" x14ac:dyDescent="0.25">
      <c r="B22" s="78">
        <v>18</v>
      </c>
      <c r="C22" s="78">
        <v>11</v>
      </c>
      <c r="D22" s="78">
        <f t="shared" si="1"/>
        <v>2020</v>
      </c>
      <c r="E22" s="113">
        <v>11</v>
      </c>
      <c r="F22" s="108">
        <v>370</v>
      </c>
      <c r="G22" s="56">
        <f t="shared" si="0"/>
        <v>381</v>
      </c>
    </row>
    <row r="23" spans="2:7" ht="15.75" x14ac:dyDescent="0.25">
      <c r="B23" s="78">
        <v>19</v>
      </c>
      <c r="C23" s="78">
        <v>11</v>
      </c>
      <c r="D23" s="78">
        <f t="shared" si="1"/>
        <v>2020</v>
      </c>
      <c r="E23" s="113">
        <v>11</v>
      </c>
      <c r="F23" s="108">
        <v>397</v>
      </c>
      <c r="G23" s="56">
        <f t="shared" si="0"/>
        <v>408</v>
      </c>
    </row>
    <row r="24" spans="2:7" ht="15.75" x14ac:dyDescent="0.25">
      <c r="B24" s="78">
        <v>20</v>
      </c>
      <c r="C24" s="78">
        <v>11</v>
      </c>
      <c r="D24" s="78">
        <f t="shared" si="1"/>
        <v>2020</v>
      </c>
      <c r="E24" s="113">
        <v>12</v>
      </c>
      <c r="F24" s="108">
        <v>480</v>
      </c>
      <c r="G24" s="56">
        <f t="shared" si="0"/>
        <v>492</v>
      </c>
    </row>
    <row r="25" spans="2:7" ht="15.75" x14ac:dyDescent="0.25">
      <c r="B25" s="78">
        <v>21</v>
      </c>
      <c r="C25" s="78">
        <v>11</v>
      </c>
      <c r="D25" s="78">
        <f t="shared" si="1"/>
        <v>2020</v>
      </c>
      <c r="E25" s="113">
        <v>8</v>
      </c>
      <c r="F25" s="108">
        <v>321</v>
      </c>
      <c r="G25" s="56">
        <f t="shared" si="0"/>
        <v>329</v>
      </c>
    </row>
    <row r="26" spans="2:7" ht="15.75" x14ac:dyDescent="0.25">
      <c r="B26" s="78">
        <v>22</v>
      </c>
      <c r="C26" s="78">
        <v>11</v>
      </c>
      <c r="D26" s="78">
        <f t="shared" si="1"/>
        <v>2020</v>
      </c>
      <c r="E26" s="114">
        <v>8</v>
      </c>
      <c r="F26" s="109">
        <v>331</v>
      </c>
      <c r="G26" s="56">
        <f t="shared" si="0"/>
        <v>339</v>
      </c>
    </row>
    <row r="27" spans="2:7" ht="15.75" x14ac:dyDescent="0.25">
      <c r="B27" s="78">
        <v>23</v>
      </c>
      <c r="C27" s="78">
        <v>11</v>
      </c>
      <c r="D27" s="78">
        <f t="shared" si="1"/>
        <v>2020</v>
      </c>
      <c r="E27" s="113">
        <v>10</v>
      </c>
      <c r="F27" s="108">
        <v>431</v>
      </c>
      <c r="G27" s="56">
        <f t="shared" si="0"/>
        <v>441</v>
      </c>
    </row>
    <row r="28" spans="2:7" ht="15.75" x14ac:dyDescent="0.25">
      <c r="B28" s="78">
        <v>24</v>
      </c>
      <c r="C28" s="78">
        <v>11</v>
      </c>
      <c r="D28" s="78">
        <f t="shared" si="1"/>
        <v>2020</v>
      </c>
      <c r="E28" s="113">
        <v>11</v>
      </c>
      <c r="F28" s="108">
        <v>436</v>
      </c>
      <c r="G28" s="56">
        <f t="shared" si="0"/>
        <v>447</v>
      </c>
    </row>
    <row r="29" spans="2:7" ht="15.75" x14ac:dyDescent="0.25">
      <c r="B29" s="78">
        <v>25</v>
      </c>
      <c r="C29" s="78">
        <v>11</v>
      </c>
      <c r="D29" s="78">
        <f t="shared" si="1"/>
        <v>2020</v>
      </c>
      <c r="E29" s="113">
        <v>8</v>
      </c>
      <c r="F29" s="108">
        <v>312</v>
      </c>
      <c r="G29" s="56">
        <f t="shared" si="0"/>
        <v>320</v>
      </c>
    </row>
    <row r="30" spans="2:7" ht="15.75" x14ac:dyDescent="0.25">
      <c r="B30" s="78">
        <v>26</v>
      </c>
      <c r="C30" s="78">
        <v>11</v>
      </c>
      <c r="D30" s="78">
        <f t="shared" si="1"/>
        <v>2020</v>
      </c>
      <c r="E30" s="113">
        <v>8</v>
      </c>
      <c r="F30" s="108">
        <v>330</v>
      </c>
      <c r="G30" s="56">
        <f t="shared" si="0"/>
        <v>338</v>
      </c>
    </row>
    <row r="31" spans="2:7" ht="15.75" x14ac:dyDescent="0.25">
      <c r="B31" s="78">
        <v>27</v>
      </c>
      <c r="C31" s="78">
        <v>11</v>
      </c>
      <c r="D31" s="78">
        <f t="shared" si="1"/>
        <v>2020</v>
      </c>
      <c r="E31" s="113">
        <v>11</v>
      </c>
      <c r="F31" s="108">
        <v>476</v>
      </c>
      <c r="G31" s="56">
        <f t="shared" si="0"/>
        <v>487</v>
      </c>
    </row>
    <row r="32" spans="2:7" ht="15.75" x14ac:dyDescent="0.25">
      <c r="B32" s="78">
        <v>28</v>
      </c>
      <c r="C32" s="78">
        <v>11</v>
      </c>
      <c r="D32" s="78">
        <f t="shared" si="1"/>
        <v>2020</v>
      </c>
      <c r="E32" s="113">
        <v>10</v>
      </c>
      <c r="F32" s="108">
        <v>416</v>
      </c>
      <c r="G32" s="56">
        <f t="shared" si="0"/>
        <v>426</v>
      </c>
    </row>
    <row r="33" spans="2:9" ht="15.75" x14ac:dyDescent="0.25">
      <c r="B33" s="78">
        <v>29</v>
      </c>
      <c r="C33" s="78">
        <v>11</v>
      </c>
      <c r="D33" s="78">
        <f t="shared" si="1"/>
        <v>2020</v>
      </c>
      <c r="E33" s="113">
        <v>7</v>
      </c>
      <c r="F33" s="108">
        <v>315</v>
      </c>
      <c r="G33" s="56">
        <f t="shared" si="0"/>
        <v>322</v>
      </c>
    </row>
    <row r="34" spans="2:9" ht="15.75" x14ac:dyDescent="0.25">
      <c r="B34" s="78">
        <v>30</v>
      </c>
      <c r="C34" s="78">
        <v>11</v>
      </c>
      <c r="D34" s="78">
        <f t="shared" si="1"/>
        <v>2020</v>
      </c>
      <c r="E34" s="113">
        <v>7</v>
      </c>
      <c r="F34" s="108">
        <v>214</v>
      </c>
      <c r="G34" s="56">
        <f t="shared" si="0"/>
        <v>221</v>
      </c>
    </row>
    <row r="35" spans="2:9" ht="21" x14ac:dyDescent="0.35">
      <c r="B35" s="64"/>
      <c r="C35" s="64"/>
      <c r="D35" s="64"/>
      <c r="E35" s="14">
        <f>SUM(E5:E34)</f>
        <v>357</v>
      </c>
      <c r="F35" s="14">
        <f>SUM(F5:F34)</f>
        <v>10590</v>
      </c>
      <c r="G35" s="14">
        <f>SUM(G5:G34)</f>
        <v>10947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G35</f>
        <v>10947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137384850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2023-03-14T07:32:59Z</dcterms:modified>
</cp:coreProperties>
</file>