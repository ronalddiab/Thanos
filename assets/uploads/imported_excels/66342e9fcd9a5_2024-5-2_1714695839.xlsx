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54" documentId="8_{D3E3D41D-AF55-4472-ACA4-54136B52E336}" xr6:coauthVersionLast="36" xr6:coauthVersionMax="36" xr10:uidLastSave="{0D9BB5B4-C726-4D47-BD88-E20324F564DD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K32" i="4"/>
  <c r="N32" i="4"/>
  <c r="P32" i="4"/>
  <c r="Q32" i="4"/>
  <c r="R32" i="4"/>
  <c r="S32" i="4"/>
  <c r="U32" i="4"/>
  <c r="V32" i="4"/>
  <c r="W32" i="4"/>
  <c r="G32" i="5" l="1"/>
  <c r="E32" i="5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<sst xmlns="http://schemas.openxmlformats.org/spreadsheetml/2006/main" count="138" uniqueCount="42">
  <si>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</si>
  <si>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</si>
  <si>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</si>
  <si>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</si>
  <si>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</si>
  <si>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</si>
  <si>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</si>
  <si>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</si>
  <si>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</si>
  <si>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</si>
  <si>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</si>
  <si>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</si>
  <si>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</si>
  <si>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</si>
  <si>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</si>
  <si>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</si>
  <si>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</si>
  <si>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</si>
  <si>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</si>
  <si>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</si>
  <si>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</si>
  <si>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</si>
  <si>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</si>
  <si>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</si>
  <si>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</si>
  <si>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</si>
  <si>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</si>
  <si>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</si>
  <si>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</si>
  <si>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</si>
  <si>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</si>
  <si>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</si>
  <si>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</si>
  <si>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</si>
  <si>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</si>
  <si>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</si>
  <si>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</si>
  <si>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</si>
  <si>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</si>
  <si>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</si>
  <si>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Veera</t>
  </si>
  <si>
    <t>Ramu/Sathis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</si>
</sst>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workbookViewId="0">
      <selection activeCell="K9" sqref="K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5</v>
      </c>
      <c r="D2" s="9">
        <v>2024</v>
      </c>
      <c r="E2" s="43">
        <f>'Submetering '!E2+'Submetering '!F2+'Submetering '!G2</f>
        <v>13860</v>
      </c>
      <c r="F2" s="10">
        <v>0.2979</v>
      </c>
      <c r="G2" s="13">
        <f>-'Submetering '!J2+'Submetering '!K2</f>
        <v>639</v>
      </c>
      <c r="H2" s="10">
        <v>0.23119999999999999</v>
      </c>
      <c r="I2" s="13">
        <f>'Submetering '!L2+'Submetering '!M2</f>
        <v>162</v>
      </c>
      <c r="J2" s="10">
        <v>2.94</v>
      </c>
      <c r="K2" s="9">
        <v>258</v>
      </c>
      <c r="L2" s="9">
        <v>258</v>
      </c>
    </row>
    <row r="3" spans="1:12" s="12" customFormat="1" x14ac:dyDescent="0.35">
      <c r="A3" s="9" t="s">
        <v>39</v>
      </c>
      <c r="B3" s="12">
        <f>B2+1</f>
        <v>2</v>
      </c>
      <c r="C3" s="10">
        <v>5</v>
      </c>
      <c r="D3" s="9">
        <v>2024</v>
      </c>
      <c r="E3" s="43">
        <f>'Submetering '!E3+'Submetering '!F3+'Submetering '!G3</f>
        <v>13335</v>
      </c>
      <c r="F3" s="10">
        <v>0.2979</v>
      </c>
      <c r="G3" s="13">
        <f>-'Submetering '!J3+'Submetering '!K3</f>
        <v>692</v>
      </c>
      <c r="H3" s="10">
        <v>0.23119999999999999</v>
      </c>
      <c r="I3" s="13">
        <f>'Submetering '!L3+'Submetering '!M3</f>
        <v>164</v>
      </c>
      <c r="J3" s="10">
        <v>2.94</v>
      </c>
      <c r="K3" s="9">
        <v>285</v>
      </c>
      <c r="L3" s="9">
        <v>285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5</v>
      </c>
      <c r="D4" s="9">
        <v>2024</v>
      </c>
      <c r="E4" s="43">
        <f>'Submetering '!E4+'Submetering '!F4+'Submetering '!G4</f>
        <v>0</v>
      </c>
      <c r="F4" s="10">
        <v>0.2979</v>
      </c>
      <c r="G4" s="13">
        <f>-'Submetering '!J4+'Submetering '!K4</f>
        <v>0</v>
      </c>
      <c r="H4" s="10">
        <v>0.23119999999999999</v>
      </c>
      <c r="I4" s="13">
        <f>'Submetering '!L4+'Submetering '!M4</f>
        <v>0</v>
      </c>
      <c r="J4" s="10">
        <v>2.94</v>
      </c>
      <c r="K4" s="9"/>
      <c r="L4" s="9"/>
    </row>
    <row r="5" spans="1:12" s="12" customFormat="1" x14ac:dyDescent="0.35">
      <c r="A5" s="9" t="s">
        <v>39</v>
      </c>
      <c r="B5" s="12">
        <f t="shared" si="0"/>
        <v>4</v>
      </c>
      <c r="C5" s="10">
        <v>5</v>
      </c>
      <c r="D5" s="9">
        <v>2024</v>
      </c>
      <c r="E5" s="43">
        <f>'Submetering '!E5+'Submetering '!F5+'Submetering '!G5</f>
        <v>0</v>
      </c>
      <c r="F5" s="10">
        <v>0.2979</v>
      </c>
      <c r="G5" s="13">
        <f>-'Submetering '!J5+'Submetering '!K5</f>
        <v>0</v>
      </c>
      <c r="H5" s="10">
        <v>0.23119999999999999</v>
      </c>
      <c r="I5" s="13">
        <f>'Submetering '!L5+'Submetering '!M5</f>
        <v>0</v>
      </c>
      <c r="J5" s="10">
        <v>2.94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5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5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5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5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5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5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5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5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5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5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5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5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5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5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5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5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5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5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5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5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5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5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5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5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5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5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5</v>
      </c>
      <c r="D32" s="9">
        <v>2024</v>
      </c>
      <c r="E32" s="43">
        <f>'Submetering '!E32+'Submetering '!F32+'Submetering '!G32</f>
        <v>0</v>
      </c>
      <c r="F32" s="10">
        <v>0.2979</v>
      </c>
      <c r="G32" s="13">
        <f>-'Submetering '!J32+'Submetering '!K32</f>
        <v>0</v>
      </c>
      <c r="H32" s="10">
        <v>0.23119999999999999</v>
      </c>
      <c r="I32" s="13">
        <f>'Submetering '!L32+'Submetering '!M32</f>
        <v>0</v>
      </c>
      <c r="J32" s="10">
        <v>2.94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Z3" sqref="Z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5</v>
      </c>
      <c r="D2" s="9">
        <v>2024</v>
      </c>
      <c r="E2" s="33">
        <f>(IF((Electrical!B3-Electrical!B2)&lt;0,"0",(Electrical!B3-Electrical!B2)))*15</f>
        <v>6045</v>
      </c>
      <c r="F2" s="33">
        <f>(IF((Electrical!C3-Electrical!C2)&lt;0,"0",(Electrical!C3-Electrical!C2)))*15</f>
        <v>4080</v>
      </c>
      <c r="G2" s="33">
        <f>(IF((Electrical!D3-Electrical!D2)&lt;0,"0",(Electrical!D3-Electrical!D2)))*15</f>
        <v>3735</v>
      </c>
      <c r="H2" s="33">
        <f>IF((Electrical!E3-Electrical!E2)&lt;0,"0",(Electrical!E3-Electrical!E2))</f>
        <v>6163</v>
      </c>
      <c r="I2" s="33">
        <f>IF((Electrical!F3-Electrical!F2)&lt;0,"0",(Electrical!F3-Electrical!F2))</f>
        <v>416</v>
      </c>
      <c r="J2" s="33">
        <f>IF((Gas!B3-Gas!B2)&lt;0,"0",(Gas!B3-Gas!B2))</f>
        <v>0</v>
      </c>
      <c r="K2" s="33">
        <f>IF((Gas!C3-Gas!C2)&lt;0,"0",(Gas!C3-Gas!C2))</f>
        <v>639</v>
      </c>
      <c r="L2" s="33">
        <f>(IF((Water!B3-Water!B2)&lt;0,"0",(Water!B3-Water!B2)))*10</f>
        <v>140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18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1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258</v>
      </c>
      <c r="Z2" s="9">
        <v>258</v>
      </c>
    </row>
    <row r="3" spans="1:26" s="9" customFormat="1" x14ac:dyDescent="0.35">
      <c r="A3" s="9" t="s">
        <v>36</v>
      </c>
      <c r="B3" s="12">
        <f>B2+1</f>
        <v>2</v>
      </c>
      <c r="C3" s="10">
        <v>5</v>
      </c>
      <c r="D3" s="9">
        <v>2024</v>
      </c>
      <c r="E3" s="33">
        <f>(IF((Electrical!B4-Electrical!B3)&lt;0,"0",(Electrical!B4-Electrical!B3)))*15</f>
        <v>6000</v>
      </c>
      <c r="F3" s="33">
        <f>(IF((Electrical!C4-Electrical!C3)&lt;0,"0",(Electrical!C4-Electrical!C3)))*15</f>
        <v>3825</v>
      </c>
      <c r="G3" s="33">
        <f>(IF((Electrical!D4-Electrical!D3)&lt;0,"0",(Electrical!D4-Electrical!D3)))*15</f>
        <v>3510</v>
      </c>
      <c r="H3" s="33">
        <f>IF((Electrical!E4-Electrical!E3)&lt;0,"0",(Electrical!E4-Electrical!E3))</f>
        <v>3082</v>
      </c>
      <c r="I3" s="33">
        <f>IF((Electrical!F4-Electrical!F3)&lt;0,"0",(Electrical!F4-Electrical!F3))</f>
        <v>447</v>
      </c>
      <c r="J3" s="33">
        <f>IF((Gas!B4-Gas!B3)&lt;0,"0",(Gas!B4-Gas!B3))</f>
        <v>0</v>
      </c>
      <c r="K3" s="33">
        <f>IF((Gas!C4-Gas!C3)&lt;0,"0",(Gas!C4-Gas!C3))</f>
        <v>692</v>
      </c>
      <c r="L3" s="33">
        <f>(IF((Water!B4-Water!B3)&lt;0,"0",(Water!B4-Water!B3)))*10</f>
        <v>140</v>
      </c>
      <c r="M3" s="33">
        <f>IF((Water!C4-Water!C3)&lt;0,"0",(Water!C4-Water!C3))</f>
        <v>24</v>
      </c>
      <c r="N3" s="33">
        <f>IF((Water!D4-Water!D3)&lt;0,"0",(Water!D4-Water!D3))</f>
        <v>0</v>
      </c>
      <c r="O3" s="33">
        <f>IF((Water!E4-Water!E3)&lt;0,"0",(Water!E4-Water!E3))</f>
        <v>17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48</v>
      </c>
      <c r="Y3" s="9">
        <v>285</v>
      </c>
      <c r="Z3" s="9">
        <v>285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5</v>
      </c>
      <c r="D4" s="9">
        <v>2024</v>
      </c>
      <c r="E4" s="33">
        <f>(IF((Electrical!B5-Electrical!B4)&lt;0,"0",(Electrical!B5-Electrical!B4)))*15</f>
        <v>0</v>
      </c>
      <c r="F4" s="33">
        <f>(IF((Electrical!C5-Electrical!C4)&lt;0,"0",(Electrical!C5-Electrical!C4)))*15</f>
        <v>0</v>
      </c>
      <c r="G4" s="33">
        <f>(IF((Electrical!D5-Electrical!D4)&lt;0,"0",(Electrical!D5-Electrical!D4)))*15</f>
        <v>0</v>
      </c>
      <c r="H4" s="33" t="str">
        <f>IF((Electrical!E5-Electrical!E4)&lt;0,"0",(Electrical!E5-Electrical!E4))</f>
        <v>0</v>
      </c>
      <c r="I4" s="33" t="str">
        <f>IF((Electrical!F5-Electrical!F4)&lt;0,"0",(Electrical!F5-Electrical!F4))</f>
        <v>0</v>
      </c>
      <c r="J4" s="33">
        <f>IF((Gas!B5-Gas!B4)&lt;0,"0",(Gas!B5-Gas!B4))</f>
        <v>0</v>
      </c>
      <c r="K4" s="33" t="str">
        <f>IF((Gas!C5-Gas!C4)&lt;0,"0",(Gas!C5-Gas!C4))</f>
        <v>0</v>
      </c>
      <c r="L4" s="33">
        <f>(IF((Water!B5-Water!B4)&lt;0,"0",(Water!B5-Water!B4)))*10</f>
        <v>0</v>
      </c>
      <c r="M4" s="33" t="str">
        <f>IF((Water!C5-Water!C4)&lt;0,"0",(Water!C5-Water!C4))</f>
        <v>0</v>
      </c>
      <c r="N4" s="33">
        <f>IF((Water!D5-Water!D4)&lt;0,"0",(Water!D5-Water!D4))</f>
        <v>0</v>
      </c>
      <c r="O4" s="33" t="str">
        <f>IF((Water!E5-Water!E4)&lt;0,"0",(Water!E5-Water!E4))</f>
        <v>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 t="str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 t="str">
        <f>IF((Water!N5-Water!N4)&lt;0,"0",(Water!N5-Water!N4))</f>
        <v>0</v>
      </c>
      <c r="Y4" s="9"/>
      <c r="Z4" s="9"/>
    </row>
    <row r="5" spans="1:26" s="12" customFormat="1" x14ac:dyDescent="0.35">
      <c r="A5" s="9" t="s">
        <v>36</v>
      </c>
      <c r="B5" s="12">
        <f t="shared" si="0"/>
        <v>4</v>
      </c>
      <c r="C5" s="10">
        <v>5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>
        <f>IF((Electrical!E6-Electrical!E5)&lt;0,"0",(Electrical!E6-Electrical!E5))</f>
        <v>0</v>
      </c>
      <c r="I5" s="33">
        <f>IF((Electrical!F6-Electrical!F5)&lt;0,"0",(Electrical!F6-Electrical!F5))</f>
        <v>0</v>
      </c>
      <c r="J5" s="33">
        <f>IF((Gas!B6-Gas!B5)&lt;0,"0",(Gas!B6-Gas!B5))</f>
        <v>0</v>
      </c>
      <c r="K5" s="33">
        <f>IF((Gas!C6-Gas!C5)&lt;0,"0",(Gas!C6-Gas!C5))</f>
        <v>0</v>
      </c>
      <c r="L5" s="33">
        <f>(IF((Water!B6-Water!B5)&lt;0,"0",(Water!B6-Water!B5)))*10</f>
        <v>0</v>
      </c>
      <c r="M5" s="33">
        <f>IF((Water!C6-Water!C5)&lt;0,"0",(Water!C6-Water!C5))</f>
        <v>0</v>
      </c>
      <c r="N5" s="33">
        <f>IF((Water!D6-Water!D5)&lt;0,"0",(Water!D6-Water!D5))</f>
        <v>0</v>
      </c>
      <c r="O5" s="33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5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5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5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5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5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5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5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5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5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5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5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5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5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5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5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5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5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5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5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5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5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5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5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5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5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5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5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M13" sqref="M1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30</v>
      </c>
      <c r="B2" s="28">
        <v>141150</v>
      </c>
      <c r="C2" s="28">
        <v>101952</v>
      </c>
      <c r="D2" s="46">
        <v>103528</v>
      </c>
      <c r="E2" s="46">
        <v>1471739</v>
      </c>
      <c r="F2" s="46">
        <v>164682</v>
      </c>
      <c r="G2" s="5" t="s">
        <v>40</v>
      </c>
    </row>
    <row r="3" spans="1:7" ht="15.75" customHeight="1" x14ac:dyDescent="0.35">
      <c r="A3" s="7">
        <v>1</v>
      </c>
      <c r="B3" s="47">
        <v>141553</v>
      </c>
      <c r="C3" s="47">
        <v>102224</v>
      </c>
      <c r="D3" s="45">
        <v>103777</v>
      </c>
      <c r="E3" s="45">
        <v>1477902</v>
      </c>
      <c r="F3" s="45">
        <v>165098</v>
      </c>
      <c r="G3" s="27" t="s">
        <v>41</v>
      </c>
    </row>
    <row r="4" spans="1:7" x14ac:dyDescent="0.35">
      <c r="A4" s="7">
        <v>2</v>
      </c>
      <c r="B4" s="28">
        <v>141953</v>
      </c>
      <c r="C4" s="28">
        <v>102479</v>
      </c>
      <c r="D4" s="46">
        <v>104011</v>
      </c>
      <c r="E4" s="45">
        <v>1480984</v>
      </c>
      <c r="F4" s="45">
        <v>165545</v>
      </c>
      <c r="G4" s="27" t="s">
        <v>41</v>
      </c>
    </row>
    <row r="5" spans="1:7" x14ac:dyDescent="0.35">
      <c r="A5" s="7">
        <v>3</v>
      </c>
      <c r="B5" s="28"/>
      <c r="C5" s="28"/>
      <c r="D5" s="45"/>
      <c r="E5" s="45"/>
      <c r="F5" s="45"/>
      <c r="G5" s="27"/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M10" sqref="M1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30</v>
      </c>
      <c r="B2" s="5">
        <v>0</v>
      </c>
      <c r="C2" s="5">
        <v>249572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250211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250903</v>
      </c>
      <c r="D4" s="27" t="s">
        <v>41</v>
      </c>
    </row>
    <row r="5" spans="1:4" ht="15.5" x14ac:dyDescent="0.35">
      <c r="A5" s="4">
        <v>3</v>
      </c>
      <c r="B5" s="5">
        <v>0</v>
      </c>
      <c r="C5" s="5"/>
      <c r="D5" s="27"/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D1" zoomScale="85" zoomScaleNormal="85" workbookViewId="0">
      <selection activeCell="N15" sqref="N1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30</v>
      </c>
      <c r="B2" s="5">
        <v>4091</v>
      </c>
      <c r="C2" s="5">
        <v>11599</v>
      </c>
      <c r="D2" s="5">
        <v>0</v>
      </c>
      <c r="E2" s="5">
        <v>3821</v>
      </c>
      <c r="F2" s="5">
        <v>0</v>
      </c>
      <c r="G2" s="5">
        <v>0</v>
      </c>
      <c r="H2" s="5">
        <v>0</v>
      </c>
      <c r="I2" s="5">
        <v>0</v>
      </c>
      <c r="J2" s="5">
        <v>507</v>
      </c>
      <c r="K2" s="5">
        <v>0</v>
      </c>
      <c r="L2" s="5">
        <v>0</v>
      </c>
      <c r="M2" s="5">
        <v>0</v>
      </c>
      <c r="N2" s="5">
        <v>14551</v>
      </c>
      <c r="O2" s="5" t="s">
        <v>40</v>
      </c>
    </row>
    <row r="3" spans="1:15" ht="15.5" x14ac:dyDescent="0.35">
      <c r="A3" s="4">
        <v>1</v>
      </c>
      <c r="B3" s="5">
        <v>4105</v>
      </c>
      <c r="C3" s="5">
        <v>11621</v>
      </c>
      <c r="D3" s="5">
        <v>0</v>
      </c>
      <c r="E3" s="5">
        <v>3839</v>
      </c>
      <c r="F3" s="5">
        <v>0</v>
      </c>
      <c r="G3" s="5">
        <v>0</v>
      </c>
      <c r="H3" s="5">
        <v>0</v>
      </c>
      <c r="I3" s="5">
        <v>0</v>
      </c>
      <c r="J3" s="5">
        <v>508</v>
      </c>
      <c r="K3" s="5">
        <v>0</v>
      </c>
      <c r="L3" s="5">
        <v>0</v>
      </c>
      <c r="M3" s="5">
        <v>0</v>
      </c>
      <c r="N3" s="5">
        <v>14582</v>
      </c>
      <c r="O3" s="27" t="s">
        <v>41</v>
      </c>
    </row>
    <row r="4" spans="1:15" ht="15.5" x14ac:dyDescent="0.35">
      <c r="A4" s="4">
        <v>2</v>
      </c>
      <c r="B4" s="5">
        <v>4119</v>
      </c>
      <c r="C4" s="5">
        <v>11645</v>
      </c>
      <c r="D4" s="5">
        <v>0</v>
      </c>
      <c r="E4" s="5">
        <v>3856</v>
      </c>
      <c r="F4" s="5">
        <v>0</v>
      </c>
      <c r="G4" s="5">
        <v>0</v>
      </c>
      <c r="H4" s="5">
        <v>0</v>
      </c>
      <c r="I4" s="5">
        <v>0</v>
      </c>
      <c r="J4" s="5">
        <v>518</v>
      </c>
      <c r="K4" s="5">
        <v>0</v>
      </c>
      <c r="L4" s="5">
        <v>0</v>
      </c>
      <c r="M4" s="5">
        <v>0</v>
      </c>
      <c r="N4" s="5">
        <v>14630</v>
      </c>
      <c r="O4" s="27" t="s">
        <v>41</v>
      </c>
    </row>
    <row r="5" spans="1:15" ht="15.5" x14ac:dyDescent="0.35">
      <c r="A5" s="4">
        <v>3</v>
      </c>
      <c r="B5" s="5"/>
      <c r="C5" s="5"/>
      <c r="D5" s="5">
        <v>0</v>
      </c>
      <c r="E5" s="5"/>
      <c r="F5" s="5">
        <v>0</v>
      </c>
      <c r="G5" s="5">
        <v>0</v>
      </c>
      <c r="H5" s="5">
        <v>0</v>
      </c>
      <c r="I5" s="5">
        <v>0</v>
      </c>
      <c r="J5" s="5"/>
      <c r="K5" s="5">
        <v>0</v>
      </c>
      <c r="L5" s="5">
        <v>0</v>
      </c>
      <c r="M5" s="5">
        <v>0</v>
      </c>
      <c r="N5" s="5"/>
      <c r="O5" s="27"/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c0c63084-832f-4b13-a501-c844d9f3bfed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2024-05-03T00:23:20Z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