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<sst xmlns="http://schemas.openxmlformats.org/spreadsheetml/2006/main" count="128" uniqueCount="49">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</sst>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52440</v>
      </c>
      <c r="F2" s="11">
        <v>5.0000000000000001E-3</v>
      </c>
      <c r="G2" s="12">
        <f>Submetering!R2</f>
        <v>550.02007299999991</v>
      </c>
      <c r="H2" s="11">
        <v>0.52800000000000002</v>
      </c>
      <c r="I2" s="12">
        <f>Hotel!B7</f>
        <v>76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51400</v>
      </c>
      <c r="F3" s="11">
        <v>5.0000000000000001E-3</v>
      </c>
      <c r="G3" s="12">
        <f>Submetering!R3</f>
        <v>590.52395999999999</v>
      </c>
      <c r="H3" s="11">
        <v>0.52800000000000002</v>
      </c>
      <c r="I3" s="12">
        <f>Hotel!B8</f>
        <v>78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53480</v>
      </c>
      <c r="F4" s="11">
        <v>5.0000000000000001E-3</v>
      </c>
      <c r="G4" s="12">
        <f>Submetering!R4</f>
        <v>648.06219199999998</v>
      </c>
      <c r="H4" s="11">
        <v>0.52800000000000002</v>
      </c>
      <c r="I4" s="12">
        <f>Hotel!B9</f>
        <v>110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49930</v>
      </c>
      <c r="F5" s="11">
        <v>5.0000000000000001E-3</v>
      </c>
      <c r="G5" s="12">
        <f>Submetering!R5</f>
        <v>618.15745300000003</v>
      </c>
      <c r="H5" s="11">
        <v>0.52800000000000002</v>
      </c>
      <c r="I5" s="12">
        <f>Hotel!B10</f>
        <v>141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54250</v>
      </c>
      <c r="F6" s="11">
        <v>5.0000000000000001E-3</v>
      </c>
      <c r="G6" s="12">
        <f>Submetering!R6</f>
        <v>618.15745300000003</v>
      </c>
      <c r="H6" s="11">
        <v>0.52800000000000002</v>
      </c>
      <c r="I6" s="12">
        <f>Hotel!B11</f>
        <v>51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50110</v>
      </c>
      <c r="F7" s="11">
        <v>5.0000000000000001E-3</v>
      </c>
      <c r="G7" s="12">
        <f>Submetering!R7</f>
        <v>636.705962</v>
      </c>
      <c r="H7" s="11">
        <v>0.52800000000000002</v>
      </c>
      <c r="I7" s="12">
        <f>Hotel!B12</f>
        <v>62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50480</v>
      </c>
      <c r="F8" s="11">
        <v>5.0000000000000001E-3</v>
      </c>
      <c r="G8" s="12">
        <f>Submetering!R8</f>
        <v>450.46378999999996</v>
      </c>
      <c r="H8" s="11">
        <v>0.52800000000000002</v>
      </c>
      <c r="I8" s="12">
        <f>Hotel!B13</f>
        <v>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12</v>
      </c>
      <c r="D2" s="2">
        <v>2020</v>
      </c>
      <c r="E2" s="4">
        <f>Hotel!Q7</f>
        <v>550</v>
      </c>
      <c r="F2" s="4">
        <f>Hotel!R7</f>
        <v>1910</v>
      </c>
      <c r="G2" s="4">
        <f>Hotel!S7</f>
        <v>10</v>
      </c>
      <c r="H2" s="4">
        <f>Hotel!T7</f>
        <v>4510</v>
      </c>
      <c r="I2" s="4">
        <f>Hotel!U7</f>
        <v>4720</v>
      </c>
      <c r="J2" s="4">
        <f>Hotel!V7</f>
        <v>3520</v>
      </c>
      <c r="K2" s="4">
        <f>Hotel!W7</f>
        <v>2370</v>
      </c>
      <c r="L2" s="4">
        <f>Hotel!X7</f>
        <v>3890</v>
      </c>
      <c r="M2" s="4">
        <f>Hotel!Y7</f>
        <v>6040</v>
      </c>
      <c r="N2" s="4">
        <f>Hotel!Z7</f>
        <v>2480</v>
      </c>
      <c r="O2" s="4">
        <f>Hotel!AA7</f>
        <v>3190</v>
      </c>
      <c r="P2" s="4">
        <f>Hotel!AB7</f>
        <v>6640</v>
      </c>
      <c r="Q2" s="4">
        <f>Hotel!AC7</f>
        <v>12610</v>
      </c>
      <c r="R2" s="4">
        <f>Hotel!AV7*0.00378541*100</f>
        <v>550.02007299999991</v>
      </c>
      <c r="S2" s="4">
        <f>Hotel!B7</f>
        <v>76</v>
      </c>
    </row>
    <row r="3" spans="1:19" x14ac:dyDescent="0.25">
      <c r="A3" s="21" t="s">
        <v>31</v>
      </c>
      <c r="B3" s="2">
        <f>B2+1</f>
        <v>2</v>
      </c>
      <c r="C3" s="10">
        <v>12</v>
      </c>
      <c r="D3" s="2">
        <v>2020</v>
      </c>
      <c r="E3" s="4">
        <f>Hotel!Q8</f>
        <v>550</v>
      </c>
      <c r="F3" s="4">
        <f>Hotel!R8</f>
        <v>1890</v>
      </c>
      <c r="G3" s="4">
        <f>Hotel!S8</f>
        <v>10</v>
      </c>
      <c r="H3" s="4">
        <f>Hotel!T8</f>
        <v>4570</v>
      </c>
      <c r="I3" s="4">
        <f>Hotel!U8</f>
        <v>5070</v>
      </c>
      <c r="J3" s="4">
        <f>Hotel!V8</f>
        <v>3490</v>
      </c>
      <c r="K3" s="4">
        <f>Hotel!W8</f>
        <v>2380</v>
      </c>
      <c r="L3" s="4">
        <f>Hotel!X8</f>
        <v>4030</v>
      </c>
      <c r="M3" s="4">
        <f>Hotel!Y8</f>
        <v>5980</v>
      </c>
      <c r="N3" s="4">
        <f>Hotel!Z8</f>
        <v>2530</v>
      </c>
      <c r="O3" s="4">
        <f>Hotel!AA8</f>
        <v>3160</v>
      </c>
      <c r="P3" s="4">
        <f>Hotel!AB8</f>
        <v>6570</v>
      </c>
      <c r="Q3" s="4">
        <f>Hotel!AC8</f>
        <v>11170</v>
      </c>
      <c r="R3" s="4">
        <f>Hotel!AV8*0.00378541*100</f>
        <v>590.52395999999999</v>
      </c>
      <c r="S3" s="4">
        <f>Hotel!B8</f>
        <v>78</v>
      </c>
    </row>
    <row r="4" spans="1:19" x14ac:dyDescent="0.25">
      <c r="A4" s="21" t="s">
        <v>31</v>
      </c>
      <c r="B4" s="2">
        <f t="shared" ref="B4:B29" si="0">B3+1</f>
        <v>3</v>
      </c>
      <c r="C4" s="10">
        <v>12</v>
      </c>
      <c r="D4" s="2">
        <v>2020</v>
      </c>
      <c r="E4" s="4">
        <f>Hotel!Q9</f>
        <v>560</v>
      </c>
      <c r="F4" s="4">
        <f>Hotel!R9</f>
        <v>1930</v>
      </c>
      <c r="G4" s="4">
        <f>Hotel!S9</f>
        <v>30</v>
      </c>
      <c r="H4" s="4">
        <f>Hotel!T9</f>
        <v>5030</v>
      </c>
      <c r="I4" s="4">
        <f>Hotel!U9</f>
        <v>4970</v>
      </c>
      <c r="J4" s="4">
        <f>Hotel!V9</f>
        <v>3520</v>
      </c>
      <c r="K4" s="4">
        <f>Hotel!W9</f>
        <v>2430</v>
      </c>
      <c r="L4" s="4">
        <f>Hotel!X9</f>
        <v>3840</v>
      </c>
      <c r="M4" s="4">
        <f>Hotel!Y9</f>
        <v>6350</v>
      </c>
      <c r="N4" s="4">
        <f>Hotel!Z9</f>
        <v>2700</v>
      </c>
      <c r="O4" s="4">
        <f>Hotel!AA9</f>
        <v>3320</v>
      </c>
      <c r="P4" s="4">
        <f>Hotel!AB9</f>
        <v>7270</v>
      </c>
      <c r="Q4" s="4">
        <f>Hotel!AC9</f>
        <v>11530</v>
      </c>
      <c r="R4" s="4">
        <f>Hotel!AV9*0.00378541*100</f>
        <v>648.06219199999998</v>
      </c>
      <c r="S4" s="4">
        <f>Hotel!B9</f>
        <v>110</v>
      </c>
    </row>
    <row r="5" spans="1:19" x14ac:dyDescent="0.25">
      <c r="A5" s="21" t="s">
        <v>31</v>
      </c>
      <c r="B5" s="2">
        <f t="shared" si="0"/>
        <v>4</v>
      </c>
      <c r="C5" s="10">
        <v>12</v>
      </c>
      <c r="D5" s="2">
        <v>2020</v>
      </c>
      <c r="E5" s="4">
        <f>Hotel!Q10</f>
        <v>520</v>
      </c>
      <c r="F5" s="4">
        <f>Hotel!R10</f>
        <v>1810</v>
      </c>
      <c r="G5" s="4">
        <f>Hotel!S10</f>
        <v>30</v>
      </c>
      <c r="H5" s="4">
        <f>Hotel!T10</f>
        <v>4720</v>
      </c>
      <c r="I5" s="4">
        <f>Hotel!U10</f>
        <v>4930</v>
      </c>
      <c r="J5" s="4">
        <f>Hotel!V10</f>
        <v>3400</v>
      </c>
      <c r="K5" s="4">
        <f>Hotel!W10</f>
        <v>2240</v>
      </c>
      <c r="L5" s="4">
        <f>Hotel!X10</f>
        <v>3680</v>
      </c>
      <c r="M5" s="4">
        <f>Hotel!Y10</f>
        <v>6010</v>
      </c>
      <c r="N5" s="4">
        <f>Hotel!Z10</f>
        <v>2640</v>
      </c>
      <c r="O5" s="4">
        <f>Hotel!AA10</f>
        <v>3570</v>
      </c>
      <c r="P5" s="4">
        <f>Hotel!AB10</f>
        <v>7170</v>
      </c>
      <c r="Q5" s="4">
        <f>Hotel!AC10</f>
        <v>9210</v>
      </c>
      <c r="R5" s="4">
        <f>Hotel!AV10*0.00378541*100</f>
        <v>618.15745300000003</v>
      </c>
      <c r="S5" s="4">
        <f>Hotel!B10</f>
        <v>141</v>
      </c>
    </row>
    <row r="6" spans="1:19" x14ac:dyDescent="0.25">
      <c r="A6" s="21" t="s">
        <v>31</v>
      </c>
      <c r="B6" s="2">
        <f t="shared" si="0"/>
        <v>5</v>
      </c>
      <c r="C6" s="10">
        <v>12</v>
      </c>
      <c r="D6" s="2">
        <v>2020</v>
      </c>
      <c r="E6" s="4">
        <f>Hotel!Q11</f>
        <v>580</v>
      </c>
      <c r="F6" s="4">
        <f>Hotel!R11</f>
        <v>1980</v>
      </c>
      <c r="G6" s="4">
        <f>Hotel!S11</f>
        <v>30</v>
      </c>
      <c r="H6" s="4">
        <f>Hotel!T11</f>
        <v>5180</v>
      </c>
      <c r="I6" s="4">
        <f>Hotel!U11</f>
        <v>5340</v>
      </c>
      <c r="J6" s="4">
        <f>Hotel!V11</f>
        <v>3650</v>
      </c>
      <c r="K6" s="4">
        <f>Hotel!W11</f>
        <v>2460</v>
      </c>
      <c r="L6" s="4">
        <f>Hotel!X11</f>
        <v>3970</v>
      </c>
      <c r="M6" s="4">
        <f>Hotel!Y11</f>
        <v>6470</v>
      </c>
      <c r="N6" s="4">
        <f>Hotel!Z11</f>
        <v>2710</v>
      </c>
      <c r="O6" s="4">
        <f>Hotel!AA11</f>
        <v>3730</v>
      </c>
      <c r="P6" s="4">
        <f>Hotel!AB11</f>
        <v>7610</v>
      </c>
      <c r="Q6" s="4">
        <f>Hotel!AC11</f>
        <v>10540</v>
      </c>
      <c r="R6" s="4">
        <f>Hotel!AV11*0.00378541*100</f>
        <v>618.15745300000003</v>
      </c>
      <c r="S6" s="4">
        <f>Hotel!B11</f>
        <v>51</v>
      </c>
    </row>
    <row r="7" spans="1:19" x14ac:dyDescent="0.25">
      <c r="A7" s="21" t="s">
        <v>31</v>
      </c>
      <c r="B7" s="2">
        <f t="shared" si="0"/>
        <v>6</v>
      </c>
      <c r="C7" s="10">
        <v>12</v>
      </c>
      <c r="D7" s="2">
        <v>2020</v>
      </c>
      <c r="E7" s="4">
        <f>Hotel!Q12</f>
        <v>550</v>
      </c>
      <c r="F7" s="4">
        <f>Hotel!R12</f>
        <v>1900</v>
      </c>
      <c r="G7" s="4">
        <f>Hotel!S12</f>
        <v>10</v>
      </c>
      <c r="H7" s="4">
        <f>Hotel!T12</f>
        <v>4630</v>
      </c>
      <c r="I7" s="4">
        <f>Hotel!U12</f>
        <v>4730</v>
      </c>
      <c r="J7" s="4">
        <f>Hotel!V12</f>
        <v>3310</v>
      </c>
      <c r="K7" s="4">
        <f>Hotel!W12</f>
        <v>2400</v>
      </c>
      <c r="L7" s="4">
        <f>Hotel!X12</f>
        <v>3500</v>
      </c>
      <c r="M7" s="4">
        <f>Hotel!Y12</f>
        <v>5860</v>
      </c>
      <c r="N7" s="4">
        <f>Hotel!Z12</f>
        <v>2380</v>
      </c>
      <c r="O7" s="4">
        <f>Hotel!AA12</f>
        <v>3260</v>
      </c>
      <c r="P7" s="4">
        <f>Hotel!AB12</f>
        <v>7150</v>
      </c>
      <c r="Q7" s="4">
        <f>Hotel!AC12</f>
        <v>10430</v>
      </c>
      <c r="R7" s="4">
        <f>Hotel!AV12*0.00378541*100</f>
        <v>636.705962</v>
      </c>
      <c r="S7" s="4">
        <f>Hotel!B12</f>
        <v>62</v>
      </c>
    </row>
    <row r="8" spans="1:19" x14ac:dyDescent="0.25">
      <c r="A8" s="21" t="s">
        <v>31</v>
      </c>
      <c r="B8" s="2">
        <f t="shared" si="0"/>
        <v>7</v>
      </c>
      <c r="C8" s="10">
        <v>12</v>
      </c>
      <c r="D8" s="2">
        <v>2020</v>
      </c>
      <c r="E8" s="4">
        <f>Hotel!Q13</f>
        <v>560</v>
      </c>
      <c r="F8" s="4">
        <f>Hotel!R13</f>
        <v>1900</v>
      </c>
      <c r="G8" s="4">
        <f>Hotel!S13</f>
        <v>0</v>
      </c>
      <c r="H8" s="4">
        <f>Hotel!T13</f>
        <v>4330</v>
      </c>
      <c r="I8" s="4">
        <f>Hotel!U13</f>
        <v>4570</v>
      </c>
      <c r="J8" s="4">
        <f>Hotel!V13</f>
        <v>3510</v>
      </c>
      <c r="K8" s="4">
        <f>Hotel!W13</f>
        <v>2420</v>
      </c>
      <c r="L8" s="4">
        <f>Hotel!X13</f>
        <v>3960</v>
      </c>
      <c r="M8" s="4">
        <f>Hotel!Y13</f>
        <v>5950</v>
      </c>
      <c r="N8" s="4">
        <f>Hotel!Z13</f>
        <v>2400</v>
      </c>
      <c r="O8" s="4">
        <f>Hotel!AA13</f>
        <v>2960</v>
      </c>
      <c r="P8" s="4">
        <f>Hotel!AB13</f>
        <v>7370</v>
      </c>
      <c r="Q8" s="4">
        <f>Hotel!AC13</f>
        <v>10550</v>
      </c>
      <c r="R8" s="4">
        <f>Hotel!AV13*0.00378541*100</f>
        <v>450.46378999999996</v>
      </c>
      <c r="S8" s="4">
        <f>Hotel!B13</f>
        <v>71</v>
      </c>
    </row>
    <row r="9" spans="1:19" x14ac:dyDescent="0.25">
      <c r="A9" s="21" t="s">
        <v>31</v>
      </c>
      <c r="B9" s="2">
        <f t="shared" si="0"/>
        <v>8</v>
      </c>
      <c r="C9" s="10">
        <v>12</v>
      </c>
      <c r="D9" s="2">
        <v>2020</v>
      </c>
      <c r="E9" s="4" t="str">
        <f>Hotel!Q14</f>
        <v>0</v>
      </c>
      <c r="F9" s="4" t="str">
        <f>Hotel!R14</f>
        <v>0</v>
      </c>
      <c r="G9" s="4" t="str">
        <f>Hotel!S14</f>
        <v>0</v>
      </c>
      <c r="H9" s="4" t="str">
        <f>Hotel!T14</f>
        <v>0</v>
      </c>
      <c r="I9" s="4" t="str">
        <f>Hotel!U14</f>
        <v>0</v>
      </c>
      <c r="J9" s="4" t="str">
        <f>Hotel!V14</f>
        <v>0</v>
      </c>
      <c r="K9" s="4" t="str">
        <f>Hotel!W14</f>
        <v>0</v>
      </c>
      <c r="L9" s="4" t="str">
        <f>Hotel!X14</f>
        <v>0</v>
      </c>
      <c r="M9" s="4" t="str">
        <f>Hotel!Y14</f>
        <v>0</v>
      </c>
      <c r="N9" s="4" t="str">
        <f>Hotel!Z14</f>
        <v>0</v>
      </c>
      <c r="O9" s="4" t="str">
        <f>Hotel!AA14</f>
        <v>0</v>
      </c>
      <c r="P9" s="4" t="str">
        <f>Hotel!AB14</f>
        <v>0</v>
      </c>
      <c r="Q9" s="4" t="str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12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12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12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12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12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12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12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12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12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12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12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12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12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12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12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12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12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12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12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12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P24" sqref="AP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44165</v>
      </c>
      <c r="B2" s="40">
        <v>63</v>
      </c>
      <c r="C2" s="24">
        <v>6490250</v>
      </c>
      <c r="D2" s="24">
        <v>14976020</v>
      </c>
      <c r="E2" s="24">
        <v>2208700</v>
      </c>
      <c r="F2" s="24">
        <v>3151670</v>
      </c>
      <c r="G2" s="24">
        <v>9535770</v>
      </c>
      <c r="H2" s="24">
        <v>4907310</v>
      </c>
      <c r="I2" s="24">
        <v>4634970</v>
      </c>
      <c r="J2" s="53">
        <v>5265010</v>
      </c>
      <c r="K2" s="24">
        <v>8248700</v>
      </c>
      <c r="L2" s="24">
        <v>3361760</v>
      </c>
      <c r="M2" s="24">
        <v>7273590</v>
      </c>
      <c r="N2" s="24">
        <v>10745620</v>
      </c>
      <c r="O2" s="24">
        <v>14614170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330437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330437</v>
      </c>
    </row>
    <row r="7" spans="1:49" x14ac:dyDescent="0.25">
      <c r="A7" s="23">
        <v>44166</v>
      </c>
      <c r="B7" s="40">
        <v>76</v>
      </c>
      <c r="C7" s="24">
        <v>6490800</v>
      </c>
      <c r="D7" s="24">
        <v>14977930</v>
      </c>
      <c r="E7" s="24">
        <v>2208710</v>
      </c>
      <c r="F7" s="24">
        <v>3156180</v>
      </c>
      <c r="G7" s="24">
        <v>9540490</v>
      </c>
      <c r="H7" s="24">
        <v>4910830</v>
      </c>
      <c r="I7" s="24">
        <v>4637340</v>
      </c>
      <c r="J7" s="24">
        <v>5268900</v>
      </c>
      <c r="K7" s="24">
        <v>8254740</v>
      </c>
      <c r="L7" s="24">
        <v>3364240</v>
      </c>
      <c r="M7" s="24">
        <v>7276780</v>
      </c>
      <c r="N7" s="24">
        <v>10752260</v>
      </c>
      <c r="O7" s="24">
        <v>14626780</v>
      </c>
      <c r="Q7" s="37">
        <f>IF((C7-C2&lt;0), "0",C7-C2)</f>
        <v>550</v>
      </c>
      <c r="R7" s="37">
        <f t="shared" ref="R7:AC7" si="0">IF((D7-D2&lt;0), "0",D7-D2)</f>
        <v>1910</v>
      </c>
      <c r="S7" s="37">
        <f>IF((E7-E2&lt;0), "0",E7-E2)</f>
        <v>10</v>
      </c>
      <c r="T7" s="37">
        <f t="shared" si="0"/>
        <v>4510</v>
      </c>
      <c r="U7" s="37">
        <f t="shared" si="0"/>
        <v>4720</v>
      </c>
      <c r="V7" s="37">
        <f t="shared" si="0"/>
        <v>3520</v>
      </c>
      <c r="W7" s="37">
        <f t="shared" si="0"/>
        <v>2370</v>
      </c>
      <c r="X7" s="37">
        <f t="shared" si="0"/>
        <v>3890</v>
      </c>
      <c r="Y7" s="37">
        <f t="shared" si="0"/>
        <v>6040</v>
      </c>
      <c r="Z7" s="37">
        <f t="shared" si="0"/>
        <v>2480</v>
      </c>
      <c r="AA7" s="37">
        <f t="shared" si="0"/>
        <v>3190</v>
      </c>
      <c r="AB7" s="37">
        <f t="shared" si="0"/>
        <v>6640</v>
      </c>
      <c r="AC7" s="37">
        <f t="shared" si="0"/>
        <v>12610</v>
      </c>
      <c r="AD7" s="34">
        <f>SUM(Q7:AC7)</f>
        <v>52440</v>
      </c>
      <c r="AF7" s="20">
        <f t="shared" ref="AF7:AF36" si="1">Q7*$D$39</f>
        <v>2.75</v>
      </c>
      <c r="AG7" s="20">
        <f t="shared" ref="AG7:AG36" si="2">R7*$D$39</f>
        <v>9.5500000000000007</v>
      </c>
      <c r="AH7" s="20">
        <f t="shared" ref="AH7:AH36" si="3">S7*$D$39</f>
        <v>0.05</v>
      </c>
      <c r="AI7" s="20">
        <f t="shared" ref="AI7:AI36" si="4">T7*$D$39</f>
        <v>22.55</v>
      </c>
      <c r="AJ7" s="20">
        <f t="shared" ref="AJ7:AJ36" si="5">U7*$D$39</f>
        <v>23.6</v>
      </c>
      <c r="AK7" s="20">
        <f t="shared" ref="AK7:AK36" si="6">V7*$D$39</f>
        <v>17.600000000000001</v>
      </c>
      <c r="AL7" s="20">
        <f t="shared" ref="AL7:AL36" si="7">W7*$D$39</f>
        <v>11.85</v>
      </c>
      <c r="AM7" s="20">
        <f t="shared" ref="AM7:AM36" si="8">X7*$D$39</f>
        <v>19.45</v>
      </c>
      <c r="AN7" s="20">
        <f t="shared" ref="AN7:AN36" si="9">Y7*$D$39</f>
        <v>30.2</v>
      </c>
      <c r="AO7" s="20">
        <f t="shared" ref="AO7:AO36" si="10">Z7*$D$39</f>
        <v>12.4</v>
      </c>
      <c r="AP7" s="20">
        <f t="shared" ref="AP7:AP36" si="11">AA7*$D$39</f>
        <v>15.950000000000001</v>
      </c>
      <c r="AQ7" s="20">
        <f t="shared" ref="AQ7:AQ36" si="12">AB7*$D$39</f>
        <v>33.200000000000003</v>
      </c>
      <c r="AR7" s="20">
        <f t="shared" ref="AR7:AR36" si="13">AC7*$D$39</f>
        <v>63.050000000000004</v>
      </c>
      <c r="AS7" s="35">
        <f>SUM(AF7:AR7)</f>
        <v>262.2</v>
      </c>
      <c r="AU7" s="47">
        <v>331890</v>
      </c>
      <c r="AV7" s="37">
        <f>IF((AU7-AU6&lt;0),"0",AU7-AU6)</f>
        <v>1453</v>
      </c>
      <c r="AW7" s="50">
        <v>0</v>
      </c>
    </row>
    <row r="8" spans="1:49" x14ac:dyDescent="0.25">
      <c r="A8" s="23">
        <v>44167</v>
      </c>
      <c r="B8" s="40">
        <v>78</v>
      </c>
      <c r="C8" s="24">
        <v>6491350</v>
      </c>
      <c r="D8" s="24">
        <v>14979820</v>
      </c>
      <c r="E8" s="24">
        <v>2208720</v>
      </c>
      <c r="F8" s="24">
        <v>3160750</v>
      </c>
      <c r="G8" s="24">
        <v>9545560</v>
      </c>
      <c r="H8" s="24">
        <v>4914320</v>
      </c>
      <c r="I8" s="24">
        <v>4639720</v>
      </c>
      <c r="J8" s="24">
        <v>5272930</v>
      </c>
      <c r="K8" s="24">
        <v>8260720</v>
      </c>
      <c r="L8" s="24">
        <v>3366770</v>
      </c>
      <c r="M8" s="24">
        <v>7279940</v>
      </c>
      <c r="N8" s="24">
        <v>10758830</v>
      </c>
      <c r="O8" s="24">
        <v>14637950</v>
      </c>
      <c r="Q8" s="37">
        <f>IF((C8-C7&lt;0), "0",C8-C7)</f>
        <v>550</v>
      </c>
      <c r="R8" s="37">
        <f t="shared" ref="R8:AC8" si="14">IF((D8-D7&lt;0), "0",D8-D7)</f>
        <v>1890</v>
      </c>
      <c r="S8" s="37">
        <f t="shared" ref="S8:S35" si="15">IF((E8-E7&lt;0), "0",E8-E7)</f>
        <v>10</v>
      </c>
      <c r="T8" s="37">
        <f t="shared" si="14"/>
        <v>4570</v>
      </c>
      <c r="U8" s="37">
        <f t="shared" si="14"/>
        <v>5070</v>
      </c>
      <c r="V8" s="37">
        <f t="shared" si="14"/>
        <v>3490</v>
      </c>
      <c r="W8" s="37">
        <f t="shared" si="14"/>
        <v>2380</v>
      </c>
      <c r="X8" s="37">
        <f t="shared" si="14"/>
        <v>4030</v>
      </c>
      <c r="Y8" s="37">
        <f t="shared" si="14"/>
        <v>5980</v>
      </c>
      <c r="Z8" s="37">
        <f t="shared" si="14"/>
        <v>2530</v>
      </c>
      <c r="AA8" s="37">
        <f t="shared" si="14"/>
        <v>3160</v>
      </c>
      <c r="AB8" s="37">
        <f t="shared" si="14"/>
        <v>6570</v>
      </c>
      <c r="AC8" s="37">
        <f t="shared" si="14"/>
        <v>11170</v>
      </c>
      <c r="AD8" s="35">
        <f>SUM(Q8:AC8)</f>
        <v>51400</v>
      </c>
      <c r="AF8" s="20">
        <f t="shared" si="1"/>
        <v>2.75</v>
      </c>
      <c r="AG8" s="20">
        <f t="shared" si="2"/>
        <v>9.4500000000000011</v>
      </c>
      <c r="AH8" s="20">
        <f t="shared" si="3"/>
        <v>0.05</v>
      </c>
      <c r="AI8" s="20">
        <f t="shared" si="4"/>
        <v>22.85</v>
      </c>
      <c r="AJ8" s="20">
        <f t="shared" si="5"/>
        <v>25.35</v>
      </c>
      <c r="AK8" s="20">
        <f t="shared" si="6"/>
        <v>17.45</v>
      </c>
      <c r="AL8" s="20">
        <f t="shared" si="7"/>
        <v>11.9</v>
      </c>
      <c r="AM8" s="20">
        <f t="shared" si="8"/>
        <v>20.150000000000002</v>
      </c>
      <c r="AN8" s="20">
        <f t="shared" si="9"/>
        <v>29.900000000000002</v>
      </c>
      <c r="AO8" s="20">
        <f t="shared" si="10"/>
        <v>12.65</v>
      </c>
      <c r="AP8" s="20">
        <f t="shared" si="11"/>
        <v>15.8</v>
      </c>
      <c r="AQ8" s="20">
        <f t="shared" si="12"/>
        <v>32.85</v>
      </c>
      <c r="AR8" s="20">
        <f t="shared" si="13"/>
        <v>55.85</v>
      </c>
      <c r="AS8" s="35">
        <f>SUM(AF8:AR8)</f>
        <v>257.00000000000006</v>
      </c>
      <c r="AU8" s="47">
        <v>333450</v>
      </c>
      <c r="AV8" s="37">
        <f>IF((AU8-AU7&lt;0),"0",AU8-AU7)</f>
        <v>1560</v>
      </c>
      <c r="AW8" s="35">
        <v>0</v>
      </c>
    </row>
    <row r="9" spans="1:49" x14ac:dyDescent="0.25">
      <c r="A9" s="23">
        <v>44168</v>
      </c>
      <c r="B9" s="40">
        <v>110</v>
      </c>
      <c r="C9" s="24">
        <v>6491910</v>
      </c>
      <c r="D9" s="24">
        <v>14981750</v>
      </c>
      <c r="E9" s="24">
        <v>2208750</v>
      </c>
      <c r="F9" s="24">
        <v>3165780</v>
      </c>
      <c r="G9" s="24">
        <v>9550530</v>
      </c>
      <c r="H9" s="24">
        <v>4917840</v>
      </c>
      <c r="I9" s="24">
        <v>4642150</v>
      </c>
      <c r="J9" s="24">
        <v>5276770</v>
      </c>
      <c r="K9" s="24">
        <v>8267070</v>
      </c>
      <c r="L9" s="24">
        <v>3369470</v>
      </c>
      <c r="M9" s="24">
        <v>7283260</v>
      </c>
      <c r="N9" s="24">
        <v>10766100</v>
      </c>
      <c r="O9" s="24">
        <v>14649480</v>
      </c>
      <c r="Q9" s="37">
        <f t="shared" ref="Q9:Q30" si="16">IF((C9-C8&lt;0), "0",C9-C8)</f>
        <v>560</v>
      </c>
      <c r="R9" s="37">
        <f t="shared" ref="R9:R35" si="17">IF((D9-D8&lt;0), "0",D9-D8)</f>
        <v>1930</v>
      </c>
      <c r="S9" s="37">
        <f t="shared" si="15"/>
        <v>30</v>
      </c>
      <c r="T9" s="37">
        <f t="shared" ref="T9:T35" si="18">IF((F9-F8&lt;0), "0",F9-F8)</f>
        <v>5030</v>
      </c>
      <c r="U9" s="37">
        <f t="shared" ref="U9:U35" si="19">IF((G9-G8&lt;0), "0",G9-G8)</f>
        <v>4970</v>
      </c>
      <c r="V9" s="37">
        <f t="shared" ref="V9:V35" si="20">IF((H9-H8&lt;0), "0",H9-H8)</f>
        <v>3520</v>
      </c>
      <c r="W9" s="37">
        <f t="shared" ref="W9:W35" si="21">IF((I9-I8&lt;0), "0",I9-I8)</f>
        <v>2430</v>
      </c>
      <c r="X9" s="37">
        <f t="shared" ref="X9:X35" si="22">IF((J9-J8&lt;0), "0",J9-J8)</f>
        <v>3840</v>
      </c>
      <c r="Y9" s="37">
        <f t="shared" ref="Y9:Y35" si="23">IF((K9-K8&lt;0), "0",K9-K8)</f>
        <v>6350</v>
      </c>
      <c r="Z9" s="37">
        <f t="shared" ref="Z9:Z35" si="24">IF((L9-L8&lt;0), "0",L9-L8)</f>
        <v>2700</v>
      </c>
      <c r="AA9" s="37">
        <f t="shared" ref="AA9:AA35" si="25">IF((M9-M8&lt;0), "0",M9-M8)</f>
        <v>3320</v>
      </c>
      <c r="AB9" s="37">
        <f t="shared" ref="AB9:AB37" si="26">IF((N9-N8&lt;0), "0",N9-N8)</f>
        <v>7270</v>
      </c>
      <c r="AC9" s="37">
        <f t="shared" ref="AC9:AC37" si="27">IF((O9-O8&lt;0), "0",O9-O8)</f>
        <v>11530</v>
      </c>
      <c r="AD9" s="35">
        <f t="shared" ref="AD9:AD37" si="28">SUM(Q9:AC9)</f>
        <v>53480</v>
      </c>
      <c r="AF9" s="20">
        <f t="shared" si="1"/>
        <v>2.8000000000000003</v>
      </c>
      <c r="AG9" s="20">
        <f t="shared" si="2"/>
        <v>9.65</v>
      </c>
      <c r="AH9" s="20">
        <f t="shared" si="3"/>
        <v>0.15</v>
      </c>
      <c r="AI9" s="20">
        <f t="shared" si="4"/>
        <v>25.150000000000002</v>
      </c>
      <c r="AJ9" s="20">
        <f t="shared" si="5"/>
        <v>24.85</v>
      </c>
      <c r="AK9" s="20">
        <f t="shared" si="6"/>
        <v>17.600000000000001</v>
      </c>
      <c r="AL9" s="20">
        <f t="shared" si="7"/>
        <v>12.15</v>
      </c>
      <c r="AM9" s="20">
        <f t="shared" si="8"/>
        <v>19.2</v>
      </c>
      <c r="AN9" s="20">
        <f t="shared" si="9"/>
        <v>31.75</v>
      </c>
      <c r="AO9" s="20">
        <f t="shared" si="10"/>
        <v>13.5</v>
      </c>
      <c r="AP9" s="20">
        <f t="shared" si="11"/>
        <v>16.600000000000001</v>
      </c>
      <c r="AQ9" s="20">
        <f t="shared" si="12"/>
        <v>36.35</v>
      </c>
      <c r="AR9" s="20">
        <f t="shared" si="13"/>
        <v>57.65</v>
      </c>
      <c r="AS9" s="35">
        <f t="shared" ref="AS9:AS33" si="29">SUM(AF9:AR9)</f>
        <v>267.39999999999998</v>
      </c>
      <c r="AU9" s="47">
        <v>335162</v>
      </c>
      <c r="AV9" s="37">
        <f>IF((AU9-AU8&lt;0),"0",AU9-AU8)</f>
        <v>1712</v>
      </c>
      <c r="AW9" s="35">
        <f t="shared" ref="AW9:AW35" si="30">AV9*$D$40</f>
        <v>3.4239999999999999</v>
      </c>
    </row>
    <row r="10" spans="1:49" x14ac:dyDescent="0.25">
      <c r="A10" s="23">
        <v>44169</v>
      </c>
      <c r="B10" s="40">
        <v>141</v>
      </c>
      <c r="C10" s="24">
        <v>6492430</v>
      </c>
      <c r="D10" s="24">
        <v>14983560</v>
      </c>
      <c r="E10" s="24">
        <v>2208780</v>
      </c>
      <c r="F10" s="24">
        <v>3170500</v>
      </c>
      <c r="G10" s="24">
        <v>9555460</v>
      </c>
      <c r="H10" s="24">
        <v>4921240</v>
      </c>
      <c r="I10" s="24">
        <v>4644390</v>
      </c>
      <c r="J10" s="24">
        <v>5280450</v>
      </c>
      <c r="K10" s="24">
        <v>8273080</v>
      </c>
      <c r="L10" s="24">
        <v>3372110</v>
      </c>
      <c r="M10" s="24">
        <v>7286830</v>
      </c>
      <c r="N10" s="24">
        <v>10773270</v>
      </c>
      <c r="O10" s="24">
        <v>14658690</v>
      </c>
      <c r="Q10" s="37">
        <f t="shared" si="16"/>
        <v>520</v>
      </c>
      <c r="R10" s="37">
        <f t="shared" si="17"/>
        <v>1810</v>
      </c>
      <c r="S10" s="37">
        <f t="shared" si="15"/>
        <v>30</v>
      </c>
      <c r="T10" s="37">
        <f t="shared" si="18"/>
        <v>4720</v>
      </c>
      <c r="U10" s="37">
        <f t="shared" si="19"/>
        <v>4930</v>
      </c>
      <c r="V10" s="37">
        <f t="shared" si="20"/>
        <v>3400</v>
      </c>
      <c r="W10" s="37">
        <f t="shared" si="21"/>
        <v>2240</v>
      </c>
      <c r="X10" s="37">
        <f t="shared" si="22"/>
        <v>3680</v>
      </c>
      <c r="Y10" s="37">
        <f t="shared" si="23"/>
        <v>6010</v>
      </c>
      <c r="Z10" s="37">
        <f t="shared" si="24"/>
        <v>2640</v>
      </c>
      <c r="AA10" s="37">
        <f t="shared" si="25"/>
        <v>3570</v>
      </c>
      <c r="AB10" s="37">
        <f t="shared" si="26"/>
        <v>7170</v>
      </c>
      <c r="AC10" s="37">
        <f t="shared" si="27"/>
        <v>9210</v>
      </c>
      <c r="AD10" s="35">
        <f t="shared" si="28"/>
        <v>49930</v>
      </c>
      <c r="AF10" s="20">
        <f t="shared" si="1"/>
        <v>2.6</v>
      </c>
      <c r="AG10" s="20">
        <f t="shared" si="2"/>
        <v>9.0500000000000007</v>
      </c>
      <c r="AH10" s="20">
        <f t="shared" si="3"/>
        <v>0.15</v>
      </c>
      <c r="AI10" s="20">
        <f t="shared" si="4"/>
        <v>23.6</v>
      </c>
      <c r="AJ10" s="20">
        <f t="shared" si="5"/>
        <v>24.650000000000002</v>
      </c>
      <c r="AK10" s="20">
        <f t="shared" si="6"/>
        <v>17</v>
      </c>
      <c r="AL10" s="20">
        <f t="shared" si="7"/>
        <v>11.200000000000001</v>
      </c>
      <c r="AM10" s="20">
        <f t="shared" si="8"/>
        <v>18.400000000000002</v>
      </c>
      <c r="AN10" s="20">
        <f t="shared" si="9"/>
        <v>30.05</v>
      </c>
      <c r="AO10" s="20">
        <f t="shared" si="10"/>
        <v>13.200000000000001</v>
      </c>
      <c r="AP10" s="20">
        <f t="shared" si="11"/>
        <v>17.850000000000001</v>
      </c>
      <c r="AQ10" s="20">
        <f t="shared" si="12"/>
        <v>35.85</v>
      </c>
      <c r="AR10" s="20">
        <f t="shared" si="13"/>
        <v>46.050000000000004</v>
      </c>
      <c r="AS10" s="35">
        <f t="shared" si="29"/>
        <v>249.65</v>
      </c>
      <c r="AU10" s="47">
        <v>336795</v>
      </c>
      <c r="AV10" s="37">
        <f t="shared" ref="AV10:AV26" si="31">IF((AU10-AU9&lt;0),"0",AU10-AU9)</f>
        <v>1633</v>
      </c>
      <c r="AW10" s="35">
        <f t="shared" si="30"/>
        <v>3.266</v>
      </c>
    </row>
    <row r="11" spans="1:49" x14ac:dyDescent="0.25">
      <c r="A11" s="23">
        <v>44170</v>
      </c>
      <c r="B11" s="40">
        <v>51</v>
      </c>
      <c r="C11" s="24">
        <v>6493010</v>
      </c>
      <c r="D11" s="24">
        <v>14985540</v>
      </c>
      <c r="E11" s="24">
        <v>2208810</v>
      </c>
      <c r="F11" s="24">
        <v>3175680</v>
      </c>
      <c r="G11" s="24">
        <v>9560800</v>
      </c>
      <c r="H11" s="24">
        <v>4924890</v>
      </c>
      <c r="I11" s="24">
        <v>4646850</v>
      </c>
      <c r="J11" s="24">
        <v>5284420</v>
      </c>
      <c r="K11" s="24">
        <v>8279550</v>
      </c>
      <c r="L11" s="24">
        <v>3374820</v>
      </c>
      <c r="M11" s="24">
        <v>7290560</v>
      </c>
      <c r="N11" s="24">
        <v>10780880</v>
      </c>
      <c r="O11" s="24">
        <v>14669230</v>
      </c>
      <c r="Q11" s="37">
        <f t="shared" si="16"/>
        <v>580</v>
      </c>
      <c r="R11" s="37">
        <f t="shared" si="17"/>
        <v>1980</v>
      </c>
      <c r="S11" s="37">
        <f t="shared" si="15"/>
        <v>30</v>
      </c>
      <c r="T11" s="37">
        <f t="shared" si="18"/>
        <v>5180</v>
      </c>
      <c r="U11" s="37">
        <f t="shared" si="19"/>
        <v>5340</v>
      </c>
      <c r="V11" s="37">
        <f t="shared" si="20"/>
        <v>3650</v>
      </c>
      <c r="W11" s="37">
        <f t="shared" si="21"/>
        <v>2460</v>
      </c>
      <c r="X11" s="37">
        <f t="shared" si="22"/>
        <v>3970</v>
      </c>
      <c r="Y11" s="37">
        <f t="shared" si="23"/>
        <v>6470</v>
      </c>
      <c r="Z11" s="37">
        <f t="shared" si="24"/>
        <v>2710</v>
      </c>
      <c r="AA11" s="37">
        <f t="shared" si="25"/>
        <v>3730</v>
      </c>
      <c r="AB11" s="37">
        <f t="shared" si="26"/>
        <v>7610</v>
      </c>
      <c r="AC11" s="37">
        <f t="shared" si="27"/>
        <v>10540</v>
      </c>
      <c r="AD11" s="35">
        <f t="shared" si="28"/>
        <v>54250</v>
      </c>
      <c r="AF11" s="20">
        <f t="shared" si="1"/>
        <v>2.9</v>
      </c>
      <c r="AG11" s="20">
        <f t="shared" si="2"/>
        <v>9.9</v>
      </c>
      <c r="AH11" s="20">
        <f t="shared" si="3"/>
        <v>0.15</v>
      </c>
      <c r="AI11" s="20">
        <f t="shared" si="4"/>
        <v>25.900000000000002</v>
      </c>
      <c r="AJ11" s="20">
        <f t="shared" si="5"/>
        <v>26.7</v>
      </c>
      <c r="AK11" s="20">
        <f t="shared" si="6"/>
        <v>18.25</v>
      </c>
      <c r="AL11" s="20">
        <f t="shared" si="7"/>
        <v>12.3</v>
      </c>
      <c r="AM11" s="20">
        <f t="shared" si="8"/>
        <v>19.850000000000001</v>
      </c>
      <c r="AN11" s="20">
        <f t="shared" si="9"/>
        <v>32.35</v>
      </c>
      <c r="AO11" s="20">
        <f t="shared" si="10"/>
        <v>13.55</v>
      </c>
      <c r="AP11" s="20">
        <f t="shared" si="11"/>
        <v>18.650000000000002</v>
      </c>
      <c r="AQ11" s="20">
        <f t="shared" si="12"/>
        <v>38.050000000000004</v>
      </c>
      <c r="AR11" s="20">
        <f t="shared" si="13"/>
        <v>52.7</v>
      </c>
      <c r="AS11" s="35">
        <f t="shared" si="29"/>
        <v>271.25</v>
      </c>
      <c r="AU11" s="47">
        <v>338428</v>
      </c>
      <c r="AV11" s="37">
        <f t="shared" si="31"/>
        <v>1633</v>
      </c>
      <c r="AW11" s="35">
        <f t="shared" si="30"/>
        <v>3.266</v>
      </c>
    </row>
    <row r="12" spans="1:49" x14ac:dyDescent="0.25">
      <c r="A12" s="23">
        <v>44171</v>
      </c>
      <c r="B12" s="40">
        <v>62</v>
      </c>
      <c r="C12" s="49">
        <v>6493560</v>
      </c>
      <c r="D12" s="24">
        <v>14987440</v>
      </c>
      <c r="E12" s="24">
        <v>2208820</v>
      </c>
      <c r="F12" s="24">
        <v>3180310</v>
      </c>
      <c r="G12" s="24">
        <v>9565530</v>
      </c>
      <c r="H12" s="24">
        <v>4928200</v>
      </c>
      <c r="I12" s="24">
        <v>4649250</v>
      </c>
      <c r="J12" s="24">
        <v>5287920</v>
      </c>
      <c r="K12" s="24">
        <v>8285410</v>
      </c>
      <c r="L12" s="24">
        <v>3377200</v>
      </c>
      <c r="M12" s="24">
        <v>7293820</v>
      </c>
      <c r="N12" s="24">
        <v>10788030</v>
      </c>
      <c r="O12" s="24">
        <v>14679660</v>
      </c>
      <c r="Q12" s="37">
        <f t="shared" si="16"/>
        <v>550</v>
      </c>
      <c r="R12" s="37">
        <f t="shared" si="17"/>
        <v>1900</v>
      </c>
      <c r="S12" s="37">
        <f t="shared" si="15"/>
        <v>10</v>
      </c>
      <c r="T12" s="37">
        <f t="shared" ref="T12:W14" si="32">IF((F12-F11&lt;0), "0",F12-F11)</f>
        <v>4630</v>
      </c>
      <c r="U12" s="37">
        <f t="shared" si="32"/>
        <v>4730</v>
      </c>
      <c r="V12" s="37">
        <f t="shared" si="32"/>
        <v>3310</v>
      </c>
      <c r="W12" s="37">
        <f t="shared" si="32"/>
        <v>2400</v>
      </c>
      <c r="X12" s="37">
        <f t="shared" si="22"/>
        <v>3500</v>
      </c>
      <c r="Y12" s="37">
        <f t="shared" si="23"/>
        <v>5860</v>
      </c>
      <c r="Z12" s="37">
        <f>IF((L12-L11&lt;0), "0",L12-L11)</f>
        <v>2380</v>
      </c>
      <c r="AA12" s="37">
        <f t="shared" si="25"/>
        <v>3260</v>
      </c>
      <c r="AB12" s="37">
        <f t="shared" si="26"/>
        <v>7150</v>
      </c>
      <c r="AC12" s="37">
        <f t="shared" si="27"/>
        <v>10430</v>
      </c>
      <c r="AD12" s="35">
        <f t="shared" si="28"/>
        <v>50110</v>
      </c>
      <c r="AF12" s="20">
        <f t="shared" si="1"/>
        <v>2.75</v>
      </c>
      <c r="AG12" s="20">
        <f t="shared" si="2"/>
        <v>9.5</v>
      </c>
      <c r="AH12" s="20">
        <f t="shared" si="3"/>
        <v>0.05</v>
      </c>
      <c r="AI12" s="20">
        <f t="shared" si="4"/>
        <v>23.150000000000002</v>
      </c>
      <c r="AJ12" s="20">
        <f t="shared" si="5"/>
        <v>23.650000000000002</v>
      </c>
      <c r="AK12" s="20">
        <f t="shared" si="6"/>
        <v>16.55</v>
      </c>
      <c r="AL12" s="20">
        <f t="shared" si="7"/>
        <v>12</v>
      </c>
      <c r="AM12" s="20">
        <f t="shared" si="8"/>
        <v>17.5</v>
      </c>
      <c r="AN12" s="20">
        <f t="shared" si="9"/>
        <v>29.3</v>
      </c>
      <c r="AO12" s="20">
        <f t="shared" si="10"/>
        <v>11.9</v>
      </c>
      <c r="AP12" s="20">
        <f t="shared" si="11"/>
        <v>16.3</v>
      </c>
      <c r="AQ12" s="20">
        <f t="shared" si="12"/>
        <v>35.75</v>
      </c>
      <c r="AR12" s="20">
        <f t="shared" si="13"/>
        <v>52.15</v>
      </c>
      <c r="AS12" s="35">
        <f t="shared" si="29"/>
        <v>250.55000000000004</v>
      </c>
      <c r="AU12" s="47">
        <v>340110</v>
      </c>
      <c r="AV12" s="37">
        <f t="shared" si="31"/>
        <v>1682</v>
      </c>
      <c r="AW12" s="35">
        <f t="shared" si="30"/>
        <v>3.3639999999999999</v>
      </c>
    </row>
    <row r="13" spans="1:49" x14ac:dyDescent="0.25">
      <c r="A13" s="23">
        <v>44172</v>
      </c>
      <c r="B13" s="40">
        <v>71</v>
      </c>
      <c r="C13" s="24">
        <v>6494120</v>
      </c>
      <c r="D13" s="24">
        <v>14989340</v>
      </c>
      <c r="E13" s="24">
        <v>2208820</v>
      </c>
      <c r="F13" s="24">
        <v>3184640</v>
      </c>
      <c r="G13" s="24">
        <v>9570100</v>
      </c>
      <c r="H13" s="24">
        <v>4931710</v>
      </c>
      <c r="I13" s="24">
        <v>4651670</v>
      </c>
      <c r="J13" s="24">
        <v>5291880</v>
      </c>
      <c r="K13" s="24">
        <v>8291360</v>
      </c>
      <c r="L13" s="24">
        <v>3379600</v>
      </c>
      <c r="M13" s="24">
        <v>7296780</v>
      </c>
      <c r="N13" s="24">
        <v>10795400</v>
      </c>
      <c r="O13" s="24">
        <v>14690210</v>
      </c>
      <c r="Q13" s="37">
        <f t="shared" si="16"/>
        <v>560</v>
      </c>
      <c r="R13" s="37">
        <f t="shared" si="17"/>
        <v>1900</v>
      </c>
      <c r="S13" s="37">
        <f t="shared" si="15"/>
        <v>0</v>
      </c>
      <c r="T13" s="37">
        <f t="shared" si="32"/>
        <v>4330</v>
      </c>
      <c r="U13" s="37">
        <f t="shared" si="32"/>
        <v>4570</v>
      </c>
      <c r="V13" s="37">
        <f t="shared" si="32"/>
        <v>3510</v>
      </c>
      <c r="W13" s="37">
        <f t="shared" si="32"/>
        <v>2420</v>
      </c>
      <c r="X13" s="37">
        <f t="shared" si="22"/>
        <v>3960</v>
      </c>
      <c r="Y13" s="37">
        <f t="shared" si="23"/>
        <v>5950</v>
      </c>
      <c r="Z13" s="37">
        <f>IF((L13-L12&lt;0), "0",L13-L12)</f>
        <v>2400</v>
      </c>
      <c r="AA13" s="37">
        <f t="shared" si="25"/>
        <v>2960</v>
      </c>
      <c r="AB13" s="37">
        <f t="shared" si="26"/>
        <v>7370</v>
      </c>
      <c r="AC13" s="37">
        <f t="shared" si="27"/>
        <v>10550</v>
      </c>
      <c r="AD13" s="35">
        <f t="shared" si="28"/>
        <v>50480</v>
      </c>
      <c r="AF13" s="20">
        <f t="shared" si="1"/>
        <v>2.8000000000000003</v>
      </c>
      <c r="AG13" s="20">
        <f t="shared" si="2"/>
        <v>9.5</v>
      </c>
      <c r="AH13" s="20">
        <f t="shared" si="3"/>
        <v>0</v>
      </c>
      <c r="AI13" s="20">
        <f t="shared" si="4"/>
        <v>21.650000000000002</v>
      </c>
      <c r="AJ13" s="20">
        <f t="shared" si="5"/>
        <v>22.85</v>
      </c>
      <c r="AK13" s="20">
        <f t="shared" si="6"/>
        <v>17.55</v>
      </c>
      <c r="AL13" s="20">
        <f t="shared" si="7"/>
        <v>12.1</v>
      </c>
      <c r="AM13" s="20">
        <f t="shared" si="8"/>
        <v>19.8</v>
      </c>
      <c r="AN13" s="20">
        <f t="shared" si="9"/>
        <v>29.75</v>
      </c>
      <c r="AO13" s="20">
        <f t="shared" si="10"/>
        <v>12</v>
      </c>
      <c r="AP13" s="20">
        <f t="shared" si="11"/>
        <v>14.8</v>
      </c>
      <c r="AQ13" s="20">
        <f t="shared" si="12"/>
        <v>36.85</v>
      </c>
      <c r="AR13" s="20">
        <f t="shared" si="13"/>
        <v>52.75</v>
      </c>
      <c r="AS13" s="35">
        <f t="shared" si="29"/>
        <v>252.4</v>
      </c>
      <c r="AU13" s="47">
        <v>341300</v>
      </c>
      <c r="AV13" s="37">
        <f t="shared" si="31"/>
        <v>1190</v>
      </c>
      <c r="AW13" s="35">
        <f t="shared" si="30"/>
        <v>2.38</v>
      </c>
    </row>
    <row r="14" spans="1:49" x14ac:dyDescent="0.25">
      <c r="A14" s="23">
        <v>44173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 t="str">
        <f t="shared" si="16"/>
        <v>0</v>
      </c>
      <c r="R14" s="37" t="str">
        <f t="shared" si="17"/>
        <v>0</v>
      </c>
      <c r="S14" s="37" t="str">
        <f t="shared" si="15"/>
        <v>0</v>
      </c>
      <c r="T14" s="37" t="str">
        <f t="shared" si="32"/>
        <v>0</v>
      </c>
      <c r="U14" s="37" t="str">
        <f t="shared" si="32"/>
        <v>0</v>
      </c>
      <c r="V14" s="37" t="str">
        <f t="shared" si="32"/>
        <v>0</v>
      </c>
      <c r="W14" s="37" t="str">
        <f t="shared" si="32"/>
        <v>0</v>
      </c>
      <c r="X14" s="37" t="str">
        <f t="shared" si="22"/>
        <v>0</v>
      </c>
      <c r="Y14" s="37" t="str">
        <f t="shared" si="23"/>
        <v>0</v>
      </c>
      <c r="Z14" s="37" t="str">
        <f>IF((L14-L13&lt;0), "0",L14-L13)</f>
        <v>0</v>
      </c>
      <c r="AA14" s="37" t="str">
        <f t="shared" si="25"/>
        <v>0</v>
      </c>
      <c r="AB14" s="37" t="str">
        <f t="shared" si="26"/>
        <v>0</v>
      </c>
      <c r="AC14" s="37" t="str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 t="str">
        <f t="shared" si="31"/>
        <v>0</v>
      </c>
      <c r="AW14" s="35">
        <f t="shared" si="30"/>
        <v>0</v>
      </c>
    </row>
    <row r="15" spans="1:49" x14ac:dyDescent="0.25">
      <c r="A15" s="23">
        <v>44174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44175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44176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44177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44178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44179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44180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44181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44182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44183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44184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44185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44186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44187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44188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44189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44190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44191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44192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44193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44194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44195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44196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3870</v>
      </c>
      <c r="R38" s="30">
        <f t="shared" si="62"/>
        <v>13320</v>
      </c>
      <c r="S38" s="30">
        <f t="shared" si="62"/>
        <v>120</v>
      </c>
      <c r="T38" s="30">
        <f t="shared" si="62"/>
        <v>32970</v>
      </c>
      <c r="U38" s="30">
        <f t="shared" si="62"/>
        <v>34330</v>
      </c>
      <c r="V38" s="30">
        <f t="shared" si="62"/>
        <v>24400</v>
      </c>
      <c r="W38" s="30">
        <f t="shared" si="62"/>
        <v>16700</v>
      </c>
      <c r="X38" s="30">
        <f t="shared" si="62"/>
        <v>26870</v>
      </c>
      <c r="Y38" s="30">
        <f t="shared" si="62"/>
        <v>42660</v>
      </c>
      <c r="Z38" s="30">
        <f t="shared" si="62"/>
        <v>17840</v>
      </c>
      <c r="AA38" s="30">
        <f t="shared" si="62"/>
        <v>23190</v>
      </c>
      <c r="AB38" s="30">
        <f t="shared" si="62"/>
        <v>49780</v>
      </c>
      <c r="AC38" s="30">
        <f t="shared" si="62"/>
        <v>76040</v>
      </c>
      <c r="AD38" s="35">
        <f t="shared" si="62"/>
        <v>362090</v>
      </c>
      <c r="AF38" s="35">
        <f t="shared" ref="AF38:AS38" si="63">SUM(AF7:AF34)</f>
        <v>19.350000000000001</v>
      </c>
      <c r="AG38" s="35">
        <f t="shared" si="63"/>
        <v>66.599999999999994</v>
      </c>
      <c r="AH38" s="35">
        <f t="shared" si="63"/>
        <v>0.60000000000000009</v>
      </c>
      <c r="AI38" s="35">
        <f t="shared" si="63"/>
        <v>164.85000000000002</v>
      </c>
      <c r="AJ38" s="35">
        <f t="shared" si="63"/>
        <v>171.65</v>
      </c>
      <c r="AK38" s="35">
        <f t="shared" si="63"/>
        <v>122</v>
      </c>
      <c r="AL38" s="35">
        <f t="shared" si="63"/>
        <v>83.5</v>
      </c>
      <c r="AM38" s="35">
        <f t="shared" si="63"/>
        <v>134.35000000000002</v>
      </c>
      <c r="AN38" s="35">
        <f t="shared" si="63"/>
        <v>213.3</v>
      </c>
      <c r="AO38" s="35">
        <f t="shared" si="63"/>
        <v>89.2</v>
      </c>
      <c r="AP38" s="35">
        <f t="shared" si="63"/>
        <v>115.95</v>
      </c>
      <c r="AQ38" s="35">
        <f t="shared" si="63"/>
        <v>248.9</v>
      </c>
      <c r="AR38" s="35">
        <f t="shared" si="63"/>
        <v>380.2</v>
      </c>
      <c r="AS38" s="35">
        <f t="shared" si="63"/>
        <v>1810.45</v>
      </c>
      <c r="AU38" s="48"/>
      <c r="AV38" s="35">
        <f>SUM(AV7:AV34)</f>
        <v>10863</v>
      </c>
      <c r="AW38" s="35">
        <f>SUM(AW7:AW34)</f>
        <v>15.7</v>
      </c>
    </row>
    <row r="39" spans="1:49" x14ac:dyDescent="0.25">
      <c r="D39">
        <v>5.0000000000000001E-3</v>
      </c>
      <c r="AV39" s="36">
        <f>AV38*0.00378541*1000</f>
        <v>41120.90883</v>
      </c>
    </row>
    <row r="40" spans="1:49" x14ac:dyDescent="0.25">
      <c r="D40">
        <v>2E-3</v>
      </c>
      <c r="AV40">
        <f>AV39/31</f>
        <v>1326.4809299999999</v>
      </c>
    </row>
    <row r="41" spans="1:49" x14ac:dyDescent="0.25">
      <c r="AV41">
        <f>AV38*0.00378541</f>
        <v>41.120908829999998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2020-12-08T05:43:17Z</dcterms:modified>
</cp:coreProperties>
</file>