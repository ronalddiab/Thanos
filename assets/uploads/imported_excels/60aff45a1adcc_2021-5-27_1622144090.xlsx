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22" i="7" l="1"/>
  <c r="CQ22" i="7" l="1"/>
  <c r="X17" i="7" l="1"/>
  <c r="AT16" i="7" l="1"/>
  <c r="AZ13" i="7" l="1"/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<sst xmlns="http://schemas.openxmlformats.org/spreadsheetml/2006/main" count="315" uniqueCount="148">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</sst>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7"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31.135499999999997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8520.0000000000309</v>
      </c>
      <c r="F11" s="11">
        <f t="shared" si="1"/>
        <v>0.58765030286592534</v>
      </c>
      <c r="G11" s="12">
        <f>(Submetering!AX11+Submetering!AY11+Submetering!AZ11+Submetering!BA11+Submetering!BB11)</f>
        <v>49.450499999999991</v>
      </c>
      <c r="H11" s="11">
        <f t="shared" si="2"/>
        <v>0.99</v>
      </c>
      <c r="I11" s="12">
        <f>'FS Desroches Daily'!CM13</f>
        <v>55</v>
      </c>
      <c r="J11" s="11">
        <f t="shared" si="3"/>
        <v>10.487297712684205</v>
      </c>
      <c r="K11" s="13">
        <f>'FS Desroches Daily'!CN13</f>
        <v>10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8619.9999999996217</v>
      </c>
      <c r="F12" s="11">
        <f t="shared" si="1"/>
        <v>0.58765030286592534</v>
      </c>
      <c r="G12" s="12">
        <f>(Submetering!AX12+Submetering!AY12+Submetering!AZ12+Submetering!BA12+Submetering!BB12)</f>
        <v>38.461500000000001</v>
      </c>
      <c r="H12" s="11">
        <f t="shared" si="2"/>
        <v>0.99</v>
      </c>
      <c r="I12" s="12">
        <f>'FS Desroches Daily'!CM14</f>
        <v>50</v>
      </c>
      <c r="J12" s="11">
        <f t="shared" si="3"/>
        <v>10.487297712684205</v>
      </c>
      <c r="K12" s="13">
        <f>'FS Desroches Daily'!CN14</f>
        <v>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8490.0000000001965</v>
      </c>
      <c r="F13" s="11">
        <f t="shared" si="1"/>
        <v>0.58765030286592534</v>
      </c>
      <c r="G13" s="12">
        <f>(Submetering!AX13+Submetering!AY13+Submetering!AZ13+Submetering!BA13+Submetering!BB13)</f>
        <v>25.640999999999998</v>
      </c>
      <c r="H13" s="11">
        <f t="shared" si="2"/>
        <v>0.99</v>
      </c>
      <c r="I13" s="12">
        <f>'FS Desroches Daily'!CM15</f>
        <v>58</v>
      </c>
      <c r="J13" s="11">
        <f t="shared" si="3"/>
        <v>10.487297712684205</v>
      </c>
      <c r="K13" s="13">
        <f>'FS Desroches Daily'!CN15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8380.0000000001128</v>
      </c>
      <c r="F14" s="11">
        <f t="shared" si="1"/>
        <v>0.58765030286592534</v>
      </c>
      <c r="G14" s="12">
        <f>(Submetering!AX14+Submetering!AY14+Submetering!AZ14+Submetering!BA14+Submetering!BB14)</f>
        <v>18.314999999999998</v>
      </c>
      <c r="H14" s="11">
        <f t="shared" si="2"/>
        <v>0.99</v>
      </c>
      <c r="I14" s="12">
        <f>'FS Desroches Daily'!CM16</f>
        <v>58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9680.0000000000255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59</v>
      </c>
      <c r="J15" s="11">
        <f t="shared" si="3"/>
        <v>10.487297712684205</v>
      </c>
      <c r="K15" s="13">
        <f>'FS Desroches Daily'!CN17</f>
        <v>10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9360.0000000002092</v>
      </c>
      <c r="F16" s="11">
        <f t="shared" si="1"/>
        <v>0.58765030286592534</v>
      </c>
      <c r="G16" s="12">
        <f>(Submetering!AX16+Submetering!AY16+Submetering!AZ16+Submetering!BA16+Submetering!BB16)</f>
        <v>23.8095</v>
      </c>
      <c r="H16" s="11">
        <f t="shared" si="2"/>
        <v>0.99</v>
      </c>
      <c r="I16" s="12">
        <f>'FS Desroches Daily'!CM18</f>
        <v>62</v>
      </c>
      <c r="J16" s="11">
        <f t="shared" si="3"/>
        <v>10.487297712684205</v>
      </c>
      <c r="K16" s="13">
        <f>'FS Desroches Daily'!CN18</f>
        <v>8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9699.9999999996962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49</v>
      </c>
      <c r="J17" s="11">
        <f t="shared" si="3"/>
        <v>10.487297712684205</v>
      </c>
      <c r="K17" s="13">
        <f>'FS Desroches Daily'!CN19</f>
        <v>8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9080.0000000000364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73</v>
      </c>
      <c r="J18" s="11">
        <f t="shared" si="3"/>
        <v>10.487297712684205</v>
      </c>
      <c r="K18" s="13">
        <f>'FS Desroches Daily'!CN20</f>
        <v>9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8759.9999999999345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178</v>
      </c>
      <c r="J19" s="11">
        <f t="shared" si="3"/>
        <v>10.487297712684205</v>
      </c>
      <c r="K19" s="13">
        <f>'FS Desroches Daily'!CN21</f>
        <v>9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8800.0000000002874</v>
      </c>
      <c r="F20" s="11">
        <f t="shared" si="1"/>
        <v>0.58765030286592534</v>
      </c>
      <c r="G20" s="12">
        <f>(Submetering!AX20+Submetering!AY20+Submetering!AZ20+Submetering!BA20+Submetering!BB20)</f>
        <v>20.146499999999996</v>
      </c>
      <c r="H20" s="11">
        <f t="shared" si="2"/>
        <v>0.99</v>
      </c>
      <c r="I20" s="12">
        <f>'FS Desroches Daily'!CM22</f>
        <v>69</v>
      </c>
      <c r="J20" s="11">
        <f t="shared" si="3"/>
        <v>10.487297712684205</v>
      </c>
      <c r="K20" s="13">
        <f>'FS Desroches Daily'!CN22</f>
        <v>13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9139.9999999997399</v>
      </c>
      <c r="F21" s="11">
        <f t="shared" si="1"/>
        <v>0.58765030286592534</v>
      </c>
      <c r="G21" s="12">
        <f>(Submetering!AX21+Submetering!AY21+Submetering!AZ21+Submetering!BA21+Submetering!BB21)</f>
        <v>27.472499999999997</v>
      </c>
      <c r="H21" s="11">
        <f t="shared" si="2"/>
        <v>0.99</v>
      </c>
      <c r="I21" s="12">
        <f>'FS Desroches Daily'!CM23</f>
        <v>94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9099.9999999997272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8910.0000000004875</v>
      </c>
      <c r="F23" s="11">
        <f t="shared" si="1"/>
        <v>0.58765030286592534</v>
      </c>
      <c r="G23" s="12">
        <f>(Submetering!AX23+Submetering!AY23+Submetering!AZ23+Submetering!BA23+Submetering!BB23)</f>
        <v>34.798499999999997</v>
      </c>
      <c r="H23" s="11">
        <f t="shared" si="2"/>
        <v>0.99</v>
      </c>
      <c r="I23" s="12">
        <f>'FS Desroches Daily'!CM25</f>
        <v>64</v>
      </c>
      <c r="J23" s="11">
        <f t="shared" si="3"/>
        <v>10.487297712684205</v>
      </c>
      <c r="K23" s="13">
        <f>'FS Desroches Daily'!CN25</f>
        <v>10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7969.9999999995471</v>
      </c>
      <c r="F24" s="11">
        <f t="shared" si="1"/>
        <v>0.58765030286592534</v>
      </c>
      <c r="G24" s="12">
        <f>(Submetering!AX24+Submetering!AY24+Submetering!AZ24+Submetering!BA24+Submetering!BB24)</f>
        <v>18.314999999999998</v>
      </c>
      <c r="H24" s="11">
        <f t="shared" si="2"/>
        <v>0.99</v>
      </c>
      <c r="I24" s="12">
        <f>'FS Desroches Daily'!CM26</f>
        <v>66</v>
      </c>
      <c r="J24" s="11">
        <f t="shared" si="3"/>
        <v>10.487297712684205</v>
      </c>
      <c r="K24" s="13">
        <f>'FS Desroches Daily'!CN26</f>
        <v>11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7759.9999999999436</v>
      </c>
      <c r="F25" s="11">
        <f t="shared" si="1"/>
        <v>0.58765030286592534</v>
      </c>
      <c r="G25" s="12">
        <f>(Submetering!AX25+Submetering!AY25+Submetering!AZ25+Submetering!BA25+Submetering!BB25)</f>
        <v>23.8095</v>
      </c>
      <c r="H25" s="11">
        <f t="shared" si="2"/>
        <v>0.99</v>
      </c>
      <c r="I25" s="12">
        <f>'FS Desroches Daily'!CM27</f>
        <v>40</v>
      </c>
      <c r="J25" s="11">
        <f t="shared" si="3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8660.0000000002874</v>
      </c>
      <c r="F26" s="11">
        <f t="shared" si="1"/>
        <v>0.58765030286592534</v>
      </c>
      <c r="G26" s="12">
        <f>(Submetering!AX26+Submetering!AY26+Submetering!AZ26+Submetering!BA26+Submetering!BB26)</f>
        <v>23.809499999999996</v>
      </c>
      <c r="H26" s="11">
        <f t="shared" si="2"/>
        <v>0.99</v>
      </c>
      <c r="I26" s="12">
        <f>'FS Desroches Daily'!CM28</f>
        <v>70</v>
      </c>
      <c r="J26" s="11">
        <f t="shared" si="3"/>
        <v>10.487297712684205</v>
      </c>
      <c r="K26" s="13">
        <f>'FS Desroches Daily'!CN28</f>
        <v>15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8789.9999999997708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68</v>
      </c>
      <c r="J27" s="11">
        <f t="shared" si="3"/>
        <v>10.487297712684205</v>
      </c>
      <c r="K27" s="13">
        <f>'FS Desroches Daily'!CN29</f>
        <v>15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 t="e">
        <f>Submetering!E28+Submetering!F28+Submetering!G28+Submetering!H28+Submetering!J28-Submetering!AV28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'FS Desroches Daily'!CM30</f>
        <v>#VALUE!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>
        <f>IF(LPG!F17-LPG!F15&lt;0,"0",(LPG!F17-LPG!F15)*1.8315)</f>
        <v>16.483499999999999</v>
      </c>
      <c r="AY9" s="31">
        <f>IF(LPG!H17-LPG!H15&lt;0,"0",(LPG!H17-LPG!H15)*1.8315)</f>
        <v>3.6629999999999998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>
        <f>IF(LPG!F18-LPG!F16&lt;0,"0",(LPG!F18-LPG!F16)*1.8315)</f>
        <v>14.651999999999999</v>
      </c>
      <c r="AY10" s="31">
        <f>IF(LPG!H18-LPG!H16&lt;0,"0",(LPG!H18-LPG!H16)*1.8315)</f>
        <v>3.6629999999999998</v>
      </c>
      <c r="AZ10" s="31">
        <f>IF(LPG!J18-LPG!J16&lt;0,"0",(LPG!J18-LPG!J16)*1.8315)</f>
        <v>0</v>
      </c>
      <c r="BA10" s="31">
        <f>IF(LPG!M18-LPG!M16&lt;0,"0",(LPG!M18-LPG!M16)*1.8315)</f>
        <v>10.988999999999999</v>
      </c>
      <c r="BB10" s="31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1599.9999999998238</v>
      </c>
      <c r="F11" s="32">
        <f>'FS Desroches Daily'!F13</f>
        <v>2699.9999999999245</v>
      </c>
      <c r="G11" s="31">
        <f>'FS Desroches Daily'!H13</f>
        <v>2500.0000000003906</v>
      </c>
      <c r="H11" s="32">
        <f>'FS Desroches Daily'!J13</f>
        <v>1400.0000000000678</v>
      </c>
      <c r="I11" s="31">
        <f>'FS Desroches Daily'!L13</f>
        <v>2099.9999999999909</v>
      </c>
      <c r="J11" s="32">
        <f>'FS Desroches Daily'!N13</f>
        <v>999.99999999988984</v>
      </c>
      <c r="K11" s="13">
        <f>'FS Desroches Daily'!P13</f>
        <v>8</v>
      </c>
      <c r="L11" s="31">
        <f>'FS Desroches Daily'!R13</f>
        <v>4</v>
      </c>
      <c r="M11" s="31">
        <f>'FS Desroches Daily'!T13</f>
        <v>734.19999999995343</v>
      </c>
      <c r="N11" s="31">
        <f>'FS Desroches Daily'!V13</f>
        <v>365.29999999998836</v>
      </c>
      <c r="O11" s="31">
        <f>'FS Desroches Daily'!X13</f>
        <v>340.00000000003183</v>
      </c>
      <c r="P11" s="31">
        <f>'FS Desroches Daily'!Z13</f>
        <v>2299.9999999999686</v>
      </c>
      <c r="Q11" s="31">
        <f>'FS Desroches Daily'!AB13</f>
        <v>370.00000000000455</v>
      </c>
      <c r="R11" s="31">
        <f>'FS Desroches Daily'!AD13</f>
        <v>240.00000000000909</v>
      </c>
      <c r="S11" s="31">
        <f>'FS Desroches Daily'!AF13</f>
        <v>360.00000000001364</v>
      </c>
      <c r="T11" s="31">
        <f>'FS Desroches Daily'!AH13</f>
        <v>37</v>
      </c>
      <c r="U11" s="35">
        <f>'FS Desroches Daily'!AJ13</f>
        <v>520.0000000000955</v>
      </c>
      <c r="V11" s="35">
        <f>'FS Desroches Daily'!AL13</f>
        <v>140.00000000001478</v>
      </c>
      <c r="W11" s="35">
        <f>'FS Desroches Daily'!AN13</f>
        <v>89.999999999974989</v>
      </c>
      <c r="X11" s="35">
        <f>'FS Desroches Daily'!AP13</f>
        <v>140.00000000001478</v>
      </c>
      <c r="Y11" s="35">
        <f>'FS Desroches Daily'!AR13</f>
        <v>99.999999999994316</v>
      </c>
      <c r="Z11" s="35">
        <f>'FS Desroches Daily'!AT13</f>
        <v>60.000000000002274</v>
      </c>
      <c r="AA11" s="35">
        <f>'FS Desroches Daily'!AT13</f>
        <v>60.000000000002274</v>
      </c>
      <c r="AB11" s="35">
        <f>'FS Desroches Daily'!AV13</f>
        <v>170.00000000001592</v>
      </c>
      <c r="AC11" s="35">
        <f>'FS Desroches Daily'!AZ13</f>
        <v>29.999999999972715</v>
      </c>
      <c r="AD11" s="35">
        <f>'FS Desroches Daily'!BB13</f>
        <v>19.99999999998181</v>
      </c>
      <c r="AE11" s="35">
        <f>'FS Desroches Daily'!BD13</f>
        <v>90.000000000003411</v>
      </c>
      <c r="AF11" s="31">
        <f>'FS Desroches Daily'!BF13</f>
        <v>41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39.999999999992042</v>
      </c>
      <c r="AJ11" s="32">
        <f>'FS Desroches Daily'!BN13</f>
        <v>40.000000000020464</v>
      </c>
      <c r="AK11" s="32">
        <f>'FS Desroches Daily'!BP13</f>
        <v>30.000000000029559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32.200000000000728</v>
      </c>
      <c r="AR11" s="31">
        <f>'FS Desroches Daily'!CD13</f>
        <v>6.2000000000007276</v>
      </c>
      <c r="AS11" s="31">
        <f>'FS Desroches Daily'!CF13</f>
        <v>46.5</v>
      </c>
      <c r="AT11" s="31">
        <f>'FS Desroches Daily'!CH13</f>
        <v>36</v>
      </c>
      <c r="AU11" s="31">
        <f>'FS Desroches Daily'!CJ13</f>
        <v>277</v>
      </c>
      <c r="AV11" s="31">
        <f>'FS Desroches Daily'!CL13</f>
        <v>680.00000000006366</v>
      </c>
      <c r="AW11" s="31">
        <f>'FS Desroches Daily'!CM13</f>
        <v>55</v>
      </c>
      <c r="AX11" s="31">
        <f>IF(LPG!F18-LPG!F17&lt;0,"0",(LPG!F18-LPG!F17)*1.8315)</f>
        <v>7.3259999999999996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21.977999999999998</v>
      </c>
      <c r="BB11" s="31">
        <f>IF(LPG!Q18-LPG!Q17&lt;0,"0",(LPG!Q18-LPG!Q17)*1.8315)</f>
        <v>18.314999999999998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1700.0000000000348</v>
      </c>
      <c r="F12" s="32">
        <f>'FS Desroches Daily'!F14</f>
        <v>2899.9999999999027</v>
      </c>
      <c r="G12" s="31">
        <f>'FS Desroches Daily'!H14</f>
        <v>2399.9999999997358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1100.000000000101</v>
      </c>
      <c r="K12" s="13">
        <f>'FS Desroches Daily'!P14</f>
        <v>12</v>
      </c>
      <c r="L12" s="31">
        <f>'FS Desroches Daily'!R14</f>
        <v>5</v>
      </c>
      <c r="M12" s="31">
        <f>'FS Desroches Daily'!T14</f>
        <v>547.40000000002328</v>
      </c>
      <c r="N12" s="31">
        <f>'FS Desroches Daily'!V14</f>
        <v>294.60000000003492</v>
      </c>
      <c r="O12" s="31">
        <f>'FS Desroches Daily'!X14</f>
        <v>370.00000000000455</v>
      </c>
      <c r="P12" s="31">
        <f>'FS Desroches Daily'!Z14</f>
        <v>2499.9999999999468</v>
      </c>
      <c r="Q12" s="31">
        <f>'FS Desroches Daily'!AB14</f>
        <v>430.00000000000682</v>
      </c>
      <c r="R12" s="31">
        <f>'FS Desroches Daily'!AD14</f>
        <v>240.00000000000909</v>
      </c>
      <c r="S12" s="31">
        <f>'FS Desroches Daily'!AF14</f>
        <v>269.99999999998181</v>
      </c>
      <c r="T12" s="31">
        <f>'FS Desroches Daily'!AH14</f>
        <v>36</v>
      </c>
      <c r="U12" s="35">
        <f>'FS Desroches Daily'!AJ14</f>
        <v>469.9999999999136</v>
      </c>
      <c r="V12" s="35">
        <f>'FS Desroches Daily'!AL14</f>
        <v>150.00000000000568</v>
      </c>
      <c r="W12" s="35">
        <f>'FS Desroches Daily'!AN14</f>
        <v>80.000000000012506</v>
      </c>
      <c r="X12" s="35">
        <f>'FS Desroches Daily'!AP14</f>
        <v>159.99999999999659</v>
      </c>
      <c r="Y12" s="35">
        <f>'FS Desroches Daily'!AR14</f>
        <v>99.999999999994316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280.00000000002956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49.999999999982947</v>
      </c>
      <c r="AF12" s="31">
        <f>'FS Desroches Daily'!BF14</f>
        <v>36</v>
      </c>
      <c r="AG12" s="32">
        <f>'FS Desroches Daily'!BH14</f>
        <v>60.000000000002274</v>
      </c>
      <c r="AH12" s="32">
        <f>'FS Desroches Daily'!BJ14</f>
        <v>40.000000000020464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23</v>
      </c>
      <c r="AM12" s="32">
        <f>'FS Desroches Daily'!BT14</f>
        <v>20.000000000010232</v>
      </c>
      <c r="AN12" s="32">
        <f>'FS Desroches Daily'!BV14</f>
        <v>39</v>
      </c>
      <c r="AO12" s="32">
        <f>'FS Desroches Daily'!BX14</f>
        <v>40.000000000020464</v>
      </c>
      <c r="AP12" s="32">
        <f>'FS Desroches Daily'!BZ14</f>
        <v>37</v>
      </c>
      <c r="AQ12" s="31">
        <f>'FS Desroches Daily'!CB14</f>
        <v>19.399999999997817</v>
      </c>
      <c r="AR12" s="31">
        <f>'FS Desroches Daily'!CD14</f>
        <v>6.7000000000007276</v>
      </c>
      <c r="AS12" s="31">
        <f>'FS Desroches Daily'!CF14</f>
        <v>5.1999999999998181</v>
      </c>
      <c r="AT12" s="31">
        <f>'FS Desroches Daily'!CH14</f>
        <v>29</v>
      </c>
      <c r="AU12" s="31">
        <f>'FS Desroches Daily'!CJ14</f>
        <v>299</v>
      </c>
      <c r="AV12" s="31">
        <f>'FS Desroches Daily'!CL14</f>
        <v>879.99999999999545</v>
      </c>
      <c r="AW12" s="31">
        <f>'FS Desroches Daily'!CM14</f>
        <v>50</v>
      </c>
      <c r="AX12" s="31">
        <f>IF(LPG!F19-LPG!F18&lt;0,"0",(LPG!F19-LPG!F18)*1.8315)</f>
        <v>9.1574999999999989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12.820499999999999</v>
      </c>
      <c r="BB12" s="31">
        <f>IF(LPG!Q20-LPG!Q18&lt;0,"0",(LPG!Q20-LPG!Q18)*1.8315)</f>
        <v>12.820499999999999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1300.0000000000789</v>
      </c>
      <c r="F13" s="32">
        <f>'FS Desroches Daily'!F15</f>
        <v>3000.0000000001137</v>
      </c>
      <c r="G13" s="31">
        <f>'FS Desroches Daily'!H15</f>
        <v>2299.9999999999686</v>
      </c>
      <c r="H13" s="32">
        <f>'FS Desroches Daily'!J15</f>
        <v>1400.0000000000678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11</v>
      </c>
      <c r="L13" s="31">
        <f>'FS Desroches Daily'!R15</f>
        <v>5</v>
      </c>
      <c r="M13" s="31">
        <f>'FS Desroches Daily'!T15</f>
        <v>631.79999999993015</v>
      </c>
      <c r="N13" s="31">
        <f>'FS Desroches Daily'!V15</f>
        <v>320.69999999995343</v>
      </c>
      <c r="O13" s="31">
        <f>'FS Desroches Daily'!X15</f>
        <v>329.99999999998408</v>
      </c>
      <c r="P13" s="31">
        <f>'FS Desroches Daily'!Z15</f>
        <v>2699.9999999999245</v>
      </c>
      <c r="Q13" s="31">
        <f>'FS Desroches Daily'!AB15</f>
        <v>189.99999999999773</v>
      </c>
      <c r="R13" s="31">
        <f>'FS Desroches Daily'!AD15</f>
        <v>219.99999999997044</v>
      </c>
      <c r="S13" s="31">
        <f>'FS Desroches Daily'!AF15</f>
        <v>259.99999999999091</v>
      </c>
      <c r="T13" s="31">
        <f>'FS Desroches Daily'!AH15</f>
        <v>40</v>
      </c>
      <c r="U13" s="35">
        <f>'FS Desroches Daily'!AJ15</f>
        <v>330.00000000004093</v>
      </c>
      <c r="V13" s="35">
        <f>'FS Desroches Daily'!AL15</f>
        <v>139.99999999998636</v>
      </c>
      <c r="W13" s="35">
        <f>'FS Desroches Daily'!AN15</f>
        <v>60.000000000002274</v>
      </c>
      <c r="X13" s="35">
        <f>'FS Desroches Daily'!AP15</f>
        <v>129.99999999999545</v>
      </c>
      <c r="Y13" s="35">
        <f>'FS Desroches Daily'!AR15</f>
        <v>60.000000000002274</v>
      </c>
      <c r="Z13" s="35">
        <f>'FS Desroches Daily'!AT15</f>
        <v>39.99999999996362</v>
      </c>
      <c r="AA13" s="35">
        <f>'FS Desroches Daily'!AT15</f>
        <v>39.99999999996362</v>
      </c>
      <c r="AB13" s="35">
        <f>'FS Desroches Daily'!AV15</f>
        <v>120.00000000000455</v>
      </c>
      <c r="AC13" s="35">
        <f>'FS Desroches Daily'!AZ15</f>
        <v>30.000000000029559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40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29.999999999972715</v>
      </c>
      <c r="AL13" s="32">
        <f>'FS Desroches Daily'!BR15</f>
        <v>25</v>
      </c>
      <c r="AM13" s="32">
        <f>'FS Desroches Daily'!BT15</f>
        <v>19.99999999998181</v>
      </c>
      <c r="AN13" s="32">
        <f>'FS Desroches Daily'!BV15</f>
        <v>42</v>
      </c>
      <c r="AO13" s="32">
        <f>'FS Desroches Daily'!BX15</f>
        <v>19.99999999998181</v>
      </c>
      <c r="AP13" s="32">
        <f>'FS Desroches Daily'!BZ15</f>
        <v>46</v>
      </c>
      <c r="AQ13" s="31">
        <f>'FS Desroches Daily'!CB15</f>
        <v>34.400000000001455</v>
      </c>
      <c r="AR13" s="31">
        <f>'FS Desroches Daily'!CD15</f>
        <v>4.5999999999985448</v>
      </c>
      <c r="AS13" s="31">
        <f>'FS Desroches Daily'!CF15</f>
        <v>0.1999999999998181</v>
      </c>
      <c r="AT13" s="31">
        <f>'FS Desroches Daily'!CH15</f>
        <v>28.200000000004366</v>
      </c>
      <c r="AU13" s="31">
        <f>'FS Desroches Daily'!CJ15</f>
        <v>285</v>
      </c>
      <c r="AV13" s="31">
        <f>'FS Desroches Daily'!CL15</f>
        <v>309.99999999994543</v>
      </c>
      <c r="AW13" s="31">
        <f>'FS Desroches Daily'!CM15</f>
        <v>58</v>
      </c>
      <c r="AX13" s="31" t="str">
        <f>IF(LPG!G21-LPG!F19&lt;0,"0",(LPG!G21-LPG!F19)*1.8315)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10.988999999999999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1599.9999999998238</v>
      </c>
      <c r="F14" s="32">
        <f>'FS Desroches Daily'!F16</f>
        <v>3099.9999999998809</v>
      </c>
      <c r="G14" s="31">
        <f>'FS Desroches Daily'!H16</f>
        <v>2400.0000000001796</v>
      </c>
      <c r="H14" s="32">
        <f>'FS Desroches Daily'!J16</f>
        <v>1200.0000000000898</v>
      </c>
      <c r="I14" s="31">
        <f>'FS Desroches Daily'!L16</f>
        <v>1900.0000000000127</v>
      </c>
      <c r="J14" s="32">
        <f>'FS Desroches Daily'!N16</f>
        <v>700.00000000014495</v>
      </c>
      <c r="K14" s="13">
        <f>'FS Desroches Daily'!P16</f>
        <v>7</v>
      </c>
      <c r="L14" s="31">
        <f>'FS Desroches Daily'!R16</f>
        <v>3</v>
      </c>
      <c r="M14" s="31">
        <f>'FS Desroches Daily'!T16</f>
        <v>787</v>
      </c>
      <c r="N14" s="31">
        <f>'FS Desroches Daily'!V16</f>
        <v>342.5</v>
      </c>
      <c r="O14" s="31">
        <f>'FS Desroches Daily'!X16</f>
        <v>350.00000000002274</v>
      </c>
      <c r="P14" s="31">
        <f>'FS Desroches Daily'!Z16</f>
        <v>2699.9999999999245</v>
      </c>
      <c r="Q14" s="31">
        <f>'FS Desroches Daily'!AB16</f>
        <v>199.99999999998863</v>
      </c>
      <c r="R14" s="31">
        <f>'FS Desroches Daily'!AD16</f>
        <v>200.00000000004547</v>
      </c>
      <c r="S14" s="31">
        <f>'FS Desroches Daily'!AF16</f>
        <v>250</v>
      </c>
      <c r="T14" s="31">
        <f>'FS Desroches Daily'!AH16</f>
        <v>34</v>
      </c>
      <c r="U14" s="35">
        <f>'FS Desroches Daily'!AJ16</f>
        <v>669.99999999995907</v>
      </c>
      <c r="V14" s="35">
        <f>'FS Desroches Daily'!AL16</f>
        <v>150.00000000000568</v>
      </c>
      <c r="W14" s="35">
        <f>'FS Desroches Daily'!AN16</f>
        <v>79.999999999984084</v>
      </c>
      <c r="X14" s="35">
        <f>'FS Desroches Daily'!AP16</f>
        <v>219.99999999999886</v>
      </c>
      <c r="Y14" s="35">
        <f>'FS Desroches Daily'!AR16</f>
        <v>49.999999999982947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60.000000000002274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32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21</v>
      </c>
      <c r="AM14" s="32">
        <f>'FS Desroches Daily'!BT16</f>
        <v>20.000000000010232</v>
      </c>
      <c r="AN14" s="32">
        <f>'FS Desroches Daily'!BV16</f>
        <v>40</v>
      </c>
      <c r="AO14" s="32">
        <f>'FS Desroches Daily'!BX16</f>
        <v>20.000000000010232</v>
      </c>
      <c r="AP14" s="32">
        <f>'FS Desroches Daily'!BZ16</f>
        <v>46</v>
      </c>
      <c r="AQ14" s="31">
        <f>'FS Desroches Daily'!CB16</f>
        <v>40.700000000000728</v>
      </c>
      <c r="AR14" s="31">
        <f>'FS Desroches Daily'!CD16</f>
        <v>5.5</v>
      </c>
      <c r="AS14" s="31">
        <f>'FS Desroches Daily'!CF16</f>
        <v>0.1000000000003638</v>
      </c>
      <c r="AT14" s="31">
        <f>'FS Desroches Daily'!CH16</f>
        <v>18.299999999995634</v>
      </c>
      <c r="AU14" s="31">
        <f>'FS Desroches Daily'!CJ16</f>
        <v>279</v>
      </c>
      <c r="AV14" s="31">
        <f>'FS Desroches Daily'!CL16</f>
        <v>620.00000000000455</v>
      </c>
      <c r="AW14" s="31">
        <f>'FS Desroches Daily'!CM16</f>
        <v>58</v>
      </c>
      <c r="AX14" s="31" t="str">
        <f>IF(LPG!G22-LPG!F20&lt;0,"0",(LPG!G22-LPG!F20)*1.8315)</f>
        <v>0</v>
      </c>
      <c r="AY14" s="31">
        <f>IF(LPG!H21-LPG!H20&lt;0,"0",(LPG!H21-LPG!H20)*1.8315)</f>
        <v>1.8314999999999999</v>
      </c>
      <c r="AZ14" s="31">
        <f>IF(LPG!J21-LPG!J20&lt;0,"0",(LPG!J21-LPG!J20)*1.8315)</f>
        <v>0</v>
      </c>
      <c r="BA14" s="31">
        <f>IF(LPG!M21-LPG!M20&lt;0,"0",(LPG!M21-LPG!M20)*1.8315)</f>
        <v>7.3259999999999996</v>
      </c>
      <c r="BB14" s="31">
        <f>IF(LPG!Q21-LPG!Q20&lt;0,"0",(LPG!Q21-LPG!Q20)*1.8315)</f>
        <v>9.1574999999999989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1800.0000000002458</v>
      </c>
      <c r="F15" s="32">
        <f>'FS Desroches Daily'!F17</f>
        <v>3200.0000000000919</v>
      </c>
      <c r="G15" s="31">
        <f>'FS Desroches Daily'!H17</f>
        <v>2099.9999999999909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1199.9999999998679</v>
      </c>
      <c r="K15" s="13">
        <f>'FS Desroches Daily'!P17</f>
        <v>13</v>
      </c>
      <c r="L15" s="31">
        <f>'FS Desroches Daily'!R17</f>
        <v>6</v>
      </c>
      <c r="M15" s="31">
        <f>'FS Desroches Daily'!T17</f>
        <v>861.20000000006985</v>
      </c>
      <c r="N15" s="31">
        <f>'FS Desroches Daily'!V17</f>
        <v>429.30000000004657</v>
      </c>
      <c r="O15" s="31">
        <f>'FS Desroches Daily'!X17</f>
        <v>399.99999999997726</v>
      </c>
      <c r="P15" s="31">
        <f>'FS Desroches Daily'!Z17</f>
        <v>2800.0000000001355</v>
      </c>
      <c r="Q15" s="31">
        <f>'FS Desroches Daily'!AB17</f>
        <v>389.99999999998636</v>
      </c>
      <c r="R15" s="31">
        <f>'FS Desroches Daily'!AD17</f>
        <v>259.99999999999091</v>
      </c>
      <c r="S15" s="31">
        <f>'FS Desroches Daily'!AF17</f>
        <v>410.00000000008185</v>
      </c>
      <c r="T15" s="31">
        <f>'FS Desroches Daily'!AH17</f>
        <v>35</v>
      </c>
      <c r="U15" s="35">
        <f>'FS Desroches Daily'!AJ17</f>
        <v>750</v>
      </c>
      <c r="V15" s="35">
        <f>'FS Desroches Daily'!AL17</f>
        <v>169.99999999998749</v>
      </c>
      <c r="W15" s="35">
        <f>'FS Desroches Daily'!AN17</f>
        <v>70.0000000000216</v>
      </c>
      <c r="X15" s="35">
        <f>'FS Desroches Daily'!AP17</f>
        <v>229.99999999998977</v>
      </c>
      <c r="Y15" s="35">
        <f>'FS Desroches Daily'!AR17</f>
        <v>60.000000000002274</v>
      </c>
      <c r="Z15" s="35">
        <f>'FS Desroches Daily'!AT17</f>
        <v>50.000000000011369</v>
      </c>
      <c r="AA15" s="35">
        <f>'FS Desroches Daily'!AT17</f>
        <v>50.000000000011369</v>
      </c>
      <c r="AB15" s="35">
        <f>'FS Desroches Daily'!AV17</f>
        <v>79.999999999984084</v>
      </c>
      <c r="AC15" s="35">
        <f>'FS Desroches Daily'!AZ17</f>
        <v>30.000000000029559</v>
      </c>
      <c r="AD15" s="35">
        <f>'FS Desroches Daily'!BB17</f>
        <v>40.000000000020464</v>
      </c>
      <c r="AE15" s="35">
        <f>'FS Desroches Daily'!BD17</f>
        <v>30.000000000001137</v>
      </c>
      <c r="AF15" s="31">
        <f>'FS Desroches Daily'!BF17</f>
        <v>47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50.000000000011369</v>
      </c>
      <c r="AK15" s="32">
        <f>'FS Desroches Daily'!BP17</f>
        <v>40.000000000020464</v>
      </c>
      <c r="AL15" s="32">
        <f>'FS Desroches Daily'!BR17</f>
        <v>24</v>
      </c>
      <c r="AM15" s="32">
        <f>'FS Desroches Daily'!BT17</f>
        <v>20.000000000010232</v>
      </c>
      <c r="AN15" s="32">
        <f>'FS Desroches Daily'!BV17</f>
        <v>42</v>
      </c>
      <c r="AO15" s="32">
        <f>'FS Desroches Daily'!BX17</f>
        <v>20.000000000010232</v>
      </c>
      <c r="AP15" s="32">
        <f>'FS Desroches Daily'!BZ17</f>
        <v>47</v>
      </c>
      <c r="AQ15" s="31">
        <f>'FS Desroches Daily'!CB17</f>
        <v>43.599999999998545</v>
      </c>
      <c r="AR15" s="31">
        <f>'FS Desroches Daily'!CD17</f>
        <v>5.6000000000003638</v>
      </c>
      <c r="AS15" s="31">
        <f>'FS Desroches Daily'!CF17</f>
        <v>2</v>
      </c>
      <c r="AT15" s="31">
        <f>'FS Desroches Daily'!CH17</f>
        <v>25.900000000001455</v>
      </c>
      <c r="AU15" s="31">
        <f>'FS Desroches Daily'!CJ17</f>
        <v>305</v>
      </c>
      <c r="AV15" s="31">
        <f>'FS Desroches Daily'!CL17</f>
        <v>120.00000000000455</v>
      </c>
      <c r="AW15" s="31">
        <f>'FS Desroches Daily'!CM17</f>
        <v>59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1900.0000000000127</v>
      </c>
      <c r="F16" s="32">
        <f>'FS Desroches Daily'!F18</f>
        <v>3200.0000000000919</v>
      </c>
      <c r="G16" s="31">
        <f>'FS Desroches Daily'!H18</f>
        <v>2699.9999999999245</v>
      </c>
      <c r="H16" s="32">
        <f>'FS Desroches Daily'!J18</f>
        <v>1300.0000000000789</v>
      </c>
      <c r="I16" s="31">
        <f>'FS Desroches Daily'!L18</f>
        <v>2200.0000000002019</v>
      </c>
      <c r="J16" s="32">
        <f>'FS Desroches Daily'!N18</f>
        <v>1000.0000000001119</v>
      </c>
      <c r="K16" s="13">
        <f>'FS Desroches Daily'!P18</f>
        <v>21</v>
      </c>
      <c r="L16" s="31">
        <f>'FS Desroches Daily'!R18</f>
        <v>5</v>
      </c>
      <c r="M16" s="31">
        <f>'FS Desroches Daily'!T18</f>
        <v>864.79999999993015</v>
      </c>
      <c r="N16" s="31">
        <f>'FS Desroches Daily'!V18</f>
        <v>380.09999999997672</v>
      </c>
      <c r="O16" s="31">
        <f>'FS Desroches Daily'!X18</f>
        <v>379.99999999999545</v>
      </c>
      <c r="P16" s="31">
        <f>'FS Desroches Daily'!Z18</f>
        <v>2800.0000000001355</v>
      </c>
      <c r="Q16" s="31">
        <f>'FS Desroches Daily'!AB18</f>
        <v>220.00000000002728</v>
      </c>
      <c r="R16" s="31">
        <f>'FS Desroches Daily'!AD18</f>
        <v>259.99999999999091</v>
      </c>
      <c r="S16" s="31">
        <f>'FS Desroches Daily'!AF18</f>
        <v>379.99999999999545</v>
      </c>
      <c r="T16" s="31">
        <f>'FS Desroches Daily'!AH18</f>
        <v>35</v>
      </c>
      <c r="U16" s="35">
        <f>'FS Desroches Daily'!AJ18</f>
        <v>950.00000000004547</v>
      </c>
      <c r="V16" s="35">
        <f>'FS Desroches Daily'!AL18</f>
        <v>240.00000000000909</v>
      </c>
      <c r="W16" s="35">
        <f>'FS Desroches Daily'!AN18</f>
        <v>60.000000000002274</v>
      </c>
      <c r="X16" s="35">
        <f>'FS Desroches Daily'!AP18</f>
        <v>260.00000000001933</v>
      </c>
      <c r="Y16" s="35">
        <f>'FS Desroches Daily'!AR18</f>
        <v>40.000000000020464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60.000000000002274</v>
      </c>
      <c r="AC16" s="35">
        <f>'FS Desroches Daily'!AZ18</f>
        <v>29.999999999972715</v>
      </c>
      <c r="AD16" s="35">
        <f>'FS Desroches Daily'!BB18</f>
        <v>9.9999999999909051</v>
      </c>
      <c r="AE16" s="35">
        <f>'FS Desroches Daily'!BD18</f>
        <v>19.99999999998181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50.000000000011369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19.99999999998181</v>
      </c>
      <c r="AL16" s="32">
        <f>'FS Desroches Daily'!BR18</f>
        <v>26</v>
      </c>
      <c r="AM16" s="32">
        <f>'FS Desroches Daily'!BT18</f>
        <v>19.99999999998181</v>
      </c>
      <c r="AN16" s="32">
        <f>'FS Desroches Daily'!BV18</f>
        <v>50</v>
      </c>
      <c r="AO16" s="32">
        <f>'FS Desroches Daily'!BX18</f>
        <v>19.99999999998181</v>
      </c>
      <c r="AP16" s="32">
        <f>'FS Desroches Daily'!BZ18</f>
        <v>51</v>
      </c>
      <c r="AQ16" s="31">
        <f>'FS Desroches Daily'!CB18</f>
        <v>44.900000000001455</v>
      </c>
      <c r="AR16" s="31">
        <f>'FS Desroches Daily'!CD18</f>
        <v>11.5</v>
      </c>
      <c r="AS16" s="31">
        <f>'FS Desroches Daily'!CF18</f>
        <v>24.699999999999818</v>
      </c>
      <c r="AT16" s="31">
        <f>'FS Desroches Daily'!CH18</f>
        <v>24.19999999999709</v>
      </c>
      <c r="AU16" s="31">
        <f>'FS Desroches Daily'!CJ18</f>
        <v>234.69999999995343</v>
      </c>
      <c r="AV16" s="31">
        <f>'FS Desroches Daily'!CL18</f>
        <v>740.00000000000909</v>
      </c>
      <c r="AW16" s="31">
        <f>'FS Desroches Daily'!CM18</f>
        <v>62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8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1900.0000000000127</v>
      </c>
      <c r="F17" s="32">
        <f>'FS Desroches Daily'!F19</f>
        <v>3199.9999999996476</v>
      </c>
      <c r="G17" s="31">
        <f>'FS Desroches Daily'!H19</f>
        <v>2800.0000000001355</v>
      </c>
      <c r="H17" s="32">
        <f>'FS Desroches Daily'!J19</f>
        <v>1400.0000000000678</v>
      </c>
      <c r="I17" s="31">
        <f>'FS Desroches Daily'!L19</f>
        <v>1999.9999999997797</v>
      </c>
      <c r="J17" s="32">
        <f>'FS Desroches Daily'!N19</f>
        <v>1099.9999999998788</v>
      </c>
      <c r="K17" s="13">
        <f>'FS Desroches Daily'!P19</f>
        <v>16</v>
      </c>
      <c r="L17" s="31">
        <f>'FS Desroches Daily'!R19</f>
        <v>5</v>
      </c>
      <c r="M17" s="31">
        <f>'FS Desroches Daily'!T19</f>
        <v>888.80000000004657</v>
      </c>
      <c r="N17" s="31">
        <f>'FS Desroches Daily'!V19</f>
        <v>364</v>
      </c>
      <c r="O17" s="31">
        <f>'FS Desroches Daily'!X19</f>
        <v>310.00000000000227</v>
      </c>
      <c r="P17" s="31">
        <f>'FS Desroches Daily'!Z19</f>
        <v>2899.9999999999027</v>
      </c>
      <c r="Q17" s="31">
        <f>'FS Desroches Daily'!AB19</f>
        <v>379.99999999999545</v>
      </c>
      <c r="R17" s="31">
        <f>'FS Desroches Daily'!AD19</f>
        <v>209.99999999997954</v>
      </c>
      <c r="S17" s="31">
        <f>'FS Desroches Daily'!AF19</f>
        <v>389.99999999998636</v>
      </c>
      <c r="T17" s="31">
        <f>'FS Desroches Daily'!AH19</f>
        <v>36</v>
      </c>
      <c r="U17" s="35">
        <f>'FS Desroches Daily'!AJ19</f>
        <v>809.99999999994543</v>
      </c>
      <c r="V17" s="35">
        <f>'FS Desroches Daily'!AL19</f>
        <v>219.99999999999886</v>
      </c>
      <c r="W17" s="35">
        <f>'FS Desroches Daily'!AN19</f>
        <v>99.999999999994316</v>
      </c>
      <c r="X17" s="35">
        <f>'FS Desroches Daily'!AP19</f>
        <v>250</v>
      </c>
      <c r="Y17" s="35">
        <f>'FS Desroches Daily'!AR19</f>
        <v>49.999999999982947</v>
      </c>
      <c r="Z17" s="35">
        <f>'FS Desroches Daily'!AU20</f>
        <v>283.17</v>
      </c>
      <c r="AA17" s="35">
        <f>'FS Desroches Daily'!AU20</f>
        <v>283.17</v>
      </c>
      <c r="AB17" s="35">
        <f>'FS Desroches Daily'!AV19</f>
        <v>50.000000000011369</v>
      </c>
      <c r="AC17" s="35">
        <f>'FS Desroches Daily'!AZ19</f>
        <v>30.000000000029559</v>
      </c>
      <c r="AD17" s="35">
        <f>'FS Desroches Daily'!BB19</f>
        <v>19.99999999998181</v>
      </c>
      <c r="AE17" s="35">
        <f>'FS Desroches Daily'!BD19</f>
        <v>20.000000000010232</v>
      </c>
      <c r="AF17" s="31">
        <f>'FS Desroches Daily'!BF19</f>
        <v>39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39.999999999992042</v>
      </c>
      <c r="AJ17" s="32">
        <f>'FS Desroches Daily'!BN19</f>
        <v>50.000000000011369</v>
      </c>
      <c r="AK17" s="32">
        <f>'FS Desroches Daily'!BP19</f>
        <v>29.999999999972715</v>
      </c>
      <c r="AL17" s="32">
        <f>'FS Desroches Daily'!BR19</f>
        <v>27</v>
      </c>
      <c r="AM17" s="32">
        <f>'FS Desroches Daily'!BT19</f>
        <v>0</v>
      </c>
      <c r="AN17" s="32">
        <f>'FS Desroches Daily'!BV19</f>
        <v>49</v>
      </c>
      <c r="AO17" s="32">
        <f>'FS Desroches Daily'!BX19</f>
        <v>30.000000000001137</v>
      </c>
      <c r="AP17" s="32">
        <f>'FS Desroches Daily'!BZ19</f>
        <v>57</v>
      </c>
      <c r="AQ17" s="31">
        <f>'FS Desroches Daily'!CB19</f>
        <v>43.5</v>
      </c>
      <c r="AR17" s="31">
        <f>'FS Desroches Daily'!CD19</f>
        <v>5.6000000000003638</v>
      </c>
      <c r="AS17" s="31">
        <f>'FS Desroches Daily'!CF19</f>
        <v>11.300000000000182</v>
      </c>
      <c r="AT17" s="31">
        <f>'FS Desroches Daily'!CH19</f>
        <v>17.80000000000291</v>
      </c>
      <c r="AU17" s="31">
        <f>'FS Desroches Daily'!CJ19</f>
        <v>343.30000000004657</v>
      </c>
      <c r="AV17" s="31">
        <f>'FS Desroches Daily'!CL19</f>
        <v>700.00000000004547</v>
      </c>
      <c r="AW17" s="31">
        <f>'FS Desroches Daily'!CM19</f>
        <v>49</v>
      </c>
      <c r="AX17" s="31">
        <f>IF(LPG!F24-LPG!F23&lt;0,"0",(LPG!F24-LPG!F23)*1.8315)</f>
        <v>9.1574999999999989</v>
      </c>
      <c r="AY17" s="31">
        <f>IF(LPG!H24-LPG!H23&lt;0,"0",(LPG!H24-LPG!H23)*1.8315)</f>
        <v>1.8314999999999999</v>
      </c>
      <c r="AZ17" s="31">
        <f>IF(LPG!J24-LPG!J23&lt;0,"0",(LPG!J24-LPG!J23)*1.8315)</f>
        <v>1.8314999999999999</v>
      </c>
      <c r="BA17" s="31">
        <f>IF(LPG!M24-LPG!M23&lt;0,"0",(LPG!M24-LPG!M23)*1.8315)</f>
        <v>3.6629999999999998</v>
      </c>
      <c r="BB17" s="31">
        <f>IF(LPG!Q24-LPG!Q23&lt;0,"0",(LPG!Q24-LPG!Q23)*1.8315)</f>
        <v>9.1574999999999989</v>
      </c>
      <c r="BC17" s="13">
        <f>'FS Desroches Daily'!CN19</f>
        <v>8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1900.0000000000127</v>
      </c>
      <c r="F18" s="32">
        <f>'FS Desroches Daily'!F20</f>
        <v>3100.0000000003247</v>
      </c>
      <c r="G18" s="31">
        <f>'FS Desroches Daily'!H20</f>
        <v>2399.9999999997358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1000.0000000001119</v>
      </c>
      <c r="K18" s="13">
        <f>'FS Desroches Daily'!P20</f>
        <v>9</v>
      </c>
      <c r="L18" s="31">
        <f>'FS Desroches Daily'!R20</f>
        <v>4</v>
      </c>
      <c r="M18" s="31">
        <f>'FS Desroches Daily'!T20</f>
        <v>670.59999999997672</v>
      </c>
      <c r="N18" s="31">
        <f>'FS Desroches Daily'!V20</f>
        <v>302.09999999997672</v>
      </c>
      <c r="O18" s="31">
        <f>'FS Desroches Daily'!X20</f>
        <v>290.00000000002046</v>
      </c>
      <c r="P18" s="31">
        <f>'FS Desroches Daily'!Z20</f>
        <v>2800.0000000001355</v>
      </c>
      <c r="Q18" s="31">
        <f>'FS Desroches Daily'!AB20</f>
        <v>339.99999999997499</v>
      </c>
      <c r="R18" s="31">
        <f>'FS Desroches Daily'!AD20</f>
        <v>180.00000000000682</v>
      </c>
      <c r="S18" s="31">
        <f>'FS Desroches Daily'!AF20</f>
        <v>379.99999999999545</v>
      </c>
      <c r="T18" s="31">
        <f>'FS Desroches Daily'!AH20</f>
        <v>32</v>
      </c>
      <c r="U18" s="35">
        <f>'FS Desroches Daily'!AJ20</f>
        <v>700.00000000004547</v>
      </c>
      <c r="V18" s="35">
        <f>'FS Desroches Daily'!AL20</f>
        <v>180.00000000000682</v>
      </c>
      <c r="W18" s="35">
        <f>'FS Desroches Daily'!AN20</f>
        <v>69.999999999993179</v>
      </c>
      <c r="X18" s="35">
        <f>'FS Desroches Daily'!AP20</f>
        <v>250</v>
      </c>
      <c r="Y18" s="35">
        <f>'FS Desroches Daily'!AR20</f>
        <v>80.000000000012506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69.999999999993179</v>
      </c>
      <c r="AC18" s="35">
        <f>'FS Desroches Daily'!AZ20</f>
        <v>29.999999999972715</v>
      </c>
      <c r="AD18" s="35">
        <f>'FS Desroches Daily'!BB20</f>
        <v>40.000000000020464</v>
      </c>
      <c r="AE18" s="35">
        <f>'FS Desroches Daily'!BD20</f>
        <v>30.000000000001137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21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46</v>
      </c>
      <c r="AQ18" s="31">
        <f>'FS Desroches Daily'!CB20</f>
        <v>45.899999999997817</v>
      </c>
      <c r="AR18" s="31">
        <f>'FS Desroches Daily'!CD20</f>
        <v>8.7999999999992724</v>
      </c>
      <c r="AS18" s="31">
        <f>'FS Desroches Daily'!CF20</f>
        <v>4.1000000000003638</v>
      </c>
      <c r="AT18" s="31">
        <f>'FS Desroches Daily'!CH20</f>
        <v>25.19999999999709</v>
      </c>
      <c r="AU18" s="31">
        <f>'FS Desroches Daily'!CJ20</f>
        <v>319</v>
      </c>
      <c r="AV18" s="31">
        <f>'FS Desroches Daily'!CL20</f>
        <v>620.00000000000455</v>
      </c>
      <c r="AW18" s="31">
        <f>'FS Desroches Daily'!CM20</f>
        <v>73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9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2099.9999999999909</v>
      </c>
      <c r="F19" s="32">
        <f>'FS Desroches Daily'!F21</f>
        <v>2799.9999999996917</v>
      </c>
      <c r="G19" s="31">
        <f>'FS Desroches Daily'!H21</f>
        <v>2200.0000000002019</v>
      </c>
      <c r="H19" s="32">
        <f>'FS Desroches Daily'!J21</f>
        <v>1400.0000000000678</v>
      </c>
      <c r="I19" s="31">
        <f>'FS Desroches Daily'!L21</f>
        <v>2000.0000000002237</v>
      </c>
      <c r="J19" s="32">
        <f>'FS Desroches Daily'!N21</f>
        <v>699.99999999992292</v>
      </c>
      <c r="K19" s="13">
        <f>'FS Desroches Daily'!P21</f>
        <v>14</v>
      </c>
      <c r="L19" s="31">
        <f>'FS Desroches Daily'!R21</f>
        <v>4</v>
      </c>
      <c r="M19" s="31">
        <f>'FS Desroches Daily'!T21</f>
        <v>633.59999999997672</v>
      </c>
      <c r="N19" s="31">
        <f>'FS Desroches Daily'!V21</f>
        <v>307.60000000003492</v>
      </c>
      <c r="O19" s="31">
        <f>'FS Desroches Daily'!X21</f>
        <v>319.99999999999318</v>
      </c>
      <c r="P19" s="31">
        <f>'FS Desroches Daily'!Z21</f>
        <v>2499.9999999999468</v>
      </c>
      <c r="Q19" s="31">
        <f>'FS Desroches Daily'!AB21</f>
        <v>199.99999999998863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34</v>
      </c>
      <c r="U19" s="35">
        <f>'FS Desroches Daily'!AJ21</f>
        <v>679.99999999994998</v>
      </c>
      <c r="V19" s="35">
        <f>'FS Desroches Daily'!AL21</f>
        <v>219.99999999999886</v>
      </c>
      <c r="W19" s="35">
        <f>'FS Desroches Daily'!AN21</f>
        <v>189.99999999999773</v>
      </c>
      <c r="X19" s="35">
        <f>'FS Desroches Daily'!AP21</f>
        <v>229.99999999998977</v>
      </c>
      <c r="Y19" s="35">
        <f>'FS Desroches Daily'!AR21</f>
        <v>109.99999999998522</v>
      </c>
      <c r="Z19" s="35">
        <f>'FS Desroches Daily'!AT21</f>
        <v>60.000000000002274</v>
      </c>
      <c r="AA19" s="35">
        <f>'FS Desroches Daily'!AT21</f>
        <v>60.000000000002274</v>
      </c>
      <c r="AB19" s="35">
        <f>'FS Desroches Daily'!AV21</f>
        <v>60.000000000002274</v>
      </c>
      <c r="AC19" s="35">
        <f>'FS Desroches Daily'!AZ21</f>
        <v>40.000000000020464</v>
      </c>
      <c r="AD19" s="35">
        <f>'FS Desroches Daily'!BB21</f>
        <v>30.000000000029559</v>
      </c>
      <c r="AE19" s="35">
        <f>'FS Desroches Daily'!BD21</f>
        <v>39.999999999992042</v>
      </c>
      <c r="AF19" s="31">
        <f>'FS Desroches Daily'!BF21</f>
        <v>44</v>
      </c>
      <c r="AG19" s="32">
        <f>'FS Desroches Daily'!BH21</f>
        <v>20.000000000010232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40.000000000020464</v>
      </c>
      <c r="AL19" s="32">
        <f>'FS Desroches Daily'!BR21</f>
        <v>25</v>
      </c>
      <c r="AM19" s="32">
        <f>'FS Desroches Daily'!BT21</f>
        <v>19.99999999998181</v>
      </c>
      <c r="AN19" s="32">
        <f>'FS Desroches Daily'!BV21</f>
        <v>40</v>
      </c>
      <c r="AO19" s="32">
        <f>'FS Desroches Daily'!BX21</f>
        <v>19.99999999998181</v>
      </c>
      <c r="AP19" s="32">
        <f>'FS Desroches Daily'!BZ21</f>
        <v>48</v>
      </c>
      <c r="AQ19" s="31">
        <f>'FS Desroches Daily'!CB21</f>
        <v>42.80000000000291</v>
      </c>
      <c r="AR19" s="31">
        <f>'FS Desroches Daily'!CD21</f>
        <v>11.400000000001455</v>
      </c>
      <c r="AS19" s="31">
        <f>'FS Desroches Daily'!CF21</f>
        <v>24.5</v>
      </c>
      <c r="AT19" s="31">
        <f>'FS Desroches Daily'!CH21</f>
        <v>25.400000000001455</v>
      </c>
      <c r="AU19" s="31">
        <f>'FS Desroches Daily'!CJ21</f>
        <v>359</v>
      </c>
      <c r="AV19" s="31">
        <f>'FS Desroches Daily'!CL21</f>
        <v>439.99999999994088</v>
      </c>
      <c r="AW19" s="31">
        <f>'FS Desroches Daily'!CM21</f>
        <v>178</v>
      </c>
      <c r="AX19" s="31">
        <f>IF(LPG!F26-LPG!F25&lt;0,"0",(LPG!F26-LPG!F25)*1.8315)</f>
        <v>10.988999999999999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9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1999.9999999997797</v>
      </c>
      <c r="F20" s="32">
        <f>'FS Desroches Daily'!F22</f>
        <v>2800.0000000001355</v>
      </c>
      <c r="G20" s="31">
        <f>'FS Desroches Daily'!H22</f>
        <v>2600.0000000001578</v>
      </c>
      <c r="H20" s="32">
        <f>'FS Desroches Daily'!J22</f>
        <v>1400.0000000000678</v>
      </c>
      <c r="I20" s="31">
        <f>'FS Desroches Daily'!L22</f>
        <v>1999.9999999997797</v>
      </c>
      <c r="J20" s="32">
        <f>'FS Desroches Daily'!N22</f>
        <v>900.0000000001229</v>
      </c>
      <c r="K20" s="13">
        <f>'FS Desroches Daily'!P22</f>
        <v>12</v>
      </c>
      <c r="L20" s="31">
        <f>'FS Desroches Daily'!R22</f>
        <v>5</v>
      </c>
      <c r="M20" s="31">
        <f>'FS Desroches Daily'!T22</f>
        <v>646</v>
      </c>
      <c r="N20" s="31">
        <f>'FS Desroches Daily'!V22</f>
        <v>291.09999999997672</v>
      </c>
      <c r="O20" s="31">
        <f>'FS Desroches Daily'!X22</f>
        <v>339.99999999997499</v>
      </c>
      <c r="P20" s="31">
        <f>'FS Desroches Daily'!Z22</f>
        <v>2299.9999999999686</v>
      </c>
      <c r="Q20" s="31">
        <f>'FS Desroches Daily'!AB22</f>
        <v>340.00000000003183</v>
      </c>
      <c r="R20" s="31">
        <f>'FS Desroches Daily'!AD22</f>
        <v>189.99999999999773</v>
      </c>
      <c r="S20" s="31">
        <f>'FS Desroches Daily'!AF22</f>
        <v>240.00000000000909</v>
      </c>
      <c r="T20" s="31">
        <f>'FS Desroches Daily'!AH22</f>
        <v>37</v>
      </c>
      <c r="U20" s="35">
        <f>'FS Desroches Daily'!AJ22</f>
        <v>750</v>
      </c>
      <c r="V20" s="35">
        <f>'FS Desroches Daily'!AL22</f>
        <v>219.99999999999886</v>
      </c>
      <c r="W20" s="35">
        <f>'FS Desroches Daily'!AN22</f>
        <v>180.00000000000682</v>
      </c>
      <c r="X20" s="35">
        <f>'FS Desroches Daily'!AP22</f>
        <v>219.99999999999886</v>
      </c>
      <c r="Y20" s="35">
        <f>'FS Desroches Daily'!AR22</f>
        <v>159.99999999999659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49.999999999954525</v>
      </c>
      <c r="AC20" s="35">
        <f>'FS Desroches Daily'!AZ22</f>
        <v>50.000000000011369</v>
      </c>
      <c r="AD20" s="35">
        <f>'FS Desroches Daily'!BB22</f>
        <v>19.99999999998181</v>
      </c>
      <c r="AE20" s="35">
        <f>'FS Desroches Daily'!BD22</f>
        <v>40.000000000020464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40.000000000020464</v>
      </c>
      <c r="AI20" s="32">
        <f>'FS Desroches Daily'!BL22</f>
        <v>40.000000000020464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24</v>
      </c>
      <c r="AM20" s="32">
        <f>'FS Desroches Daily'!BT22</f>
        <v>20.000000000010232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51</v>
      </c>
      <c r="AQ20" s="31">
        <f>'FS Desroches Daily'!CB22</f>
        <v>41.299999999999272</v>
      </c>
      <c r="AR20" s="31">
        <f>'FS Desroches Daily'!CD22</f>
        <v>8.0999999999985448</v>
      </c>
      <c r="AS20" s="31">
        <f>'FS Desroches Daily'!CF22</f>
        <v>1.3999999999996362</v>
      </c>
      <c r="AT20" s="31">
        <f>'FS Desroches Daily'!CH22</f>
        <v>26.400000000001455</v>
      </c>
      <c r="AU20" s="31">
        <f>'FS Desroches Daily'!CJ22</f>
        <v>251</v>
      </c>
      <c r="AV20" s="31">
        <f>'FS Desroches Daily'!CL22</f>
        <v>899.99999999997726</v>
      </c>
      <c r="AW20" s="31">
        <f>'FS Desroches Daily'!CM22</f>
        <v>69</v>
      </c>
      <c r="AX20" s="31">
        <f>IF(LPG!F27-LPG!F26&lt;0,"0",(LPG!F27-LPG!F26)*1.8315)</f>
        <v>9.1574999999999989</v>
      </c>
      <c r="AY20" s="31">
        <f>IF(LPG!H27-LPG!H26&lt;0,"0",(LPG!H27-LPG!H26)*1.8315)</f>
        <v>0</v>
      </c>
      <c r="AZ20" s="31">
        <f>IF(LPG!J27-LPG!J26&lt;0,"0",(LPG!J27-LPG!J26)*1.8315)</f>
        <v>1.8314999999999999</v>
      </c>
      <c r="BA20" s="31">
        <f>IF(LPG!M27-LPG!M26&lt;0,"0",(LPG!M27-LPG!M26)*1.8315)</f>
        <v>0</v>
      </c>
      <c r="BB20" s="31">
        <f>IF(LPG!Q27-LPG!Q26&lt;0,"0",(LPG!Q27-LPG!Q26)*1.8315)</f>
        <v>9.1574999999999989</v>
      </c>
      <c r="BC20" s="13">
        <f>'FS Desroches Daily'!CN22</f>
        <v>13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2099.9999999999909</v>
      </c>
      <c r="F21" s="32">
        <f>'FS Desroches Daily'!F23</f>
        <v>3000.0000000001137</v>
      </c>
      <c r="G21" s="31">
        <f>'FS Desroches Daily'!H23</f>
        <v>2899.9999999999027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799.99999999991189</v>
      </c>
      <c r="K21" s="13">
        <f>'FS Desroches Daily'!P23</f>
        <v>1</v>
      </c>
      <c r="L21" s="31">
        <f>'FS Desroches Daily'!R23</f>
        <v>5</v>
      </c>
      <c r="M21" s="31">
        <f>'FS Desroches Daily'!T23</f>
        <v>711</v>
      </c>
      <c r="N21" s="31">
        <f>'FS Desroches Daily'!V23</f>
        <v>301.5</v>
      </c>
      <c r="O21" s="31">
        <f>'FS Desroches Daily'!X23</f>
        <v>310.00000000000227</v>
      </c>
      <c r="P21" s="31">
        <f>'FS Desroches Daily'!Z23</f>
        <v>2800.0000000001355</v>
      </c>
      <c r="Q21" s="31">
        <f>'FS Desroches Daily'!AB23</f>
        <v>209.99999999997954</v>
      </c>
      <c r="R21" s="31">
        <f>'FS Desroches Daily'!AD23</f>
        <v>189.99999999999773</v>
      </c>
      <c r="S21" s="31">
        <f>'FS Desroches Daily'!AF23</f>
        <v>240.00000000000909</v>
      </c>
      <c r="T21" s="31">
        <f>'FS Desroches Daily'!AH23</f>
        <v>39</v>
      </c>
      <c r="U21" s="35">
        <f>'FS Desroches Daily'!AJ23</f>
        <v>740.00000000000909</v>
      </c>
      <c r="V21" s="35">
        <f>'FS Desroches Daily'!AL23</f>
        <v>240.00000000000909</v>
      </c>
      <c r="W21" s="35">
        <f>'FS Desroches Daily'!AN23</f>
        <v>219.99999999999886</v>
      </c>
      <c r="X21" s="35">
        <f>'FS Desroches Daily'!AP23</f>
        <v>229.99999999998977</v>
      </c>
      <c r="Y21" s="35">
        <f>'FS Desroches Daily'!AR23</f>
        <v>240.00000000000909</v>
      </c>
      <c r="Z21" s="35">
        <f>'FS Desroches Daily'!AT23</f>
        <v>39.99999999996362</v>
      </c>
      <c r="AA21" s="35">
        <f>'FS Desroches Daily'!AT23</f>
        <v>39.99999999996362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19.99999999998181</v>
      </c>
      <c r="AE21" s="35">
        <f>'FS Desroches Daily'!BD23</f>
        <v>19.99999999998181</v>
      </c>
      <c r="AF21" s="31">
        <f>'FS Desroches Daily'!BF23</f>
        <v>34</v>
      </c>
      <c r="AG21" s="32">
        <f>'FS Desroches Daily'!BH23</f>
        <v>30.000000000001137</v>
      </c>
      <c r="AH21" s="32">
        <f>'FS Desroches Daily'!BJ23</f>
        <v>39.99999999996362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23</v>
      </c>
      <c r="AM21" s="32">
        <f>'FS Desroches Daily'!BT23</f>
        <v>20.000000000010232</v>
      </c>
      <c r="AN21" s="32">
        <f>'FS Desroches Daily'!BV23</f>
        <v>38</v>
      </c>
      <c r="AO21" s="32">
        <f>'FS Desroches Daily'!BX23</f>
        <v>20.000000000010232</v>
      </c>
      <c r="AP21" s="32">
        <f>'FS Desroches Daily'!BZ23</f>
        <v>48</v>
      </c>
      <c r="AQ21" s="31">
        <f>'FS Desroches Daily'!CB23</f>
        <v>43</v>
      </c>
      <c r="AR21" s="31">
        <f>'FS Desroches Daily'!CD23</f>
        <v>5.8000000000010914</v>
      </c>
      <c r="AS21" s="31">
        <f>'FS Desroches Daily'!CF23</f>
        <v>0.5</v>
      </c>
      <c r="AT21" s="31">
        <f>'FS Desroches Daily'!CH23</f>
        <v>38.19999999999709</v>
      </c>
      <c r="AU21" s="31">
        <f>'FS Desroches Daily'!CJ23</f>
        <v>278</v>
      </c>
      <c r="AV21" s="31">
        <f>'FS Desroches Daily'!CL23</f>
        <v>960.00000000003638</v>
      </c>
      <c r="AW21" s="31">
        <f>'FS Desroches Daily'!CM23</f>
        <v>94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2200.0000000002019</v>
      </c>
      <c r="F22" s="32">
        <f>'FS Desroches Daily'!F24</f>
        <v>2799.9999999996917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1999.9999999997797</v>
      </c>
      <c r="J22" s="32">
        <f>'FS Desroches Daily'!N24</f>
        <v>899.99999999990087</v>
      </c>
      <c r="K22" s="13">
        <f>'FS Desroches Daily'!P24</f>
        <v>11</v>
      </c>
      <c r="L22" s="31">
        <f>'FS Desroches Daily'!R24</f>
        <v>4</v>
      </c>
      <c r="M22" s="31">
        <f>'FS Desroches Daily'!T24</f>
        <v>809</v>
      </c>
      <c r="N22" s="31">
        <f>'FS Desroches Daily'!V24</f>
        <v>344.90000000002328</v>
      </c>
      <c r="O22" s="31">
        <f>'FS Desroches Daily'!X24</f>
        <v>310.00000000000227</v>
      </c>
      <c r="P22" s="31">
        <f>'FS Desroches Daily'!Z24</f>
        <v>2499.9999999999468</v>
      </c>
      <c r="Q22" s="31">
        <f>'FS Desroches Daily'!AB24</f>
        <v>389.99999999998636</v>
      </c>
      <c r="R22" s="31">
        <f>'FS Desroches Daily'!AD24</f>
        <v>189.99999999999773</v>
      </c>
      <c r="S22" s="31">
        <f>'FS Desroches Daily'!AF24</f>
        <v>289.99999999996362</v>
      </c>
      <c r="T22" s="31">
        <f>'FS Desroches Daily'!AH24</f>
        <v>40</v>
      </c>
      <c r="U22" s="35">
        <f>'FS Desroches Daily'!AJ24</f>
        <v>750</v>
      </c>
      <c r="V22" s="35">
        <f>'FS Desroches Daily'!AL24</f>
        <v>209.99999999997954</v>
      </c>
      <c r="W22" s="35">
        <f>'FS Desroches Daily'!AN24</f>
        <v>159.99999999999659</v>
      </c>
      <c r="X22" s="35">
        <f>'FS Desroches Daily'!AP24</f>
        <v>240.00000000000909</v>
      </c>
      <c r="Y22" s="35">
        <f>'FS Desroches Daily'!AR24</f>
        <v>219.99999999999886</v>
      </c>
      <c r="Z22" s="35">
        <f>'FS Desroches Daily'!AT24</f>
        <v>100.00000000002274</v>
      </c>
      <c r="AA22" s="35">
        <f>'FS Desroches Daily'!AT24</f>
        <v>100.00000000002274</v>
      </c>
      <c r="AB22" s="35">
        <f>'FS Desroches Daily'!AV24</f>
        <v>60.000000000002274</v>
      </c>
      <c r="AC22" s="35">
        <f>'FS Desroches Daily'!AZ24</f>
        <v>30.000000000029559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46</v>
      </c>
      <c r="AG22" s="32">
        <f>'FS Desroches Daily'!BH24</f>
        <v>30.000000000001137</v>
      </c>
      <c r="AH22" s="32">
        <f>'FS Desroches Daily'!BJ24</f>
        <v>40.000000000020464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30.000000000029559</v>
      </c>
      <c r="AL22" s="32">
        <f>'FS Desroches Daily'!BR24</f>
        <v>23</v>
      </c>
      <c r="AM22" s="32">
        <f>'FS Desroches Daily'!BT24</f>
        <v>19.99999999998181</v>
      </c>
      <c r="AN22" s="32">
        <f>'FS Desroches Daily'!BV24</f>
        <v>39</v>
      </c>
      <c r="AO22" s="32">
        <f>'FS Desroches Daily'!BX24</f>
        <v>30.000000000001137</v>
      </c>
      <c r="AP22" s="32">
        <f>'FS Desroches Daily'!BZ24</f>
        <v>49</v>
      </c>
      <c r="AQ22" s="31">
        <f>'FS Desroches Daily'!CB24</f>
        <v>45.099999999998545</v>
      </c>
      <c r="AR22" s="31">
        <f>'FS Desroches Daily'!CD24</f>
        <v>9.8999999999996362</v>
      </c>
      <c r="AS22" s="31">
        <f>'FS Desroches Daily'!CF24</f>
        <v>7.5</v>
      </c>
      <c r="AT22" s="31">
        <f>'FS Desroches Daily'!CH24</f>
        <v>33.900000000001455</v>
      </c>
      <c r="AU22" s="31">
        <f>'FS Desroches Daily'!CJ24</f>
        <v>332</v>
      </c>
      <c r="AV22" s="31">
        <f>'FS Desroches Daily'!CL24</f>
        <v>800.00000000006821</v>
      </c>
      <c r="AW22" s="31">
        <f>'FS Desroches Daily'!CM24</f>
        <v>71</v>
      </c>
      <c r="AX22" s="31">
        <f>IF(LPG!F29-LPG!F28&lt;0,"0",(LPG!F29-LPG!F28)*1.8315)</f>
        <v>9.1574999999999989</v>
      </c>
      <c r="AY22" s="31">
        <f>IF(LPG!H29-LPG!H28&lt;0,"0",(LPG!H29-LPG!H28)*1.8315)</f>
        <v>3.6629999999999998</v>
      </c>
      <c r="AZ22" s="31">
        <f>IF(LPG!J29-LPG!J28&lt;0,"0",(LPG!J29-LPG!J28)*1.8315)</f>
        <v>1.8314999999999999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10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1900.0000000000127</v>
      </c>
      <c r="F23" s="32">
        <f>'FS Desroches Daily'!F25</f>
        <v>2900.0000000003465</v>
      </c>
      <c r="G23" s="31">
        <f>'FS Desroches Daily'!H25</f>
        <v>2899.9999999999027</v>
      </c>
      <c r="H23" s="32">
        <f>'FS Desroches Daily'!J25</f>
        <v>1300.0000000000789</v>
      </c>
      <c r="I23" s="31">
        <f>'FS Desroches Daily'!L25</f>
        <v>2200.0000000002019</v>
      </c>
      <c r="J23" s="32">
        <f>'FS Desroches Daily'!N25</f>
        <v>800.00000000013392</v>
      </c>
      <c r="K23" s="13">
        <f>'FS Desroches Daily'!P25</f>
        <v>10</v>
      </c>
      <c r="L23" s="31">
        <f>'FS Desroches Daily'!R25</f>
        <v>5</v>
      </c>
      <c r="M23" s="31">
        <f>'FS Desroches Daily'!T25</f>
        <v>769.20000000006985</v>
      </c>
      <c r="N23" s="31">
        <f>'FS Desroches Daily'!V25</f>
        <v>305.5</v>
      </c>
      <c r="O23" s="31">
        <f>'FS Desroches Daily'!X25</f>
        <v>290.00000000002046</v>
      </c>
      <c r="P23" s="31">
        <f>'FS Desroches Daily'!Z25</f>
        <v>2499.9999999999468</v>
      </c>
      <c r="Q23" s="31">
        <f>'FS Desroches Daily'!AB25</f>
        <v>200.00000000004547</v>
      </c>
      <c r="R23" s="31">
        <f>'FS Desroches Daily'!AD25</f>
        <v>180.00000000000682</v>
      </c>
      <c r="S23" s="31">
        <f>'FS Desroches Daily'!AF25</f>
        <v>230.00000000001819</v>
      </c>
      <c r="T23" s="31">
        <f>'FS Desroches Daily'!AH25</f>
        <v>36</v>
      </c>
      <c r="U23" s="35">
        <f>'FS Desroches Daily'!AJ25</f>
        <v>720.00000000002728</v>
      </c>
      <c r="V23" s="35">
        <f>'FS Desroches Daily'!AL25</f>
        <v>159.99999999999659</v>
      </c>
      <c r="W23" s="35">
        <f>'FS Desroches Daily'!AN25</f>
        <v>189.99999999999773</v>
      </c>
      <c r="X23" s="35">
        <f>'FS Desroches Daily'!AP25</f>
        <v>129.99999999999545</v>
      </c>
      <c r="Y23" s="35">
        <f>'FS Desroches Daily'!AR25</f>
        <v>200.00000000001705</v>
      </c>
      <c r="Z23" s="35">
        <f>'FS Desroches Daily'!AT25</f>
        <v>69.999999999993179</v>
      </c>
      <c r="AA23" s="35">
        <f>'FS Desroches Daily'!AT25</f>
        <v>69.999999999993179</v>
      </c>
      <c r="AB23" s="35">
        <f>'FS Desroches Daily'!AV25</f>
        <v>40.000000000020464</v>
      </c>
      <c r="AC23" s="35">
        <f>'FS Desroches Daily'!AZ25</f>
        <v>29.999999999972715</v>
      </c>
      <c r="AD23" s="35">
        <f>'FS Desroches Daily'!BB25</f>
        <v>20.000000000038654</v>
      </c>
      <c r="AE23" s="35">
        <f>'FS Desroches Daily'!BD25</f>
        <v>19.99999999998181</v>
      </c>
      <c r="AF23" s="31">
        <f>'FS Desroches Daily'!BF25</f>
        <v>25</v>
      </c>
      <c r="AG23" s="32">
        <f>'FS Desroches Daily'!BH25</f>
        <v>30.000000000001137</v>
      </c>
      <c r="AH23" s="32">
        <f>'FS Desroches Daily'!BJ25</f>
        <v>40.000000000020464</v>
      </c>
      <c r="AI23" s="32">
        <f>'FS Desroches Daily'!BL25</f>
        <v>30.000000000001137</v>
      </c>
      <c r="AJ23" s="32">
        <f>'FS Desroches Daily'!BN25</f>
        <v>30.000000000001137</v>
      </c>
      <c r="AK23" s="32">
        <f>'FS Desroches Daily'!BP25</f>
        <v>29.999999999972715</v>
      </c>
      <c r="AL23" s="32">
        <f>'FS Desroches Daily'!BR25</f>
        <v>21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20.000000000010232</v>
      </c>
      <c r="AP23" s="32">
        <f>'FS Desroches Daily'!BZ25</f>
        <v>42</v>
      </c>
      <c r="AQ23" s="31">
        <f>'FS Desroches Daily'!CB25</f>
        <v>42.5</v>
      </c>
      <c r="AR23" s="31">
        <f>'FS Desroches Daily'!CD25</f>
        <v>10.799999999999272</v>
      </c>
      <c r="AS23" s="31">
        <f>'FS Desroches Daily'!CF25</f>
        <v>1</v>
      </c>
      <c r="AT23" s="31">
        <f>'FS Desroches Daily'!CH25</f>
        <v>35.700000000004366</v>
      </c>
      <c r="AU23" s="31">
        <f>'FS Desroches Daily'!CJ25</f>
        <v>322</v>
      </c>
      <c r="AV23" s="31">
        <f>'FS Desroches Daily'!CL25</f>
        <v>889.99999999998636</v>
      </c>
      <c r="AW23" s="31">
        <f>'FS Desroches Daily'!CM25</f>
        <v>64</v>
      </c>
      <c r="AX23" s="31">
        <f>IF(LPG!F30-LPG!F29&lt;0,"0",(LPG!F30-LPG!F29)*1.8315)</f>
        <v>7.3259999999999996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5.4944999999999995</v>
      </c>
      <c r="BB23" s="31">
        <f>IF(LPG!Q30-LPG!Q29&lt;0,"0",(LPG!Q30-LPG!Q29)*1.8315)</f>
        <v>18.314999999999998</v>
      </c>
      <c r="BC23" s="13">
        <f>'FS Desroches Daily'!CN25</f>
        <v>10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1599.9999999998238</v>
      </c>
      <c r="F24" s="32">
        <f>'FS Desroches Daily'!F26</f>
        <v>2599.9999999997135</v>
      </c>
      <c r="G24" s="31">
        <f>'FS Desroches Daily'!H26</f>
        <v>2600.0000000001578</v>
      </c>
      <c r="H24" s="32">
        <f>'FS Desroches Daily'!J26</f>
        <v>1199.9999999998679</v>
      </c>
      <c r="I24" s="31">
        <f>'FS Desroches Daily'!L26</f>
        <v>1999.9999999997797</v>
      </c>
      <c r="J24" s="32">
        <f>'FS Desroches Daily'!N26</f>
        <v>799.99999999991189</v>
      </c>
      <c r="K24" s="13">
        <f>'FS Desroches Daily'!P26</f>
        <v>9</v>
      </c>
      <c r="L24" s="31">
        <f>'FS Desroches Daily'!R26</f>
        <v>3</v>
      </c>
      <c r="M24" s="31">
        <f>'FS Desroches Daily'!T26</f>
        <v>670.59999999997672</v>
      </c>
      <c r="N24" s="31">
        <f>'FS Desroches Daily'!V26</f>
        <v>276.39999999996508</v>
      </c>
      <c r="O24" s="31">
        <f>'FS Desroches Daily'!X26</f>
        <v>279.99999999997272</v>
      </c>
      <c r="P24" s="31">
        <f>'FS Desroches Daily'!Z26</f>
        <v>2199.9999999997576</v>
      </c>
      <c r="Q24" s="31">
        <f>'FS Desroches Daily'!AB26</f>
        <v>329.99999999998408</v>
      </c>
      <c r="R24" s="31">
        <f>'FS Desroches Daily'!AD26</f>
        <v>140.0000000000432</v>
      </c>
      <c r="S24" s="31">
        <f>'FS Desroches Daily'!AF26</f>
        <v>200.00000000004547</v>
      </c>
      <c r="T24" s="31">
        <f>'FS Desroches Daily'!AH26</f>
        <v>33</v>
      </c>
      <c r="U24" s="35">
        <f>'FS Desroches Daily'!AJ26</f>
        <v>639.99999999998636</v>
      </c>
      <c r="V24" s="35">
        <f>'FS Desroches Daily'!AL26</f>
        <v>160.00000000002501</v>
      </c>
      <c r="W24" s="35">
        <f>'FS Desroches Daily'!AN26</f>
        <v>150.00000000000568</v>
      </c>
      <c r="X24" s="35">
        <f>'FS Desroches Daily'!AP26</f>
        <v>80.000000000012506</v>
      </c>
      <c r="Y24" s="35">
        <f>'FS Desroches Daily'!AR26</f>
        <v>169.99999999998749</v>
      </c>
      <c r="Z24" s="35">
        <f>'FS Desroches Daily'!AT26</f>
        <v>60.000000000002274</v>
      </c>
      <c r="AA24" s="35">
        <f>'FS Desroches Daily'!AT26</f>
        <v>60.000000000002274</v>
      </c>
      <c r="AB24" s="35">
        <f>'FS Desroches Daily'!AV26</f>
        <v>50.000000000011369</v>
      </c>
      <c r="AC24" s="35">
        <f>'FS Desroches Daily'!AZ26</f>
        <v>30.000000000029559</v>
      </c>
      <c r="AD24" s="35">
        <f>'FS Desroches Daily'!BB26</f>
        <v>9.9999999999909051</v>
      </c>
      <c r="AE24" s="35">
        <f>'FS Desroches Daily'!BD26</f>
        <v>20.000000000010232</v>
      </c>
      <c r="AF24" s="31">
        <f>'FS Desroches Daily'!BF26</f>
        <v>24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39.999999999992042</v>
      </c>
      <c r="AJ24" s="32">
        <f>'FS Desroches Daily'!BN26</f>
        <v>30.000000000001137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20.000000000010232</v>
      </c>
      <c r="AN24" s="32">
        <f>'FS Desroches Daily'!BV26</f>
        <v>35</v>
      </c>
      <c r="AO24" s="32">
        <f>'FS Desroches Daily'!BX26</f>
        <v>19.99999999998181</v>
      </c>
      <c r="AP24" s="32">
        <f>'FS Desroches Daily'!BZ26</f>
        <v>42</v>
      </c>
      <c r="AQ24" s="31">
        <f>'FS Desroches Daily'!CB26</f>
        <v>42.700000000000728</v>
      </c>
      <c r="AR24" s="31">
        <f>'FS Desroches Daily'!CD26</f>
        <v>10.200000000000728</v>
      </c>
      <c r="AS24" s="31">
        <f>'FS Desroches Daily'!CF26</f>
        <v>12.199999999999818</v>
      </c>
      <c r="AT24" s="31">
        <f>'FS Desroches Daily'!CH26</f>
        <v>32.799999999995634</v>
      </c>
      <c r="AU24" s="31">
        <f>'FS Desroches Daily'!CJ26</f>
        <v>272</v>
      </c>
      <c r="AV24" s="31">
        <f>'FS Desroches Daily'!CL26</f>
        <v>829.99999999992724</v>
      </c>
      <c r="AW24" s="31">
        <f>'FS Desroches Daily'!CM26</f>
        <v>66</v>
      </c>
      <c r="AX24" s="31">
        <f>IF(LPG!F31-LPG!F30&lt;0,"0",(LPG!F31-LPG!F30)*1.8315)</f>
        <v>9.1574999999999989</v>
      </c>
      <c r="AY24" s="31">
        <f>IF(LPG!H31-LPG!H30&lt;0,"0",(LPG!H31-LPG!H30)*1.8315)</f>
        <v>3.6629999999999998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 t="str">
        <f>IF(LPG!Q31-LPG!Q30&lt;0,"0",(LPG!Q31-LPG!Q30)*1.8315)</f>
        <v>0</v>
      </c>
      <c r="BC24" s="13">
        <f>'FS Desroches Daily'!CN26</f>
        <v>11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1700.0000000000348</v>
      </c>
      <c r="F25" s="32">
        <f>'FS Desroches Daily'!F27</f>
        <v>2499.9999999999468</v>
      </c>
      <c r="G25" s="31">
        <f>'FS Desroches Daily'!H27</f>
        <v>2399.9999999997358</v>
      </c>
      <c r="H25" s="32">
        <f>'FS Desroches Daily'!J27</f>
        <v>1100.000000000101</v>
      </c>
      <c r="I25" s="31">
        <f>'FS Desroches Daily'!L27</f>
        <v>1900.0000000000127</v>
      </c>
      <c r="J25" s="32">
        <f>'FS Desroches Daily'!N27</f>
        <v>800.00000000013392</v>
      </c>
      <c r="K25" s="13">
        <f>'FS Desroches Daily'!P27</f>
        <v>5</v>
      </c>
      <c r="L25" s="31">
        <f>'FS Desroches Daily'!R27</f>
        <v>4</v>
      </c>
      <c r="M25" s="31">
        <f>'FS Desroches Daily'!T27</f>
        <v>604.19999999995343</v>
      </c>
      <c r="N25" s="31">
        <f>'FS Desroches Daily'!V27</f>
        <v>244.30000000004657</v>
      </c>
      <c r="O25" s="31">
        <f>'FS Desroches Daily'!X27</f>
        <v>270.00000000003865</v>
      </c>
      <c r="P25" s="31">
        <f>'FS Desroches Daily'!Z27</f>
        <v>2400.0000000001796</v>
      </c>
      <c r="Q25" s="31">
        <f>'FS Desroches Daily'!AB27</f>
        <v>319.99999999999318</v>
      </c>
      <c r="R25" s="31">
        <f>'FS Desroches Daily'!AD27</f>
        <v>169.99999999995907</v>
      </c>
      <c r="S25" s="31">
        <f>'FS Desroches Daily'!AF27</f>
        <v>279.99999999997272</v>
      </c>
      <c r="T25" s="31">
        <f>'FS Desroches Daily'!AH27</f>
        <v>31</v>
      </c>
      <c r="U25" s="35">
        <f>'FS Desroches Daily'!AJ27</f>
        <v>690.00000000005457</v>
      </c>
      <c r="V25" s="35">
        <f>'FS Desroches Daily'!AL27</f>
        <v>159.99999999999659</v>
      </c>
      <c r="W25" s="35">
        <f>'FS Desroches Daily'!AN27</f>
        <v>180.00000000000682</v>
      </c>
      <c r="X25" s="35">
        <f>'FS Desroches Daily'!AP27</f>
        <v>79.999999999984084</v>
      </c>
      <c r="Y25" s="35">
        <f>'FS Desroches Daily'!AR27</f>
        <v>159.99999999999659</v>
      </c>
      <c r="Z25" s="35">
        <f>'FS Desroches Daily'!AT27</f>
        <v>69.999999999993179</v>
      </c>
      <c r="AA25" s="35">
        <f>'FS Desroches Daily'!AT27</f>
        <v>69.999999999993179</v>
      </c>
      <c r="AB25" s="35">
        <f>'FS Desroches Daily'!AV27</f>
        <v>49.999999999954525</v>
      </c>
      <c r="AC25" s="35">
        <f>'FS Desroches Daily'!AZ27</f>
        <v>40.000000000020464</v>
      </c>
      <c r="AD25" s="35">
        <f>'FS Desroches Daily'!BB27</f>
        <v>29.999999999972715</v>
      </c>
      <c r="AE25" s="35">
        <f>'FS Desroches Daily'!BD27</f>
        <v>30.000000000001137</v>
      </c>
      <c r="AF25" s="31">
        <f>'FS Desroches Daily'!BF27</f>
        <v>37</v>
      </c>
      <c r="AG25" s="32">
        <f>'FS Desroches Daily'!BH27</f>
        <v>30.000000000001137</v>
      </c>
      <c r="AH25" s="32">
        <f>'FS Desroches Daily'!BJ27</f>
        <v>30.000000000029559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19.99999999998181</v>
      </c>
      <c r="AL25" s="32">
        <f>'FS Desroches Daily'!BR27</f>
        <v>21</v>
      </c>
      <c r="AM25" s="32">
        <f>'FS Desroches Daily'!BT27</f>
        <v>9.9999999999909051</v>
      </c>
      <c r="AN25" s="32">
        <f>'FS Desroches Daily'!BV27</f>
        <v>32</v>
      </c>
      <c r="AO25" s="32">
        <f>'FS Desroches Daily'!BX27</f>
        <v>20.000000000010232</v>
      </c>
      <c r="AP25" s="32">
        <f>'FS Desroches Daily'!BZ27</f>
        <v>28</v>
      </c>
      <c r="AQ25" s="31">
        <f>'FS Desroches Daily'!CB27</f>
        <v>39.5</v>
      </c>
      <c r="AR25" s="31">
        <f>'FS Desroches Daily'!CD27</f>
        <v>9.8999999999996362</v>
      </c>
      <c r="AS25" s="31">
        <f>'FS Desroches Daily'!CF27</f>
        <v>0.8000000000001819</v>
      </c>
      <c r="AT25" s="31">
        <f>'FS Desroches Daily'!CH27</f>
        <v>28</v>
      </c>
      <c r="AU25" s="31">
        <f>'FS Desroches Daily'!CJ27</f>
        <v>271</v>
      </c>
      <c r="AV25" s="31">
        <f>'FS Desroches Daily'!CL27</f>
        <v>740.00000000000909</v>
      </c>
      <c r="AW25" s="31">
        <f>'FS Desroches Daily'!CM27</f>
        <v>40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9.1574999999999989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2000.0000000002237</v>
      </c>
      <c r="F26" s="32">
        <f>'FS Desroches Daily'!F28</f>
        <v>2900.0000000003465</v>
      </c>
      <c r="G26" s="31">
        <f>'FS Desroches Daily'!H28</f>
        <v>2499.9999999999468</v>
      </c>
      <c r="H26" s="32">
        <f>'FS Desroches Daily'!J28</f>
        <v>1299.9999999998568</v>
      </c>
      <c r="I26" s="31">
        <f>'FS Desroches Daily'!L28</f>
        <v>1900.0000000000127</v>
      </c>
      <c r="J26" s="32">
        <f>'FS Desroches Daily'!N28</f>
        <v>699.99999999992292</v>
      </c>
      <c r="K26" s="13">
        <f>'FS Desroches Daily'!P28</f>
        <v>5</v>
      </c>
      <c r="L26" s="31">
        <f>'FS Desroches Daily'!R28</f>
        <v>3</v>
      </c>
      <c r="M26" s="31">
        <f>'FS Desroches Daily'!T28</f>
        <v>619.60000000009313</v>
      </c>
      <c r="N26" s="31">
        <f>'FS Desroches Daily'!V28</f>
        <v>277.29999999998836</v>
      </c>
      <c r="O26" s="31">
        <f>'FS Desroches Daily'!X28</f>
        <v>310.00000000000227</v>
      </c>
      <c r="P26" s="31">
        <f>'FS Desroches Daily'!Z28</f>
        <v>2499.9999999999468</v>
      </c>
      <c r="Q26" s="31">
        <f>'FS Desroches Daily'!AB28</f>
        <v>189.99999999999773</v>
      </c>
      <c r="R26" s="31">
        <f>'FS Desroches Daily'!AD28</f>
        <v>160.00000000002501</v>
      </c>
      <c r="S26" s="31">
        <f>'FS Desroches Daily'!AF28</f>
        <v>220.00000000002728</v>
      </c>
      <c r="T26" s="31">
        <f>'FS Desroches Daily'!AH28</f>
        <v>35</v>
      </c>
      <c r="U26" s="35">
        <f>'FS Desroches Daily'!AJ28</f>
        <v>809.99999999994543</v>
      </c>
      <c r="V26" s="35">
        <f>'FS Desroches Daily'!AL28</f>
        <v>159.99999999999659</v>
      </c>
      <c r="W26" s="35">
        <f>'FS Desroches Daily'!AN28</f>
        <v>199.99999999998863</v>
      </c>
      <c r="X26" s="35">
        <f>'FS Desroches Daily'!AP28</f>
        <v>90.000000000003411</v>
      </c>
      <c r="Y26" s="35">
        <f>'FS Desroches Daily'!AR28</f>
        <v>170.00000000001592</v>
      </c>
      <c r="Z26" s="35">
        <f>'FS Desroches Daily'!AT28</f>
        <v>69.999999999993179</v>
      </c>
      <c r="AA26" s="35">
        <f>'FS Desroches Daily'!AT28</f>
        <v>69.999999999993179</v>
      </c>
      <c r="AB26" s="35">
        <f>'FS Desroches Daily'!AV28</f>
        <v>70.000000000050022</v>
      </c>
      <c r="AC26" s="35">
        <f>'FS Desroches Daily'!AZ28</f>
        <v>39.99999999996362</v>
      </c>
      <c r="AD26" s="35">
        <f>'FS Desroches Daily'!BB28</f>
        <v>20.000000000038654</v>
      </c>
      <c r="AE26" s="35">
        <f>'FS Desroches Daily'!BD28</f>
        <v>20.000000000010232</v>
      </c>
      <c r="AF26" s="31">
        <f>'FS Desroches Daily'!BF28</f>
        <v>30</v>
      </c>
      <c r="AG26" s="32">
        <f>'FS Desroches Daily'!BH28</f>
        <v>50.000000000011369</v>
      </c>
      <c r="AH26" s="32">
        <f>'FS Desroches Daily'!BJ28</f>
        <v>29.999999999972715</v>
      </c>
      <c r="AI26" s="32">
        <f>'FS Desroches Daily'!BL28</f>
        <v>30.000000000001137</v>
      </c>
      <c r="AJ26" s="32">
        <f>'FS Desroches Daily'!BN28</f>
        <v>29.999999999972715</v>
      </c>
      <c r="AK26" s="32">
        <f>'FS Desroches Daily'!BP28</f>
        <v>30.000000000029559</v>
      </c>
      <c r="AL26" s="32">
        <f>'FS Desroches Daily'!BR28</f>
        <v>23</v>
      </c>
      <c r="AM26" s="32">
        <f>'FS Desroches Daily'!BT28</f>
        <v>20.000000000010232</v>
      </c>
      <c r="AN26" s="32">
        <f>'FS Desroches Daily'!BV28</f>
        <v>38</v>
      </c>
      <c r="AO26" s="32">
        <f>'FS Desroches Daily'!BX28</f>
        <v>20.000000000010232</v>
      </c>
      <c r="AP26" s="32">
        <f>'FS Desroches Daily'!BZ28</f>
        <v>39</v>
      </c>
      <c r="AQ26" s="31">
        <f>'FS Desroches Daily'!CB28</f>
        <v>41.599999999998545</v>
      </c>
      <c r="AR26" s="31">
        <f>'FS Desroches Daily'!CD28</f>
        <v>8.1000000000003638</v>
      </c>
      <c r="AS26" s="31">
        <f>'FS Desroches Daily'!CF28</f>
        <v>2.3999999999996362</v>
      </c>
      <c r="AT26" s="31">
        <f>'FS Desroches Daily'!CH28</f>
        <v>31.700000000004366</v>
      </c>
      <c r="AU26" s="31">
        <f>'FS Desroches Daily'!CJ28</f>
        <v>286</v>
      </c>
      <c r="AV26" s="31">
        <f>'FS Desroches Daily'!CL28</f>
        <v>740.00000000000909</v>
      </c>
      <c r="AW26" s="31">
        <f>'FS Desroches Daily'!CM28</f>
        <v>70</v>
      </c>
      <c r="AX26" s="31">
        <f>IF(LPG!F33-LPG!F32&lt;0,"0",(LPG!F33-LPG!F32)*1.8315)</f>
        <v>7.3259999999999996</v>
      </c>
      <c r="AY26" s="31">
        <f>IF(LPG!H33-LPG!H32&lt;0,"0",(LPG!H33-LPG!H32)*1.8315)</f>
        <v>3.6629999999999998</v>
      </c>
      <c r="AZ26" s="31">
        <f>IF(LPG!J33-LPG!J32&lt;0,"0",(LPG!J33-LPG!J32)*1.8315)</f>
        <v>1.8314999999999999</v>
      </c>
      <c r="BA26" s="31">
        <f>IF(LPG!M33-LPG!M32&lt;0,"0",(LPG!M33-LPG!M32)*1.8315)</f>
        <v>5.4944999999999995</v>
      </c>
      <c r="BB26" s="31">
        <f>IF(LPG!Q33-LPG!Q32&lt;0,"0",(LPG!Q33-LPG!Q32)*1.8315)</f>
        <v>5.4944999999999995</v>
      </c>
      <c r="BC26" s="13">
        <f>'FS Desroches Daily'!CN28</f>
        <v>15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2099.9999999999909</v>
      </c>
      <c r="F27" s="32">
        <f>'FS Desroches Daily'!F29</f>
        <v>2799.9999999996917</v>
      </c>
      <c r="G27" s="31">
        <f>'FS Desroches Daily'!H29</f>
        <v>2600.0000000001578</v>
      </c>
      <c r="H27" s="32">
        <f>'FS Desroches Daily'!J29</f>
        <v>1300.0000000000789</v>
      </c>
      <c r="I27" s="31">
        <f>'FS Desroches Daily'!L29</f>
        <v>2000.0000000002237</v>
      </c>
      <c r="J27" s="32">
        <f>'FS Desroches Daily'!N29</f>
        <v>799.99999999991189</v>
      </c>
      <c r="K27" s="13">
        <f>'FS Desroches Daily'!P29</f>
        <v>14</v>
      </c>
      <c r="L27" s="31">
        <f>'FS Desroches Daily'!R29</f>
        <v>4</v>
      </c>
      <c r="M27" s="31">
        <f>'FS Desroches Daily'!T29</f>
        <v>760</v>
      </c>
      <c r="N27" s="31">
        <f>'FS Desroches Daily'!V29</f>
        <v>269.09999999997672</v>
      </c>
      <c r="O27" s="31">
        <f>'FS Desroches Daily'!X29</f>
        <v>319.99999999999318</v>
      </c>
      <c r="P27" s="31">
        <f>'FS Desroches Daily'!Z29</f>
        <v>2499.9999999999468</v>
      </c>
      <c r="Q27" s="31">
        <f>'FS Desroches Daily'!AB29</f>
        <v>360.00000000001364</v>
      </c>
      <c r="R27" s="31">
        <f>'FS Desroches Daily'!AD29</f>
        <v>149.99999999997726</v>
      </c>
      <c r="S27" s="31">
        <f>'FS Desroches Daily'!AF29</f>
        <v>250</v>
      </c>
      <c r="T27" s="31">
        <f>'FS Desroches Daily'!AH29</f>
        <v>35</v>
      </c>
      <c r="U27" s="35">
        <f>'FS Desroches Daily'!AJ29</f>
        <v>889.99999999998636</v>
      </c>
      <c r="V27" s="35">
        <f>'FS Desroches Daily'!AL29</f>
        <v>189.99999999999773</v>
      </c>
      <c r="W27" s="35">
        <f>'FS Desroches Daily'!AN29</f>
        <v>200.00000000001705</v>
      </c>
      <c r="X27" s="35">
        <f>'FS Desroches Daily'!AP29</f>
        <v>80.000000000012506</v>
      </c>
      <c r="Y27" s="35">
        <f>'FS Desroches Daily'!AR29</f>
        <v>209.99999999997954</v>
      </c>
      <c r="Z27" s="35">
        <f>'FS Desroches Daily'!AT29</f>
        <v>69.999999999993179</v>
      </c>
      <c r="AA27" s="35">
        <f>'FS Desroches Daily'!AT29</f>
        <v>69.999999999993179</v>
      </c>
      <c r="AB27" s="35">
        <f>'FS Desroches Daily'!AV29</f>
        <v>60.000000000002274</v>
      </c>
      <c r="AC27" s="35">
        <f>'FS Desroches Daily'!AZ29</f>
        <v>40.000000000020464</v>
      </c>
      <c r="AD27" s="35">
        <f>'FS Desroches Daily'!BB29</f>
        <v>19.99999999998181</v>
      </c>
      <c r="AE27" s="35">
        <f>'FS Desroches Daily'!BD29</f>
        <v>30.000000000001137</v>
      </c>
      <c r="AF27" s="31">
        <f>'FS Desroches Daily'!BF29</f>
        <v>34</v>
      </c>
      <c r="AG27" s="32">
        <f>'FS Desroches Daily'!BH29</f>
        <v>49.999999999982947</v>
      </c>
      <c r="AH27" s="32">
        <f>'FS Desroches Daily'!BJ29</f>
        <v>30.000000000029559</v>
      </c>
      <c r="AI27" s="32">
        <f>'FS Desroches Daily'!BL29</f>
        <v>30.000000000001137</v>
      </c>
      <c r="AJ27" s="32">
        <f>'FS Desroches Daily'!BN29</f>
        <v>40.000000000020464</v>
      </c>
      <c r="AK27" s="32">
        <f>'FS Desroches Daily'!BP29</f>
        <v>29.999999999972715</v>
      </c>
      <c r="AL27" s="32">
        <f>'FS Desroches Daily'!BR29</f>
        <v>19</v>
      </c>
      <c r="AM27" s="32">
        <f>'FS Desroches Daily'!BT29</f>
        <v>9.9999999999909051</v>
      </c>
      <c r="AN27" s="32">
        <f>'FS Desroches Daily'!BV29</f>
        <v>35</v>
      </c>
      <c r="AO27" s="32">
        <f>'FS Desroches Daily'!BX29</f>
        <v>30.000000000001137</v>
      </c>
      <c r="AP27" s="32">
        <f>'FS Desroches Daily'!BZ29</f>
        <v>43</v>
      </c>
      <c r="AQ27" s="31">
        <f>'FS Desroches Daily'!CB29</f>
        <v>42.600000000002183</v>
      </c>
      <c r="AR27" s="31">
        <f>'FS Desroches Daily'!CD29</f>
        <v>9.6000000000003638</v>
      </c>
      <c r="AS27" s="31">
        <f>'FS Desroches Daily'!CF29</f>
        <v>5.6000000000003638</v>
      </c>
      <c r="AT27" s="31">
        <f>'FS Desroches Daily'!CH29</f>
        <v>33.799999999995634</v>
      </c>
      <c r="AU27" s="31">
        <f>'FS Desroches Daily'!CJ29</f>
        <v>277</v>
      </c>
      <c r="AV27" s="31">
        <f>'FS Desroches Daily'!CL29</f>
        <v>810.00000000005912</v>
      </c>
      <c r="AW27" s="31">
        <f>'FS Desroches Daily'!CM29</f>
        <v>68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15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str">
        <f>'FS Desroches Daily'!T30</f>
        <v/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 t="str">
        <f>'FS Desroches Daily'!BF30</f>
        <v/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49500.000000000131</v>
      </c>
      <c r="F33" s="17">
        <f t="shared" ref="F33:BC33" si="1">SUM(F2:F32)</f>
        <v>76999.999999999971</v>
      </c>
      <c r="G33" s="17">
        <f t="shared" si="1"/>
        <v>67400.000000000146</v>
      </c>
      <c r="H33" s="17">
        <f t="shared" si="1"/>
        <v>35099.99999999992</v>
      </c>
      <c r="I33" s="17">
        <f t="shared" si="1"/>
        <v>53400.000000000364</v>
      </c>
      <c r="J33" s="17">
        <f t="shared" si="1"/>
        <v>23799.999999999825</v>
      </c>
      <c r="K33" s="17">
        <f t="shared" si="1"/>
        <v>276</v>
      </c>
      <c r="L33" s="17">
        <f t="shared" si="1"/>
        <v>116</v>
      </c>
      <c r="M33" s="17">
        <f t="shared" si="1"/>
        <v>19884</v>
      </c>
      <c r="N33" s="17">
        <f t="shared" si="1"/>
        <v>8788.0999999999767</v>
      </c>
      <c r="O33" s="17">
        <f t="shared" si="1"/>
        <v>8350.0000000000182</v>
      </c>
      <c r="P33" s="17">
        <f t="shared" si="1"/>
        <v>68799.999999999985</v>
      </c>
      <c r="Q33" s="17">
        <f t="shared" si="1"/>
        <v>8060.0000000000027</v>
      </c>
      <c r="R33" s="17">
        <f t="shared" si="1"/>
        <v>5159.9999999999682</v>
      </c>
      <c r="S33" s="17">
        <f t="shared" si="1"/>
        <v>7830.0000000000409</v>
      </c>
      <c r="T33" s="17">
        <f t="shared" si="1"/>
        <v>893</v>
      </c>
      <c r="U33" s="35">
        <f t="shared" si="1"/>
        <v>19219.999999999913</v>
      </c>
      <c r="V33" s="35">
        <f t="shared" si="1"/>
        <v>4780.0000000000018</v>
      </c>
      <c r="W33" s="35">
        <f t="shared" si="1"/>
        <v>3150.0000000000064</v>
      </c>
      <c r="X33" s="35">
        <f t="shared" si="1"/>
        <v>4349.9999999999964</v>
      </c>
      <c r="Y33" s="35">
        <f t="shared" si="1"/>
        <v>4019.9999999999818</v>
      </c>
      <c r="Z33" s="35">
        <f t="shared" si="1"/>
        <v>1883.1700000000228</v>
      </c>
      <c r="AA33" s="35">
        <f t="shared" si="1"/>
        <v>1883.1700000000228</v>
      </c>
      <c r="AB33" s="35">
        <f t="shared" si="1"/>
        <v>2240.0000000000091</v>
      </c>
      <c r="AC33" s="35">
        <f t="shared" si="1"/>
        <v>850.00000000002274</v>
      </c>
      <c r="AD33" s="35">
        <f t="shared" si="1"/>
        <v>550.00000000001137</v>
      </c>
      <c r="AE33" s="35">
        <f t="shared" si="1"/>
        <v>1000</v>
      </c>
      <c r="AF33" s="17">
        <f t="shared" si="1"/>
        <v>960</v>
      </c>
      <c r="AG33" s="32">
        <f t="shared" si="1"/>
        <v>1030.0000000000011</v>
      </c>
      <c r="AH33" s="32">
        <f t="shared" si="1"/>
        <v>1050.0000000000114</v>
      </c>
      <c r="AI33" s="32">
        <f t="shared" si="1"/>
        <v>960.00000000000796</v>
      </c>
      <c r="AJ33" s="32">
        <f t="shared" si="1"/>
        <v>969.99999999999886</v>
      </c>
      <c r="AK33" s="32">
        <f t="shared" si="1"/>
        <v>719.99999999997044</v>
      </c>
      <c r="AL33" s="32">
        <f t="shared" si="1"/>
        <v>654</v>
      </c>
      <c r="AM33" s="32">
        <f t="shared" si="1"/>
        <v>530.00000000000114</v>
      </c>
      <c r="AN33" s="32">
        <f t="shared" si="1"/>
        <v>1093</v>
      </c>
      <c r="AO33" s="32">
        <f t="shared" si="1"/>
        <v>700.00000000001705</v>
      </c>
      <c r="AP33" s="32">
        <f t="shared" si="1"/>
        <v>1162</v>
      </c>
      <c r="AQ33" s="17">
        <f t="shared" si="1"/>
        <v>937</v>
      </c>
      <c r="AR33" s="17">
        <f t="shared" si="1"/>
        <v>263.60000000000036</v>
      </c>
      <c r="AS33" s="17">
        <f t="shared" si="1"/>
        <v>202.10000000000036</v>
      </c>
      <c r="AT33" s="17">
        <f t="shared" si="1"/>
        <v>767.29999999999563</v>
      </c>
      <c r="AU33" s="17">
        <f t="shared" si="1"/>
        <v>7721</v>
      </c>
      <c r="AV33" s="17">
        <f t="shared" si="1"/>
        <v>18170.000000000073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272</v>
      </c>
    </row>
    <row r="35" spans="5:55" x14ac:dyDescent="0.25">
      <c r="E35" s="38">
        <f>E33/E37</f>
        <v>0.20292041420360968</v>
      </c>
      <c r="G35" s="29">
        <f>G33-M36</f>
        <v>38727.900000000169</v>
      </c>
      <c r="AE35" s="35">
        <f>SUM(U33:AE33)</f>
        <v>43926.339999999982</v>
      </c>
      <c r="AG35" s="32">
        <f>SUM(AG33:AP33)</f>
        <v>8869.0000000000091</v>
      </c>
    </row>
    <row r="36" spans="5:55" x14ac:dyDescent="0.25">
      <c r="G36" s="29">
        <f>G35-633*14</f>
        <v>29865.900000000169</v>
      </c>
      <c r="M36" s="29">
        <f>M33+N33</f>
        <v>28672.099999999977</v>
      </c>
    </row>
    <row r="37" spans="5:55" x14ac:dyDescent="0.25">
      <c r="E37" s="17">
        <f>E33+F33+G33+H33+J33-633*14</f>
        <v>243937.99999999997</v>
      </c>
      <c r="G37" s="37">
        <f>M36/E37</f>
        <v>0.11753847289065246</v>
      </c>
      <c r="M37" s="35">
        <f>AE35</f>
        <v>43926.339999999982</v>
      </c>
    </row>
    <row r="38" spans="5:55" x14ac:dyDescent="0.25">
      <c r="L38" s="27">
        <f>M38/E37</f>
        <v>3.6357599062056795E-2</v>
      </c>
      <c r="M38" s="29">
        <f>AG35</f>
        <v>8869.0000000000091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CJ15" activePane="bottomRight" state="frozen"/>
      <selection pane="topRight" activeCell="B1" sqref="B1"/>
      <selection pane="bottomLeft" activeCell="A2" sqref="A2"/>
      <selection pane="bottomRight" activeCell="CY29" sqref="CY29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>
        <v>2.2002999999999999</v>
      </c>
      <c r="D13" s="62">
        <f t="shared" si="0"/>
        <v>1599.9999999998238</v>
      </c>
      <c r="E13" s="56">
        <v>3.1259000000000001</v>
      </c>
      <c r="F13" s="62">
        <f t="shared" si="1"/>
        <v>2699.9999999999245</v>
      </c>
      <c r="G13" s="56">
        <v>3.1979000000000002</v>
      </c>
      <c r="H13" s="62">
        <f t="shared" si="2"/>
        <v>2500.0000000003906</v>
      </c>
      <c r="I13" s="56">
        <v>1.5758000000000001</v>
      </c>
      <c r="J13" s="62">
        <f t="shared" si="3"/>
        <v>1400.0000000000678</v>
      </c>
      <c r="K13" s="56">
        <v>2.5472999999999999</v>
      </c>
      <c r="L13" s="62">
        <f t="shared" si="37"/>
        <v>2099.9999999999909</v>
      </c>
      <c r="M13" s="56">
        <v>1.4140999999999999</v>
      </c>
      <c r="N13" s="62">
        <f t="shared" si="4"/>
        <v>999.99999999988984</v>
      </c>
      <c r="O13" s="56">
        <v>13989</v>
      </c>
      <c r="P13" s="65">
        <f t="shared" si="43"/>
        <v>8</v>
      </c>
      <c r="Q13" s="56">
        <v>860</v>
      </c>
      <c r="R13" s="65">
        <f t="shared" si="6"/>
        <v>4</v>
      </c>
      <c r="S13" s="56">
        <v>957714</v>
      </c>
      <c r="T13" s="65">
        <f t="shared" si="7"/>
        <v>734.19999999995343</v>
      </c>
      <c r="U13" s="56">
        <v>402528.8</v>
      </c>
      <c r="V13" s="65">
        <f t="shared" si="38"/>
        <v>365.29999999998836</v>
      </c>
      <c r="W13" s="56">
        <v>383.37</v>
      </c>
      <c r="X13" s="63">
        <f t="shared" si="41"/>
        <v>340.00000000003183</v>
      </c>
      <c r="Y13" s="56">
        <v>2.7298</v>
      </c>
      <c r="Z13" s="63">
        <f t="shared" si="8"/>
        <v>2299.9999999999686</v>
      </c>
      <c r="AA13" s="56">
        <v>382.24</v>
      </c>
      <c r="AB13" s="63">
        <f t="shared" si="9"/>
        <v>370.00000000000455</v>
      </c>
      <c r="AC13" s="56">
        <v>359.07</v>
      </c>
      <c r="AD13" s="63">
        <f t="shared" si="10"/>
        <v>240.00000000000909</v>
      </c>
      <c r="AE13" s="56">
        <v>553.02</v>
      </c>
      <c r="AF13" s="63">
        <f t="shared" si="11"/>
        <v>360.00000000001364</v>
      </c>
      <c r="AG13" s="56">
        <v>2778</v>
      </c>
      <c r="AH13" s="65">
        <f t="shared" si="12"/>
        <v>37</v>
      </c>
      <c r="AI13" s="56">
        <v>583.45000000000005</v>
      </c>
      <c r="AJ13" s="63">
        <f t="shared" si="13"/>
        <v>520.0000000000955</v>
      </c>
      <c r="AK13" s="56">
        <v>195.15</v>
      </c>
      <c r="AL13" s="63">
        <f t="shared" si="13"/>
        <v>140.00000000001478</v>
      </c>
      <c r="AM13" s="56">
        <v>187.42</v>
      </c>
      <c r="AN13" s="63">
        <f t="shared" si="13"/>
        <v>89.999999999974989</v>
      </c>
      <c r="AO13" s="56">
        <v>182.8</v>
      </c>
      <c r="AP13" s="63">
        <f t="shared" si="13"/>
        <v>140.00000000001478</v>
      </c>
      <c r="AQ13" s="56">
        <v>240.68</v>
      </c>
      <c r="AR13" s="63">
        <f t="shared" si="14"/>
        <v>99.999999999994316</v>
      </c>
      <c r="AS13" s="56">
        <v>365.91</v>
      </c>
      <c r="AT13" s="63">
        <f t="shared" si="15"/>
        <v>60.000000000002274</v>
      </c>
      <c r="AU13" s="56">
        <v>282.45</v>
      </c>
      <c r="AV13" s="63">
        <f t="shared" si="16"/>
        <v>170.00000000001592</v>
      </c>
      <c r="AW13" s="56">
        <v>315.47000000000003</v>
      </c>
      <c r="AX13" s="63">
        <f t="shared" si="17"/>
        <v>30.000000000029559</v>
      </c>
      <c r="AY13" s="56">
        <v>359.5</v>
      </c>
      <c r="AZ13" s="63">
        <f t="shared" si="18"/>
        <v>29.999999999972715</v>
      </c>
      <c r="BA13" s="56">
        <v>380.02</v>
      </c>
      <c r="BB13" s="63">
        <f t="shared" si="19"/>
        <v>19.99999999998181</v>
      </c>
      <c r="BC13" s="56">
        <v>240.59</v>
      </c>
      <c r="BD13" s="63">
        <f t="shared" si="20"/>
        <v>90.000000000003411</v>
      </c>
      <c r="BE13" s="57">
        <v>38764</v>
      </c>
      <c r="BF13" s="65">
        <f t="shared" si="39"/>
        <v>41</v>
      </c>
      <c r="BG13" s="58">
        <v>232.44</v>
      </c>
      <c r="BH13" s="63">
        <f t="shared" si="21"/>
        <v>39.999999999992042</v>
      </c>
      <c r="BI13" s="58">
        <v>291.68</v>
      </c>
      <c r="BJ13" s="63">
        <f t="shared" si="40"/>
        <v>40.000000000020464</v>
      </c>
      <c r="BK13" s="58">
        <v>235.37</v>
      </c>
      <c r="BL13" s="63">
        <f t="shared" si="22"/>
        <v>39.999999999992042</v>
      </c>
      <c r="BM13" s="58">
        <v>222.08</v>
      </c>
      <c r="BN13" s="63">
        <f t="shared" si="23"/>
        <v>40.000000000020464</v>
      </c>
      <c r="BO13" s="58">
        <v>286.23</v>
      </c>
      <c r="BP13" s="63">
        <f t="shared" si="24"/>
        <v>30.000000000029559</v>
      </c>
      <c r="BQ13" s="58">
        <v>44122</v>
      </c>
      <c r="BR13" s="63">
        <f t="shared" si="25"/>
        <v>21</v>
      </c>
      <c r="BS13" s="58">
        <v>199.75</v>
      </c>
      <c r="BT13" s="63">
        <f t="shared" si="42"/>
        <v>20.000000000010232</v>
      </c>
      <c r="BU13" s="58">
        <v>38741</v>
      </c>
      <c r="BV13" s="63">
        <f t="shared" si="26"/>
        <v>47</v>
      </c>
      <c r="BW13" s="58">
        <v>230.73</v>
      </c>
      <c r="BX13" s="63">
        <f t="shared" si="27"/>
        <v>39.999999999992042</v>
      </c>
      <c r="BY13" s="58">
        <v>58041</v>
      </c>
      <c r="BZ13" s="65">
        <f t="shared" si="28"/>
        <v>46</v>
      </c>
      <c r="CA13" s="58">
        <v>30259.200000000001</v>
      </c>
      <c r="CB13" s="65">
        <f t="shared" si="29"/>
        <v>32.200000000000728</v>
      </c>
      <c r="CC13" s="58">
        <v>11795.5</v>
      </c>
      <c r="CD13" s="65">
        <f t="shared" si="30"/>
        <v>6.2000000000007276</v>
      </c>
      <c r="CE13" s="58">
        <v>6156.5</v>
      </c>
      <c r="CF13" s="65">
        <f t="shared" si="31"/>
        <v>46.5</v>
      </c>
      <c r="CG13" s="58">
        <v>58017.599999999999</v>
      </c>
      <c r="CH13" s="65">
        <f t="shared" si="32"/>
        <v>36</v>
      </c>
      <c r="CI13" s="58">
        <v>935047</v>
      </c>
      <c r="CJ13" s="65">
        <f t="shared" si="33"/>
        <v>277</v>
      </c>
      <c r="CK13" s="58">
        <v>730.23</v>
      </c>
      <c r="CL13" s="62">
        <f t="shared" si="34"/>
        <v>680.00000000006366</v>
      </c>
      <c r="CM13" s="63">
        <f t="shared" si="35"/>
        <v>55</v>
      </c>
      <c r="CN13" s="60">
        <v>10</v>
      </c>
      <c r="CO13" s="60">
        <v>23</v>
      </c>
      <c r="CP13" s="66">
        <v>7288</v>
      </c>
      <c r="CQ13" s="65">
        <f>IF((CP13-CP12&lt;0), "",CP13-CP12)</f>
        <v>41</v>
      </c>
      <c r="CR13" s="66">
        <v>13210</v>
      </c>
      <c r="CS13" s="65">
        <f t="shared" si="36"/>
        <v>14</v>
      </c>
      <c r="CT13" s="73">
        <v>5854</v>
      </c>
      <c r="CU13" s="65">
        <f t="shared" si="36"/>
        <v>15</v>
      </c>
      <c r="CV13" s="66">
        <v>14270</v>
      </c>
      <c r="CW13" s="65">
        <f t="shared" si="36"/>
        <v>18</v>
      </c>
    </row>
    <row r="14" spans="1:101" ht="25.5" customHeight="1" thickBot="1" x14ac:dyDescent="0.45">
      <c r="A14" s="61">
        <v>44327</v>
      </c>
      <c r="B14" s="44"/>
      <c r="C14" s="56">
        <v>2.202</v>
      </c>
      <c r="D14" s="62">
        <f t="shared" si="0"/>
        <v>1700.0000000000348</v>
      </c>
      <c r="E14" s="56">
        <v>3.1288</v>
      </c>
      <c r="F14" s="62">
        <f t="shared" si="1"/>
        <v>2899.9999999999027</v>
      </c>
      <c r="G14" s="56">
        <v>3.2002999999999999</v>
      </c>
      <c r="H14" s="62">
        <f t="shared" si="2"/>
        <v>2399.9999999997358</v>
      </c>
      <c r="I14" s="56">
        <v>1.5771999999999999</v>
      </c>
      <c r="J14" s="62">
        <f t="shared" si="3"/>
        <v>1399.9999999998458</v>
      </c>
      <c r="K14" s="56">
        <v>2.5493999999999999</v>
      </c>
      <c r="L14" s="62">
        <f t="shared" si="37"/>
        <v>2099.9999999999909</v>
      </c>
      <c r="M14" s="56">
        <v>1.4152</v>
      </c>
      <c r="N14" s="62">
        <f t="shared" si="4"/>
        <v>1100.000000000101</v>
      </c>
      <c r="O14" s="56">
        <v>14001</v>
      </c>
      <c r="P14" s="65">
        <f t="shared" si="43"/>
        <v>12</v>
      </c>
      <c r="Q14" s="56">
        <v>865</v>
      </c>
      <c r="R14" s="65">
        <f t="shared" si="6"/>
        <v>5</v>
      </c>
      <c r="S14" s="56">
        <v>958261.4</v>
      </c>
      <c r="T14" s="65">
        <f t="shared" si="7"/>
        <v>547.40000000002328</v>
      </c>
      <c r="U14" s="56">
        <v>402823.4</v>
      </c>
      <c r="V14" s="65">
        <f t="shared" si="38"/>
        <v>294.60000000003492</v>
      </c>
      <c r="W14" s="56">
        <v>383.74</v>
      </c>
      <c r="X14" s="63">
        <f t="shared" si="41"/>
        <v>370.00000000000455</v>
      </c>
      <c r="Y14" s="56">
        <v>2.7323</v>
      </c>
      <c r="Z14" s="63">
        <f t="shared" si="8"/>
        <v>2499.9999999999468</v>
      </c>
      <c r="AA14" s="56">
        <v>382.67</v>
      </c>
      <c r="AB14" s="63">
        <f t="shared" si="9"/>
        <v>430.00000000000682</v>
      </c>
      <c r="AC14" s="56">
        <v>359.31</v>
      </c>
      <c r="AD14" s="63">
        <f t="shared" si="10"/>
        <v>240.00000000000909</v>
      </c>
      <c r="AE14" s="56">
        <v>553.29</v>
      </c>
      <c r="AF14" s="63">
        <f t="shared" si="11"/>
        <v>269.99999999998181</v>
      </c>
      <c r="AG14" s="56">
        <v>2814</v>
      </c>
      <c r="AH14" s="65">
        <f t="shared" si="12"/>
        <v>36</v>
      </c>
      <c r="AI14" s="56">
        <v>583.91999999999996</v>
      </c>
      <c r="AJ14" s="63">
        <f t="shared" si="13"/>
        <v>469.9999999999136</v>
      </c>
      <c r="AK14" s="56">
        <v>195.3</v>
      </c>
      <c r="AL14" s="63">
        <f t="shared" si="13"/>
        <v>150.00000000000568</v>
      </c>
      <c r="AM14" s="56">
        <v>187.5</v>
      </c>
      <c r="AN14" s="63">
        <f t="shared" si="13"/>
        <v>80.000000000012506</v>
      </c>
      <c r="AO14" s="56">
        <v>182.96</v>
      </c>
      <c r="AP14" s="63">
        <f t="shared" si="13"/>
        <v>159.99999999999659</v>
      </c>
      <c r="AQ14" s="56">
        <v>240.78</v>
      </c>
      <c r="AR14" s="63">
        <f t="shared" si="14"/>
        <v>99.999999999994316</v>
      </c>
      <c r="AS14" s="56">
        <v>365.97</v>
      </c>
      <c r="AT14" s="63">
        <f t="shared" si="15"/>
        <v>60.000000000002274</v>
      </c>
      <c r="AU14" s="56">
        <v>282.73</v>
      </c>
      <c r="AV14" s="63">
        <f t="shared" si="16"/>
        <v>280.00000000002956</v>
      </c>
      <c r="AW14" s="56">
        <v>315.5</v>
      </c>
      <c r="AX14" s="63">
        <f t="shared" si="17"/>
        <v>29.999999999972715</v>
      </c>
      <c r="AY14" s="56">
        <v>359.53</v>
      </c>
      <c r="AZ14" s="63">
        <f t="shared" si="18"/>
        <v>29.999999999972715</v>
      </c>
      <c r="BA14" s="56">
        <v>380.04</v>
      </c>
      <c r="BB14" s="63">
        <f t="shared" si="19"/>
        <v>20.000000000038654</v>
      </c>
      <c r="BC14" s="56">
        <v>240.64</v>
      </c>
      <c r="BD14" s="63">
        <f t="shared" si="20"/>
        <v>49.999999999982947</v>
      </c>
      <c r="BE14" s="57">
        <v>38800</v>
      </c>
      <c r="BF14" s="65">
        <f t="shared" si="39"/>
        <v>36</v>
      </c>
      <c r="BG14" s="58">
        <v>232.5</v>
      </c>
      <c r="BH14" s="63">
        <f t="shared" si="21"/>
        <v>60.000000000002274</v>
      </c>
      <c r="BI14" s="58">
        <v>291.72000000000003</v>
      </c>
      <c r="BJ14" s="63">
        <f t="shared" si="40"/>
        <v>40.000000000020464</v>
      </c>
      <c r="BK14" s="58">
        <v>235.4</v>
      </c>
      <c r="BL14" s="63">
        <f t="shared" si="22"/>
        <v>30.000000000001137</v>
      </c>
      <c r="BM14" s="58">
        <v>222.12</v>
      </c>
      <c r="BN14" s="63">
        <f t="shared" si="23"/>
        <v>39.999999999992042</v>
      </c>
      <c r="BO14" s="58">
        <v>286.25</v>
      </c>
      <c r="BP14" s="63">
        <f t="shared" si="24"/>
        <v>19.99999999998181</v>
      </c>
      <c r="BQ14" s="58">
        <v>44145</v>
      </c>
      <c r="BR14" s="63">
        <f t="shared" si="25"/>
        <v>23</v>
      </c>
      <c r="BS14" s="58">
        <v>199.77</v>
      </c>
      <c r="BT14" s="63">
        <f t="shared" si="42"/>
        <v>20.000000000010232</v>
      </c>
      <c r="BU14" s="58">
        <v>38780</v>
      </c>
      <c r="BV14" s="63">
        <f t="shared" si="26"/>
        <v>39</v>
      </c>
      <c r="BW14" s="58">
        <v>230.77</v>
      </c>
      <c r="BX14" s="63">
        <f t="shared" si="27"/>
        <v>40.000000000020464</v>
      </c>
      <c r="BY14" s="58">
        <v>58078</v>
      </c>
      <c r="BZ14" s="65">
        <f t="shared" si="28"/>
        <v>37</v>
      </c>
      <c r="CA14" s="58">
        <v>30278.6</v>
      </c>
      <c r="CB14" s="65">
        <f t="shared" si="29"/>
        <v>19.399999999997817</v>
      </c>
      <c r="CC14" s="58">
        <v>11802.2</v>
      </c>
      <c r="CD14" s="65">
        <f t="shared" si="30"/>
        <v>6.7000000000007276</v>
      </c>
      <c r="CE14" s="58">
        <v>6161.7</v>
      </c>
      <c r="CF14" s="65">
        <f t="shared" si="31"/>
        <v>5.1999999999998181</v>
      </c>
      <c r="CG14" s="58">
        <v>58046.6</v>
      </c>
      <c r="CH14" s="65">
        <f t="shared" si="32"/>
        <v>29</v>
      </c>
      <c r="CI14" s="58">
        <v>935346</v>
      </c>
      <c r="CJ14" s="65">
        <f t="shared" si="33"/>
        <v>299</v>
      </c>
      <c r="CK14" s="58">
        <v>731.11</v>
      </c>
      <c r="CL14" s="62">
        <f t="shared" si="34"/>
        <v>879.99999999999545</v>
      </c>
      <c r="CM14" s="63">
        <f t="shared" si="35"/>
        <v>50</v>
      </c>
      <c r="CN14" s="60">
        <v>8</v>
      </c>
      <c r="CO14" s="60">
        <v>13</v>
      </c>
      <c r="CP14" s="66">
        <v>7325</v>
      </c>
      <c r="CQ14" s="65">
        <f t="shared" si="36"/>
        <v>37</v>
      </c>
      <c r="CR14" s="66">
        <v>13223</v>
      </c>
      <c r="CS14" s="65">
        <f t="shared" si="36"/>
        <v>13</v>
      </c>
      <c r="CT14" s="73">
        <v>5870</v>
      </c>
      <c r="CU14" s="65">
        <f t="shared" si="36"/>
        <v>16</v>
      </c>
      <c r="CV14" s="66">
        <v>14294</v>
      </c>
      <c r="CW14" s="65">
        <f t="shared" si="36"/>
        <v>24</v>
      </c>
    </row>
    <row r="15" spans="1:101" ht="25.5" customHeight="1" thickBot="1" x14ac:dyDescent="0.45">
      <c r="A15" s="61">
        <v>44328</v>
      </c>
      <c r="B15" s="44"/>
      <c r="C15" s="56">
        <v>2.2033</v>
      </c>
      <c r="D15" s="62">
        <f t="shared" si="0"/>
        <v>1300.0000000000789</v>
      </c>
      <c r="E15" s="56">
        <v>3.1318000000000001</v>
      </c>
      <c r="F15" s="62">
        <f t="shared" si="1"/>
        <v>3000.0000000001137</v>
      </c>
      <c r="G15" s="56">
        <v>3.2025999999999999</v>
      </c>
      <c r="H15" s="62">
        <f t="shared" si="2"/>
        <v>2299.9999999999686</v>
      </c>
      <c r="I15" s="56">
        <v>1.5786</v>
      </c>
      <c r="J15" s="62">
        <f t="shared" si="3"/>
        <v>1400.0000000000678</v>
      </c>
      <c r="K15" s="56">
        <v>2.5514999999999999</v>
      </c>
      <c r="L15" s="62">
        <f t="shared" si="37"/>
        <v>2099.9999999999909</v>
      </c>
      <c r="M15" s="56">
        <v>1.4159999999999999</v>
      </c>
      <c r="N15" s="62">
        <f t="shared" si="4"/>
        <v>799.99999999991189</v>
      </c>
      <c r="O15" s="56">
        <v>14012</v>
      </c>
      <c r="P15" s="65">
        <f t="shared" si="43"/>
        <v>11</v>
      </c>
      <c r="Q15" s="56">
        <v>870</v>
      </c>
      <c r="R15" s="65">
        <f t="shared" si="6"/>
        <v>5</v>
      </c>
      <c r="S15" s="56">
        <v>958893.2</v>
      </c>
      <c r="T15" s="65">
        <f t="shared" si="7"/>
        <v>631.79999999993015</v>
      </c>
      <c r="U15" s="56">
        <v>403144.1</v>
      </c>
      <c r="V15" s="65">
        <f t="shared" si="38"/>
        <v>320.69999999995343</v>
      </c>
      <c r="W15" s="56">
        <v>384.07</v>
      </c>
      <c r="X15" s="63">
        <f t="shared" si="41"/>
        <v>329.99999999998408</v>
      </c>
      <c r="Y15" s="56">
        <v>2.7349999999999999</v>
      </c>
      <c r="Z15" s="63">
        <f t="shared" si="8"/>
        <v>2699.9999999999245</v>
      </c>
      <c r="AA15" s="56">
        <v>382.86</v>
      </c>
      <c r="AB15" s="63">
        <f t="shared" si="9"/>
        <v>189.99999999999773</v>
      </c>
      <c r="AC15" s="56">
        <v>359.53</v>
      </c>
      <c r="AD15" s="63">
        <f t="shared" si="10"/>
        <v>219.99999999997044</v>
      </c>
      <c r="AE15" s="56">
        <v>553.54999999999995</v>
      </c>
      <c r="AF15" s="63">
        <f t="shared" si="11"/>
        <v>259.99999999999091</v>
      </c>
      <c r="AG15" s="56">
        <v>2854</v>
      </c>
      <c r="AH15" s="65">
        <f t="shared" si="12"/>
        <v>40</v>
      </c>
      <c r="AI15" s="56">
        <v>584.25</v>
      </c>
      <c r="AJ15" s="63">
        <f t="shared" si="13"/>
        <v>330.00000000004093</v>
      </c>
      <c r="AK15" s="56">
        <v>195.44</v>
      </c>
      <c r="AL15" s="63">
        <f t="shared" si="13"/>
        <v>139.99999999998636</v>
      </c>
      <c r="AM15" s="56">
        <v>187.56</v>
      </c>
      <c r="AN15" s="63">
        <f t="shared" si="13"/>
        <v>60.000000000002274</v>
      </c>
      <c r="AO15" s="56">
        <v>183.09</v>
      </c>
      <c r="AP15" s="63">
        <f t="shared" si="13"/>
        <v>129.99999999999545</v>
      </c>
      <c r="AQ15" s="56">
        <v>240.84</v>
      </c>
      <c r="AR15" s="63">
        <f t="shared" si="14"/>
        <v>60.000000000002274</v>
      </c>
      <c r="AS15" s="56">
        <v>366.01</v>
      </c>
      <c r="AT15" s="63">
        <f t="shared" si="15"/>
        <v>39.99999999996362</v>
      </c>
      <c r="AU15" s="56">
        <v>282.85000000000002</v>
      </c>
      <c r="AV15" s="63">
        <f t="shared" si="16"/>
        <v>120.00000000000455</v>
      </c>
      <c r="AW15" s="56">
        <v>315.52999999999997</v>
      </c>
      <c r="AX15" s="63">
        <f t="shared" si="17"/>
        <v>29.999999999972715</v>
      </c>
      <c r="AY15" s="56">
        <v>359.56</v>
      </c>
      <c r="AZ15" s="63">
        <f t="shared" si="18"/>
        <v>30.000000000029559</v>
      </c>
      <c r="BA15" s="56">
        <v>380.06</v>
      </c>
      <c r="BB15" s="63">
        <f t="shared" si="19"/>
        <v>19.99999999998181</v>
      </c>
      <c r="BC15" s="56">
        <v>240.66</v>
      </c>
      <c r="BD15" s="63">
        <f t="shared" si="20"/>
        <v>20.000000000010232</v>
      </c>
      <c r="BE15" s="57">
        <v>38840</v>
      </c>
      <c r="BF15" s="65">
        <f t="shared" si="39"/>
        <v>40</v>
      </c>
      <c r="BG15" s="58">
        <v>232.54</v>
      </c>
      <c r="BH15" s="63">
        <f t="shared" si="21"/>
        <v>39.999999999992042</v>
      </c>
      <c r="BI15" s="58">
        <v>291.76</v>
      </c>
      <c r="BJ15" s="63">
        <f t="shared" si="40"/>
        <v>39.99999999996362</v>
      </c>
      <c r="BK15" s="58">
        <v>235.44</v>
      </c>
      <c r="BL15" s="63">
        <f t="shared" si="22"/>
        <v>39.999999999992042</v>
      </c>
      <c r="BM15" s="58">
        <v>222.16</v>
      </c>
      <c r="BN15" s="63">
        <f t="shared" si="23"/>
        <v>39.999999999992042</v>
      </c>
      <c r="BO15" s="58">
        <v>286.27999999999997</v>
      </c>
      <c r="BP15" s="63">
        <f t="shared" si="24"/>
        <v>29.999999999972715</v>
      </c>
      <c r="BQ15" s="58">
        <v>44170</v>
      </c>
      <c r="BR15" s="63">
        <f t="shared" si="25"/>
        <v>25</v>
      </c>
      <c r="BS15" s="58">
        <v>199.79</v>
      </c>
      <c r="BT15" s="63">
        <f t="shared" si="42"/>
        <v>19.99999999998181</v>
      </c>
      <c r="BU15" s="58">
        <v>38822</v>
      </c>
      <c r="BV15" s="63">
        <f t="shared" si="26"/>
        <v>42</v>
      </c>
      <c r="BW15" s="58">
        <v>230.79</v>
      </c>
      <c r="BX15" s="63">
        <f t="shared" si="27"/>
        <v>19.99999999998181</v>
      </c>
      <c r="BY15" s="58">
        <v>58124</v>
      </c>
      <c r="BZ15" s="65">
        <f t="shared" si="28"/>
        <v>46</v>
      </c>
      <c r="CA15" s="58">
        <v>30313</v>
      </c>
      <c r="CB15" s="65">
        <f t="shared" si="29"/>
        <v>34.400000000001455</v>
      </c>
      <c r="CC15" s="58">
        <v>11806.8</v>
      </c>
      <c r="CD15" s="65">
        <f t="shared" si="30"/>
        <v>4.5999999999985448</v>
      </c>
      <c r="CE15" s="58">
        <v>6161.9</v>
      </c>
      <c r="CF15" s="65">
        <f t="shared" si="31"/>
        <v>0.1999999999998181</v>
      </c>
      <c r="CG15" s="58">
        <v>58074.8</v>
      </c>
      <c r="CH15" s="65">
        <f t="shared" si="32"/>
        <v>28.200000000004366</v>
      </c>
      <c r="CI15" s="58">
        <v>935631</v>
      </c>
      <c r="CJ15" s="65">
        <f t="shared" si="33"/>
        <v>285</v>
      </c>
      <c r="CK15" s="58">
        <v>731.42</v>
      </c>
      <c r="CL15" s="62">
        <f t="shared" si="34"/>
        <v>309.99999999994543</v>
      </c>
      <c r="CM15" s="63">
        <f t="shared" si="35"/>
        <v>58</v>
      </c>
      <c r="CN15" s="60">
        <v>8</v>
      </c>
      <c r="CO15" s="60">
        <v>13</v>
      </c>
      <c r="CP15" s="66">
        <v>7374</v>
      </c>
      <c r="CQ15" s="65">
        <f t="shared" si="36"/>
        <v>49</v>
      </c>
      <c r="CR15" s="66">
        <v>13232</v>
      </c>
      <c r="CS15" s="65">
        <f t="shared" si="36"/>
        <v>9</v>
      </c>
      <c r="CT15" s="73">
        <v>5884</v>
      </c>
      <c r="CU15" s="65">
        <f t="shared" si="36"/>
        <v>14</v>
      </c>
      <c r="CV15" s="66">
        <v>14321</v>
      </c>
      <c r="CW15" s="65">
        <f t="shared" si="36"/>
        <v>27</v>
      </c>
    </row>
    <row r="16" spans="1:101" ht="25.5" customHeight="1" thickBot="1" x14ac:dyDescent="0.45">
      <c r="A16" s="61">
        <v>44329</v>
      </c>
      <c r="B16" s="44"/>
      <c r="C16" s="56">
        <v>2.2048999999999999</v>
      </c>
      <c r="D16" s="62">
        <f t="shared" si="0"/>
        <v>1599.9999999998238</v>
      </c>
      <c r="E16" s="56">
        <v>3.1349</v>
      </c>
      <c r="F16" s="62">
        <f t="shared" si="1"/>
        <v>3099.9999999998809</v>
      </c>
      <c r="G16" s="56">
        <v>3.2050000000000001</v>
      </c>
      <c r="H16" s="62">
        <f t="shared" si="2"/>
        <v>2400.0000000001796</v>
      </c>
      <c r="I16" s="56">
        <v>1.5798000000000001</v>
      </c>
      <c r="J16" s="62">
        <f t="shared" si="3"/>
        <v>1200.0000000000898</v>
      </c>
      <c r="K16" s="56">
        <v>2.5533999999999999</v>
      </c>
      <c r="L16" s="62">
        <f t="shared" si="37"/>
        <v>1900.0000000000127</v>
      </c>
      <c r="M16" s="56">
        <v>1.4167000000000001</v>
      </c>
      <c r="N16" s="62">
        <f t="shared" si="4"/>
        <v>700.00000000014495</v>
      </c>
      <c r="O16" s="56">
        <v>14019</v>
      </c>
      <c r="P16" s="65">
        <f t="shared" si="43"/>
        <v>7</v>
      </c>
      <c r="Q16" s="56">
        <v>873</v>
      </c>
      <c r="R16" s="65">
        <f t="shared" si="6"/>
        <v>3</v>
      </c>
      <c r="S16" s="56">
        <v>959680.2</v>
      </c>
      <c r="T16" s="65">
        <f t="shared" si="7"/>
        <v>787</v>
      </c>
      <c r="U16" s="56">
        <v>403486.6</v>
      </c>
      <c r="V16" s="65">
        <f t="shared" si="38"/>
        <v>342.5</v>
      </c>
      <c r="W16" s="56">
        <v>384.42</v>
      </c>
      <c r="X16" s="63">
        <f t="shared" si="41"/>
        <v>350.00000000002274</v>
      </c>
      <c r="Y16" s="56">
        <v>2.7376999999999998</v>
      </c>
      <c r="Z16" s="63">
        <f t="shared" si="8"/>
        <v>2699.9999999999245</v>
      </c>
      <c r="AA16" s="56">
        <v>383.06</v>
      </c>
      <c r="AB16" s="63">
        <f t="shared" si="9"/>
        <v>199.99999999998863</v>
      </c>
      <c r="AC16" s="56">
        <v>359.73</v>
      </c>
      <c r="AD16" s="63">
        <f t="shared" si="10"/>
        <v>200.00000000004547</v>
      </c>
      <c r="AE16" s="56">
        <v>553.79999999999995</v>
      </c>
      <c r="AF16" s="63">
        <f t="shared" si="11"/>
        <v>250</v>
      </c>
      <c r="AG16" s="56">
        <v>2888</v>
      </c>
      <c r="AH16" s="65">
        <f t="shared" si="12"/>
        <v>34</v>
      </c>
      <c r="AI16" s="56">
        <v>584.91999999999996</v>
      </c>
      <c r="AJ16" s="63">
        <f t="shared" si="13"/>
        <v>669.99999999995907</v>
      </c>
      <c r="AK16" s="56">
        <v>195.59</v>
      </c>
      <c r="AL16" s="63">
        <f t="shared" si="13"/>
        <v>150.00000000000568</v>
      </c>
      <c r="AM16" s="56">
        <v>187.64</v>
      </c>
      <c r="AN16" s="63">
        <f t="shared" si="13"/>
        <v>79.999999999984084</v>
      </c>
      <c r="AO16" s="56">
        <v>183.31</v>
      </c>
      <c r="AP16" s="63">
        <f t="shared" si="13"/>
        <v>219.99999999999886</v>
      </c>
      <c r="AQ16" s="56">
        <v>240.89</v>
      </c>
      <c r="AR16" s="63">
        <f t="shared" si="14"/>
        <v>49.999999999982947</v>
      </c>
      <c r="AS16" s="56">
        <v>366.05</v>
      </c>
      <c r="AT16" s="63">
        <f t="shared" si="15"/>
        <v>40.000000000020464</v>
      </c>
      <c r="AU16" s="56">
        <v>282.91000000000003</v>
      </c>
      <c r="AV16" s="63">
        <f t="shared" si="16"/>
        <v>60.000000000002274</v>
      </c>
      <c r="AW16" s="56">
        <v>315.56</v>
      </c>
      <c r="AX16" s="63">
        <f t="shared" si="17"/>
        <v>30.000000000029559</v>
      </c>
      <c r="AY16" s="56">
        <v>359.59</v>
      </c>
      <c r="AZ16" s="63">
        <f t="shared" si="18"/>
        <v>29.999999999972715</v>
      </c>
      <c r="BA16" s="56">
        <v>380.08</v>
      </c>
      <c r="BB16" s="63">
        <f t="shared" si="19"/>
        <v>19.99999999998181</v>
      </c>
      <c r="BC16" s="56">
        <v>240.68</v>
      </c>
      <c r="BD16" s="63">
        <f t="shared" si="20"/>
        <v>20.000000000010232</v>
      </c>
      <c r="BE16" s="57">
        <v>38872</v>
      </c>
      <c r="BF16" s="65">
        <f t="shared" si="39"/>
        <v>32</v>
      </c>
      <c r="BG16" s="58">
        <v>232.58</v>
      </c>
      <c r="BH16" s="63">
        <f t="shared" si="21"/>
        <v>40.000000000020464</v>
      </c>
      <c r="BI16" s="58">
        <v>291.8</v>
      </c>
      <c r="BJ16" s="63">
        <f t="shared" si="40"/>
        <v>40.000000000020464</v>
      </c>
      <c r="BK16" s="58">
        <v>235.48</v>
      </c>
      <c r="BL16" s="63">
        <f t="shared" si="22"/>
        <v>39.999999999992042</v>
      </c>
      <c r="BM16" s="58">
        <v>222.19</v>
      </c>
      <c r="BN16" s="63">
        <f t="shared" si="23"/>
        <v>30.000000000001137</v>
      </c>
      <c r="BO16" s="58">
        <v>286.31</v>
      </c>
      <c r="BP16" s="63">
        <f t="shared" si="24"/>
        <v>30.000000000029559</v>
      </c>
      <c r="BQ16" s="58">
        <v>44191</v>
      </c>
      <c r="BR16" s="63">
        <f t="shared" si="25"/>
        <v>21</v>
      </c>
      <c r="BS16" s="58">
        <v>199.81</v>
      </c>
      <c r="BT16" s="63">
        <f t="shared" si="42"/>
        <v>20.000000000010232</v>
      </c>
      <c r="BU16" s="58">
        <v>38862</v>
      </c>
      <c r="BV16" s="63">
        <f t="shared" si="26"/>
        <v>40</v>
      </c>
      <c r="BW16" s="58">
        <v>230.81</v>
      </c>
      <c r="BX16" s="63">
        <f t="shared" si="27"/>
        <v>20.000000000010232</v>
      </c>
      <c r="BY16" s="58">
        <v>58170</v>
      </c>
      <c r="BZ16" s="65">
        <f t="shared" si="28"/>
        <v>46</v>
      </c>
      <c r="CA16" s="58">
        <v>30353.7</v>
      </c>
      <c r="CB16" s="65">
        <f>IF((CA16-CA15&lt;0), "",CA16-CA15)</f>
        <v>40.700000000000728</v>
      </c>
      <c r="CC16" s="58">
        <v>11812.3</v>
      </c>
      <c r="CD16" s="65">
        <f t="shared" si="30"/>
        <v>5.5</v>
      </c>
      <c r="CE16" s="58">
        <v>6162</v>
      </c>
      <c r="CF16" s="65">
        <f t="shared" si="31"/>
        <v>0.1000000000003638</v>
      </c>
      <c r="CG16" s="58">
        <v>58093.1</v>
      </c>
      <c r="CH16" s="65">
        <f t="shared" si="32"/>
        <v>18.299999999995634</v>
      </c>
      <c r="CI16" s="58">
        <v>935910</v>
      </c>
      <c r="CJ16" s="65">
        <f t="shared" si="33"/>
        <v>279</v>
      </c>
      <c r="CK16" s="58">
        <v>732.04</v>
      </c>
      <c r="CL16" s="62">
        <f t="shared" si="34"/>
        <v>620.00000000000455</v>
      </c>
      <c r="CM16" s="63">
        <f t="shared" si="35"/>
        <v>58</v>
      </c>
      <c r="CN16" s="60">
        <v>10</v>
      </c>
      <c r="CO16" s="60">
        <v>23</v>
      </c>
      <c r="CP16" s="66">
        <v>7424</v>
      </c>
      <c r="CQ16" s="65">
        <f t="shared" si="36"/>
        <v>50</v>
      </c>
      <c r="CR16" s="66">
        <v>13240</v>
      </c>
      <c r="CS16" s="65">
        <f t="shared" si="36"/>
        <v>8</v>
      </c>
      <c r="CT16" s="73">
        <v>5897</v>
      </c>
      <c r="CU16" s="65">
        <f t="shared" si="36"/>
        <v>13</v>
      </c>
      <c r="CV16" s="66">
        <v>14339</v>
      </c>
      <c r="CW16" s="65">
        <f t="shared" si="36"/>
        <v>18</v>
      </c>
    </row>
    <row r="17" spans="1:101" ht="25.5" customHeight="1" thickBot="1" x14ac:dyDescent="0.45">
      <c r="A17" s="61">
        <v>44330</v>
      </c>
      <c r="B17" s="44"/>
      <c r="C17" s="56">
        <v>2.2067000000000001</v>
      </c>
      <c r="D17" s="62">
        <f t="shared" si="0"/>
        <v>1800.0000000002458</v>
      </c>
      <c r="E17" s="56">
        <v>3.1381000000000001</v>
      </c>
      <c r="F17" s="62">
        <f t="shared" si="1"/>
        <v>3200.0000000000919</v>
      </c>
      <c r="G17" s="56">
        <v>3.2071000000000001</v>
      </c>
      <c r="H17" s="62">
        <f t="shared" si="2"/>
        <v>2099.9999999999909</v>
      </c>
      <c r="I17" s="56">
        <v>1.5812999999999999</v>
      </c>
      <c r="J17" s="62">
        <f t="shared" si="3"/>
        <v>1499.9999999998347</v>
      </c>
      <c r="K17" s="56">
        <v>2.5554999999999999</v>
      </c>
      <c r="L17" s="62">
        <f t="shared" si="37"/>
        <v>2099.9999999999909</v>
      </c>
      <c r="M17" s="56">
        <v>1.4178999999999999</v>
      </c>
      <c r="N17" s="62">
        <f t="shared" si="4"/>
        <v>1199.9999999998679</v>
      </c>
      <c r="O17" s="56">
        <v>14032</v>
      </c>
      <c r="P17" s="65">
        <f t="shared" si="43"/>
        <v>13</v>
      </c>
      <c r="Q17" s="56">
        <v>879</v>
      </c>
      <c r="R17" s="65">
        <f t="shared" si="6"/>
        <v>6</v>
      </c>
      <c r="S17" s="56">
        <v>960541.4</v>
      </c>
      <c r="T17" s="65">
        <f t="shared" si="7"/>
        <v>861.20000000006985</v>
      </c>
      <c r="U17" s="56">
        <v>403915.9</v>
      </c>
      <c r="V17" s="65">
        <f t="shared" si="38"/>
        <v>429.30000000004657</v>
      </c>
      <c r="W17" s="56">
        <v>384.82</v>
      </c>
      <c r="X17" s="63">
        <f t="shared" si="41"/>
        <v>399.99999999997726</v>
      </c>
      <c r="Y17" s="56">
        <v>2.7404999999999999</v>
      </c>
      <c r="Z17" s="63">
        <f t="shared" si="8"/>
        <v>2800.0000000001355</v>
      </c>
      <c r="AA17" s="56">
        <v>383.45</v>
      </c>
      <c r="AB17" s="63">
        <f t="shared" si="9"/>
        <v>389.99999999998636</v>
      </c>
      <c r="AC17" s="56">
        <v>359.99</v>
      </c>
      <c r="AD17" s="63">
        <f t="shared" si="10"/>
        <v>259.99999999999091</v>
      </c>
      <c r="AE17" s="56">
        <v>554.21</v>
      </c>
      <c r="AF17" s="63">
        <f t="shared" si="11"/>
        <v>410.00000000008185</v>
      </c>
      <c r="AG17" s="56">
        <v>2923</v>
      </c>
      <c r="AH17" s="65">
        <f t="shared" si="12"/>
        <v>35</v>
      </c>
      <c r="AI17" s="56">
        <v>585.66999999999996</v>
      </c>
      <c r="AJ17" s="63">
        <f t="shared" si="13"/>
        <v>750</v>
      </c>
      <c r="AK17" s="56">
        <v>195.76</v>
      </c>
      <c r="AL17" s="63">
        <f t="shared" si="13"/>
        <v>169.99999999998749</v>
      </c>
      <c r="AM17" s="56">
        <v>187.71</v>
      </c>
      <c r="AN17" s="63">
        <f t="shared" si="13"/>
        <v>70.0000000000216</v>
      </c>
      <c r="AO17" s="56">
        <v>183.54</v>
      </c>
      <c r="AP17" s="63">
        <f t="shared" si="13"/>
        <v>229.99999999998977</v>
      </c>
      <c r="AQ17" s="56">
        <v>240.95</v>
      </c>
      <c r="AR17" s="63">
        <f t="shared" si="14"/>
        <v>60.000000000002274</v>
      </c>
      <c r="AS17" s="56">
        <v>366.1</v>
      </c>
      <c r="AT17" s="63">
        <f t="shared" si="15"/>
        <v>50.000000000011369</v>
      </c>
      <c r="AU17" s="56">
        <v>282.99</v>
      </c>
      <c r="AV17" s="63">
        <f t="shared" si="16"/>
        <v>79.999999999984084</v>
      </c>
      <c r="AW17" s="56">
        <v>315.58999999999997</v>
      </c>
      <c r="AX17" s="63">
        <f t="shared" si="17"/>
        <v>29.999999999972715</v>
      </c>
      <c r="AY17" s="56">
        <v>359.62</v>
      </c>
      <c r="AZ17" s="63">
        <f t="shared" si="18"/>
        <v>30.000000000029559</v>
      </c>
      <c r="BA17" s="56">
        <v>380.12</v>
      </c>
      <c r="BB17" s="63">
        <f t="shared" si="19"/>
        <v>40.000000000020464</v>
      </c>
      <c r="BC17" s="56">
        <v>240.71</v>
      </c>
      <c r="BD17" s="63">
        <f t="shared" si="20"/>
        <v>30.000000000001137</v>
      </c>
      <c r="BE17" s="57">
        <v>38919</v>
      </c>
      <c r="BF17" s="65">
        <f t="shared" si="39"/>
        <v>47</v>
      </c>
      <c r="BG17" s="58">
        <v>232.63</v>
      </c>
      <c r="BH17" s="63">
        <f t="shared" si="21"/>
        <v>49.999999999982947</v>
      </c>
      <c r="BI17" s="58">
        <v>291.83999999999997</v>
      </c>
      <c r="BJ17" s="63">
        <f t="shared" si="40"/>
        <v>39.99999999996362</v>
      </c>
      <c r="BK17" s="58">
        <v>235.53</v>
      </c>
      <c r="BL17" s="63">
        <f t="shared" si="22"/>
        <v>50.000000000011369</v>
      </c>
      <c r="BM17" s="58">
        <v>222.24</v>
      </c>
      <c r="BN17" s="63">
        <f t="shared" si="23"/>
        <v>50.000000000011369</v>
      </c>
      <c r="BO17" s="58">
        <v>286.35000000000002</v>
      </c>
      <c r="BP17" s="63">
        <f t="shared" si="24"/>
        <v>40.000000000020464</v>
      </c>
      <c r="BQ17" s="58">
        <v>44215</v>
      </c>
      <c r="BR17" s="63">
        <f t="shared" si="25"/>
        <v>24</v>
      </c>
      <c r="BS17" s="58">
        <v>199.83</v>
      </c>
      <c r="BT17" s="63">
        <f t="shared" si="42"/>
        <v>20.000000000010232</v>
      </c>
      <c r="BU17" s="58">
        <v>38904</v>
      </c>
      <c r="BV17" s="63">
        <f t="shared" si="26"/>
        <v>42</v>
      </c>
      <c r="BW17" s="58">
        <v>230.83</v>
      </c>
      <c r="BX17" s="63">
        <f t="shared" si="27"/>
        <v>20.000000000010232</v>
      </c>
      <c r="BY17" s="58">
        <v>58217</v>
      </c>
      <c r="BZ17" s="65">
        <f t="shared" si="28"/>
        <v>47</v>
      </c>
      <c r="CA17" s="58">
        <v>30397.3</v>
      </c>
      <c r="CB17" s="65">
        <f>IF((CA17-CA16&lt;0), "",CA17-CA16)</f>
        <v>43.599999999998545</v>
      </c>
      <c r="CC17" s="58">
        <v>11817.9</v>
      </c>
      <c r="CD17" s="65">
        <f t="shared" si="30"/>
        <v>5.6000000000003638</v>
      </c>
      <c r="CE17" s="58">
        <v>6164</v>
      </c>
      <c r="CF17" s="65">
        <f t="shared" si="31"/>
        <v>2</v>
      </c>
      <c r="CG17" s="58">
        <v>58119</v>
      </c>
      <c r="CH17" s="65">
        <f t="shared" si="32"/>
        <v>25.900000000001455</v>
      </c>
      <c r="CI17" s="58">
        <v>936215</v>
      </c>
      <c r="CJ17" s="65">
        <f t="shared" si="33"/>
        <v>305</v>
      </c>
      <c r="CK17" s="58">
        <v>732.16</v>
      </c>
      <c r="CL17" s="62">
        <f t="shared" si="34"/>
        <v>120.00000000000455</v>
      </c>
      <c r="CM17" s="63">
        <f t="shared" si="35"/>
        <v>59</v>
      </c>
      <c r="CN17" s="60">
        <v>10</v>
      </c>
      <c r="CO17" s="60">
        <v>24</v>
      </c>
      <c r="CP17" s="66">
        <v>7467</v>
      </c>
      <c r="CQ17" s="65">
        <f t="shared" si="36"/>
        <v>43</v>
      </c>
      <c r="CR17" s="66">
        <v>13256</v>
      </c>
      <c r="CS17" s="65">
        <f t="shared" si="36"/>
        <v>16</v>
      </c>
      <c r="CT17" s="73">
        <v>5912</v>
      </c>
      <c r="CU17" s="65">
        <f t="shared" si="36"/>
        <v>15</v>
      </c>
      <c r="CV17" s="66">
        <v>14362</v>
      </c>
      <c r="CW17" s="65">
        <f t="shared" si="36"/>
        <v>23</v>
      </c>
    </row>
    <row r="18" spans="1:101" ht="25.5" customHeight="1" thickBot="1" x14ac:dyDescent="0.45">
      <c r="A18" s="61">
        <v>44331</v>
      </c>
      <c r="B18" s="44"/>
      <c r="C18" s="56">
        <v>2.2086000000000001</v>
      </c>
      <c r="D18" s="62">
        <f t="shared" si="0"/>
        <v>1900.0000000000127</v>
      </c>
      <c r="E18" s="56">
        <v>3.1413000000000002</v>
      </c>
      <c r="F18" s="62">
        <f t="shared" si="1"/>
        <v>3200.0000000000919</v>
      </c>
      <c r="G18" s="56">
        <v>3.2098</v>
      </c>
      <c r="H18" s="62">
        <f t="shared" si="2"/>
        <v>2699.9999999999245</v>
      </c>
      <c r="I18" s="56">
        <v>1.5826</v>
      </c>
      <c r="J18" s="62">
        <f t="shared" si="3"/>
        <v>1300.0000000000789</v>
      </c>
      <c r="K18" s="56">
        <v>2.5577000000000001</v>
      </c>
      <c r="L18" s="62">
        <f t="shared" si="37"/>
        <v>2200.0000000002019</v>
      </c>
      <c r="M18" s="56">
        <v>1.4189000000000001</v>
      </c>
      <c r="N18" s="62">
        <f t="shared" si="4"/>
        <v>1000.0000000001119</v>
      </c>
      <c r="O18" s="56">
        <v>14053</v>
      </c>
      <c r="P18" s="65">
        <f t="shared" si="43"/>
        <v>21</v>
      </c>
      <c r="Q18" s="56">
        <v>884</v>
      </c>
      <c r="R18" s="65">
        <f t="shared" si="6"/>
        <v>5</v>
      </c>
      <c r="S18" s="56">
        <v>961406.2</v>
      </c>
      <c r="T18" s="65">
        <f t="shared" si="7"/>
        <v>864.79999999993015</v>
      </c>
      <c r="U18" s="56">
        <v>404296</v>
      </c>
      <c r="V18" s="65">
        <f t="shared" si="38"/>
        <v>380.09999999997672</v>
      </c>
      <c r="W18" s="56">
        <v>385.2</v>
      </c>
      <c r="X18" s="63">
        <f t="shared" si="41"/>
        <v>379.99999999999545</v>
      </c>
      <c r="Y18" s="56">
        <v>2.7433000000000001</v>
      </c>
      <c r="Z18" s="63">
        <f t="shared" si="8"/>
        <v>2800.0000000001355</v>
      </c>
      <c r="AA18" s="56">
        <v>383.67</v>
      </c>
      <c r="AB18" s="63">
        <f t="shared" si="9"/>
        <v>220.00000000002728</v>
      </c>
      <c r="AC18" s="56">
        <v>360.25</v>
      </c>
      <c r="AD18" s="63">
        <f t="shared" si="10"/>
        <v>259.99999999999091</v>
      </c>
      <c r="AE18" s="56">
        <v>554.59</v>
      </c>
      <c r="AF18" s="63">
        <f t="shared" si="11"/>
        <v>379.99999999999545</v>
      </c>
      <c r="AG18" s="56">
        <v>2958</v>
      </c>
      <c r="AH18" s="65">
        <f t="shared" si="12"/>
        <v>35</v>
      </c>
      <c r="AI18" s="56">
        <v>586.62</v>
      </c>
      <c r="AJ18" s="63">
        <f t="shared" si="13"/>
        <v>950.00000000004547</v>
      </c>
      <c r="AK18" s="56">
        <v>196</v>
      </c>
      <c r="AL18" s="63">
        <f t="shared" si="13"/>
        <v>240.00000000000909</v>
      </c>
      <c r="AM18" s="56">
        <v>187.77</v>
      </c>
      <c r="AN18" s="63">
        <f t="shared" si="13"/>
        <v>60.000000000002274</v>
      </c>
      <c r="AO18" s="56">
        <v>183.8</v>
      </c>
      <c r="AP18" s="63">
        <f t="shared" si="13"/>
        <v>260.00000000001933</v>
      </c>
      <c r="AQ18" s="56">
        <v>240.99</v>
      </c>
      <c r="AR18" s="63">
        <f t="shared" si="14"/>
        <v>40.000000000020464</v>
      </c>
      <c r="AS18" s="56">
        <v>366.16</v>
      </c>
      <c r="AT18" s="63">
        <f t="shared" si="15"/>
        <v>60.000000000002274</v>
      </c>
      <c r="AU18" s="56">
        <v>283.05</v>
      </c>
      <c r="AV18" s="63">
        <f t="shared" si="16"/>
        <v>60.000000000002274</v>
      </c>
      <c r="AW18" s="56">
        <v>315.61</v>
      </c>
      <c r="AX18" s="63">
        <f t="shared" si="17"/>
        <v>20.000000000038654</v>
      </c>
      <c r="AY18" s="56">
        <v>359.65</v>
      </c>
      <c r="AZ18" s="63">
        <f t="shared" si="18"/>
        <v>29.999999999972715</v>
      </c>
      <c r="BA18" s="56">
        <v>380.13</v>
      </c>
      <c r="BB18" s="63">
        <f t="shared" si="19"/>
        <v>9.9999999999909051</v>
      </c>
      <c r="BC18" s="56">
        <v>240.73</v>
      </c>
      <c r="BD18" s="63">
        <f t="shared" si="20"/>
        <v>19.99999999998181</v>
      </c>
      <c r="BE18" s="57">
        <v>38959</v>
      </c>
      <c r="BF18" s="65">
        <f t="shared" si="39"/>
        <v>40</v>
      </c>
      <c r="BG18" s="58">
        <v>232.66</v>
      </c>
      <c r="BH18" s="63">
        <f t="shared" si="21"/>
        <v>30.000000000001137</v>
      </c>
      <c r="BI18" s="58">
        <v>291.89</v>
      </c>
      <c r="BJ18" s="63">
        <f t="shared" si="40"/>
        <v>50.000000000011369</v>
      </c>
      <c r="BK18" s="58">
        <v>235.56</v>
      </c>
      <c r="BL18" s="63">
        <f t="shared" si="22"/>
        <v>30.000000000001137</v>
      </c>
      <c r="BM18" s="58">
        <v>222.28</v>
      </c>
      <c r="BN18" s="63">
        <f t="shared" si="23"/>
        <v>39.999999999992042</v>
      </c>
      <c r="BO18" s="58">
        <v>286.37</v>
      </c>
      <c r="BP18" s="63">
        <f t="shared" si="24"/>
        <v>19.99999999998181</v>
      </c>
      <c r="BQ18" s="58">
        <v>44241</v>
      </c>
      <c r="BR18" s="63">
        <f t="shared" si="25"/>
        <v>26</v>
      </c>
      <c r="BS18" s="58">
        <v>199.85</v>
      </c>
      <c r="BT18" s="63">
        <f t="shared" si="42"/>
        <v>19.99999999998181</v>
      </c>
      <c r="BU18" s="58">
        <v>38954</v>
      </c>
      <c r="BV18" s="63">
        <f t="shared" si="26"/>
        <v>50</v>
      </c>
      <c r="BW18" s="58">
        <v>230.85</v>
      </c>
      <c r="BX18" s="63">
        <f t="shared" si="27"/>
        <v>19.99999999998181</v>
      </c>
      <c r="BY18" s="58">
        <v>58268</v>
      </c>
      <c r="BZ18" s="65">
        <f t="shared" si="28"/>
        <v>51</v>
      </c>
      <c r="CA18" s="58">
        <v>30442.2</v>
      </c>
      <c r="CB18" s="65">
        <f>IF((CA18-CA17&lt;0), "",CA18-CA17)</f>
        <v>44.900000000001455</v>
      </c>
      <c r="CC18" s="58">
        <v>11829.4</v>
      </c>
      <c r="CD18" s="65">
        <f t="shared" si="30"/>
        <v>11.5</v>
      </c>
      <c r="CE18" s="58">
        <v>6188.7</v>
      </c>
      <c r="CF18" s="65">
        <f t="shared" si="31"/>
        <v>24.699999999999818</v>
      </c>
      <c r="CG18" s="58">
        <v>58143.199999999997</v>
      </c>
      <c r="CH18" s="65">
        <f t="shared" si="32"/>
        <v>24.19999999999709</v>
      </c>
      <c r="CI18" s="58">
        <v>936449.7</v>
      </c>
      <c r="CJ18" s="65">
        <f t="shared" si="33"/>
        <v>234.69999999995343</v>
      </c>
      <c r="CK18" s="58">
        <v>732.9</v>
      </c>
      <c r="CL18" s="62">
        <f t="shared" si="34"/>
        <v>740.00000000000909</v>
      </c>
      <c r="CM18" s="63">
        <f t="shared" si="35"/>
        <v>62</v>
      </c>
      <c r="CN18" s="60">
        <v>8</v>
      </c>
      <c r="CO18" s="60">
        <v>24</v>
      </c>
      <c r="CP18" s="66">
        <v>7513</v>
      </c>
      <c r="CQ18" s="65">
        <f t="shared" si="36"/>
        <v>46</v>
      </c>
      <c r="CR18" s="66">
        <v>13272</v>
      </c>
      <c r="CS18" s="65">
        <f t="shared" si="36"/>
        <v>16</v>
      </c>
      <c r="CT18" s="73">
        <v>5924</v>
      </c>
      <c r="CU18" s="65">
        <f t="shared" si="36"/>
        <v>12</v>
      </c>
      <c r="CV18" s="66">
        <v>14402</v>
      </c>
      <c r="CW18" s="65">
        <f t="shared" si="36"/>
        <v>40</v>
      </c>
    </row>
    <row r="19" spans="1:101" ht="25.5" customHeight="1" thickBot="1" x14ac:dyDescent="0.45">
      <c r="A19" s="61">
        <v>44332</v>
      </c>
      <c r="B19" s="44"/>
      <c r="C19" s="56">
        <v>2.2105000000000001</v>
      </c>
      <c r="D19" s="62">
        <f t="shared" si="0"/>
        <v>1900.0000000000127</v>
      </c>
      <c r="E19" s="56">
        <v>3.1444999999999999</v>
      </c>
      <c r="F19" s="62">
        <f t="shared" si="1"/>
        <v>3199.9999999996476</v>
      </c>
      <c r="G19" s="56">
        <v>3.2126000000000001</v>
      </c>
      <c r="H19" s="62">
        <f t="shared" si="2"/>
        <v>2800.0000000001355</v>
      </c>
      <c r="I19" s="56">
        <v>1.5840000000000001</v>
      </c>
      <c r="J19" s="62">
        <f t="shared" si="3"/>
        <v>1400.0000000000678</v>
      </c>
      <c r="K19" s="56">
        <v>2.5596999999999999</v>
      </c>
      <c r="L19" s="62">
        <f t="shared" si="37"/>
        <v>1999.9999999997797</v>
      </c>
      <c r="M19" s="56">
        <v>1.42</v>
      </c>
      <c r="N19" s="62">
        <f t="shared" si="4"/>
        <v>1099.9999999998788</v>
      </c>
      <c r="O19" s="56">
        <v>14069</v>
      </c>
      <c r="P19" s="65">
        <f t="shared" si="43"/>
        <v>16</v>
      </c>
      <c r="Q19" s="56">
        <v>889</v>
      </c>
      <c r="R19" s="65">
        <f t="shared" si="6"/>
        <v>5</v>
      </c>
      <c r="S19" s="56">
        <v>962295</v>
      </c>
      <c r="T19" s="65">
        <f t="shared" si="7"/>
        <v>888.80000000004657</v>
      </c>
      <c r="U19" s="56">
        <v>404660</v>
      </c>
      <c r="V19" s="65">
        <f t="shared" si="38"/>
        <v>364</v>
      </c>
      <c r="W19" s="56">
        <v>385.51</v>
      </c>
      <c r="X19" s="63">
        <f t="shared" si="41"/>
        <v>310.00000000000227</v>
      </c>
      <c r="Y19" s="56">
        <v>2.7462</v>
      </c>
      <c r="Z19" s="63">
        <f t="shared" si="8"/>
        <v>2899.9999999999027</v>
      </c>
      <c r="AA19" s="56">
        <v>384.05</v>
      </c>
      <c r="AB19" s="63">
        <f t="shared" si="9"/>
        <v>379.99999999999545</v>
      </c>
      <c r="AC19" s="56">
        <v>360.46</v>
      </c>
      <c r="AD19" s="63">
        <f t="shared" si="10"/>
        <v>209.99999999997954</v>
      </c>
      <c r="AE19" s="56">
        <v>554.98</v>
      </c>
      <c r="AF19" s="63">
        <f t="shared" si="11"/>
        <v>389.99999999998636</v>
      </c>
      <c r="AG19" s="56">
        <v>2994</v>
      </c>
      <c r="AH19" s="65">
        <f t="shared" si="12"/>
        <v>36</v>
      </c>
      <c r="AI19" s="56">
        <v>587.42999999999995</v>
      </c>
      <c r="AJ19" s="63">
        <f t="shared" si="13"/>
        <v>809.99999999994543</v>
      </c>
      <c r="AK19" s="56">
        <v>196.22</v>
      </c>
      <c r="AL19" s="63">
        <f t="shared" si="13"/>
        <v>219.99999999999886</v>
      </c>
      <c r="AM19" s="56">
        <v>187.87</v>
      </c>
      <c r="AN19" s="63">
        <f t="shared" si="13"/>
        <v>99.999999999994316</v>
      </c>
      <c r="AO19" s="56">
        <v>184.05</v>
      </c>
      <c r="AP19" s="63">
        <f t="shared" si="13"/>
        <v>250</v>
      </c>
      <c r="AQ19" s="56">
        <v>241.04</v>
      </c>
      <c r="AR19" s="63">
        <f t="shared" si="14"/>
        <v>49.999999999982947</v>
      </c>
      <c r="AS19" s="56">
        <v>366.21</v>
      </c>
      <c r="AT19" s="63">
        <f t="shared" si="15"/>
        <v>49.999999999954525</v>
      </c>
      <c r="AU19" s="56">
        <v>283.10000000000002</v>
      </c>
      <c r="AV19" s="63">
        <f t="shared" si="16"/>
        <v>50.000000000011369</v>
      </c>
      <c r="AW19" s="56">
        <v>315.64999999999998</v>
      </c>
      <c r="AX19" s="63">
        <f t="shared" si="17"/>
        <v>39.99999999996362</v>
      </c>
      <c r="AY19" s="56">
        <v>359.68</v>
      </c>
      <c r="AZ19" s="63">
        <f t="shared" si="18"/>
        <v>30.000000000029559</v>
      </c>
      <c r="BA19" s="56">
        <v>380.15</v>
      </c>
      <c r="BB19" s="63">
        <f t="shared" si="19"/>
        <v>19.99999999998181</v>
      </c>
      <c r="BC19" s="56">
        <v>240.75</v>
      </c>
      <c r="BD19" s="63">
        <f t="shared" si="20"/>
        <v>20.000000000010232</v>
      </c>
      <c r="BE19" s="57">
        <v>38998</v>
      </c>
      <c r="BF19" s="65">
        <f t="shared" si="39"/>
        <v>39</v>
      </c>
      <c r="BG19" s="58">
        <v>232.7</v>
      </c>
      <c r="BH19" s="63">
        <f t="shared" si="21"/>
        <v>39.999999999992042</v>
      </c>
      <c r="BI19" s="58">
        <v>291.93</v>
      </c>
      <c r="BJ19" s="63">
        <f t="shared" si="40"/>
        <v>40.000000000020464</v>
      </c>
      <c r="BK19" s="58">
        <v>235.6</v>
      </c>
      <c r="BL19" s="63">
        <f t="shared" si="22"/>
        <v>39.999999999992042</v>
      </c>
      <c r="BM19" s="58">
        <v>222.33</v>
      </c>
      <c r="BN19" s="63">
        <f t="shared" si="23"/>
        <v>50.000000000011369</v>
      </c>
      <c r="BO19" s="58">
        <v>286.39999999999998</v>
      </c>
      <c r="BP19" s="63">
        <f t="shared" si="24"/>
        <v>29.999999999972715</v>
      </c>
      <c r="BQ19" s="58">
        <v>44268</v>
      </c>
      <c r="BR19" s="63">
        <f t="shared" si="25"/>
        <v>27</v>
      </c>
      <c r="BS19" s="58">
        <v>199.85</v>
      </c>
      <c r="BT19" s="63">
        <f t="shared" si="42"/>
        <v>0</v>
      </c>
      <c r="BU19" s="58">
        <v>39003</v>
      </c>
      <c r="BV19" s="63">
        <f t="shared" si="26"/>
        <v>49</v>
      </c>
      <c r="BW19" s="58">
        <v>230.88</v>
      </c>
      <c r="BX19" s="63">
        <f t="shared" si="27"/>
        <v>30.000000000001137</v>
      </c>
      <c r="BY19" s="58">
        <v>58325</v>
      </c>
      <c r="BZ19" s="65">
        <f t="shared" si="28"/>
        <v>57</v>
      </c>
      <c r="CA19" s="58">
        <v>30485.7</v>
      </c>
      <c r="CB19" s="65">
        <f t="shared" si="29"/>
        <v>43.5</v>
      </c>
      <c r="CC19" s="58">
        <v>11835</v>
      </c>
      <c r="CD19" s="65">
        <f t="shared" si="30"/>
        <v>5.6000000000003638</v>
      </c>
      <c r="CE19" s="58">
        <v>6200</v>
      </c>
      <c r="CF19" s="65">
        <f t="shared" si="31"/>
        <v>11.300000000000182</v>
      </c>
      <c r="CG19" s="58">
        <v>58161</v>
      </c>
      <c r="CH19" s="65">
        <f t="shared" si="32"/>
        <v>17.80000000000291</v>
      </c>
      <c r="CI19" s="58">
        <v>936793</v>
      </c>
      <c r="CJ19" s="65">
        <f t="shared" si="33"/>
        <v>343.30000000004657</v>
      </c>
      <c r="CK19" s="58">
        <v>733.6</v>
      </c>
      <c r="CL19" s="62">
        <f t="shared" si="34"/>
        <v>700.00000000004547</v>
      </c>
      <c r="CM19" s="63">
        <f t="shared" si="35"/>
        <v>49</v>
      </c>
      <c r="CN19" s="60">
        <v>8</v>
      </c>
      <c r="CO19" s="60">
        <v>24</v>
      </c>
      <c r="CP19" s="66">
        <v>7550</v>
      </c>
      <c r="CQ19" s="65">
        <f t="shared" si="36"/>
        <v>37</v>
      </c>
      <c r="CR19" s="66">
        <v>13284</v>
      </c>
      <c r="CS19" s="65">
        <f t="shared" si="36"/>
        <v>12</v>
      </c>
      <c r="CT19" s="73">
        <v>5936</v>
      </c>
      <c r="CU19" s="65">
        <f t="shared" si="36"/>
        <v>12</v>
      </c>
      <c r="CV19" s="66">
        <v>14422</v>
      </c>
      <c r="CW19" s="65">
        <f t="shared" si="36"/>
        <v>20</v>
      </c>
    </row>
    <row r="20" spans="1:101" ht="25.5" customHeight="1" thickBot="1" x14ac:dyDescent="0.45">
      <c r="A20" s="61">
        <v>44333</v>
      </c>
      <c r="B20" s="44"/>
      <c r="C20" s="56">
        <v>2.2124000000000001</v>
      </c>
      <c r="D20" s="62">
        <f t="shared" si="0"/>
        <v>1900.0000000000127</v>
      </c>
      <c r="E20" s="56">
        <v>3.1476000000000002</v>
      </c>
      <c r="F20" s="62">
        <f t="shared" si="1"/>
        <v>3100.0000000003247</v>
      </c>
      <c r="G20" s="56">
        <v>3.2149999999999999</v>
      </c>
      <c r="H20" s="62">
        <f t="shared" si="2"/>
        <v>2399.9999999997358</v>
      </c>
      <c r="I20" s="56">
        <v>1.5852999999999999</v>
      </c>
      <c r="J20" s="62">
        <f t="shared" si="3"/>
        <v>1299.9999999998568</v>
      </c>
      <c r="K20" s="56">
        <v>2.5615999999999999</v>
      </c>
      <c r="L20" s="62">
        <f t="shared" si="37"/>
        <v>1900.0000000000127</v>
      </c>
      <c r="M20" s="56">
        <v>1.421</v>
      </c>
      <c r="N20" s="62">
        <f t="shared" si="4"/>
        <v>1000.0000000001119</v>
      </c>
      <c r="O20" s="56">
        <v>14078</v>
      </c>
      <c r="P20" s="65">
        <f t="shared" si="43"/>
        <v>9</v>
      </c>
      <c r="Q20" s="56">
        <v>893</v>
      </c>
      <c r="R20" s="65">
        <f t="shared" si="6"/>
        <v>4</v>
      </c>
      <c r="S20" s="56">
        <v>962965.6</v>
      </c>
      <c r="T20" s="65">
        <f t="shared" si="7"/>
        <v>670.59999999997672</v>
      </c>
      <c r="U20" s="56">
        <v>404962.1</v>
      </c>
      <c r="V20" s="65">
        <f t="shared" si="38"/>
        <v>302.09999999997672</v>
      </c>
      <c r="W20" s="56">
        <v>385.8</v>
      </c>
      <c r="X20" s="63">
        <f t="shared" si="41"/>
        <v>290.00000000002046</v>
      </c>
      <c r="Y20" s="56">
        <v>2.7490000000000001</v>
      </c>
      <c r="Z20" s="63">
        <f t="shared" si="8"/>
        <v>2800.0000000001355</v>
      </c>
      <c r="AA20" s="56">
        <v>384.39</v>
      </c>
      <c r="AB20" s="63">
        <f t="shared" si="9"/>
        <v>339.99999999997499</v>
      </c>
      <c r="AC20" s="56">
        <v>360.64</v>
      </c>
      <c r="AD20" s="63">
        <f t="shared" si="10"/>
        <v>180.00000000000682</v>
      </c>
      <c r="AE20" s="56">
        <v>555.36</v>
      </c>
      <c r="AF20" s="63">
        <f t="shared" si="11"/>
        <v>379.99999999999545</v>
      </c>
      <c r="AG20" s="56">
        <v>3026</v>
      </c>
      <c r="AH20" s="65">
        <f t="shared" si="12"/>
        <v>32</v>
      </c>
      <c r="AI20" s="56">
        <v>588.13</v>
      </c>
      <c r="AJ20" s="63">
        <f t="shared" si="13"/>
        <v>700.00000000004547</v>
      </c>
      <c r="AK20" s="56">
        <v>196.4</v>
      </c>
      <c r="AL20" s="63">
        <f t="shared" si="13"/>
        <v>180.00000000000682</v>
      </c>
      <c r="AM20" s="56">
        <v>187.94</v>
      </c>
      <c r="AN20" s="63">
        <f t="shared" si="13"/>
        <v>69.999999999993179</v>
      </c>
      <c r="AO20" s="56">
        <v>184.3</v>
      </c>
      <c r="AP20" s="63">
        <f t="shared" si="13"/>
        <v>250</v>
      </c>
      <c r="AQ20" s="56">
        <v>241.12</v>
      </c>
      <c r="AR20" s="63">
        <f t="shared" si="14"/>
        <v>80.000000000012506</v>
      </c>
      <c r="AS20" s="56">
        <v>366.32</v>
      </c>
      <c r="AT20" s="63">
        <f t="shared" si="15"/>
        <v>110.00000000001364</v>
      </c>
      <c r="AU20" s="56">
        <v>283.17</v>
      </c>
      <c r="AV20" s="63">
        <f t="shared" si="16"/>
        <v>69.999999999993179</v>
      </c>
      <c r="AW20" s="56">
        <v>315.74</v>
      </c>
      <c r="AX20" s="63">
        <f t="shared" si="17"/>
        <v>90.000000000031832</v>
      </c>
      <c r="AY20" s="56">
        <v>359.71</v>
      </c>
      <c r="AZ20" s="63">
        <f t="shared" si="18"/>
        <v>29.999999999972715</v>
      </c>
      <c r="BA20" s="56">
        <v>380.19</v>
      </c>
      <c r="BB20" s="63">
        <f t="shared" si="19"/>
        <v>40.000000000020464</v>
      </c>
      <c r="BC20" s="56">
        <v>240.78</v>
      </c>
      <c r="BD20" s="63">
        <f t="shared" si="20"/>
        <v>30.000000000001137</v>
      </c>
      <c r="BE20" s="57">
        <v>39029</v>
      </c>
      <c r="BF20" s="65">
        <f t="shared" si="39"/>
        <v>31</v>
      </c>
      <c r="BG20" s="58">
        <v>232.73</v>
      </c>
      <c r="BH20" s="63">
        <f t="shared" si="21"/>
        <v>30.000000000001137</v>
      </c>
      <c r="BI20" s="58">
        <v>291.97000000000003</v>
      </c>
      <c r="BJ20" s="63">
        <f t="shared" si="40"/>
        <v>40.000000000020464</v>
      </c>
      <c r="BK20" s="58">
        <v>235.64</v>
      </c>
      <c r="BL20" s="63">
        <f t="shared" si="22"/>
        <v>39.999999999992042</v>
      </c>
      <c r="BM20" s="58">
        <v>222.36</v>
      </c>
      <c r="BN20" s="63">
        <f t="shared" si="23"/>
        <v>30.000000000001137</v>
      </c>
      <c r="BO20" s="58">
        <v>286.43</v>
      </c>
      <c r="BP20" s="63">
        <f t="shared" si="24"/>
        <v>30.000000000029559</v>
      </c>
      <c r="BQ20" s="58">
        <v>44289</v>
      </c>
      <c r="BR20" s="63">
        <f t="shared" si="25"/>
        <v>21</v>
      </c>
      <c r="BS20" s="58">
        <v>199.87</v>
      </c>
      <c r="BT20" s="63">
        <f t="shared" si="42"/>
        <v>20.000000000010232</v>
      </c>
      <c r="BU20" s="58">
        <v>39041</v>
      </c>
      <c r="BV20" s="63">
        <f t="shared" si="26"/>
        <v>38</v>
      </c>
      <c r="BW20" s="58">
        <v>230.9</v>
      </c>
      <c r="BX20" s="63">
        <f t="shared" si="27"/>
        <v>20.000000000010232</v>
      </c>
      <c r="BY20" s="58">
        <v>58371</v>
      </c>
      <c r="BZ20" s="65">
        <f t="shared" si="28"/>
        <v>46</v>
      </c>
      <c r="CA20" s="58">
        <v>30531.599999999999</v>
      </c>
      <c r="CB20" s="65">
        <f t="shared" si="29"/>
        <v>45.899999999997817</v>
      </c>
      <c r="CC20" s="58">
        <v>11843.8</v>
      </c>
      <c r="CD20" s="65">
        <f t="shared" si="30"/>
        <v>8.7999999999992724</v>
      </c>
      <c r="CE20" s="58">
        <v>6204.1</v>
      </c>
      <c r="CF20" s="65">
        <f t="shared" si="31"/>
        <v>4.1000000000003638</v>
      </c>
      <c r="CG20" s="58">
        <v>58186.2</v>
      </c>
      <c r="CH20" s="65">
        <f t="shared" si="32"/>
        <v>25.19999999999709</v>
      </c>
      <c r="CI20" s="58">
        <v>937112</v>
      </c>
      <c r="CJ20" s="65">
        <f t="shared" si="33"/>
        <v>319</v>
      </c>
      <c r="CK20" s="58">
        <v>734.22</v>
      </c>
      <c r="CL20" s="62">
        <f t="shared" si="34"/>
        <v>620.00000000000455</v>
      </c>
      <c r="CM20" s="63">
        <f t="shared" si="35"/>
        <v>73</v>
      </c>
      <c r="CN20" s="60">
        <v>9</v>
      </c>
      <c r="CO20" s="60">
        <v>25</v>
      </c>
      <c r="CP20" s="66">
        <v>7605</v>
      </c>
      <c r="CQ20" s="65">
        <f t="shared" si="36"/>
        <v>55</v>
      </c>
      <c r="CR20" s="66">
        <v>13302</v>
      </c>
      <c r="CS20" s="65">
        <f t="shared" si="36"/>
        <v>18</v>
      </c>
      <c r="CT20" s="73">
        <v>5949</v>
      </c>
      <c r="CU20" s="65">
        <f t="shared" si="36"/>
        <v>13</v>
      </c>
      <c r="CV20" s="66">
        <v>14445</v>
      </c>
      <c r="CW20" s="65">
        <f t="shared" si="36"/>
        <v>23</v>
      </c>
    </row>
    <row r="21" spans="1:101" ht="25.5" customHeight="1" thickBot="1" x14ac:dyDescent="0.45">
      <c r="A21" s="61">
        <v>44334</v>
      </c>
      <c r="B21" s="44"/>
      <c r="C21" s="56">
        <v>2.2145000000000001</v>
      </c>
      <c r="D21" s="62">
        <f t="shared" si="0"/>
        <v>2099.9999999999909</v>
      </c>
      <c r="E21" s="56">
        <v>3.1503999999999999</v>
      </c>
      <c r="F21" s="62">
        <f t="shared" si="1"/>
        <v>2799.9999999996917</v>
      </c>
      <c r="G21" s="56">
        <v>3.2172000000000001</v>
      </c>
      <c r="H21" s="62">
        <f t="shared" si="2"/>
        <v>2200.0000000002019</v>
      </c>
      <c r="I21" s="56">
        <v>1.5867</v>
      </c>
      <c r="J21" s="62">
        <f t="shared" si="3"/>
        <v>1400.0000000000678</v>
      </c>
      <c r="K21" s="56">
        <v>2.5636000000000001</v>
      </c>
      <c r="L21" s="62">
        <f t="shared" si="37"/>
        <v>2000.0000000002237</v>
      </c>
      <c r="M21" s="56">
        <v>1.4217</v>
      </c>
      <c r="N21" s="62">
        <f t="shared" si="4"/>
        <v>699.99999999992292</v>
      </c>
      <c r="O21" s="56">
        <v>14092</v>
      </c>
      <c r="P21" s="65">
        <f t="shared" si="43"/>
        <v>14</v>
      </c>
      <c r="Q21" s="56">
        <v>897</v>
      </c>
      <c r="R21" s="65">
        <f t="shared" si="6"/>
        <v>4</v>
      </c>
      <c r="S21" s="56">
        <v>963599.2</v>
      </c>
      <c r="T21" s="65">
        <f t="shared" si="7"/>
        <v>633.59999999997672</v>
      </c>
      <c r="U21" s="56">
        <v>405269.7</v>
      </c>
      <c r="V21" s="65">
        <f t="shared" si="38"/>
        <v>307.60000000003492</v>
      </c>
      <c r="W21" s="56">
        <v>386.12</v>
      </c>
      <c r="X21" s="63">
        <f t="shared" si="41"/>
        <v>319.99999999999318</v>
      </c>
      <c r="Y21" s="56">
        <v>2.7515000000000001</v>
      </c>
      <c r="Z21" s="63">
        <f t="shared" si="8"/>
        <v>2499.9999999999468</v>
      </c>
      <c r="AA21" s="56">
        <v>384.59</v>
      </c>
      <c r="AB21" s="63">
        <f t="shared" si="9"/>
        <v>199.99999999998863</v>
      </c>
      <c r="AC21" s="56">
        <v>360.83</v>
      </c>
      <c r="AD21" s="63">
        <f t="shared" si="10"/>
        <v>189.99999999999773</v>
      </c>
      <c r="AE21" s="56">
        <v>555.63</v>
      </c>
      <c r="AF21" s="63">
        <f t="shared" si="11"/>
        <v>269.99999999998181</v>
      </c>
      <c r="AG21" s="56">
        <v>3060</v>
      </c>
      <c r="AH21" s="65">
        <f t="shared" si="12"/>
        <v>34</v>
      </c>
      <c r="AI21" s="56">
        <v>588.80999999999995</v>
      </c>
      <c r="AJ21" s="63">
        <f t="shared" si="13"/>
        <v>679.99999999994998</v>
      </c>
      <c r="AK21" s="56">
        <v>196.62</v>
      </c>
      <c r="AL21" s="63">
        <f t="shared" si="13"/>
        <v>219.99999999999886</v>
      </c>
      <c r="AM21" s="56">
        <v>188.13</v>
      </c>
      <c r="AN21" s="63">
        <f t="shared" si="13"/>
        <v>189.99999999999773</v>
      </c>
      <c r="AO21" s="56">
        <v>184.53</v>
      </c>
      <c r="AP21" s="63">
        <f t="shared" si="13"/>
        <v>229.99999999998977</v>
      </c>
      <c r="AQ21" s="56">
        <v>241.23</v>
      </c>
      <c r="AR21" s="63">
        <f t="shared" si="14"/>
        <v>109.99999999998522</v>
      </c>
      <c r="AS21" s="56">
        <v>366.38</v>
      </c>
      <c r="AT21" s="63">
        <f t="shared" si="15"/>
        <v>60.000000000002274</v>
      </c>
      <c r="AU21" s="56">
        <v>283.23</v>
      </c>
      <c r="AV21" s="63">
        <f t="shared" si="16"/>
        <v>60.000000000002274</v>
      </c>
      <c r="AW21" s="56">
        <v>315.81</v>
      </c>
      <c r="AX21" s="63">
        <f t="shared" si="17"/>
        <v>69.999999999993179</v>
      </c>
      <c r="AY21" s="56">
        <v>359.75</v>
      </c>
      <c r="AZ21" s="63">
        <f t="shared" si="18"/>
        <v>40.000000000020464</v>
      </c>
      <c r="BA21" s="56">
        <v>380.22</v>
      </c>
      <c r="BB21" s="63">
        <f t="shared" si="19"/>
        <v>30.000000000029559</v>
      </c>
      <c r="BC21" s="56">
        <v>240.82</v>
      </c>
      <c r="BD21" s="63">
        <f t="shared" si="20"/>
        <v>39.999999999992042</v>
      </c>
      <c r="BE21" s="57">
        <v>39073</v>
      </c>
      <c r="BF21" s="65">
        <f t="shared" si="39"/>
        <v>44</v>
      </c>
      <c r="BG21" s="58">
        <v>232.75</v>
      </c>
      <c r="BH21" s="63">
        <f t="shared" si="21"/>
        <v>20.000000000010232</v>
      </c>
      <c r="BI21" s="58">
        <v>292.01</v>
      </c>
      <c r="BJ21" s="63">
        <f t="shared" si="40"/>
        <v>39.99999999996362</v>
      </c>
      <c r="BK21" s="58">
        <v>235.67</v>
      </c>
      <c r="BL21" s="63">
        <f t="shared" si="22"/>
        <v>30.000000000001137</v>
      </c>
      <c r="BM21" s="58">
        <v>222.4</v>
      </c>
      <c r="BN21" s="63">
        <f t="shared" si="23"/>
        <v>39.999999999992042</v>
      </c>
      <c r="BO21" s="58">
        <v>286.47000000000003</v>
      </c>
      <c r="BP21" s="63">
        <f t="shared" si="24"/>
        <v>40.000000000020464</v>
      </c>
      <c r="BQ21" s="58">
        <v>44314</v>
      </c>
      <c r="BR21" s="63">
        <f t="shared" si="25"/>
        <v>25</v>
      </c>
      <c r="BS21" s="58">
        <v>199.89</v>
      </c>
      <c r="BT21" s="63">
        <f t="shared" si="42"/>
        <v>19.99999999998181</v>
      </c>
      <c r="BU21" s="58">
        <v>39081</v>
      </c>
      <c r="BV21" s="63">
        <f t="shared" si="26"/>
        <v>40</v>
      </c>
      <c r="BW21" s="58">
        <v>230.92</v>
      </c>
      <c r="BX21" s="63">
        <f t="shared" si="27"/>
        <v>19.99999999998181</v>
      </c>
      <c r="BY21" s="58">
        <v>58419</v>
      </c>
      <c r="BZ21" s="65">
        <f t="shared" si="28"/>
        <v>48</v>
      </c>
      <c r="CA21" s="58">
        <v>30574.400000000001</v>
      </c>
      <c r="CB21" s="65">
        <f t="shared" si="29"/>
        <v>42.80000000000291</v>
      </c>
      <c r="CC21" s="58">
        <v>11855.2</v>
      </c>
      <c r="CD21" s="65">
        <f t="shared" si="30"/>
        <v>11.400000000001455</v>
      </c>
      <c r="CE21" s="58">
        <v>6228.6</v>
      </c>
      <c r="CF21" s="65">
        <f t="shared" si="31"/>
        <v>24.5</v>
      </c>
      <c r="CG21" s="58">
        <v>58211.6</v>
      </c>
      <c r="CH21" s="65">
        <f t="shared" si="32"/>
        <v>25.400000000001455</v>
      </c>
      <c r="CI21" s="58">
        <v>937471</v>
      </c>
      <c r="CJ21" s="65">
        <f t="shared" si="33"/>
        <v>359</v>
      </c>
      <c r="CK21" s="58">
        <v>734.66</v>
      </c>
      <c r="CL21" s="62">
        <f t="shared" si="34"/>
        <v>439.99999999994088</v>
      </c>
      <c r="CM21" s="63">
        <f t="shared" si="35"/>
        <v>178</v>
      </c>
      <c r="CN21" s="60">
        <v>9</v>
      </c>
      <c r="CO21" s="60">
        <v>25</v>
      </c>
      <c r="CP21" s="66">
        <v>7722</v>
      </c>
      <c r="CQ21" s="65">
        <f t="shared" si="36"/>
        <v>117</v>
      </c>
      <c r="CR21" s="66">
        <v>13363</v>
      </c>
      <c r="CS21" s="65">
        <f t="shared" si="36"/>
        <v>61</v>
      </c>
      <c r="CT21" s="73">
        <v>5961</v>
      </c>
      <c r="CU21" s="65">
        <f t="shared" si="36"/>
        <v>12</v>
      </c>
      <c r="CV21" s="66">
        <v>14463</v>
      </c>
      <c r="CW21" s="65">
        <f t="shared" si="36"/>
        <v>18</v>
      </c>
    </row>
    <row r="22" spans="1:101" ht="25.5" customHeight="1" thickBot="1" x14ac:dyDescent="0.45">
      <c r="A22" s="61">
        <v>44335</v>
      </c>
      <c r="B22" s="44"/>
      <c r="C22" s="56">
        <v>2.2164999999999999</v>
      </c>
      <c r="D22" s="62">
        <f t="shared" si="0"/>
        <v>1999.9999999997797</v>
      </c>
      <c r="E22" s="56">
        <v>3.1532</v>
      </c>
      <c r="F22" s="62">
        <f t="shared" si="1"/>
        <v>2800.0000000001355</v>
      </c>
      <c r="G22" s="56">
        <v>3.2198000000000002</v>
      </c>
      <c r="H22" s="62">
        <f t="shared" si="2"/>
        <v>2600.0000000001578</v>
      </c>
      <c r="I22" s="56">
        <v>1.5881000000000001</v>
      </c>
      <c r="J22" s="62">
        <f t="shared" si="3"/>
        <v>1400.0000000000678</v>
      </c>
      <c r="K22" s="56">
        <v>2.5655999999999999</v>
      </c>
      <c r="L22" s="62">
        <f t="shared" si="37"/>
        <v>1999.9999999997797</v>
      </c>
      <c r="M22" s="56">
        <v>1.4226000000000001</v>
      </c>
      <c r="N22" s="62">
        <f t="shared" si="4"/>
        <v>900.0000000001229</v>
      </c>
      <c r="O22" s="56">
        <v>14104</v>
      </c>
      <c r="P22" s="65">
        <f t="shared" si="43"/>
        <v>12</v>
      </c>
      <c r="Q22" s="56">
        <v>902</v>
      </c>
      <c r="R22" s="65">
        <f t="shared" si="6"/>
        <v>5</v>
      </c>
      <c r="S22" s="56">
        <v>964245.2</v>
      </c>
      <c r="T22" s="65">
        <f t="shared" si="7"/>
        <v>646</v>
      </c>
      <c r="U22" s="56">
        <v>405560.8</v>
      </c>
      <c r="V22" s="65">
        <f t="shared" si="38"/>
        <v>291.09999999997672</v>
      </c>
      <c r="W22" s="56">
        <v>386.46</v>
      </c>
      <c r="X22" s="63">
        <f t="shared" si="41"/>
        <v>339.99999999997499</v>
      </c>
      <c r="Y22" s="56">
        <v>2.7538</v>
      </c>
      <c r="Z22" s="63">
        <f t="shared" si="8"/>
        <v>2299.9999999999686</v>
      </c>
      <c r="AA22" s="56">
        <v>384.93</v>
      </c>
      <c r="AB22" s="63">
        <f t="shared" si="9"/>
        <v>340.00000000003183</v>
      </c>
      <c r="AC22" s="56">
        <v>361.02</v>
      </c>
      <c r="AD22" s="63">
        <f t="shared" si="10"/>
        <v>189.99999999999773</v>
      </c>
      <c r="AE22" s="56">
        <v>555.87</v>
      </c>
      <c r="AF22" s="63">
        <f t="shared" si="11"/>
        <v>240.00000000000909</v>
      </c>
      <c r="AG22" s="56">
        <v>3097</v>
      </c>
      <c r="AH22" s="65">
        <f t="shared" si="12"/>
        <v>37</v>
      </c>
      <c r="AI22" s="56">
        <v>589.55999999999995</v>
      </c>
      <c r="AJ22" s="63">
        <f t="shared" si="13"/>
        <v>750</v>
      </c>
      <c r="AK22" s="56">
        <v>196.84</v>
      </c>
      <c r="AL22" s="63">
        <f t="shared" si="13"/>
        <v>219.99999999999886</v>
      </c>
      <c r="AM22" s="56">
        <v>188.31</v>
      </c>
      <c r="AN22" s="63">
        <f t="shared" si="13"/>
        <v>180.00000000000682</v>
      </c>
      <c r="AO22" s="56">
        <v>184.75</v>
      </c>
      <c r="AP22" s="63">
        <f t="shared" si="13"/>
        <v>219.99999999999886</v>
      </c>
      <c r="AQ22" s="56">
        <v>241.39</v>
      </c>
      <c r="AR22" s="63">
        <f t="shared" si="14"/>
        <v>159.99999999999659</v>
      </c>
      <c r="AS22" s="56">
        <v>366.42</v>
      </c>
      <c r="AT22" s="63">
        <f t="shared" si="15"/>
        <v>40.000000000020464</v>
      </c>
      <c r="AU22" s="56">
        <v>283.27999999999997</v>
      </c>
      <c r="AV22" s="63">
        <f t="shared" si="16"/>
        <v>49.999999999954525</v>
      </c>
      <c r="AW22" s="56">
        <v>315.86</v>
      </c>
      <c r="AX22" s="63">
        <f t="shared" si="17"/>
        <v>50.000000000011369</v>
      </c>
      <c r="AY22" s="56">
        <v>359.8</v>
      </c>
      <c r="AZ22" s="63">
        <f t="shared" si="18"/>
        <v>50.000000000011369</v>
      </c>
      <c r="BA22" s="56">
        <v>380.24</v>
      </c>
      <c r="BB22" s="63">
        <f t="shared" si="19"/>
        <v>19.99999999998181</v>
      </c>
      <c r="BC22" s="56">
        <v>240.86</v>
      </c>
      <c r="BD22" s="63">
        <f t="shared" si="20"/>
        <v>40.000000000020464</v>
      </c>
      <c r="BE22" s="57">
        <v>39115</v>
      </c>
      <c r="BF22" s="65">
        <f t="shared" si="39"/>
        <v>42</v>
      </c>
      <c r="BG22" s="58">
        <v>232.78</v>
      </c>
      <c r="BH22" s="63">
        <f t="shared" si="21"/>
        <v>30.000000000001137</v>
      </c>
      <c r="BI22" s="58">
        <v>292.05</v>
      </c>
      <c r="BJ22" s="63">
        <f t="shared" si="40"/>
        <v>40.000000000020464</v>
      </c>
      <c r="BK22" s="58">
        <v>235.71</v>
      </c>
      <c r="BL22" s="63">
        <f t="shared" si="22"/>
        <v>40.000000000020464</v>
      </c>
      <c r="BM22" s="58">
        <v>222.44</v>
      </c>
      <c r="BN22" s="63">
        <f t="shared" si="23"/>
        <v>39.999999999992042</v>
      </c>
      <c r="BO22" s="58">
        <v>286.5</v>
      </c>
      <c r="BP22" s="63">
        <f t="shared" si="24"/>
        <v>29.999999999972715</v>
      </c>
      <c r="BQ22" s="58">
        <v>44338</v>
      </c>
      <c r="BR22" s="63">
        <f t="shared" si="25"/>
        <v>24</v>
      </c>
      <c r="BS22" s="58">
        <v>199.91</v>
      </c>
      <c r="BT22" s="63">
        <f t="shared" si="42"/>
        <v>20.000000000010232</v>
      </c>
      <c r="BU22" s="58">
        <v>39120</v>
      </c>
      <c r="BV22" s="63">
        <f t="shared" si="26"/>
        <v>39</v>
      </c>
      <c r="BW22" s="58">
        <v>230.95</v>
      </c>
      <c r="BX22" s="63">
        <f t="shared" si="27"/>
        <v>30.000000000001137</v>
      </c>
      <c r="BY22" s="58">
        <v>58470</v>
      </c>
      <c r="BZ22" s="65">
        <f t="shared" si="28"/>
        <v>51</v>
      </c>
      <c r="CA22" s="58">
        <v>30615.7</v>
      </c>
      <c r="CB22" s="65">
        <f t="shared" si="29"/>
        <v>41.299999999999272</v>
      </c>
      <c r="CC22" s="58">
        <v>11863.3</v>
      </c>
      <c r="CD22" s="65">
        <f t="shared" si="30"/>
        <v>8.0999999999985448</v>
      </c>
      <c r="CE22" s="58">
        <v>6230</v>
      </c>
      <c r="CF22" s="65">
        <f t="shared" si="31"/>
        <v>1.3999999999996362</v>
      </c>
      <c r="CG22" s="58">
        <v>58238</v>
      </c>
      <c r="CH22" s="65">
        <f t="shared" si="32"/>
        <v>26.400000000001455</v>
      </c>
      <c r="CI22" s="58">
        <v>937722</v>
      </c>
      <c r="CJ22" s="65">
        <f t="shared" si="33"/>
        <v>251</v>
      </c>
      <c r="CK22" s="58">
        <v>735.56</v>
      </c>
      <c r="CL22" s="62">
        <f t="shared" si="34"/>
        <v>899.99999999997726</v>
      </c>
      <c r="CM22" s="63">
        <f t="shared" si="35"/>
        <v>69</v>
      </c>
      <c r="CN22" s="60">
        <v>13</v>
      </c>
      <c r="CO22" s="60">
        <v>32</v>
      </c>
      <c r="CP22" s="66">
        <v>7773</v>
      </c>
      <c r="CQ22" s="65">
        <f t="shared" si="36"/>
        <v>51</v>
      </c>
      <c r="CR22" s="66">
        <v>13381</v>
      </c>
      <c r="CS22" s="65">
        <f t="shared" si="36"/>
        <v>18</v>
      </c>
      <c r="CT22" s="73">
        <v>5972</v>
      </c>
      <c r="CU22" s="65">
        <f t="shared" si="36"/>
        <v>11</v>
      </c>
      <c r="CV22" s="66">
        <v>14486</v>
      </c>
      <c r="CW22" s="65">
        <f t="shared" si="36"/>
        <v>23</v>
      </c>
    </row>
    <row r="23" spans="1:101" ht="25.5" customHeight="1" thickBot="1" x14ac:dyDescent="0.45">
      <c r="A23" s="61">
        <v>44336</v>
      </c>
      <c r="B23" s="44"/>
      <c r="C23" s="56">
        <v>2.2185999999999999</v>
      </c>
      <c r="D23" s="62">
        <f t="shared" si="0"/>
        <v>2099.9999999999909</v>
      </c>
      <c r="E23" s="56">
        <v>3.1562000000000001</v>
      </c>
      <c r="F23" s="62">
        <f t="shared" si="1"/>
        <v>3000.0000000001137</v>
      </c>
      <c r="G23" s="56">
        <v>3.2227000000000001</v>
      </c>
      <c r="H23" s="62">
        <f t="shared" si="2"/>
        <v>2899.9999999999027</v>
      </c>
      <c r="I23" s="56">
        <v>1.5893999999999999</v>
      </c>
      <c r="J23" s="62">
        <f t="shared" si="3"/>
        <v>1299.9999999998568</v>
      </c>
      <c r="K23" s="56">
        <v>2.5676000000000001</v>
      </c>
      <c r="L23" s="62">
        <f t="shared" si="37"/>
        <v>2000.0000000002237</v>
      </c>
      <c r="M23" s="56">
        <v>1.4234</v>
      </c>
      <c r="N23" s="62">
        <f t="shared" si="4"/>
        <v>799.99999999991189</v>
      </c>
      <c r="O23" s="56">
        <v>14105</v>
      </c>
      <c r="P23" s="65">
        <f t="shared" si="43"/>
        <v>1</v>
      </c>
      <c r="Q23" s="56">
        <v>907</v>
      </c>
      <c r="R23" s="65">
        <f t="shared" si="6"/>
        <v>5</v>
      </c>
      <c r="S23" s="56">
        <v>964956.2</v>
      </c>
      <c r="T23" s="65">
        <f t="shared" si="7"/>
        <v>711</v>
      </c>
      <c r="U23" s="56">
        <v>405862.3</v>
      </c>
      <c r="V23" s="65">
        <f t="shared" si="38"/>
        <v>301.5</v>
      </c>
      <c r="W23" s="56">
        <v>386.77</v>
      </c>
      <c r="X23" s="63">
        <f t="shared" si="41"/>
        <v>310.00000000000227</v>
      </c>
      <c r="Y23" s="56">
        <v>2.7566000000000002</v>
      </c>
      <c r="Z23" s="63">
        <f t="shared" si="8"/>
        <v>2800.0000000001355</v>
      </c>
      <c r="AA23" s="56">
        <v>385.14</v>
      </c>
      <c r="AB23" s="63">
        <f t="shared" si="9"/>
        <v>209.99999999997954</v>
      </c>
      <c r="AC23" s="56">
        <v>361.21</v>
      </c>
      <c r="AD23" s="63">
        <f t="shared" si="10"/>
        <v>189.99999999999773</v>
      </c>
      <c r="AE23" s="56">
        <v>556.11</v>
      </c>
      <c r="AF23" s="63">
        <f t="shared" si="11"/>
        <v>240.00000000000909</v>
      </c>
      <c r="AG23" s="56">
        <v>3136</v>
      </c>
      <c r="AH23" s="65">
        <f t="shared" si="12"/>
        <v>39</v>
      </c>
      <c r="AI23" s="56">
        <v>590.29999999999995</v>
      </c>
      <c r="AJ23" s="63">
        <f t="shared" si="13"/>
        <v>740.00000000000909</v>
      </c>
      <c r="AK23" s="56">
        <v>197.08</v>
      </c>
      <c r="AL23" s="63">
        <f t="shared" si="13"/>
        <v>240.00000000000909</v>
      </c>
      <c r="AM23" s="56">
        <v>188.53</v>
      </c>
      <c r="AN23" s="63">
        <f t="shared" si="13"/>
        <v>219.99999999999886</v>
      </c>
      <c r="AO23" s="56">
        <v>184.98</v>
      </c>
      <c r="AP23" s="63">
        <f t="shared" si="13"/>
        <v>229.99999999998977</v>
      </c>
      <c r="AQ23" s="56">
        <v>241.63</v>
      </c>
      <c r="AR23" s="63">
        <f t="shared" si="14"/>
        <v>240.00000000000909</v>
      </c>
      <c r="AS23" s="56">
        <v>366.46</v>
      </c>
      <c r="AT23" s="63">
        <f t="shared" si="15"/>
        <v>39.99999999996362</v>
      </c>
      <c r="AU23" s="56">
        <v>283.33</v>
      </c>
      <c r="AV23" s="63">
        <f t="shared" si="16"/>
        <v>50.000000000011369</v>
      </c>
      <c r="AW23" s="56">
        <v>315.89</v>
      </c>
      <c r="AX23" s="63">
        <f t="shared" si="17"/>
        <v>29.999999999972715</v>
      </c>
      <c r="AY23" s="56">
        <v>359.84</v>
      </c>
      <c r="AZ23" s="63">
        <f t="shared" si="18"/>
        <v>39.99999999996362</v>
      </c>
      <c r="BA23" s="56">
        <v>380.26</v>
      </c>
      <c r="BB23" s="63">
        <f t="shared" si="19"/>
        <v>19.99999999998181</v>
      </c>
      <c r="BC23" s="56">
        <v>240.88</v>
      </c>
      <c r="BD23" s="63">
        <f t="shared" si="20"/>
        <v>19.99999999998181</v>
      </c>
      <c r="BE23" s="57">
        <v>39149</v>
      </c>
      <c r="BF23" s="65">
        <f t="shared" si="39"/>
        <v>34</v>
      </c>
      <c r="BG23" s="58">
        <v>232.81</v>
      </c>
      <c r="BH23" s="63">
        <f t="shared" si="21"/>
        <v>30.000000000001137</v>
      </c>
      <c r="BI23" s="58">
        <v>292.08999999999997</v>
      </c>
      <c r="BJ23" s="63">
        <f t="shared" si="40"/>
        <v>39.99999999996362</v>
      </c>
      <c r="BK23" s="58">
        <v>235.75</v>
      </c>
      <c r="BL23" s="63">
        <f t="shared" si="22"/>
        <v>39.999999999992042</v>
      </c>
      <c r="BM23" s="58">
        <v>222.48</v>
      </c>
      <c r="BN23" s="63">
        <f t="shared" si="23"/>
        <v>39.999999999992042</v>
      </c>
      <c r="BO23" s="58">
        <v>286.52999999999997</v>
      </c>
      <c r="BP23" s="63">
        <f t="shared" si="24"/>
        <v>29.999999999972715</v>
      </c>
      <c r="BQ23" s="58">
        <v>44361</v>
      </c>
      <c r="BR23" s="63">
        <f t="shared" si="25"/>
        <v>23</v>
      </c>
      <c r="BS23" s="58">
        <v>199.93</v>
      </c>
      <c r="BT23" s="63">
        <f t="shared" si="42"/>
        <v>20.000000000010232</v>
      </c>
      <c r="BU23" s="58">
        <v>39158</v>
      </c>
      <c r="BV23" s="63">
        <f t="shared" si="26"/>
        <v>38</v>
      </c>
      <c r="BW23" s="58">
        <v>230.97</v>
      </c>
      <c r="BX23" s="63">
        <f t="shared" si="27"/>
        <v>20.000000000010232</v>
      </c>
      <c r="BY23" s="58">
        <v>58518</v>
      </c>
      <c r="BZ23" s="65">
        <f t="shared" si="28"/>
        <v>48</v>
      </c>
      <c r="CA23" s="58">
        <v>30658.7</v>
      </c>
      <c r="CB23" s="65">
        <f t="shared" si="29"/>
        <v>43</v>
      </c>
      <c r="CC23" s="58">
        <v>11869.1</v>
      </c>
      <c r="CD23" s="65">
        <f t="shared" si="30"/>
        <v>5.8000000000010914</v>
      </c>
      <c r="CE23" s="58">
        <v>6230.5</v>
      </c>
      <c r="CF23" s="65">
        <f t="shared" si="31"/>
        <v>0.5</v>
      </c>
      <c r="CG23" s="58">
        <v>58276.2</v>
      </c>
      <c r="CH23" s="65">
        <f t="shared" si="32"/>
        <v>38.19999999999709</v>
      </c>
      <c r="CI23" s="58">
        <v>938000</v>
      </c>
      <c r="CJ23" s="65">
        <f t="shared" si="33"/>
        <v>278</v>
      </c>
      <c r="CK23" s="58">
        <v>736.52</v>
      </c>
      <c r="CL23" s="62">
        <f t="shared" si="34"/>
        <v>960.00000000003638</v>
      </c>
      <c r="CM23" s="63">
        <f t="shared" si="35"/>
        <v>94</v>
      </c>
      <c r="CN23" s="60">
        <v>13</v>
      </c>
      <c r="CO23" s="60">
        <v>32</v>
      </c>
      <c r="CP23" s="66">
        <v>7819</v>
      </c>
      <c r="CQ23" s="65">
        <f t="shared" si="36"/>
        <v>46</v>
      </c>
      <c r="CR23" s="66">
        <v>13429</v>
      </c>
      <c r="CS23" s="65">
        <f t="shared" si="36"/>
        <v>48</v>
      </c>
      <c r="CT23" s="73">
        <v>5984</v>
      </c>
      <c r="CU23" s="65">
        <f t="shared" si="36"/>
        <v>12</v>
      </c>
      <c r="CV23" s="66">
        <v>14504</v>
      </c>
      <c r="CW23" s="65">
        <f t="shared" si="36"/>
        <v>18</v>
      </c>
    </row>
    <row r="24" spans="1:101" ht="25.5" customHeight="1" thickBot="1" x14ac:dyDescent="0.45">
      <c r="A24" s="61">
        <v>44337</v>
      </c>
      <c r="B24" s="44"/>
      <c r="C24" s="56">
        <v>2.2208000000000001</v>
      </c>
      <c r="D24" s="62">
        <f t="shared" si="0"/>
        <v>2200.0000000002019</v>
      </c>
      <c r="E24" s="56">
        <v>3.1589999999999998</v>
      </c>
      <c r="F24" s="62">
        <f t="shared" si="1"/>
        <v>2799.9999999996917</v>
      </c>
      <c r="G24" s="56">
        <v>3.2254</v>
      </c>
      <c r="H24" s="62">
        <f t="shared" si="2"/>
        <v>2699.9999999999245</v>
      </c>
      <c r="I24" s="56">
        <v>1.5907</v>
      </c>
      <c r="J24" s="62">
        <f t="shared" si="3"/>
        <v>1300.0000000000789</v>
      </c>
      <c r="K24" s="56">
        <v>2.5695999999999999</v>
      </c>
      <c r="L24" s="62">
        <f t="shared" si="37"/>
        <v>1999.9999999997797</v>
      </c>
      <c r="M24" s="56">
        <v>1.4242999999999999</v>
      </c>
      <c r="N24" s="62">
        <f t="shared" si="4"/>
        <v>899.99999999990087</v>
      </c>
      <c r="O24" s="56">
        <v>14116</v>
      </c>
      <c r="P24" s="65">
        <f t="shared" si="43"/>
        <v>11</v>
      </c>
      <c r="Q24" s="56">
        <v>911</v>
      </c>
      <c r="R24" s="65">
        <f t="shared" si="6"/>
        <v>4</v>
      </c>
      <c r="S24" s="56">
        <v>965765.2</v>
      </c>
      <c r="T24" s="65">
        <f t="shared" si="7"/>
        <v>809</v>
      </c>
      <c r="U24" s="56">
        <v>406207.2</v>
      </c>
      <c r="V24" s="65">
        <f t="shared" si="38"/>
        <v>344.90000000002328</v>
      </c>
      <c r="W24" s="56">
        <v>387.08</v>
      </c>
      <c r="X24" s="63">
        <f t="shared" si="41"/>
        <v>310.00000000000227</v>
      </c>
      <c r="Y24" s="56">
        <v>2.7591000000000001</v>
      </c>
      <c r="Z24" s="63">
        <f t="shared" si="8"/>
        <v>2499.9999999999468</v>
      </c>
      <c r="AA24" s="56">
        <v>385.53</v>
      </c>
      <c r="AB24" s="63">
        <f t="shared" si="9"/>
        <v>389.99999999998636</v>
      </c>
      <c r="AC24" s="56">
        <v>361.4</v>
      </c>
      <c r="AD24" s="63">
        <f t="shared" si="10"/>
        <v>189.99999999999773</v>
      </c>
      <c r="AE24" s="56">
        <v>556.4</v>
      </c>
      <c r="AF24" s="63">
        <f t="shared" si="11"/>
        <v>289.99999999996362</v>
      </c>
      <c r="AG24" s="56">
        <v>3176</v>
      </c>
      <c r="AH24" s="65">
        <f t="shared" si="12"/>
        <v>40</v>
      </c>
      <c r="AI24" s="56">
        <v>591.04999999999995</v>
      </c>
      <c r="AJ24" s="63">
        <f t="shared" si="13"/>
        <v>750</v>
      </c>
      <c r="AK24" s="56">
        <v>197.29</v>
      </c>
      <c r="AL24" s="63">
        <f t="shared" si="13"/>
        <v>209.99999999997954</v>
      </c>
      <c r="AM24" s="56">
        <v>188.69</v>
      </c>
      <c r="AN24" s="63">
        <f t="shared" si="13"/>
        <v>159.99999999999659</v>
      </c>
      <c r="AO24" s="56">
        <v>185.22</v>
      </c>
      <c r="AP24" s="63">
        <f t="shared" si="13"/>
        <v>240.00000000000909</v>
      </c>
      <c r="AQ24" s="56">
        <v>241.85</v>
      </c>
      <c r="AR24" s="63">
        <f t="shared" si="14"/>
        <v>219.99999999999886</v>
      </c>
      <c r="AS24" s="56">
        <v>366.56</v>
      </c>
      <c r="AT24" s="63">
        <f t="shared" si="15"/>
        <v>100.00000000002274</v>
      </c>
      <c r="AU24" s="56">
        <v>283.39</v>
      </c>
      <c r="AV24" s="63">
        <f t="shared" si="16"/>
        <v>60.000000000002274</v>
      </c>
      <c r="AW24" s="56">
        <v>315.94</v>
      </c>
      <c r="AX24" s="63">
        <f t="shared" si="17"/>
        <v>50.000000000011369</v>
      </c>
      <c r="AY24" s="56">
        <v>359.87</v>
      </c>
      <c r="AZ24" s="63">
        <f t="shared" si="18"/>
        <v>30.000000000029559</v>
      </c>
      <c r="BA24" s="56">
        <v>380.28</v>
      </c>
      <c r="BB24" s="63">
        <f t="shared" si="19"/>
        <v>19.99999999998181</v>
      </c>
      <c r="BC24" s="56">
        <v>240.9</v>
      </c>
      <c r="BD24" s="63">
        <f t="shared" si="20"/>
        <v>20.000000000010232</v>
      </c>
      <c r="BE24" s="57">
        <v>39195</v>
      </c>
      <c r="BF24" s="65">
        <f t="shared" si="39"/>
        <v>46</v>
      </c>
      <c r="BG24" s="58">
        <v>232.84</v>
      </c>
      <c r="BH24" s="63">
        <f t="shared" si="21"/>
        <v>30.000000000001137</v>
      </c>
      <c r="BI24" s="58">
        <v>292.13</v>
      </c>
      <c r="BJ24" s="63">
        <f t="shared" si="40"/>
        <v>40.000000000020464</v>
      </c>
      <c r="BK24" s="58">
        <v>235.78</v>
      </c>
      <c r="BL24" s="63">
        <f t="shared" si="22"/>
        <v>30.000000000001137</v>
      </c>
      <c r="BM24" s="58">
        <v>222.52</v>
      </c>
      <c r="BN24" s="63">
        <f t="shared" si="23"/>
        <v>40.000000000020464</v>
      </c>
      <c r="BO24" s="58">
        <v>286.56</v>
      </c>
      <c r="BP24" s="63">
        <f t="shared" si="24"/>
        <v>30.000000000029559</v>
      </c>
      <c r="BQ24" s="58">
        <v>44384</v>
      </c>
      <c r="BR24" s="63">
        <f t="shared" si="25"/>
        <v>23</v>
      </c>
      <c r="BS24" s="58">
        <v>199.95</v>
      </c>
      <c r="BT24" s="63">
        <f t="shared" si="42"/>
        <v>19.99999999998181</v>
      </c>
      <c r="BU24" s="58">
        <v>39197</v>
      </c>
      <c r="BV24" s="63">
        <f t="shared" si="26"/>
        <v>39</v>
      </c>
      <c r="BW24" s="58">
        <v>231</v>
      </c>
      <c r="BX24" s="63">
        <f t="shared" si="27"/>
        <v>30.000000000001137</v>
      </c>
      <c r="BY24" s="58">
        <v>58567</v>
      </c>
      <c r="BZ24" s="65">
        <f t="shared" si="28"/>
        <v>49</v>
      </c>
      <c r="CA24" s="58">
        <v>30703.8</v>
      </c>
      <c r="CB24" s="65">
        <f t="shared" si="29"/>
        <v>45.099999999998545</v>
      </c>
      <c r="CC24" s="58">
        <v>11879</v>
      </c>
      <c r="CD24" s="65">
        <f t="shared" si="30"/>
        <v>9.8999999999996362</v>
      </c>
      <c r="CE24" s="58">
        <v>6238</v>
      </c>
      <c r="CF24" s="65">
        <f t="shared" si="31"/>
        <v>7.5</v>
      </c>
      <c r="CG24" s="58">
        <v>58310.1</v>
      </c>
      <c r="CH24" s="65">
        <f t="shared" si="32"/>
        <v>33.900000000001455</v>
      </c>
      <c r="CI24" s="58">
        <v>938332</v>
      </c>
      <c r="CJ24" s="65">
        <f t="shared" si="33"/>
        <v>332</v>
      </c>
      <c r="CK24" s="58">
        <v>737.32</v>
      </c>
      <c r="CL24" s="62">
        <f t="shared" si="34"/>
        <v>800.00000000006821</v>
      </c>
      <c r="CM24" s="63">
        <f t="shared" si="35"/>
        <v>71</v>
      </c>
      <c r="CN24" s="60">
        <v>10</v>
      </c>
      <c r="CO24" s="60">
        <v>32</v>
      </c>
      <c r="CP24" s="66">
        <v>7859</v>
      </c>
      <c r="CQ24" s="65">
        <f t="shared" si="36"/>
        <v>40</v>
      </c>
      <c r="CR24" s="66">
        <v>13460</v>
      </c>
      <c r="CS24" s="65">
        <f t="shared" si="36"/>
        <v>31</v>
      </c>
      <c r="CT24" s="73">
        <v>5998</v>
      </c>
      <c r="CU24" s="65">
        <f t="shared" si="36"/>
        <v>14</v>
      </c>
      <c r="CV24" s="66">
        <v>14532</v>
      </c>
      <c r="CW24" s="65">
        <f t="shared" si="36"/>
        <v>28</v>
      </c>
    </row>
    <row r="25" spans="1:101" ht="25.5" customHeight="1" thickBot="1" x14ac:dyDescent="0.45">
      <c r="A25" s="61">
        <v>44338</v>
      </c>
      <c r="B25" s="44"/>
      <c r="C25" s="56">
        <v>2.2227000000000001</v>
      </c>
      <c r="D25" s="62">
        <f t="shared" si="0"/>
        <v>1900.0000000000127</v>
      </c>
      <c r="E25" s="56">
        <v>3.1619000000000002</v>
      </c>
      <c r="F25" s="62">
        <f t="shared" si="1"/>
        <v>2900.0000000003465</v>
      </c>
      <c r="G25" s="56">
        <v>3.2282999999999999</v>
      </c>
      <c r="H25" s="62">
        <f t="shared" si="2"/>
        <v>2899.9999999999027</v>
      </c>
      <c r="I25" s="56">
        <v>1.5920000000000001</v>
      </c>
      <c r="J25" s="62">
        <f t="shared" si="3"/>
        <v>1300.0000000000789</v>
      </c>
      <c r="K25" s="56">
        <v>2.5718000000000001</v>
      </c>
      <c r="L25" s="62">
        <f t="shared" si="37"/>
        <v>2200.0000000002019</v>
      </c>
      <c r="M25" s="56">
        <v>1.4251</v>
      </c>
      <c r="N25" s="62">
        <f t="shared" si="4"/>
        <v>800.00000000013392</v>
      </c>
      <c r="O25" s="56">
        <v>14126</v>
      </c>
      <c r="P25" s="65">
        <f t="shared" si="43"/>
        <v>10</v>
      </c>
      <c r="Q25" s="56">
        <v>916</v>
      </c>
      <c r="R25" s="65">
        <f t="shared" si="6"/>
        <v>5</v>
      </c>
      <c r="S25" s="56">
        <v>966534.4</v>
      </c>
      <c r="T25" s="65">
        <f t="shared" si="7"/>
        <v>769.20000000006985</v>
      </c>
      <c r="U25" s="56">
        <v>406512.7</v>
      </c>
      <c r="V25" s="65">
        <f t="shared" si="38"/>
        <v>305.5</v>
      </c>
      <c r="W25" s="56">
        <v>387.37</v>
      </c>
      <c r="X25" s="63">
        <f t="shared" si="41"/>
        <v>290.00000000002046</v>
      </c>
      <c r="Y25" s="56">
        <v>2.7616000000000001</v>
      </c>
      <c r="Z25" s="63">
        <f t="shared" si="8"/>
        <v>2499.9999999999468</v>
      </c>
      <c r="AA25" s="56">
        <v>385.73</v>
      </c>
      <c r="AB25" s="63">
        <f t="shared" si="9"/>
        <v>200.00000000004547</v>
      </c>
      <c r="AC25" s="56">
        <v>361.58</v>
      </c>
      <c r="AD25" s="63">
        <f t="shared" si="10"/>
        <v>180.00000000000682</v>
      </c>
      <c r="AE25" s="56">
        <v>556.63</v>
      </c>
      <c r="AF25" s="63">
        <f t="shared" si="11"/>
        <v>230.00000000001819</v>
      </c>
      <c r="AG25" s="56">
        <v>3212</v>
      </c>
      <c r="AH25" s="65">
        <f t="shared" si="12"/>
        <v>36</v>
      </c>
      <c r="AI25" s="56">
        <v>591.77</v>
      </c>
      <c r="AJ25" s="63">
        <f t="shared" si="13"/>
        <v>720.00000000002728</v>
      </c>
      <c r="AK25" s="56">
        <v>197.45</v>
      </c>
      <c r="AL25" s="63">
        <f t="shared" si="13"/>
        <v>159.99999999999659</v>
      </c>
      <c r="AM25" s="56">
        <v>188.88</v>
      </c>
      <c r="AN25" s="63">
        <f t="shared" si="13"/>
        <v>189.99999999999773</v>
      </c>
      <c r="AO25" s="56">
        <v>185.35</v>
      </c>
      <c r="AP25" s="63">
        <f t="shared" si="13"/>
        <v>129.99999999999545</v>
      </c>
      <c r="AQ25" s="56">
        <v>242.05</v>
      </c>
      <c r="AR25" s="63">
        <f t="shared" si="14"/>
        <v>200.00000000001705</v>
      </c>
      <c r="AS25" s="56">
        <v>366.63</v>
      </c>
      <c r="AT25" s="63">
        <f t="shared" si="15"/>
        <v>69.999999999993179</v>
      </c>
      <c r="AU25" s="56">
        <v>283.43</v>
      </c>
      <c r="AV25" s="63">
        <f t="shared" si="16"/>
        <v>40.000000000020464</v>
      </c>
      <c r="AW25" s="56">
        <v>315.97000000000003</v>
      </c>
      <c r="AX25" s="63">
        <f t="shared" si="17"/>
        <v>30.000000000029559</v>
      </c>
      <c r="AY25" s="56">
        <v>359.9</v>
      </c>
      <c r="AZ25" s="63">
        <f t="shared" si="18"/>
        <v>29.999999999972715</v>
      </c>
      <c r="BA25" s="56">
        <v>380.3</v>
      </c>
      <c r="BB25" s="63">
        <f t="shared" si="19"/>
        <v>20.000000000038654</v>
      </c>
      <c r="BC25" s="56">
        <v>240.92</v>
      </c>
      <c r="BD25" s="63">
        <f t="shared" si="20"/>
        <v>19.99999999998181</v>
      </c>
      <c r="BE25" s="57">
        <v>39220</v>
      </c>
      <c r="BF25" s="65">
        <f t="shared" si="39"/>
        <v>25</v>
      </c>
      <c r="BG25" s="58">
        <v>232.87</v>
      </c>
      <c r="BH25" s="63">
        <f t="shared" si="21"/>
        <v>30.000000000001137</v>
      </c>
      <c r="BI25" s="58">
        <v>292.17</v>
      </c>
      <c r="BJ25" s="63">
        <f t="shared" si="40"/>
        <v>40.000000000020464</v>
      </c>
      <c r="BK25" s="58">
        <v>235.81</v>
      </c>
      <c r="BL25" s="63">
        <f t="shared" si="22"/>
        <v>30.000000000001137</v>
      </c>
      <c r="BM25" s="58">
        <v>222.55</v>
      </c>
      <c r="BN25" s="63">
        <f t="shared" si="23"/>
        <v>30.000000000001137</v>
      </c>
      <c r="BO25" s="58">
        <v>286.58999999999997</v>
      </c>
      <c r="BP25" s="63">
        <f t="shared" si="24"/>
        <v>29.999999999972715</v>
      </c>
      <c r="BQ25" s="58">
        <v>44405</v>
      </c>
      <c r="BR25" s="63">
        <f t="shared" si="25"/>
        <v>21</v>
      </c>
      <c r="BS25" s="58">
        <v>199.97</v>
      </c>
      <c r="BT25" s="63">
        <f t="shared" si="42"/>
        <v>20.000000000010232</v>
      </c>
      <c r="BU25" s="58">
        <v>39233</v>
      </c>
      <c r="BV25" s="63">
        <f t="shared" si="26"/>
        <v>36</v>
      </c>
      <c r="BW25" s="58">
        <v>231.02</v>
      </c>
      <c r="BX25" s="63">
        <f t="shared" si="27"/>
        <v>20.000000000010232</v>
      </c>
      <c r="BY25" s="58">
        <v>58609</v>
      </c>
      <c r="BZ25" s="65">
        <f t="shared" si="28"/>
        <v>42</v>
      </c>
      <c r="CA25" s="58">
        <v>30746.3</v>
      </c>
      <c r="CB25" s="65">
        <f t="shared" si="29"/>
        <v>42.5</v>
      </c>
      <c r="CC25" s="58">
        <v>11889.8</v>
      </c>
      <c r="CD25" s="65">
        <f t="shared" si="30"/>
        <v>10.799999999999272</v>
      </c>
      <c r="CE25" s="58">
        <v>6239</v>
      </c>
      <c r="CF25" s="65">
        <f t="shared" si="31"/>
        <v>1</v>
      </c>
      <c r="CG25" s="58">
        <v>58345.8</v>
      </c>
      <c r="CH25" s="65">
        <f t="shared" si="32"/>
        <v>35.700000000004366</v>
      </c>
      <c r="CI25" s="58">
        <v>938654</v>
      </c>
      <c r="CJ25" s="65">
        <f t="shared" si="33"/>
        <v>322</v>
      </c>
      <c r="CK25" s="58">
        <v>738.21</v>
      </c>
      <c r="CL25" s="62">
        <f t="shared" si="34"/>
        <v>889.99999999998636</v>
      </c>
      <c r="CM25" s="63">
        <f t="shared" si="35"/>
        <v>64</v>
      </c>
      <c r="CN25" s="60">
        <v>10</v>
      </c>
      <c r="CO25" s="60">
        <v>23</v>
      </c>
      <c r="CP25" s="66">
        <v>7903</v>
      </c>
      <c r="CQ25" s="65">
        <f t="shared" si="36"/>
        <v>44</v>
      </c>
      <c r="CR25" s="66">
        <v>13480</v>
      </c>
      <c r="CS25" s="65">
        <f t="shared" si="36"/>
        <v>20</v>
      </c>
      <c r="CT25" s="73">
        <v>6010</v>
      </c>
      <c r="CU25" s="65">
        <f t="shared" si="36"/>
        <v>12</v>
      </c>
      <c r="CV25" s="66">
        <v>14555</v>
      </c>
      <c r="CW25" s="65">
        <f t="shared" si="36"/>
        <v>23</v>
      </c>
    </row>
    <row r="26" spans="1:101" ht="25.5" customHeight="1" thickBot="1" x14ac:dyDescent="0.45">
      <c r="A26" s="61">
        <v>44339</v>
      </c>
      <c r="B26" s="44"/>
      <c r="C26" s="56">
        <v>2.2242999999999999</v>
      </c>
      <c r="D26" s="62">
        <f t="shared" si="0"/>
        <v>1599.9999999998238</v>
      </c>
      <c r="E26" s="56">
        <v>3.1644999999999999</v>
      </c>
      <c r="F26" s="62">
        <f t="shared" si="1"/>
        <v>2599.9999999997135</v>
      </c>
      <c r="G26" s="56">
        <v>3.2309000000000001</v>
      </c>
      <c r="H26" s="62">
        <f t="shared" si="2"/>
        <v>2600.0000000001578</v>
      </c>
      <c r="I26" s="56">
        <v>1.5931999999999999</v>
      </c>
      <c r="J26" s="62">
        <f t="shared" si="3"/>
        <v>1199.9999999998679</v>
      </c>
      <c r="K26" s="56">
        <v>2.5737999999999999</v>
      </c>
      <c r="L26" s="62">
        <f t="shared" si="37"/>
        <v>1999.9999999997797</v>
      </c>
      <c r="M26" s="56">
        <v>1.4258999999999999</v>
      </c>
      <c r="N26" s="62">
        <f t="shared" si="4"/>
        <v>799.99999999991189</v>
      </c>
      <c r="O26" s="56">
        <v>14135</v>
      </c>
      <c r="P26" s="65">
        <f t="shared" si="43"/>
        <v>9</v>
      </c>
      <c r="Q26" s="56">
        <v>919</v>
      </c>
      <c r="R26" s="65">
        <f t="shared" si="6"/>
        <v>3</v>
      </c>
      <c r="S26" s="56">
        <v>967205</v>
      </c>
      <c r="T26" s="65">
        <f t="shared" si="7"/>
        <v>670.59999999997672</v>
      </c>
      <c r="U26" s="56">
        <v>406789.1</v>
      </c>
      <c r="V26" s="65">
        <f t="shared" si="38"/>
        <v>276.39999999996508</v>
      </c>
      <c r="W26" s="56">
        <v>387.65</v>
      </c>
      <c r="X26" s="63">
        <f t="shared" si="41"/>
        <v>279.99999999997272</v>
      </c>
      <c r="Y26" s="56">
        <v>2.7637999999999998</v>
      </c>
      <c r="Z26" s="63">
        <f t="shared" si="8"/>
        <v>2199.9999999997576</v>
      </c>
      <c r="AA26" s="56">
        <v>386.06</v>
      </c>
      <c r="AB26" s="63">
        <f t="shared" si="9"/>
        <v>329.99999999998408</v>
      </c>
      <c r="AC26" s="56">
        <v>361.72</v>
      </c>
      <c r="AD26" s="63">
        <f t="shared" si="10"/>
        <v>140.0000000000432</v>
      </c>
      <c r="AE26" s="56">
        <v>556.83000000000004</v>
      </c>
      <c r="AF26" s="63">
        <f t="shared" si="11"/>
        <v>200.00000000004547</v>
      </c>
      <c r="AG26" s="56">
        <v>3245</v>
      </c>
      <c r="AH26" s="65">
        <f t="shared" si="12"/>
        <v>33</v>
      </c>
      <c r="AI26" s="56">
        <v>592.41</v>
      </c>
      <c r="AJ26" s="63">
        <f t="shared" si="13"/>
        <v>639.99999999998636</v>
      </c>
      <c r="AK26" s="56">
        <v>197.61</v>
      </c>
      <c r="AL26" s="63">
        <f t="shared" si="13"/>
        <v>160.00000000002501</v>
      </c>
      <c r="AM26" s="56">
        <v>189.03</v>
      </c>
      <c r="AN26" s="63">
        <f t="shared" si="13"/>
        <v>150.00000000000568</v>
      </c>
      <c r="AO26" s="56">
        <v>185.43</v>
      </c>
      <c r="AP26" s="63">
        <f t="shared" si="13"/>
        <v>80.000000000012506</v>
      </c>
      <c r="AQ26" s="56">
        <v>242.22</v>
      </c>
      <c r="AR26" s="63">
        <f t="shared" si="14"/>
        <v>169.99999999998749</v>
      </c>
      <c r="AS26" s="56">
        <v>366.69</v>
      </c>
      <c r="AT26" s="63">
        <f t="shared" si="15"/>
        <v>60.000000000002274</v>
      </c>
      <c r="AU26" s="56">
        <v>283.48</v>
      </c>
      <c r="AV26" s="63">
        <f t="shared" si="16"/>
        <v>50.000000000011369</v>
      </c>
      <c r="AW26" s="56">
        <v>316</v>
      </c>
      <c r="AX26" s="63">
        <f t="shared" si="17"/>
        <v>29.999999999972715</v>
      </c>
      <c r="AY26" s="56">
        <v>359.93</v>
      </c>
      <c r="AZ26" s="63">
        <f t="shared" si="18"/>
        <v>30.000000000029559</v>
      </c>
      <c r="BA26" s="56">
        <v>380.31</v>
      </c>
      <c r="BB26" s="63">
        <f t="shared" si="19"/>
        <v>9.9999999999909051</v>
      </c>
      <c r="BC26" s="56">
        <v>240.94</v>
      </c>
      <c r="BD26" s="63">
        <f t="shared" si="20"/>
        <v>20.000000000010232</v>
      </c>
      <c r="BE26" s="57">
        <v>39244</v>
      </c>
      <c r="BF26" s="65">
        <f t="shared" si="39"/>
        <v>24</v>
      </c>
      <c r="BG26" s="58">
        <v>232.91</v>
      </c>
      <c r="BH26" s="63">
        <f t="shared" si="21"/>
        <v>39.999999999992042</v>
      </c>
      <c r="BI26" s="58">
        <v>292.2</v>
      </c>
      <c r="BJ26" s="63">
        <f t="shared" si="40"/>
        <v>29.999999999972715</v>
      </c>
      <c r="BK26" s="58">
        <v>235.85</v>
      </c>
      <c r="BL26" s="63">
        <f t="shared" si="22"/>
        <v>39.999999999992042</v>
      </c>
      <c r="BM26" s="58">
        <v>222.58</v>
      </c>
      <c r="BN26" s="63">
        <f t="shared" si="23"/>
        <v>30.000000000001137</v>
      </c>
      <c r="BO26" s="58">
        <v>286.62</v>
      </c>
      <c r="BP26" s="63">
        <f t="shared" si="24"/>
        <v>30.000000000029559</v>
      </c>
      <c r="BQ26" s="58">
        <v>44428</v>
      </c>
      <c r="BR26" s="63">
        <f t="shared" si="25"/>
        <v>23</v>
      </c>
      <c r="BS26" s="58">
        <v>199.99</v>
      </c>
      <c r="BT26" s="63">
        <f t="shared" si="42"/>
        <v>20.000000000010232</v>
      </c>
      <c r="BU26" s="58">
        <v>39268</v>
      </c>
      <c r="BV26" s="63">
        <f t="shared" si="26"/>
        <v>35</v>
      </c>
      <c r="BW26" s="58">
        <v>231.04</v>
      </c>
      <c r="BX26" s="63">
        <f t="shared" si="27"/>
        <v>19.99999999998181</v>
      </c>
      <c r="BY26" s="58">
        <v>58651</v>
      </c>
      <c r="BZ26" s="65">
        <f t="shared" si="28"/>
        <v>42</v>
      </c>
      <c r="CA26" s="58">
        <v>30789</v>
      </c>
      <c r="CB26" s="65">
        <f t="shared" si="29"/>
        <v>42.700000000000728</v>
      </c>
      <c r="CC26" s="58">
        <v>11900</v>
      </c>
      <c r="CD26" s="65">
        <f t="shared" si="30"/>
        <v>10.200000000000728</v>
      </c>
      <c r="CE26" s="58">
        <v>6251.2</v>
      </c>
      <c r="CF26" s="65">
        <f t="shared" si="31"/>
        <v>12.199999999999818</v>
      </c>
      <c r="CG26" s="58">
        <v>58378.6</v>
      </c>
      <c r="CH26" s="65">
        <f t="shared" si="32"/>
        <v>32.799999999995634</v>
      </c>
      <c r="CI26" s="58">
        <v>938926</v>
      </c>
      <c r="CJ26" s="65">
        <f t="shared" si="33"/>
        <v>272</v>
      </c>
      <c r="CK26" s="58">
        <v>739.04</v>
      </c>
      <c r="CL26" s="62">
        <f t="shared" si="34"/>
        <v>829.99999999992724</v>
      </c>
      <c r="CM26" s="63">
        <f t="shared" si="35"/>
        <v>66</v>
      </c>
      <c r="CN26" s="60">
        <v>11</v>
      </c>
      <c r="CO26" s="60">
        <v>27</v>
      </c>
      <c r="CP26" s="66">
        <v>7957</v>
      </c>
      <c r="CQ26" s="65">
        <f t="shared" si="36"/>
        <v>54</v>
      </c>
      <c r="CR26" s="66">
        <v>13492</v>
      </c>
      <c r="CS26" s="65">
        <f t="shared" si="36"/>
        <v>12</v>
      </c>
      <c r="CT26" s="73">
        <v>6022</v>
      </c>
      <c r="CU26" s="65">
        <f t="shared" si="36"/>
        <v>12</v>
      </c>
      <c r="CV26" s="66">
        <v>14577</v>
      </c>
      <c r="CW26" s="65">
        <f t="shared" si="36"/>
        <v>22</v>
      </c>
    </row>
    <row r="27" spans="1:101" ht="25.5" customHeight="1" thickBot="1" x14ac:dyDescent="0.45">
      <c r="A27" s="61">
        <v>44340</v>
      </c>
      <c r="B27" s="44"/>
      <c r="C27" s="56">
        <v>2.226</v>
      </c>
      <c r="D27" s="62">
        <f t="shared" si="0"/>
        <v>1700.0000000000348</v>
      </c>
      <c r="E27" s="56">
        <v>3.1669999999999998</v>
      </c>
      <c r="F27" s="62">
        <f t="shared" si="1"/>
        <v>2499.9999999999468</v>
      </c>
      <c r="G27" s="56">
        <v>3.2332999999999998</v>
      </c>
      <c r="H27" s="62">
        <f t="shared" si="2"/>
        <v>2399.9999999997358</v>
      </c>
      <c r="I27" s="56">
        <v>1.5943000000000001</v>
      </c>
      <c r="J27" s="62">
        <f t="shared" si="3"/>
        <v>1100.000000000101</v>
      </c>
      <c r="K27" s="56">
        <v>2.5756999999999999</v>
      </c>
      <c r="L27" s="62">
        <f t="shared" si="37"/>
        <v>1900.0000000000127</v>
      </c>
      <c r="M27" s="56">
        <v>1.4267000000000001</v>
      </c>
      <c r="N27" s="62">
        <f t="shared" si="4"/>
        <v>800.00000000013392</v>
      </c>
      <c r="O27" s="56">
        <v>14140</v>
      </c>
      <c r="P27" s="65">
        <f t="shared" si="43"/>
        <v>5</v>
      </c>
      <c r="Q27" s="56">
        <v>923</v>
      </c>
      <c r="R27" s="65">
        <f t="shared" si="6"/>
        <v>4</v>
      </c>
      <c r="S27" s="56">
        <v>967809.2</v>
      </c>
      <c r="T27" s="65">
        <f t="shared" si="7"/>
        <v>604.19999999995343</v>
      </c>
      <c r="U27" s="56">
        <v>407033.4</v>
      </c>
      <c r="V27" s="65">
        <f t="shared" si="38"/>
        <v>244.30000000004657</v>
      </c>
      <c r="W27" s="56">
        <v>387.92</v>
      </c>
      <c r="X27" s="63">
        <f t="shared" si="41"/>
        <v>270.00000000003865</v>
      </c>
      <c r="Y27" s="56">
        <v>2.7662</v>
      </c>
      <c r="Z27" s="63">
        <f t="shared" si="8"/>
        <v>2400.0000000001796</v>
      </c>
      <c r="AA27" s="56">
        <v>386.38</v>
      </c>
      <c r="AB27" s="63">
        <f t="shared" si="9"/>
        <v>319.99999999999318</v>
      </c>
      <c r="AC27" s="56">
        <v>361.89</v>
      </c>
      <c r="AD27" s="63">
        <f t="shared" si="10"/>
        <v>169.99999999995907</v>
      </c>
      <c r="AE27" s="56">
        <v>557.11</v>
      </c>
      <c r="AF27" s="63">
        <f t="shared" si="11"/>
        <v>279.99999999997272</v>
      </c>
      <c r="AG27" s="56">
        <v>3276</v>
      </c>
      <c r="AH27" s="65">
        <f t="shared" si="12"/>
        <v>31</v>
      </c>
      <c r="AI27" s="56">
        <v>593.1</v>
      </c>
      <c r="AJ27" s="63">
        <f t="shared" si="13"/>
        <v>690.00000000005457</v>
      </c>
      <c r="AK27" s="56">
        <v>197.77</v>
      </c>
      <c r="AL27" s="63">
        <f t="shared" si="13"/>
        <v>159.99999999999659</v>
      </c>
      <c r="AM27" s="56">
        <v>189.21</v>
      </c>
      <c r="AN27" s="63">
        <f t="shared" si="13"/>
        <v>180.00000000000682</v>
      </c>
      <c r="AO27" s="56">
        <v>185.51</v>
      </c>
      <c r="AP27" s="63">
        <f t="shared" si="13"/>
        <v>79.999999999984084</v>
      </c>
      <c r="AQ27" s="56">
        <v>242.38</v>
      </c>
      <c r="AR27" s="63">
        <f t="shared" si="14"/>
        <v>159.99999999999659</v>
      </c>
      <c r="AS27" s="56">
        <v>366.76</v>
      </c>
      <c r="AT27" s="63">
        <f t="shared" si="15"/>
        <v>69.999999999993179</v>
      </c>
      <c r="AU27" s="56">
        <v>283.52999999999997</v>
      </c>
      <c r="AV27" s="63">
        <f t="shared" si="16"/>
        <v>49.999999999954525</v>
      </c>
      <c r="AW27" s="56">
        <v>316.05</v>
      </c>
      <c r="AX27" s="63">
        <f t="shared" si="17"/>
        <v>50.000000000011369</v>
      </c>
      <c r="AY27" s="56">
        <v>359.97</v>
      </c>
      <c r="AZ27" s="63">
        <f t="shared" si="18"/>
        <v>40.000000000020464</v>
      </c>
      <c r="BA27" s="56">
        <v>380.34</v>
      </c>
      <c r="BB27" s="63">
        <f t="shared" si="19"/>
        <v>29.999999999972715</v>
      </c>
      <c r="BC27" s="56">
        <v>240.97</v>
      </c>
      <c r="BD27" s="63">
        <f t="shared" si="20"/>
        <v>30.000000000001137</v>
      </c>
      <c r="BE27" s="57">
        <v>39281</v>
      </c>
      <c r="BF27" s="65">
        <f t="shared" si="39"/>
        <v>37</v>
      </c>
      <c r="BG27" s="58">
        <v>232.94</v>
      </c>
      <c r="BH27" s="63">
        <f t="shared" si="21"/>
        <v>30.000000000001137</v>
      </c>
      <c r="BI27" s="58">
        <v>292.23</v>
      </c>
      <c r="BJ27" s="63">
        <f t="shared" si="40"/>
        <v>30.000000000029559</v>
      </c>
      <c r="BK27" s="58">
        <v>235.88</v>
      </c>
      <c r="BL27" s="63">
        <f t="shared" si="22"/>
        <v>30.000000000001137</v>
      </c>
      <c r="BM27" s="58">
        <v>222.61</v>
      </c>
      <c r="BN27" s="63">
        <f t="shared" si="23"/>
        <v>30.000000000001137</v>
      </c>
      <c r="BO27" s="58">
        <v>286.64</v>
      </c>
      <c r="BP27" s="63">
        <f t="shared" si="24"/>
        <v>19.99999999998181</v>
      </c>
      <c r="BQ27" s="58">
        <v>44449</v>
      </c>
      <c r="BR27" s="63">
        <f t="shared" si="25"/>
        <v>21</v>
      </c>
      <c r="BS27" s="58">
        <v>200</v>
      </c>
      <c r="BT27" s="63">
        <f t="shared" si="42"/>
        <v>9.9999999999909051</v>
      </c>
      <c r="BU27" s="58">
        <v>39300</v>
      </c>
      <c r="BV27" s="63">
        <f t="shared" si="26"/>
        <v>32</v>
      </c>
      <c r="BW27" s="58">
        <v>231.06</v>
      </c>
      <c r="BX27" s="63">
        <f t="shared" si="27"/>
        <v>20.000000000010232</v>
      </c>
      <c r="BY27" s="58">
        <v>58679</v>
      </c>
      <c r="BZ27" s="65">
        <f t="shared" si="28"/>
        <v>28</v>
      </c>
      <c r="CA27" s="58">
        <v>30828.5</v>
      </c>
      <c r="CB27" s="65">
        <f t="shared" si="29"/>
        <v>39.5</v>
      </c>
      <c r="CC27" s="58">
        <v>11909.9</v>
      </c>
      <c r="CD27" s="65">
        <f>IF((CC27-CC26&lt;0), "",CC27-CC26)</f>
        <v>9.8999999999996362</v>
      </c>
      <c r="CE27" s="58">
        <v>6252</v>
      </c>
      <c r="CF27" s="65">
        <f t="shared" si="31"/>
        <v>0.8000000000001819</v>
      </c>
      <c r="CG27" s="58">
        <v>58406.6</v>
      </c>
      <c r="CH27" s="65">
        <f t="shared" si="32"/>
        <v>28</v>
      </c>
      <c r="CI27" s="58">
        <v>939197</v>
      </c>
      <c r="CJ27" s="65">
        <f t="shared" si="33"/>
        <v>271</v>
      </c>
      <c r="CK27" s="58">
        <v>739.78</v>
      </c>
      <c r="CL27" s="62">
        <f t="shared" si="34"/>
        <v>740.00000000000909</v>
      </c>
      <c r="CM27" s="63">
        <f t="shared" si="35"/>
        <v>40</v>
      </c>
      <c r="CN27" s="60">
        <v>15</v>
      </c>
      <c r="CO27" s="60">
        <v>33</v>
      </c>
      <c r="CP27" s="66">
        <v>7990</v>
      </c>
      <c r="CQ27" s="65">
        <f t="shared" si="36"/>
        <v>33</v>
      </c>
      <c r="CR27" s="66">
        <v>13499</v>
      </c>
      <c r="CS27" s="65">
        <f t="shared" si="36"/>
        <v>7</v>
      </c>
      <c r="CT27" s="73">
        <v>6035</v>
      </c>
      <c r="CU27" s="65">
        <f t="shared" si="36"/>
        <v>13</v>
      </c>
      <c r="CV27" s="66">
        <v>14598</v>
      </c>
      <c r="CW27" s="65">
        <f t="shared" si="36"/>
        <v>21</v>
      </c>
    </row>
    <row r="28" spans="1:101" ht="25.5" customHeight="1" thickBot="1" x14ac:dyDescent="0.45">
      <c r="A28" s="61">
        <v>44341</v>
      </c>
      <c r="B28" s="44"/>
      <c r="C28" s="56">
        <v>2.2280000000000002</v>
      </c>
      <c r="D28" s="62">
        <f t="shared" si="0"/>
        <v>2000.0000000002237</v>
      </c>
      <c r="E28" s="56">
        <v>3.1699000000000002</v>
      </c>
      <c r="F28" s="62">
        <f t="shared" si="1"/>
        <v>2900.0000000003465</v>
      </c>
      <c r="G28" s="56">
        <v>3.2357999999999998</v>
      </c>
      <c r="H28" s="62">
        <f t="shared" si="2"/>
        <v>2499.9999999999468</v>
      </c>
      <c r="I28" s="56">
        <v>1.5955999999999999</v>
      </c>
      <c r="J28" s="62">
        <f t="shared" si="3"/>
        <v>1299.9999999998568</v>
      </c>
      <c r="K28" s="56">
        <v>2.5775999999999999</v>
      </c>
      <c r="L28" s="62">
        <f t="shared" si="37"/>
        <v>1900.0000000000127</v>
      </c>
      <c r="M28" s="56">
        <v>1.4274</v>
      </c>
      <c r="N28" s="62">
        <f t="shared" si="4"/>
        <v>699.99999999992292</v>
      </c>
      <c r="O28" s="56">
        <v>14145</v>
      </c>
      <c r="P28" s="65">
        <f t="shared" si="43"/>
        <v>5</v>
      </c>
      <c r="Q28" s="56">
        <v>926</v>
      </c>
      <c r="R28" s="65">
        <f t="shared" si="6"/>
        <v>3</v>
      </c>
      <c r="S28" s="56">
        <v>968428.8</v>
      </c>
      <c r="T28" s="65">
        <f t="shared" si="7"/>
        <v>619.60000000009313</v>
      </c>
      <c r="U28" s="56">
        <v>407310.7</v>
      </c>
      <c r="V28" s="65">
        <f t="shared" si="38"/>
        <v>277.29999999998836</v>
      </c>
      <c r="W28" s="56">
        <v>388.23</v>
      </c>
      <c r="X28" s="63">
        <f t="shared" si="41"/>
        <v>310.00000000000227</v>
      </c>
      <c r="Y28" s="56">
        <v>2.7686999999999999</v>
      </c>
      <c r="Z28" s="63">
        <f t="shared" si="8"/>
        <v>2499.9999999999468</v>
      </c>
      <c r="AA28" s="56">
        <v>386.57</v>
      </c>
      <c r="AB28" s="63">
        <f t="shared" si="9"/>
        <v>189.99999999999773</v>
      </c>
      <c r="AC28" s="56">
        <v>362.05</v>
      </c>
      <c r="AD28" s="63">
        <f t="shared" si="10"/>
        <v>160.00000000002501</v>
      </c>
      <c r="AE28" s="56">
        <v>557.33000000000004</v>
      </c>
      <c r="AF28" s="63">
        <f t="shared" si="11"/>
        <v>220.00000000002728</v>
      </c>
      <c r="AG28" s="56">
        <v>3311</v>
      </c>
      <c r="AH28" s="65">
        <f t="shared" si="12"/>
        <v>35</v>
      </c>
      <c r="AI28" s="56">
        <v>593.91</v>
      </c>
      <c r="AJ28" s="63">
        <f t="shared" si="13"/>
        <v>809.99999999994543</v>
      </c>
      <c r="AK28" s="56">
        <v>197.93</v>
      </c>
      <c r="AL28" s="63">
        <f t="shared" si="13"/>
        <v>159.99999999999659</v>
      </c>
      <c r="AM28" s="56">
        <v>189.41</v>
      </c>
      <c r="AN28" s="63">
        <f t="shared" si="13"/>
        <v>199.99999999998863</v>
      </c>
      <c r="AO28" s="56">
        <v>185.6</v>
      </c>
      <c r="AP28" s="63">
        <f t="shared" si="13"/>
        <v>90.000000000003411</v>
      </c>
      <c r="AQ28" s="56">
        <v>242.55</v>
      </c>
      <c r="AR28" s="63">
        <f t="shared" si="14"/>
        <v>170.00000000001592</v>
      </c>
      <c r="AS28" s="56">
        <v>366.83</v>
      </c>
      <c r="AT28" s="63">
        <f t="shared" si="15"/>
        <v>69.999999999993179</v>
      </c>
      <c r="AU28" s="56">
        <v>283.60000000000002</v>
      </c>
      <c r="AV28" s="63">
        <f t="shared" si="16"/>
        <v>70.000000000050022</v>
      </c>
      <c r="AW28" s="56">
        <v>316.08999999999997</v>
      </c>
      <c r="AX28" s="63">
        <f t="shared" si="17"/>
        <v>39.99999999996362</v>
      </c>
      <c r="AY28" s="56">
        <v>360.01</v>
      </c>
      <c r="AZ28" s="63">
        <f t="shared" si="18"/>
        <v>39.99999999996362</v>
      </c>
      <c r="BA28" s="56">
        <v>380.36</v>
      </c>
      <c r="BB28" s="63">
        <f t="shared" si="19"/>
        <v>20.000000000038654</v>
      </c>
      <c r="BC28" s="56">
        <v>240.99</v>
      </c>
      <c r="BD28" s="63">
        <f t="shared" si="20"/>
        <v>20.000000000010232</v>
      </c>
      <c r="BE28" s="57">
        <v>39311</v>
      </c>
      <c r="BF28" s="65">
        <f t="shared" si="39"/>
        <v>30</v>
      </c>
      <c r="BG28" s="58">
        <v>232.99</v>
      </c>
      <c r="BH28" s="63">
        <f t="shared" si="21"/>
        <v>50.000000000011369</v>
      </c>
      <c r="BI28" s="58">
        <v>292.26</v>
      </c>
      <c r="BJ28" s="63">
        <f t="shared" si="40"/>
        <v>29.999999999972715</v>
      </c>
      <c r="BK28" s="58">
        <v>235.91</v>
      </c>
      <c r="BL28" s="63">
        <f t="shared" si="22"/>
        <v>30.000000000001137</v>
      </c>
      <c r="BM28" s="58">
        <v>222.64</v>
      </c>
      <c r="BN28" s="63">
        <f t="shared" si="23"/>
        <v>29.999999999972715</v>
      </c>
      <c r="BO28" s="58">
        <v>286.67</v>
      </c>
      <c r="BP28" s="63">
        <f t="shared" si="24"/>
        <v>30.000000000029559</v>
      </c>
      <c r="BQ28" s="58">
        <v>44472</v>
      </c>
      <c r="BR28" s="63">
        <f t="shared" si="25"/>
        <v>23</v>
      </c>
      <c r="BS28" s="58">
        <v>200.02</v>
      </c>
      <c r="BT28" s="63">
        <f t="shared" si="42"/>
        <v>20.000000000010232</v>
      </c>
      <c r="BU28" s="58">
        <v>39338</v>
      </c>
      <c r="BV28" s="63">
        <f t="shared" si="26"/>
        <v>38</v>
      </c>
      <c r="BW28" s="58">
        <v>231.08</v>
      </c>
      <c r="BX28" s="63">
        <f t="shared" si="27"/>
        <v>20.000000000010232</v>
      </c>
      <c r="BY28" s="58">
        <v>58718</v>
      </c>
      <c r="BZ28" s="65">
        <f t="shared" si="28"/>
        <v>39</v>
      </c>
      <c r="CA28" s="58">
        <v>30870.1</v>
      </c>
      <c r="CB28" s="65">
        <f t="shared" si="29"/>
        <v>41.599999999998545</v>
      </c>
      <c r="CC28" s="58">
        <v>11918</v>
      </c>
      <c r="CD28" s="65">
        <f>IF((CC28-CC27&lt;0), "",CC28-CC27)</f>
        <v>8.1000000000003638</v>
      </c>
      <c r="CE28" s="58">
        <v>6254.4</v>
      </c>
      <c r="CF28" s="65">
        <f t="shared" si="31"/>
        <v>2.3999999999996362</v>
      </c>
      <c r="CG28" s="58">
        <v>58438.3</v>
      </c>
      <c r="CH28" s="65">
        <f t="shared" si="32"/>
        <v>31.700000000004366</v>
      </c>
      <c r="CI28" s="58">
        <v>939483</v>
      </c>
      <c r="CJ28" s="65">
        <f t="shared" si="33"/>
        <v>286</v>
      </c>
      <c r="CK28" s="58">
        <v>740.52</v>
      </c>
      <c r="CL28" s="62">
        <f t="shared" si="34"/>
        <v>740.00000000000909</v>
      </c>
      <c r="CM28" s="63">
        <f t="shared" si="35"/>
        <v>70</v>
      </c>
      <c r="CN28" s="60">
        <v>15</v>
      </c>
      <c r="CO28" s="60">
        <v>33</v>
      </c>
      <c r="CP28" s="66">
        <v>8042</v>
      </c>
      <c r="CQ28" s="65">
        <f t="shared" si="36"/>
        <v>52</v>
      </c>
      <c r="CR28" s="66">
        <v>13517</v>
      </c>
      <c r="CS28" s="65">
        <f t="shared" si="36"/>
        <v>18</v>
      </c>
      <c r="CT28" s="73">
        <v>6047</v>
      </c>
      <c r="CU28" s="65">
        <f t="shared" si="36"/>
        <v>12</v>
      </c>
      <c r="CV28" s="66">
        <v>14616</v>
      </c>
      <c r="CW28" s="65">
        <f t="shared" si="36"/>
        <v>18</v>
      </c>
    </row>
    <row r="29" spans="1:101" ht="25.5" customHeight="1" thickBot="1" x14ac:dyDescent="0.45">
      <c r="A29" s="61">
        <v>44342</v>
      </c>
      <c r="B29" s="44"/>
      <c r="C29" s="56">
        <v>2.2301000000000002</v>
      </c>
      <c r="D29" s="62">
        <f t="shared" si="0"/>
        <v>2099.9999999999909</v>
      </c>
      <c r="E29" s="56">
        <v>3.1726999999999999</v>
      </c>
      <c r="F29" s="62">
        <f t="shared" si="1"/>
        <v>2799.9999999996917</v>
      </c>
      <c r="G29" s="56">
        <v>3.2383999999999999</v>
      </c>
      <c r="H29" s="62">
        <f t="shared" si="2"/>
        <v>2600.0000000001578</v>
      </c>
      <c r="I29" s="56">
        <v>1.5969</v>
      </c>
      <c r="J29" s="62">
        <f t="shared" si="3"/>
        <v>1300.0000000000789</v>
      </c>
      <c r="K29" s="56">
        <v>2.5796000000000001</v>
      </c>
      <c r="L29" s="62">
        <f t="shared" si="37"/>
        <v>2000.0000000002237</v>
      </c>
      <c r="M29" s="56">
        <v>1.4281999999999999</v>
      </c>
      <c r="N29" s="62">
        <f t="shared" si="4"/>
        <v>799.99999999991189</v>
      </c>
      <c r="O29" s="56">
        <v>14159</v>
      </c>
      <c r="P29" s="65">
        <f t="shared" si="43"/>
        <v>14</v>
      </c>
      <c r="Q29" s="56">
        <v>930</v>
      </c>
      <c r="R29" s="65">
        <f t="shared" si="6"/>
        <v>4</v>
      </c>
      <c r="S29" s="56">
        <v>969188.8</v>
      </c>
      <c r="T29" s="65">
        <f t="shared" si="7"/>
        <v>760</v>
      </c>
      <c r="U29" s="56">
        <v>407579.8</v>
      </c>
      <c r="V29" s="65">
        <f t="shared" si="38"/>
        <v>269.09999999997672</v>
      </c>
      <c r="W29" s="56">
        <v>388.55</v>
      </c>
      <c r="X29" s="63">
        <f t="shared" si="41"/>
        <v>319.99999999999318</v>
      </c>
      <c r="Y29" s="56">
        <v>2.7711999999999999</v>
      </c>
      <c r="Z29" s="63">
        <f t="shared" si="8"/>
        <v>2499.9999999999468</v>
      </c>
      <c r="AA29" s="56">
        <v>386.93</v>
      </c>
      <c r="AB29" s="63">
        <f t="shared" si="9"/>
        <v>360.00000000001364</v>
      </c>
      <c r="AC29" s="56">
        <v>362.2</v>
      </c>
      <c r="AD29" s="63">
        <f t="shared" si="10"/>
        <v>149.99999999997726</v>
      </c>
      <c r="AE29" s="56">
        <v>557.58000000000004</v>
      </c>
      <c r="AF29" s="63">
        <f t="shared" si="11"/>
        <v>250</v>
      </c>
      <c r="AG29" s="56">
        <v>3346</v>
      </c>
      <c r="AH29" s="65">
        <f t="shared" si="12"/>
        <v>35</v>
      </c>
      <c r="AI29" s="56">
        <v>594.79999999999995</v>
      </c>
      <c r="AJ29" s="63">
        <f t="shared" si="13"/>
        <v>889.99999999998636</v>
      </c>
      <c r="AK29" s="56">
        <v>198.12</v>
      </c>
      <c r="AL29" s="63">
        <f t="shared" si="13"/>
        <v>189.99999999999773</v>
      </c>
      <c r="AM29" s="56">
        <v>189.61</v>
      </c>
      <c r="AN29" s="63">
        <f t="shared" si="13"/>
        <v>200.00000000001705</v>
      </c>
      <c r="AO29" s="56">
        <v>185.68</v>
      </c>
      <c r="AP29" s="63">
        <f t="shared" si="13"/>
        <v>80.000000000012506</v>
      </c>
      <c r="AQ29" s="56">
        <v>242.76</v>
      </c>
      <c r="AR29" s="63">
        <f t="shared" si="14"/>
        <v>209.99999999997954</v>
      </c>
      <c r="AS29" s="56">
        <v>366.9</v>
      </c>
      <c r="AT29" s="63">
        <f t="shared" si="15"/>
        <v>69.999999999993179</v>
      </c>
      <c r="AU29" s="56">
        <v>283.66000000000003</v>
      </c>
      <c r="AV29" s="63">
        <f t="shared" si="16"/>
        <v>60.000000000002274</v>
      </c>
      <c r="AW29" s="56">
        <v>316.14</v>
      </c>
      <c r="AX29" s="63">
        <f t="shared" si="17"/>
        <v>50.000000000011369</v>
      </c>
      <c r="AY29" s="56">
        <v>360.05</v>
      </c>
      <c r="AZ29" s="63">
        <f t="shared" si="18"/>
        <v>40.000000000020464</v>
      </c>
      <c r="BA29" s="56">
        <v>380.38</v>
      </c>
      <c r="BB29" s="63">
        <f t="shared" si="19"/>
        <v>19.99999999998181</v>
      </c>
      <c r="BC29" s="56">
        <v>241.02</v>
      </c>
      <c r="BD29" s="63">
        <f t="shared" si="20"/>
        <v>30.000000000001137</v>
      </c>
      <c r="BE29" s="57">
        <v>39345</v>
      </c>
      <c r="BF29" s="65">
        <f t="shared" si="39"/>
        <v>34</v>
      </c>
      <c r="BG29" s="58">
        <v>233.04</v>
      </c>
      <c r="BH29" s="63">
        <f t="shared" si="21"/>
        <v>49.999999999982947</v>
      </c>
      <c r="BI29" s="58">
        <v>292.29000000000002</v>
      </c>
      <c r="BJ29" s="63">
        <f t="shared" si="40"/>
        <v>30.000000000029559</v>
      </c>
      <c r="BK29" s="58">
        <v>235.94</v>
      </c>
      <c r="BL29" s="63">
        <f t="shared" si="22"/>
        <v>30.000000000001137</v>
      </c>
      <c r="BM29" s="58">
        <v>222.68</v>
      </c>
      <c r="BN29" s="63">
        <f t="shared" si="23"/>
        <v>40.000000000020464</v>
      </c>
      <c r="BO29" s="58">
        <v>286.7</v>
      </c>
      <c r="BP29" s="63">
        <f t="shared" si="24"/>
        <v>29.999999999972715</v>
      </c>
      <c r="BQ29" s="58">
        <v>44491</v>
      </c>
      <c r="BR29" s="63">
        <f t="shared" si="25"/>
        <v>19</v>
      </c>
      <c r="BS29" s="58">
        <v>200.03</v>
      </c>
      <c r="BT29" s="63">
        <f t="shared" si="42"/>
        <v>9.9999999999909051</v>
      </c>
      <c r="BU29" s="58">
        <v>39373</v>
      </c>
      <c r="BV29" s="63">
        <f t="shared" si="26"/>
        <v>35</v>
      </c>
      <c r="BW29" s="58">
        <v>231.11</v>
      </c>
      <c r="BX29" s="63">
        <f t="shared" si="27"/>
        <v>30.000000000001137</v>
      </c>
      <c r="BY29" s="58">
        <v>58761</v>
      </c>
      <c r="BZ29" s="65">
        <f t="shared" si="28"/>
        <v>43</v>
      </c>
      <c r="CA29" s="58">
        <v>30912.7</v>
      </c>
      <c r="CB29" s="65">
        <f t="shared" si="29"/>
        <v>42.600000000002183</v>
      </c>
      <c r="CC29" s="58">
        <v>11927.6</v>
      </c>
      <c r="CD29" s="65">
        <f>IF((CC29-CC28&lt;0), "",CC29-CC28)</f>
        <v>9.6000000000003638</v>
      </c>
      <c r="CE29" s="58">
        <v>6260</v>
      </c>
      <c r="CF29" s="65">
        <f t="shared" si="31"/>
        <v>5.6000000000003638</v>
      </c>
      <c r="CG29" s="58">
        <v>58472.1</v>
      </c>
      <c r="CH29" s="65">
        <f t="shared" si="32"/>
        <v>33.799999999995634</v>
      </c>
      <c r="CI29" s="58">
        <v>939760</v>
      </c>
      <c r="CJ29" s="65">
        <f t="shared" si="33"/>
        <v>277</v>
      </c>
      <c r="CK29" s="58">
        <v>741.33</v>
      </c>
      <c r="CL29" s="62">
        <f t="shared" si="34"/>
        <v>810.00000000005912</v>
      </c>
      <c r="CM29" s="63">
        <f t="shared" si="35"/>
        <v>68</v>
      </c>
      <c r="CN29" s="60">
        <v>15</v>
      </c>
      <c r="CO29" s="60">
        <v>29</v>
      </c>
      <c r="CP29" s="66">
        <v>8091</v>
      </c>
      <c r="CQ29" s="65">
        <f t="shared" si="36"/>
        <v>49</v>
      </c>
      <c r="CR29" s="66">
        <v>13536</v>
      </c>
      <c r="CS29" s="65">
        <f t="shared" si="36"/>
        <v>19</v>
      </c>
      <c r="CT29" s="73">
        <v>6059</v>
      </c>
      <c r="CU29" s="65">
        <f t="shared" si="36"/>
        <v>12</v>
      </c>
      <c r="CV29" s="66">
        <v>14646</v>
      </c>
      <c r="CW29" s="65">
        <f t="shared" si="36"/>
        <v>30</v>
      </c>
    </row>
    <row r="30" spans="1:101" ht="25.5" customHeight="1" thickBot="1" x14ac:dyDescent="0.45">
      <c r="A30" s="61">
        <v>44343</v>
      </c>
      <c r="B30" s="44"/>
      <c r="C30" s="56"/>
      <c r="D30" s="62" t="str">
        <f t="shared" si="0"/>
        <v>0</v>
      </c>
      <c r="E30" s="56"/>
      <c r="F30" s="62" t="str">
        <f t="shared" si="1"/>
        <v>0</v>
      </c>
      <c r="G30" s="56"/>
      <c r="H30" s="62" t="str">
        <f t="shared" si="2"/>
        <v>0</v>
      </c>
      <c r="I30" s="56"/>
      <c r="J30" s="62" t="str">
        <f t="shared" si="3"/>
        <v>0</v>
      </c>
      <c r="K30" s="56"/>
      <c r="L30" s="62" t="str">
        <f t="shared" si="37"/>
        <v>0</v>
      </c>
      <c r="M30" s="56"/>
      <c r="N30" s="62" t="str">
        <f t="shared" si="4"/>
        <v/>
      </c>
      <c r="O30" s="56"/>
      <c r="P30" s="65" t="str">
        <f t="shared" si="43"/>
        <v/>
      </c>
      <c r="Q30" s="56"/>
      <c r="R30" s="65" t="str">
        <f t="shared" si="6"/>
        <v/>
      </c>
      <c r="S30" s="56"/>
      <c r="T30" s="65" t="str">
        <f t="shared" si="7"/>
        <v/>
      </c>
      <c r="U30" s="56"/>
      <c r="V30" s="65" t="str">
        <f t="shared" si="38"/>
        <v/>
      </c>
      <c r="W30" s="56"/>
      <c r="X30" s="63" t="str">
        <f t="shared" si="41"/>
        <v/>
      </c>
      <c r="Y30" s="56"/>
      <c r="Z30" s="63" t="str">
        <f t="shared" si="8"/>
        <v/>
      </c>
      <c r="AA30" s="56"/>
      <c r="AB30" s="63" t="str">
        <f t="shared" si="9"/>
        <v/>
      </c>
      <c r="AC30" s="56"/>
      <c r="AD30" s="63" t="str">
        <f t="shared" si="10"/>
        <v/>
      </c>
      <c r="AE30" s="56"/>
      <c r="AF30" s="63" t="str">
        <f t="shared" si="11"/>
        <v/>
      </c>
      <c r="AG30" s="56"/>
      <c r="AH30" s="65" t="str">
        <f t="shared" si="12"/>
        <v/>
      </c>
      <c r="AI30" s="56"/>
      <c r="AJ30" s="63" t="str">
        <f t="shared" si="13"/>
        <v/>
      </c>
      <c r="AK30" s="56"/>
      <c r="AL30" s="63" t="str">
        <f t="shared" si="13"/>
        <v/>
      </c>
      <c r="AM30" s="56"/>
      <c r="AN30" s="63" t="str">
        <f t="shared" si="13"/>
        <v/>
      </c>
      <c r="AO30" s="56"/>
      <c r="AP30" s="63" t="str">
        <f t="shared" si="13"/>
        <v/>
      </c>
      <c r="AQ30" s="56"/>
      <c r="AR30" s="63" t="str">
        <f t="shared" si="14"/>
        <v/>
      </c>
      <c r="AS30" s="56"/>
      <c r="AT30" s="63" t="str">
        <f t="shared" si="15"/>
        <v/>
      </c>
      <c r="AU30" s="56"/>
      <c r="AV30" s="63" t="str">
        <f t="shared" si="16"/>
        <v/>
      </c>
      <c r="AW30" s="56"/>
      <c r="AX30" s="63" t="str">
        <f t="shared" si="17"/>
        <v/>
      </c>
      <c r="AY30" s="56"/>
      <c r="AZ30" s="63" t="str">
        <f t="shared" si="18"/>
        <v/>
      </c>
      <c r="BA30" s="56"/>
      <c r="BB30" s="63" t="str">
        <f t="shared" si="19"/>
        <v/>
      </c>
      <c r="BC30" s="56"/>
      <c r="BD30" s="63" t="str">
        <f t="shared" si="20"/>
        <v/>
      </c>
      <c r="BE30" s="57"/>
      <c r="BF30" s="65" t="str">
        <f t="shared" si="39"/>
        <v/>
      </c>
      <c r="BG30" s="58"/>
      <c r="BH30" s="63" t="str">
        <f t="shared" si="21"/>
        <v/>
      </c>
      <c r="BI30" s="58"/>
      <c r="BJ30" s="63" t="str">
        <f t="shared" si="40"/>
        <v/>
      </c>
      <c r="BK30" s="58"/>
      <c r="BL30" s="63" t="str">
        <f t="shared" si="22"/>
        <v/>
      </c>
      <c r="BM30" s="58"/>
      <c r="BN30" s="63" t="str">
        <f t="shared" si="23"/>
        <v/>
      </c>
      <c r="BO30" s="58"/>
      <c r="BP30" s="63" t="str">
        <f t="shared" si="24"/>
        <v/>
      </c>
      <c r="BQ30" s="58"/>
      <c r="BR30" s="63" t="str">
        <f t="shared" si="25"/>
        <v/>
      </c>
      <c r="BS30" s="58"/>
      <c r="BT30" s="63" t="str">
        <f t="shared" si="42"/>
        <v/>
      </c>
      <c r="BU30" s="58"/>
      <c r="BV30" s="63" t="str">
        <f t="shared" si="26"/>
        <v/>
      </c>
      <c r="BW30" s="58"/>
      <c r="BX30" s="63" t="str">
        <f t="shared" si="27"/>
        <v/>
      </c>
      <c r="BY30" s="58"/>
      <c r="BZ30" s="65" t="str">
        <f t="shared" si="28"/>
        <v/>
      </c>
      <c r="CA30" s="58"/>
      <c r="CB30" s="65" t="str">
        <f t="shared" si="29"/>
        <v/>
      </c>
      <c r="CC30" s="58"/>
      <c r="CD30" s="65" t="str">
        <f t="shared" si="30"/>
        <v/>
      </c>
      <c r="CE30" s="58"/>
      <c r="CF30" s="65" t="str">
        <f t="shared" si="31"/>
        <v/>
      </c>
      <c r="CG30" s="58"/>
      <c r="CH30" s="65" t="str">
        <f t="shared" si="32"/>
        <v/>
      </c>
      <c r="CI30" s="58"/>
      <c r="CJ30" s="65" t="str">
        <f t="shared" si="33"/>
        <v/>
      </c>
      <c r="CK30" s="58"/>
      <c r="CL30" s="62" t="str">
        <f t="shared" si="34"/>
        <v/>
      </c>
      <c r="CM30" s="63" t="e">
        <f t="shared" si="35"/>
        <v>#VALUE!</v>
      </c>
      <c r="CN30" s="60"/>
      <c r="CO30" s="60"/>
      <c r="CP30" s="66"/>
      <c r="CQ30" s="65" t="str">
        <f t="shared" si="36"/>
        <v/>
      </c>
      <c r="CR30" s="66"/>
      <c r="CS30" s="65" t="str">
        <f t="shared" si="36"/>
        <v/>
      </c>
      <c r="CT30" s="73"/>
      <c r="CU30" s="65" t="str">
        <f t="shared" si="36"/>
        <v/>
      </c>
      <c r="CV30" s="66"/>
      <c r="CW30" s="65" t="str">
        <f t="shared" si="36"/>
        <v/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A10" zoomScaleNormal="100" workbookViewId="0">
      <selection activeCell="Q36" sqref="Q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>
        <v>0</v>
      </c>
      <c r="C17" s="40">
        <v>10</v>
      </c>
      <c r="D17" s="40">
        <v>23</v>
      </c>
      <c r="E17" s="41">
        <v>80</v>
      </c>
      <c r="F17" s="41">
        <v>5133</v>
      </c>
      <c r="G17" s="41">
        <v>40</v>
      </c>
      <c r="H17" s="41">
        <v>1448</v>
      </c>
      <c r="I17" s="41">
        <v>0</v>
      </c>
      <c r="J17" s="41">
        <v>315</v>
      </c>
      <c r="K17" s="42">
        <v>60</v>
      </c>
      <c r="L17" s="42">
        <v>85</v>
      </c>
      <c r="M17" s="42">
        <v>1270</v>
      </c>
      <c r="N17" s="39">
        <v>85</v>
      </c>
      <c r="O17" s="39">
        <v>0</v>
      </c>
      <c r="P17" s="39">
        <v>82</v>
      </c>
      <c r="Q17" s="39">
        <v>3660</v>
      </c>
      <c r="R17" s="75">
        <v>70</v>
      </c>
      <c r="S17" s="75">
        <v>197</v>
      </c>
      <c r="T17">
        <f t="shared" si="0"/>
        <v>0</v>
      </c>
    </row>
    <row r="18" spans="1:20" x14ac:dyDescent="0.25">
      <c r="A18" s="71">
        <v>44327</v>
      </c>
      <c r="B18" s="40">
        <v>0</v>
      </c>
      <c r="C18" s="40">
        <v>8</v>
      </c>
      <c r="D18" s="40">
        <v>13</v>
      </c>
      <c r="E18" s="41">
        <v>85</v>
      </c>
      <c r="F18" s="41">
        <v>5137</v>
      </c>
      <c r="G18" s="41">
        <v>30</v>
      </c>
      <c r="H18" s="41">
        <v>1449</v>
      </c>
      <c r="I18" s="41">
        <v>0</v>
      </c>
      <c r="J18" s="41">
        <v>315</v>
      </c>
      <c r="K18" s="42">
        <v>50</v>
      </c>
      <c r="L18" s="42">
        <v>85</v>
      </c>
      <c r="M18" s="42">
        <v>1275</v>
      </c>
      <c r="N18" s="39">
        <v>85</v>
      </c>
      <c r="O18" s="39">
        <v>0</v>
      </c>
      <c r="P18" s="39">
        <v>80</v>
      </c>
      <c r="Q18" s="39">
        <v>3670</v>
      </c>
      <c r="R18" s="75">
        <v>70</v>
      </c>
      <c r="S18" s="75">
        <v>197</v>
      </c>
      <c r="T18">
        <f t="shared" si="0"/>
        <v>0</v>
      </c>
    </row>
    <row r="19" spans="1:20" x14ac:dyDescent="0.25">
      <c r="A19" s="71">
        <v>44328</v>
      </c>
      <c r="B19" s="40">
        <v>0</v>
      </c>
      <c r="C19" s="40">
        <v>7</v>
      </c>
      <c r="D19" s="40">
        <v>13</v>
      </c>
      <c r="E19" s="41">
        <v>85</v>
      </c>
      <c r="F19" s="41">
        <v>5142</v>
      </c>
      <c r="G19" s="41">
        <v>20</v>
      </c>
      <c r="H19" s="41">
        <v>1450</v>
      </c>
      <c r="I19" s="41">
        <v>0</v>
      </c>
      <c r="J19" s="41">
        <v>316</v>
      </c>
      <c r="K19" s="42">
        <v>40</v>
      </c>
      <c r="L19" s="42">
        <v>85</v>
      </c>
      <c r="M19" s="42">
        <v>1282</v>
      </c>
      <c r="N19" s="39">
        <v>85</v>
      </c>
      <c r="O19" s="39">
        <v>0</v>
      </c>
      <c r="P19" s="39">
        <v>79</v>
      </c>
      <c r="Q19" s="39">
        <v>3672</v>
      </c>
      <c r="R19" s="75">
        <v>70</v>
      </c>
      <c r="S19" s="75">
        <v>197</v>
      </c>
      <c r="T19">
        <f t="shared" si="0"/>
        <v>0</v>
      </c>
    </row>
    <row r="20" spans="1:20" x14ac:dyDescent="0.25">
      <c r="A20" s="71">
        <v>44329</v>
      </c>
      <c r="B20" s="40">
        <v>0</v>
      </c>
      <c r="C20" s="40">
        <v>10</v>
      </c>
      <c r="D20" s="40">
        <v>23</v>
      </c>
      <c r="E20" s="41">
        <v>80</v>
      </c>
      <c r="F20" s="41">
        <v>5147</v>
      </c>
      <c r="G20" s="41">
        <v>10</v>
      </c>
      <c r="H20" s="41">
        <v>1453</v>
      </c>
      <c r="I20" s="41">
        <v>0</v>
      </c>
      <c r="J20" s="41">
        <v>316</v>
      </c>
      <c r="K20" s="42">
        <v>35</v>
      </c>
      <c r="L20" s="42">
        <v>85</v>
      </c>
      <c r="M20" s="42">
        <v>1288</v>
      </c>
      <c r="N20" s="39">
        <v>85</v>
      </c>
      <c r="O20" s="39">
        <v>0</v>
      </c>
      <c r="P20" s="39">
        <v>79</v>
      </c>
      <c r="Q20" s="39">
        <v>3677</v>
      </c>
      <c r="R20" s="75">
        <v>70</v>
      </c>
      <c r="S20" s="75">
        <v>197</v>
      </c>
      <c r="T20">
        <f t="shared" si="0"/>
        <v>0</v>
      </c>
    </row>
    <row r="21" spans="1:20" x14ac:dyDescent="0.25">
      <c r="A21" s="71">
        <v>44330</v>
      </c>
      <c r="B21" s="40">
        <v>0</v>
      </c>
      <c r="C21" s="40">
        <v>10</v>
      </c>
      <c r="D21" s="40">
        <v>24</v>
      </c>
      <c r="E21" s="41">
        <v>80</v>
      </c>
      <c r="F21" s="41">
        <v>5151</v>
      </c>
      <c r="G21" s="41">
        <v>5</v>
      </c>
      <c r="H21" s="41">
        <v>1454</v>
      </c>
      <c r="I21" s="41">
        <v>0</v>
      </c>
      <c r="J21" s="41">
        <v>316</v>
      </c>
      <c r="K21" s="42">
        <v>30</v>
      </c>
      <c r="L21" s="42">
        <v>85</v>
      </c>
      <c r="M21" s="42">
        <v>1292</v>
      </c>
      <c r="N21" s="39">
        <v>85</v>
      </c>
      <c r="O21" s="39">
        <v>0</v>
      </c>
      <c r="P21" s="39">
        <v>79</v>
      </c>
      <c r="Q21" s="39">
        <v>3682</v>
      </c>
      <c r="R21" s="75">
        <v>70</v>
      </c>
      <c r="S21" s="75">
        <v>197</v>
      </c>
      <c r="T21">
        <f t="shared" si="0"/>
        <v>0</v>
      </c>
    </row>
    <row r="22" spans="1:20" x14ac:dyDescent="0.25">
      <c r="A22" s="71">
        <v>44331</v>
      </c>
      <c r="B22" s="40">
        <v>0</v>
      </c>
      <c r="C22" s="40">
        <v>8</v>
      </c>
      <c r="D22" s="40">
        <v>24</v>
      </c>
      <c r="E22" s="41">
        <v>75</v>
      </c>
      <c r="F22" s="41">
        <v>5156</v>
      </c>
      <c r="G22" s="41">
        <v>5</v>
      </c>
      <c r="H22" s="41">
        <v>1456</v>
      </c>
      <c r="I22" s="41">
        <v>0</v>
      </c>
      <c r="J22" s="41">
        <v>317</v>
      </c>
      <c r="K22" s="42">
        <v>25</v>
      </c>
      <c r="L22" s="42">
        <v>85</v>
      </c>
      <c r="M22" s="42">
        <v>1292</v>
      </c>
      <c r="N22" s="39">
        <v>85</v>
      </c>
      <c r="O22" s="39">
        <v>0</v>
      </c>
      <c r="P22" s="39">
        <v>70</v>
      </c>
      <c r="Q22" s="39">
        <v>3687</v>
      </c>
      <c r="R22" s="75">
        <v>70</v>
      </c>
      <c r="S22" s="75">
        <v>197</v>
      </c>
      <c r="T22">
        <f t="shared" si="0"/>
        <v>0</v>
      </c>
    </row>
    <row r="23" spans="1:20" x14ac:dyDescent="0.25">
      <c r="A23" s="71">
        <v>44332</v>
      </c>
      <c r="B23" s="40">
        <v>0</v>
      </c>
      <c r="C23" s="40">
        <v>8</v>
      </c>
      <c r="D23" s="40">
        <v>24</v>
      </c>
      <c r="E23" s="41">
        <v>75</v>
      </c>
      <c r="F23" s="41">
        <v>5161</v>
      </c>
      <c r="G23" s="41">
        <v>0</v>
      </c>
      <c r="H23" s="41">
        <v>1458</v>
      </c>
      <c r="I23" s="41">
        <v>0</v>
      </c>
      <c r="J23" s="41">
        <v>317</v>
      </c>
      <c r="K23" s="42">
        <v>25</v>
      </c>
      <c r="L23" s="42">
        <v>85</v>
      </c>
      <c r="M23" s="42">
        <v>1294</v>
      </c>
      <c r="N23" s="39">
        <v>85</v>
      </c>
      <c r="O23" s="39">
        <v>0</v>
      </c>
      <c r="P23" s="39">
        <v>70</v>
      </c>
      <c r="Q23" s="39">
        <v>3691</v>
      </c>
      <c r="R23" s="75">
        <v>70</v>
      </c>
      <c r="S23" s="75">
        <v>197</v>
      </c>
      <c r="T23">
        <f t="shared" si="0"/>
        <v>0</v>
      </c>
    </row>
    <row r="24" spans="1:20" x14ac:dyDescent="0.25">
      <c r="A24" s="71">
        <v>44333</v>
      </c>
      <c r="B24" s="40">
        <v>0</v>
      </c>
      <c r="C24" s="40">
        <v>9</v>
      </c>
      <c r="D24" s="40">
        <v>25</v>
      </c>
      <c r="E24" s="41">
        <v>60</v>
      </c>
      <c r="F24" s="41">
        <v>5166</v>
      </c>
      <c r="G24" s="41">
        <v>0</v>
      </c>
      <c r="H24" s="41">
        <v>1459</v>
      </c>
      <c r="I24" s="41">
        <v>0</v>
      </c>
      <c r="J24" s="41">
        <v>318</v>
      </c>
      <c r="K24" s="42">
        <v>20</v>
      </c>
      <c r="L24" s="42">
        <v>85</v>
      </c>
      <c r="M24" s="42">
        <v>1296</v>
      </c>
      <c r="N24" s="39">
        <v>85</v>
      </c>
      <c r="O24" s="39">
        <v>0</v>
      </c>
      <c r="P24" s="39">
        <v>65</v>
      </c>
      <c r="Q24" s="39">
        <v>3696</v>
      </c>
      <c r="R24" s="75">
        <v>70</v>
      </c>
      <c r="S24" s="75">
        <v>197</v>
      </c>
      <c r="T24">
        <f t="shared" si="0"/>
        <v>0</v>
      </c>
    </row>
    <row r="25" spans="1:20" x14ac:dyDescent="0.25">
      <c r="A25" s="71">
        <v>44334</v>
      </c>
      <c r="B25" s="40">
        <v>0</v>
      </c>
      <c r="C25" s="40">
        <v>9</v>
      </c>
      <c r="D25" s="40">
        <v>25</v>
      </c>
      <c r="E25" s="41">
        <v>50</v>
      </c>
      <c r="F25" s="41">
        <v>5171</v>
      </c>
      <c r="G25" s="41">
        <v>0</v>
      </c>
      <c r="H25" s="41">
        <v>1461</v>
      </c>
      <c r="I25" s="41">
        <v>0</v>
      </c>
      <c r="J25" s="41">
        <v>319</v>
      </c>
      <c r="K25" s="42">
        <v>20</v>
      </c>
      <c r="L25" s="42">
        <v>85</v>
      </c>
      <c r="M25" s="42">
        <v>1296</v>
      </c>
      <c r="N25" s="39">
        <v>85</v>
      </c>
      <c r="O25" s="39">
        <v>0</v>
      </c>
      <c r="P25" s="39">
        <v>60</v>
      </c>
      <c r="Q25" s="39">
        <v>3700</v>
      </c>
      <c r="R25" s="75">
        <v>70</v>
      </c>
      <c r="S25" s="75">
        <v>197</v>
      </c>
      <c r="T25">
        <f t="shared" si="0"/>
        <v>0</v>
      </c>
    </row>
    <row r="26" spans="1:20" x14ac:dyDescent="0.25">
      <c r="A26" s="71">
        <v>44335</v>
      </c>
      <c r="B26" s="40">
        <v>0</v>
      </c>
      <c r="C26" s="40">
        <v>13</v>
      </c>
      <c r="D26" s="40">
        <v>32</v>
      </c>
      <c r="E26" s="41">
        <v>40</v>
      </c>
      <c r="F26" s="41">
        <v>5177</v>
      </c>
      <c r="G26" s="41">
        <v>0</v>
      </c>
      <c r="H26" s="41">
        <v>1462</v>
      </c>
      <c r="I26" s="41">
        <v>0</v>
      </c>
      <c r="J26" s="41">
        <v>320</v>
      </c>
      <c r="K26" s="42">
        <v>20</v>
      </c>
      <c r="L26" s="42">
        <v>85</v>
      </c>
      <c r="M26" s="42">
        <v>1298</v>
      </c>
      <c r="N26" s="39">
        <v>85</v>
      </c>
      <c r="O26" s="39">
        <v>0</v>
      </c>
      <c r="P26" s="39">
        <v>55</v>
      </c>
      <c r="Q26" s="39">
        <v>3704</v>
      </c>
      <c r="R26" s="75">
        <v>70</v>
      </c>
      <c r="S26" s="75">
        <v>197</v>
      </c>
      <c r="T26">
        <f t="shared" si="0"/>
        <v>0</v>
      </c>
    </row>
    <row r="27" spans="1:20" x14ac:dyDescent="0.25">
      <c r="A27" s="71">
        <v>44336</v>
      </c>
      <c r="B27" s="40">
        <v>0</v>
      </c>
      <c r="C27" s="40">
        <v>13</v>
      </c>
      <c r="D27" s="40">
        <v>32</v>
      </c>
      <c r="E27" s="41">
        <v>35</v>
      </c>
      <c r="F27" s="41">
        <v>5182</v>
      </c>
      <c r="G27" s="41">
        <v>0</v>
      </c>
      <c r="H27" s="41">
        <v>1462</v>
      </c>
      <c r="I27" s="41">
        <v>0</v>
      </c>
      <c r="J27" s="41">
        <v>321</v>
      </c>
      <c r="K27" s="42">
        <v>20</v>
      </c>
      <c r="L27" s="42">
        <v>85</v>
      </c>
      <c r="M27" s="42">
        <v>1298</v>
      </c>
      <c r="N27" s="39">
        <v>85</v>
      </c>
      <c r="O27" s="39">
        <v>0</v>
      </c>
      <c r="P27" s="39">
        <v>50</v>
      </c>
      <c r="Q27" s="39">
        <v>3709</v>
      </c>
      <c r="R27" s="75">
        <v>70</v>
      </c>
      <c r="S27" s="75">
        <v>197</v>
      </c>
      <c r="T27">
        <f t="shared" si="0"/>
        <v>0</v>
      </c>
    </row>
    <row r="28" spans="1:20" x14ac:dyDescent="0.25">
      <c r="A28" s="71">
        <v>44337</v>
      </c>
      <c r="B28" s="40">
        <v>0</v>
      </c>
      <c r="C28" s="40">
        <v>10</v>
      </c>
      <c r="D28" s="40">
        <v>32</v>
      </c>
      <c r="E28" s="41">
        <v>80</v>
      </c>
      <c r="F28" s="41">
        <v>5187</v>
      </c>
      <c r="G28" s="41">
        <v>85</v>
      </c>
      <c r="H28" s="41">
        <v>1465</v>
      </c>
      <c r="I28" s="41">
        <v>85</v>
      </c>
      <c r="J28" s="41">
        <v>322</v>
      </c>
      <c r="K28" s="42">
        <v>85</v>
      </c>
      <c r="L28" s="42">
        <v>85</v>
      </c>
      <c r="M28" s="42">
        <v>1300</v>
      </c>
      <c r="N28" s="39">
        <v>85</v>
      </c>
      <c r="O28" s="39">
        <v>85</v>
      </c>
      <c r="P28" s="39">
        <v>85</v>
      </c>
      <c r="Q28" s="39">
        <v>3713</v>
      </c>
      <c r="R28" s="75">
        <v>70</v>
      </c>
      <c r="S28" s="75">
        <v>197</v>
      </c>
      <c r="T28">
        <f t="shared" si="0"/>
        <v>0</v>
      </c>
    </row>
    <row r="29" spans="1:20" x14ac:dyDescent="0.25">
      <c r="A29" s="71">
        <v>44338</v>
      </c>
      <c r="B29" s="40">
        <v>0</v>
      </c>
      <c r="C29" s="40">
        <v>10</v>
      </c>
      <c r="D29" s="40">
        <v>23</v>
      </c>
      <c r="E29" s="41">
        <v>75</v>
      </c>
      <c r="F29" s="41">
        <v>5192</v>
      </c>
      <c r="G29" s="41">
        <v>85</v>
      </c>
      <c r="H29" s="41">
        <v>1467</v>
      </c>
      <c r="I29" s="41">
        <v>85</v>
      </c>
      <c r="J29" s="41">
        <v>323</v>
      </c>
      <c r="K29" s="42">
        <v>85</v>
      </c>
      <c r="L29" s="42">
        <v>85</v>
      </c>
      <c r="M29" s="42">
        <v>1300</v>
      </c>
      <c r="N29" s="39">
        <v>85</v>
      </c>
      <c r="O29" s="39">
        <v>85</v>
      </c>
      <c r="P29" s="39">
        <v>80</v>
      </c>
      <c r="Q29" s="39">
        <v>3717</v>
      </c>
      <c r="R29" s="75">
        <v>70</v>
      </c>
      <c r="S29" s="75">
        <v>197</v>
      </c>
      <c r="T29">
        <f t="shared" si="0"/>
        <v>0</v>
      </c>
    </row>
    <row r="30" spans="1:20" x14ac:dyDescent="0.25">
      <c r="A30" s="71">
        <v>44339</v>
      </c>
      <c r="B30" s="40">
        <v>0</v>
      </c>
      <c r="C30" s="40">
        <v>11</v>
      </c>
      <c r="D30" s="40">
        <v>27</v>
      </c>
      <c r="E30" s="41">
        <v>65</v>
      </c>
      <c r="F30" s="41">
        <v>5196</v>
      </c>
      <c r="G30" s="41">
        <v>85</v>
      </c>
      <c r="H30" s="41">
        <v>1468</v>
      </c>
      <c r="I30" s="41">
        <v>85</v>
      </c>
      <c r="J30" s="41">
        <v>324</v>
      </c>
      <c r="K30" s="42">
        <v>80</v>
      </c>
      <c r="L30" s="42">
        <v>85</v>
      </c>
      <c r="M30" s="42">
        <v>1303</v>
      </c>
      <c r="N30" s="39">
        <v>85</v>
      </c>
      <c r="O30" s="39">
        <v>85</v>
      </c>
      <c r="P30" s="39">
        <v>80</v>
      </c>
      <c r="Q30" s="39">
        <v>3727</v>
      </c>
      <c r="R30" s="75">
        <v>70</v>
      </c>
      <c r="S30" s="75">
        <v>197</v>
      </c>
      <c r="T30">
        <f t="shared" si="0"/>
        <v>0</v>
      </c>
    </row>
    <row r="31" spans="1:20" x14ac:dyDescent="0.25">
      <c r="A31" s="71">
        <v>44340</v>
      </c>
      <c r="B31" s="40">
        <v>0</v>
      </c>
      <c r="C31" s="40">
        <v>15</v>
      </c>
      <c r="D31" s="40">
        <v>33</v>
      </c>
      <c r="E31" s="41">
        <v>55</v>
      </c>
      <c r="F31" s="41">
        <v>5201</v>
      </c>
      <c r="G31" s="41">
        <v>85</v>
      </c>
      <c r="H31" s="41">
        <v>1470</v>
      </c>
      <c r="I31" s="41">
        <v>85</v>
      </c>
      <c r="J31" s="41">
        <v>325</v>
      </c>
      <c r="K31" s="42">
        <v>80</v>
      </c>
      <c r="L31" s="42">
        <v>85</v>
      </c>
      <c r="M31" s="42">
        <v>1305</v>
      </c>
      <c r="N31" s="39">
        <v>75</v>
      </c>
      <c r="O31" s="39">
        <v>85</v>
      </c>
      <c r="P31" s="39">
        <v>80</v>
      </c>
      <c r="Q31" s="39">
        <v>3726</v>
      </c>
      <c r="R31" s="75">
        <v>70</v>
      </c>
      <c r="S31" s="75">
        <v>197</v>
      </c>
      <c r="T31">
        <f t="shared" si="0"/>
        <v>0</v>
      </c>
    </row>
    <row r="32" spans="1:20" x14ac:dyDescent="0.25">
      <c r="A32" s="71">
        <v>44341</v>
      </c>
      <c r="B32" s="40">
        <v>0</v>
      </c>
      <c r="C32" s="40">
        <v>15</v>
      </c>
      <c r="D32" s="40">
        <v>33</v>
      </c>
      <c r="E32" s="41">
        <v>45</v>
      </c>
      <c r="F32" s="41">
        <v>5206</v>
      </c>
      <c r="G32" s="41">
        <v>85</v>
      </c>
      <c r="H32" s="41">
        <v>1472</v>
      </c>
      <c r="I32" s="41">
        <v>85</v>
      </c>
      <c r="J32" s="41">
        <v>326</v>
      </c>
      <c r="K32" s="42">
        <v>80</v>
      </c>
      <c r="L32" s="42">
        <v>85</v>
      </c>
      <c r="M32" s="42">
        <v>1305</v>
      </c>
      <c r="N32" s="39">
        <v>65</v>
      </c>
      <c r="O32" s="39">
        <v>85</v>
      </c>
      <c r="P32" s="39">
        <v>80</v>
      </c>
      <c r="Q32" s="39">
        <v>3731</v>
      </c>
      <c r="R32" s="75">
        <v>70</v>
      </c>
      <c r="S32" s="75">
        <v>197</v>
      </c>
      <c r="T32">
        <f t="shared" si="0"/>
        <v>0</v>
      </c>
    </row>
    <row r="33" spans="1:20" x14ac:dyDescent="0.25">
      <c r="A33" s="71">
        <v>44342</v>
      </c>
      <c r="B33" s="40">
        <v>0</v>
      </c>
      <c r="C33" s="40">
        <v>15</v>
      </c>
      <c r="D33" s="40">
        <v>29</v>
      </c>
      <c r="E33" s="41">
        <v>35</v>
      </c>
      <c r="F33" s="41">
        <v>5210</v>
      </c>
      <c r="G33" s="41">
        <v>85</v>
      </c>
      <c r="H33" s="41">
        <v>1474</v>
      </c>
      <c r="I33" s="41">
        <v>85</v>
      </c>
      <c r="J33" s="41">
        <v>327</v>
      </c>
      <c r="K33" s="42">
        <v>75</v>
      </c>
      <c r="L33" s="42">
        <v>85</v>
      </c>
      <c r="M33" s="42">
        <v>1308</v>
      </c>
      <c r="N33" s="39">
        <v>60</v>
      </c>
      <c r="O33" s="39">
        <v>85</v>
      </c>
      <c r="P33" s="39">
        <v>85</v>
      </c>
      <c r="Q33" s="39">
        <v>3734</v>
      </c>
      <c r="R33" s="75">
        <v>70</v>
      </c>
      <c r="S33" s="75">
        <v>197</v>
      </c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-197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2021-05-27T19:33:54Z</dcterms:modified>
</cp:coreProperties>
</file>