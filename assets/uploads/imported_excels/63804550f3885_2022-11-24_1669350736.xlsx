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K38" i="5"/>
  <c r="J38" i="5"/>
  <c r="I38" i="5"/>
  <c r="H38" i="5"/>
  <c r="G38" i="5"/>
  <c r="F38" i="5"/>
  <c r="E38" i="5"/>
  <c r="C38" i="5"/>
  <c r="B38" i="5"/>
  <c r="H39" i="5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5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<sst xmlns="http://schemas.openxmlformats.org/spreadsheetml/2006/main" count="106" uniqueCount="39">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</sst>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R17" sqref="R1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10083</v>
      </c>
      <c r="F10" s="13">
        <v>0.11799999999999999</v>
      </c>
      <c r="G10" s="15">
        <f>'11 - 2022'!D16-'11 - 2022'!D15+'11 - 2022'!E16-'11 - 2022'!E15</f>
        <v>21.009999999999309</v>
      </c>
      <c r="H10" s="13">
        <v>0.99</v>
      </c>
      <c r="I10" s="15">
        <f>'11 - 2022'!J16-'11 - 2022'!J15</f>
        <v>24200</v>
      </c>
      <c r="J10" s="13">
        <v>8.1000000000000003E-2</v>
      </c>
      <c r="K10" s="21">
        <f>'11 - 2022'!H16-'11 - 2022'!H15</f>
        <v>0</v>
      </c>
      <c r="L10" s="15">
        <f>'11 - 2022'!I16-'11 - 2022'!I15</f>
        <v>108</v>
      </c>
      <c r="M10" s="14">
        <v>4.393629424766913</v>
      </c>
      <c r="N10" s="16">
        <v>96</v>
      </c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10286</v>
      </c>
      <c r="F11" s="13">
        <v>0.11799999999999999</v>
      </c>
      <c r="G11" s="15">
        <f>'11 - 2022'!D17-'11 - 2022'!D16+'11 - 2022'!E17-'11 - 2022'!E16</f>
        <v>29.600000000000364</v>
      </c>
      <c r="H11" s="13">
        <v>0.99</v>
      </c>
      <c r="I11" s="15">
        <f>'11 - 2022'!J17-'11 - 2022'!J16</f>
        <v>23429</v>
      </c>
      <c r="J11" s="13">
        <v>8.1000000000000003E-2</v>
      </c>
      <c r="K11" s="21">
        <f>'11 - 2022'!H17-'11 - 2022'!H16</f>
        <v>0</v>
      </c>
      <c r="L11" s="15">
        <f>'11 - 2022'!I17-'11 - 2022'!I16</f>
        <v>121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10137</v>
      </c>
      <c r="F12" s="13">
        <v>0.11799999999999999</v>
      </c>
      <c r="G12" s="15">
        <f>'11 - 2022'!D18-'11 - 2022'!D17+'11 - 2022'!E18-'11 - 2022'!E17</f>
        <v>24.130000000000109</v>
      </c>
      <c r="H12" s="13">
        <v>0.99</v>
      </c>
      <c r="I12" s="15">
        <f>'11 - 2022'!J18-'11 - 2022'!J17</f>
        <v>25763</v>
      </c>
      <c r="J12" s="13">
        <v>8.1000000000000003E-2</v>
      </c>
      <c r="K12" s="21">
        <f>'11 - 2022'!H18-'11 - 2022'!H17</f>
        <v>0</v>
      </c>
      <c r="L12" s="15">
        <f>'11 - 2022'!I18-'11 - 2022'!I17</f>
        <v>121</v>
      </c>
      <c r="M12" s="14">
        <v>4.393629424766913</v>
      </c>
      <c r="N12" s="16">
        <v>102</v>
      </c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10208</v>
      </c>
      <c r="F13" s="13">
        <v>0.11799999999999999</v>
      </c>
      <c r="G13" s="15">
        <f>'11 - 2022'!D19-'11 - 2022'!D18+'11 - 2022'!E19-'11 - 2022'!E18</f>
        <v>24.739999999999782</v>
      </c>
      <c r="H13" s="13">
        <v>0.99</v>
      </c>
      <c r="I13" s="15">
        <f>'11 - 2022'!J19-'11 - 2022'!J18</f>
        <v>24942</v>
      </c>
      <c r="J13" s="13">
        <v>8.1000000000000003E-2</v>
      </c>
      <c r="K13" s="21">
        <f>'11 - 2022'!H19-'11 - 2022'!H18</f>
        <v>0</v>
      </c>
      <c r="L13" s="15">
        <f>'11 - 2022'!I19-'11 - 2022'!I18</f>
        <v>126</v>
      </c>
      <c r="M13" s="14">
        <v>4.393629424766913</v>
      </c>
      <c r="N13" s="16">
        <v>103</v>
      </c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9991</v>
      </c>
      <c r="F14" s="13">
        <v>0.11799999999999999</v>
      </c>
      <c r="G14" s="15">
        <f>'11 - 2022'!D20-'11 - 2022'!D19+'11 - 2022'!E20-'11 - 2022'!E19</f>
        <v>23.180000000000291</v>
      </c>
      <c r="H14" s="13">
        <v>0.99</v>
      </c>
      <c r="I14" s="15">
        <f>'11 - 2022'!J20-'11 - 2022'!J19</f>
        <v>25916</v>
      </c>
      <c r="J14" s="13">
        <v>8.1000000000000003E-2</v>
      </c>
      <c r="K14" s="21">
        <f>'11 - 2022'!H20-'11 - 2022'!H19</f>
        <v>0</v>
      </c>
      <c r="L14" s="15">
        <f>'11 - 2022'!I20-'11 - 2022'!I19</f>
        <v>131</v>
      </c>
      <c r="M14" s="14">
        <v>4.393629424766913</v>
      </c>
      <c r="N14" s="16">
        <v>78</v>
      </c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10053</v>
      </c>
      <c r="F15" s="13">
        <v>0.11799999999999999</v>
      </c>
      <c r="G15" s="15">
        <f>'11 - 2022'!D21-'11 - 2022'!D20+'11 - 2022'!E21-'11 - 2022'!E20</f>
        <v>23.059999999999491</v>
      </c>
      <c r="H15" s="13">
        <v>0.99</v>
      </c>
      <c r="I15" s="15">
        <f>'11 - 2022'!J21-'11 - 2022'!J20</f>
        <v>27723</v>
      </c>
      <c r="J15" s="13">
        <v>8.1000000000000003E-2</v>
      </c>
      <c r="K15" s="21">
        <f>'11 - 2022'!H21-'11 - 2022'!H20</f>
        <v>0</v>
      </c>
      <c r="L15" s="15">
        <f>'11 - 2022'!I21-'11 - 2022'!I20</f>
        <v>104</v>
      </c>
      <c r="M15" s="14">
        <v>4.393629424766913</v>
      </c>
      <c r="N15" s="16">
        <v>88</v>
      </c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10206</v>
      </c>
      <c r="F16" s="13">
        <v>0.11799999999999999</v>
      </c>
      <c r="G16" s="15">
        <f>'11 - 2022'!D22-'11 - 2022'!D21+'11 - 2022'!E22-'11 - 2022'!E21</f>
        <v>23.769999999999527</v>
      </c>
      <c r="H16" s="13">
        <v>0.99</v>
      </c>
      <c r="I16" s="15">
        <f>'11 - 2022'!J22-'11 - 2022'!J21</f>
        <v>26257</v>
      </c>
      <c r="J16" s="13">
        <v>8.1000000000000003E-2</v>
      </c>
      <c r="K16" s="21">
        <f>'11 - 2022'!H22-'11 - 2022'!H21</f>
        <v>0</v>
      </c>
      <c r="L16" s="15">
        <f>'11 - 2022'!I22-'11 - 2022'!I21</f>
        <v>111</v>
      </c>
      <c r="M16" s="14">
        <v>4.393629424766913</v>
      </c>
      <c r="N16" s="16">
        <v>89</v>
      </c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9825</v>
      </c>
      <c r="F17" s="13">
        <v>0.11799999999999999</v>
      </c>
      <c r="G17" s="15">
        <f>'11 - 2022'!D23-'11 - 2022'!D22+'11 - 2022'!E23-'11 - 2022'!E22</f>
        <v>20.590000000000146</v>
      </c>
      <c r="H17" s="13">
        <v>0.99</v>
      </c>
      <c r="I17" s="15">
        <f>'11 - 2022'!J23-'11 - 2022'!J22</f>
        <v>24283</v>
      </c>
      <c r="J17" s="13">
        <v>8.1000000000000003E-2</v>
      </c>
      <c r="K17" s="21">
        <f>'11 - 2022'!H23-'11 - 2022'!H22</f>
        <v>0</v>
      </c>
      <c r="L17" s="15">
        <f>'11 - 2022'!I23-'11 - 2022'!I22</f>
        <v>103</v>
      </c>
      <c r="M17" s="14">
        <v>4.393629424766913</v>
      </c>
      <c r="N17" s="16">
        <v>97</v>
      </c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10273</v>
      </c>
      <c r="F18" s="13">
        <v>0.11799999999999999</v>
      </c>
      <c r="G18" s="15">
        <f>'11 - 2022'!D24-'11 - 2022'!D23+'11 - 2022'!E24-'11 - 2022'!E23</f>
        <v>24.099999999999454</v>
      </c>
      <c r="H18" s="13">
        <v>0.99</v>
      </c>
      <c r="I18" s="15">
        <f>'11 - 2022'!J24-'11 - 2022'!J23</f>
        <v>25899</v>
      </c>
      <c r="J18" s="13">
        <v>8.1000000000000003E-2</v>
      </c>
      <c r="K18" s="21">
        <f>'11 - 2022'!H24-'11 - 2022'!H23</f>
        <v>0</v>
      </c>
      <c r="L18" s="15">
        <f>'11 - 2022'!I24-'11 - 2022'!I23</f>
        <v>117</v>
      </c>
      <c r="M18" s="14">
        <v>4.393629424766913</v>
      </c>
      <c r="N18" s="16">
        <v>105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10260</v>
      </c>
      <c r="F19" s="13">
        <v>0.11799999999999999</v>
      </c>
      <c r="G19" s="15">
        <f>'11 - 2022'!D25-'11 - 2022'!D24+'11 - 2022'!E25-'11 - 2022'!E24</f>
        <v>25.309999999999491</v>
      </c>
      <c r="H19" s="13">
        <v>0.99</v>
      </c>
      <c r="I19" s="15">
        <f>'11 - 2022'!J25-'11 - 2022'!J24</f>
        <v>25621</v>
      </c>
      <c r="J19" s="13">
        <v>8.1000000000000003E-2</v>
      </c>
      <c r="K19" s="21">
        <f>'11 - 2022'!H25-'11 - 2022'!H24</f>
        <v>0</v>
      </c>
      <c r="L19" s="15">
        <f>'11 - 2022'!I25-'11 - 2022'!I24</f>
        <v>128</v>
      </c>
      <c r="M19" s="14">
        <v>4.393629424766913</v>
      </c>
      <c r="N19" s="16">
        <v>100</v>
      </c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10251</v>
      </c>
      <c r="F20" s="13">
        <v>0.11799999999999999</v>
      </c>
      <c r="G20" s="15">
        <f>'11 - 2022'!D26-'11 - 2022'!D25+'11 - 2022'!E26-'11 - 2022'!E25</f>
        <v>26.529999999999745</v>
      </c>
      <c r="H20" s="13">
        <v>0.99</v>
      </c>
      <c r="I20" s="15">
        <f>'11 - 2022'!J26-'11 - 2022'!J25</f>
        <v>25156</v>
      </c>
      <c r="J20" s="13">
        <v>8.1000000000000003E-2</v>
      </c>
      <c r="K20" s="21">
        <f>'11 - 2022'!H26-'11 - 2022'!H25</f>
        <v>0</v>
      </c>
      <c r="L20" s="15">
        <f>'11 - 2022'!I26-'11 - 2022'!I25</f>
        <v>127</v>
      </c>
      <c r="M20" s="14">
        <v>4.393629424766913</v>
      </c>
      <c r="N20" s="16">
        <v>98</v>
      </c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9872</v>
      </c>
      <c r="F21" s="13">
        <v>0.11799999999999999</v>
      </c>
      <c r="G21" s="15">
        <f>'11 - 2022'!D27-'11 - 2022'!D26+'11 - 2022'!E27-'11 - 2022'!E26</f>
        <v>24.359999999999673</v>
      </c>
      <c r="H21" s="13">
        <v>0.99</v>
      </c>
      <c r="I21" s="15">
        <f>'11 - 2022'!J27-'11 - 2022'!J26</f>
        <v>24140</v>
      </c>
      <c r="J21" s="13">
        <v>8.1000000000000003E-2</v>
      </c>
      <c r="K21" s="21">
        <f>'11 - 2022'!H27-'11 - 2022'!H26</f>
        <v>0</v>
      </c>
      <c r="L21" s="15">
        <f>'11 - 2022'!I27-'11 - 2022'!I26</f>
        <v>126</v>
      </c>
      <c r="M21" s="14">
        <v>4.393629424766913</v>
      </c>
      <c r="N21" s="39">
        <v>86</v>
      </c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9819</v>
      </c>
      <c r="F22" s="13">
        <v>0.11799999999999999</v>
      </c>
      <c r="G22" s="15">
        <f>'11 - 2022'!D28-'11 - 2022'!D27+'11 - 2022'!E28-'11 - 2022'!E27</f>
        <v>25.550000000000182</v>
      </c>
      <c r="H22" s="13">
        <v>0.99</v>
      </c>
      <c r="I22" s="15">
        <f>'11 - 2022'!J28-'11 - 2022'!J27</f>
        <v>24592</v>
      </c>
      <c r="J22" s="13">
        <v>8.1000000000000003E-2</v>
      </c>
      <c r="K22" s="21">
        <f>'11 - 2022'!H28-'11 - 2022'!H27</f>
        <v>0</v>
      </c>
      <c r="L22" s="15">
        <f>'11 - 2022'!I28-'11 - 2022'!I27</f>
        <v>118</v>
      </c>
      <c r="M22" s="14">
        <v>4.393629424766913</v>
      </c>
      <c r="N22" s="16">
        <v>86</v>
      </c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9898</v>
      </c>
      <c r="F23" s="13">
        <v>0.11799999999999999</v>
      </c>
      <c r="G23" s="15">
        <f>'11 - 2022'!D29-'11 - 2022'!D28+'11 - 2022'!E29-'11 - 2022'!E28</f>
        <v>22.25</v>
      </c>
      <c r="H23" s="13">
        <v>0.99</v>
      </c>
      <c r="I23" s="15">
        <f>'11 - 2022'!J29-'11 - 2022'!J28</f>
        <v>21537</v>
      </c>
      <c r="J23" s="13">
        <v>8.1000000000000003E-2</v>
      </c>
      <c r="K23" s="21">
        <f>'11 - 2022'!H29-'11 - 2022'!H28</f>
        <v>0</v>
      </c>
      <c r="L23" s="15">
        <f>'11 - 2022'!I29-'11 - 2022'!I28</f>
        <v>108</v>
      </c>
      <c r="M23" s="14">
        <v>4.393629424766913</v>
      </c>
      <c r="N23" s="16">
        <v>81</v>
      </c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9506</v>
      </c>
      <c r="F24" s="13">
        <v>0.11799999999999999</v>
      </c>
      <c r="G24" s="15">
        <f>'11 - 2022'!D30-'11 - 2022'!D29+'11 - 2022'!E30-'11 - 2022'!E29</f>
        <v>24.150000000000546</v>
      </c>
      <c r="H24" s="13">
        <v>0.99</v>
      </c>
      <c r="I24" s="15">
        <f>'11 - 2022'!J30-'11 - 2022'!J29</f>
        <v>19365</v>
      </c>
      <c r="J24" s="13">
        <v>8.1000000000000003E-2</v>
      </c>
      <c r="K24" s="21">
        <f>'11 - 2022'!H30-'11 - 2022'!H29</f>
        <v>0</v>
      </c>
      <c r="L24" s="15">
        <f>'11 - 2022'!I30-'11 - 2022'!I29</f>
        <v>111</v>
      </c>
      <c r="M24" s="14">
        <v>4.393629424766913</v>
      </c>
      <c r="N24" s="16">
        <v>84</v>
      </c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9720</v>
      </c>
      <c r="F25" s="13">
        <v>0.11799999999999999</v>
      </c>
      <c r="G25" s="15">
        <f>'11 - 2022'!D31-'11 - 2022'!D30+'11 - 2022'!E31-'11 - 2022'!E30</f>
        <v>26.869999999999891</v>
      </c>
      <c r="H25" s="13">
        <v>0.99</v>
      </c>
      <c r="I25" s="15">
        <f>'11 - 2022'!J31-'11 - 2022'!J30</f>
        <v>20014</v>
      </c>
      <c r="J25" s="13">
        <v>8.1000000000000003E-2</v>
      </c>
      <c r="K25" s="21">
        <f>'11 - 2022'!H31-'11 - 2022'!H30</f>
        <v>0</v>
      </c>
      <c r="L25" s="15">
        <f>'11 - 2022'!I31-'11 - 2022'!I30</f>
        <v>113</v>
      </c>
      <c r="M25" s="14">
        <v>4.393629424766913</v>
      </c>
      <c r="N25" s="16">
        <v>80</v>
      </c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9942</v>
      </c>
      <c r="F26" s="13">
        <v>0.11799999999999999</v>
      </c>
      <c r="G26" s="15">
        <f>'11 - 2022'!D32-'11 - 2022'!D31+'11 - 2022'!E32-'11 - 2022'!E31</f>
        <v>23.450000000000728</v>
      </c>
      <c r="H26" s="13">
        <v>0.99</v>
      </c>
      <c r="I26" s="15">
        <f>'11 - 2022'!J32-'11 - 2022'!J31</f>
        <v>22108</v>
      </c>
      <c r="J26" s="13">
        <v>8.1000000000000003E-2</v>
      </c>
      <c r="K26" s="21">
        <f>'11 - 2022'!H32-'11 - 2022'!H31</f>
        <v>0</v>
      </c>
      <c r="L26" s="15">
        <f>'11 - 2022'!I32-'11 - 2022'!I31</f>
        <v>113</v>
      </c>
      <c r="M26" s="14">
        <v>4.393629424766913</v>
      </c>
      <c r="N26" s="16">
        <v>89</v>
      </c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v>0</v>
      </c>
      <c r="F27" s="13">
        <v>0.11799999999999999</v>
      </c>
      <c r="G27" s="15">
        <v>0</v>
      </c>
      <c r="H27" s="13">
        <v>0.99</v>
      </c>
      <c r="I27" s="15">
        <v>0</v>
      </c>
      <c r="J27" s="13">
        <v>8.1000000000000003E-2</v>
      </c>
      <c r="K27" s="21">
        <v>0</v>
      </c>
      <c r="L27" s="15"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Q18" sqref="Q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4112</v>
      </c>
      <c r="F10" s="15">
        <f>'11 - 2022'!C16-'11 - 2022'!C15</f>
        <v>5971</v>
      </c>
      <c r="G10" s="13">
        <v>0.11799999999999999</v>
      </c>
      <c r="H10" s="15">
        <f>'11 - 2022'!E16-'11 - 2022'!E15</f>
        <v>20.549999999999272</v>
      </c>
      <c r="I10" s="15">
        <f>'11 - 2022'!F16-'11 - 2022'!F15</f>
        <v>10.980000000000018</v>
      </c>
      <c r="J10" s="15">
        <f>'11 - 2022'!G16-'11 - 2022'!G15</f>
        <v>31.260000000002037</v>
      </c>
      <c r="K10" s="13">
        <v>0.74</v>
      </c>
      <c r="L10" s="16">
        <v>96</v>
      </c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4262</v>
      </c>
      <c r="F11" s="15">
        <f>'11 - 2022'!C17-'11 - 2022'!C16</f>
        <v>6024</v>
      </c>
      <c r="G11" s="13">
        <v>0.11799999999999999</v>
      </c>
      <c r="H11" s="15">
        <f>'11 - 2022'!E17-'11 - 2022'!E16</f>
        <v>29.650000000000546</v>
      </c>
      <c r="I11" s="15">
        <f>'11 - 2022'!F17-'11 - 2022'!F16</f>
        <v>10.840000000000146</v>
      </c>
      <c r="J11" s="15">
        <f>'11 - 2022'!G17-'11 - 2022'!G16</f>
        <v>33.510000000002037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4099</v>
      </c>
      <c r="F12" s="15">
        <f>'11 - 2022'!C18-'11 - 2022'!C17</f>
        <v>6038</v>
      </c>
      <c r="G12" s="13">
        <v>0.11799999999999999</v>
      </c>
      <c r="H12" s="15">
        <f>'11 - 2022'!E18-'11 - 2022'!E17</f>
        <v>24.279999999999745</v>
      </c>
      <c r="I12" s="15">
        <f>'11 - 2022'!F18-'11 - 2022'!F17</f>
        <v>10.570000000000164</v>
      </c>
      <c r="J12" s="15">
        <f>'11 - 2022'!G18-'11 - 2022'!G17</f>
        <v>33.029999999998836</v>
      </c>
      <c r="K12" s="13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4147</v>
      </c>
      <c r="F13" s="15">
        <f>'11 - 2022'!C19-'11 - 2022'!C18</f>
        <v>6061</v>
      </c>
      <c r="G13" s="13">
        <v>0.11799999999999999</v>
      </c>
      <c r="H13" s="15">
        <f>'11 - 2022'!E19-'11 - 2022'!E18</f>
        <v>24.789999999999964</v>
      </c>
      <c r="I13" s="15">
        <f>'11 - 2022'!F19-'11 - 2022'!F18</f>
        <v>10.409999999999854</v>
      </c>
      <c r="J13" s="15">
        <f>'11 - 2022'!G19-'11 - 2022'!G18</f>
        <v>32.220000000001164</v>
      </c>
      <c r="K13" s="13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3996</v>
      </c>
      <c r="F14" s="15">
        <f>'11 - 2022'!C20-'11 - 2022'!C19</f>
        <v>5995</v>
      </c>
      <c r="G14" s="13">
        <v>0.11799999999999999</v>
      </c>
      <c r="H14" s="15">
        <f>'11 - 2022'!E20-'11 - 2022'!E19</f>
        <v>23.230000000000473</v>
      </c>
      <c r="I14" s="15">
        <f>'11 - 2022'!F20-'11 - 2022'!F19</f>
        <v>10.549999999999727</v>
      </c>
      <c r="J14" s="15">
        <f>'11 - 2022'!G20-'11 - 2022'!G19</f>
        <v>29.849999999998545</v>
      </c>
      <c r="K14" s="13">
        <v>0.74</v>
      </c>
      <c r="L14" s="16">
        <v>78</v>
      </c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4071</v>
      </c>
      <c r="F15" s="15">
        <f>'11 - 2022'!C21-'11 - 2022'!C20</f>
        <v>5982</v>
      </c>
      <c r="G15" s="13">
        <v>0.11799999999999999</v>
      </c>
      <c r="H15" s="15">
        <f>'11 - 2022'!E21-'11 - 2022'!E20</f>
        <v>23.159999999999854</v>
      </c>
      <c r="I15" s="15">
        <f>'11 - 2022'!F21-'11 - 2022'!F20</f>
        <v>8.9700000000002547</v>
      </c>
      <c r="J15" s="15">
        <f>'11 - 2022'!G21-'11 - 2022'!G20</f>
        <v>29.989999999997963</v>
      </c>
      <c r="K15" s="13">
        <v>0.74</v>
      </c>
      <c r="L15" s="16">
        <v>88</v>
      </c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4073</v>
      </c>
      <c r="F16" s="15">
        <f>'11 - 2022'!C22-'11 - 2022'!C21</f>
        <v>6133</v>
      </c>
      <c r="G16" s="13">
        <v>0.11799999999999999</v>
      </c>
      <c r="H16" s="15">
        <f>'11 - 2022'!E22-'11 - 2022'!E21</f>
        <v>23.819999999999709</v>
      </c>
      <c r="I16" s="15">
        <f>'11 - 2022'!F22-'11 - 2022'!F21</f>
        <v>10.420000000000073</v>
      </c>
      <c r="J16" s="15">
        <f>'11 - 2022'!G22-'11 - 2022'!G21</f>
        <v>37.690000000002328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4023</v>
      </c>
      <c r="F17" s="15">
        <f>'11 - 2022'!C23-'11 - 2022'!C22</f>
        <v>5802</v>
      </c>
      <c r="G17" s="13">
        <v>0.11799999999999999</v>
      </c>
      <c r="H17" s="15">
        <f>'11 - 2022'!E23-'11 - 2022'!E22</f>
        <v>20.640000000000327</v>
      </c>
      <c r="I17" s="15">
        <f>'11 - 2022'!F23-'11 - 2022'!F22</f>
        <v>10.069999999999709</v>
      </c>
      <c r="J17" s="15">
        <f>'11 - 2022'!G23-'11 - 2022'!G22</f>
        <v>29.309999999997672</v>
      </c>
      <c r="K17" s="13">
        <v>0.74</v>
      </c>
      <c r="L17" s="16">
        <v>97</v>
      </c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4114</v>
      </c>
      <c r="F18" s="15">
        <f>'11 - 2022'!C24-'11 - 2022'!C23</f>
        <v>6159</v>
      </c>
      <c r="G18" s="13">
        <v>0.11799999999999999</v>
      </c>
      <c r="H18" s="15">
        <f>'11 - 2022'!E24-'11 - 2022'!E23</f>
        <v>23.599999999999454</v>
      </c>
      <c r="I18" s="15">
        <f>'11 - 2022'!F24-'11 - 2022'!F23</f>
        <v>10.630000000000109</v>
      </c>
      <c r="J18" s="15">
        <f>'11 - 2022'!G24-'11 - 2022'!G23</f>
        <v>28.240000000005239</v>
      </c>
      <c r="K18" s="13">
        <v>0.74</v>
      </c>
      <c r="L18" s="16">
        <v>105</v>
      </c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4070</v>
      </c>
      <c r="F19" s="15">
        <f>'11 - 2022'!C25-'11 - 2022'!C24</f>
        <v>6190</v>
      </c>
      <c r="G19" s="13">
        <v>0.11799999999999999</v>
      </c>
      <c r="H19" s="15">
        <f>'11 - 2022'!E25-'11 - 2022'!E24</f>
        <v>25.369999999999891</v>
      </c>
      <c r="I19" s="15">
        <f>'11 - 2022'!F25-'11 - 2022'!F24</f>
        <v>10.929999999999836</v>
      </c>
      <c r="J19" s="15">
        <f>'11 - 2022'!G25-'11 - 2022'!G24</f>
        <v>31.619999999995343</v>
      </c>
      <c r="K19" s="13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4102</v>
      </c>
      <c r="F20" s="15">
        <f>'11 - 2022'!C26-'11 - 2022'!C25</f>
        <v>6149</v>
      </c>
      <c r="G20" s="13">
        <v>0.11799999999999999</v>
      </c>
      <c r="H20" s="15">
        <f>'11 - 2022'!E26-'11 - 2022'!E25</f>
        <v>26.630000000000109</v>
      </c>
      <c r="I20" s="15">
        <f>'11 - 2022'!F26-'11 - 2022'!F25</f>
        <v>11.270000000000437</v>
      </c>
      <c r="J20" s="15">
        <f>'11 - 2022'!G26-'11 - 2022'!G25</f>
        <v>34.330000000001746</v>
      </c>
      <c r="K20" s="13">
        <v>0.74</v>
      </c>
      <c r="L20" s="16">
        <v>98</v>
      </c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3976</v>
      </c>
      <c r="F21" s="15">
        <f>'11 - 2022'!C27-'11 - 2022'!C26</f>
        <v>5896</v>
      </c>
      <c r="G21" s="13">
        <v>0.11799999999999999</v>
      </c>
      <c r="H21" s="15">
        <f>'11 - 2022'!E27-'11 - 2022'!E26</f>
        <v>24.420000000000073</v>
      </c>
      <c r="I21" s="15">
        <f>'11 - 2022'!F27-'11 - 2022'!F26</f>
        <v>10.169999999999618</v>
      </c>
      <c r="J21" s="15">
        <f>'11 - 2022'!G27-'11 - 2022'!G26</f>
        <v>33</v>
      </c>
      <c r="K21" s="13">
        <v>0.74</v>
      </c>
      <c r="L21" s="39">
        <v>86</v>
      </c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4025</v>
      </c>
      <c r="F22" s="15">
        <f>'11 - 2022'!C28-'11 - 2022'!C27</f>
        <v>5794</v>
      </c>
      <c r="G22" s="13">
        <v>0.11799999999999999</v>
      </c>
      <c r="H22" s="15">
        <f>'11 - 2022'!E28-'11 - 2022'!E27</f>
        <v>25.630000000000109</v>
      </c>
      <c r="I22" s="15">
        <f>'11 - 2022'!F28-'11 - 2022'!F27</f>
        <v>10.5</v>
      </c>
      <c r="J22" s="15">
        <f>'11 - 2022'!G28-'11 - 2022'!G27</f>
        <v>29.069999999999709</v>
      </c>
      <c r="K22" s="13">
        <v>0.74</v>
      </c>
      <c r="L22" s="16">
        <v>86</v>
      </c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4014</v>
      </c>
      <c r="F23" s="15">
        <f>'11 - 2022'!C29-'11 - 2022'!C28</f>
        <v>5884</v>
      </c>
      <c r="G23" s="13">
        <v>0.11799999999999999</v>
      </c>
      <c r="H23" s="15">
        <f>'11 - 2022'!E29-'11 - 2022'!E28</f>
        <v>22.329999999999927</v>
      </c>
      <c r="I23" s="15">
        <f>'11 - 2022'!F29-'11 - 2022'!F28</f>
        <v>9.2000000000002728</v>
      </c>
      <c r="J23" s="15">
        <f>'11 - 2022'!G29-'11 - 2022'!G28</f>
        <v>30.919999999998254</v>
      </c>
      <c r="K23" s="13">
        <v>0.74</v>
      </c>
      <c r="L23" s="16">
        <v>81</v>
      </c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4020</v>
      </c>
      <c r="F24" s="15">
        <f>'11 - 2022'!C30-'11 - 2022'!C29</f>
        <v>5486</v>
      </c>
      <c r="G24" s="13">
        <v>0.11799999999999999</v>
      </c>
      <c r="H24" s="15">
        <f>'11 - 2022'!E30-'11 - 2022'!E29</f>
        <v>24.220000000000255</v>
      </c>
      <c r="I24" s="15">
        <f>'11 - 2022'!F30-'11 - 2022'!F29</f>
        <v>7.9200000000000728</v>
      </c>
      <c r="J24" s="15">
        <f>'11 - 2022'!G30-'11 - 2022'!G29</f>
        <v>28.930000000000291</v>
      </c>
      <c r="K24" s="13">
        <v>0.74</v>
      </c>
      <c r="L24" s="16">
        <v>84</v>
      </c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4036</v>
      </c>
      <c r="F25" s="15">
        <f>'11 - 2022'!C31-'11 - 2022'!C30</f>
        <v>5684</v>
      </c>
      <c r="G25" s="13">
        <v>0.11799999999999999</v>
      </c>
      <c r="H25" s="15">
        <f>'11 - 2022'!E31-'11 - 2022'!E30</f>
        <v>26.9399999999996</v>
      </c>
      <c r="I25" s="15">
        <f>'11 - 2022'!F31-'11 - 2022'!F30</f>
        <v>5.9499999999998181</v>
      </c>
      <c r="J25" s="15">
        <f>'11 - 2022'!G31-'11 - 2022'!G30</f>
        <v>28.5</v>
      </c>
      <c r="K25" s="13">
        <v>0.74</v>
      </c>
      <c r="L25" s="16">
        <v>80</v>
      </c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4025</v>
      </c>
      <c r="F26" s="15">
        <f>'11 - 2022'!C32-'11 - 2022'!C31</f>
        <v>5917</v>
      </c>
      <c r="G26" s="13">
        <v>0.11799999999999999</v>
      </c>
      <c r="H26" s="15">
        <f>'11 - 2022'!E32-'11 - 2022'!E31</f>
        <v>22.930000000000291</v>
      </c>
      <c r="I26" s="15">
        <f>'11 - 2022'!F32-'11 - 2022'!F31</f>
        <v>9.1100000000001273</v>
      </c>
      <c r="J26" s="15">
        <f>'11 - 2022'!G32-'11 - 2022'!G31</f>
        <v>30.970000000001164</v>
      </c>
      <c r="K26" s="13">
        <v>0.74</v>
      </c>
      <c r="L26" s="16">
        <v>89</v>
      </c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v>0</v>
      </c>
      <c r="F27" s="15">
        <v>0</v>
      </c>
      <c r="G27" s="13">
        <v>0.11799999999999999</v>
      </c>
      <c r="H27" s="15">
        <v>0</v>
      </c>
      <c r="I27" s="15">
        <v>0</v>
      </c>
      <c r="J27" s="15"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10" zoomScaleNormal="100" workbookViewId="0">
      <selection activeCell="B32" sqref="B32:J32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  <c r="K3" s="49"/>
      <c r="L3" s="49"/>
    </row>
    <row r="4" spans="1:17" ht="16.5" thickBot="1" x14ac:dyDescent="0.3">
      <c r="A4" s="92" t="s">
        <v>38</v>
      </c>
      <c r="B4" s="92"/>
      <c r="C4" s="92"/>
      <c r="D4" s="92"/>
      <c r="E4" s="92"/>
      <c r="F4" s="92"/>
      <c r="G4" s="92"/>
      <c r="H4" s="92"/>
      <c r="I4" s="92"/>
      <c r="J4" s="92"/>
      <c r="K4" s="49"/>
      <c r="L4" s="49"/>
    </row>
    <row r="5" spans="1:17" ht="16.5" thickBot="1" x14ac:dyDescent="0.3">
      <c r="A5" s="50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0" t="s">
        <v>31</v>
      </c>
      <c r="L6" s="71" t="s">
        <v>32</v>
      </c>
    </row>
    <row r="7" spans="1:17" s="27" customFormat="1" ht="12.95" customHeight="1" thickBot="1" x14ac:dyDescent="0.3">
      <c r="A7" s="72">
        <v>44865</v>
      </c>
      <c r="B7" s="73">
        <v>733438</v>
      </c>
      <c r="C7" s="74">
        <v>805563</v>
      </c>
      <c r="D7" s="75">
        <v>0.42</v>
      </c>
      <c r="E7" s="76">
        <v>5686.06</v>
      </c>
      <c r="F7" s="77">
        <v>3685.88</v>
      </c>
      <c r="G7" s="77">
        <v>47050.26</v>
      </c>
      <c r="H7" s="73">
        <v>14528</v>
      </c>
      <c r="I7" s="73">
        <v>176040</v>
      </c>
      <c r="J7" s="73">
        <v>61124038</v>
      </c>
      <c r="K7" s="78"/>
      <c r="L7" s="79"/>
      <c r="M7" s="26"/>
    </row>
    <row r="8" spans="1:17" s="29" customFormat="1" ht="12.95" customHeight="1" thickTop="1" x14ac:dyDescent="0.25">
      <c r="A8" s="84">
        <f>A7+1</f>
        <v>44866</v>
      </c>
      <c r="B8" s="85">
        <v>737533</v>
      </c>
      <c r="C8" s="85">
        <v>811658</v>
      </c>
      <c r="D8" s="86">
        <v>0.38</v>
      </c>
      <c r="E8" s="87">
        <v>5708.86</v>
      </c>
      <c r="F8" s="87">
        <v>3696.64</v>
      </c>
      <c r="G8" s="85">
        <v>47079.95</v>
      </c>
      <c r="H8" s="85">
        <v>14528</v>
      </c>
      <c r="I8" s="85">
        <v>176162</v>
      </c>
      <c r="J8" s="85">
        <v>61153249</v>
      </c>
      <c r="K8" s="88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41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41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89">
        <v>61207393</v>
      </c>
      <c r="K10" s="56">
        <v>3550</v>
      </c>
      <c r="L10" s="59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59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40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59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41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0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41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59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1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59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90">
        <v>770432</v>
      </c>
      <c r="C16" s="43">
        <v>859009</v>
      </c>
      <c r="D16" s="42">
        <v>0.8</v>
      </c>
      <c r="E16" s="41">
        <v>5896.61</v>
      </c>
      <c r="F16" s="61">
        <v>3779.35</v>
      </c>
      <c r="G16" s="41">
        <v>47332.57</v>
      </c>
      <c r="H16" s="43">
        <v>14528</v>
      </c>
      <c r="I16" s="43">
        <v>177165</v>
      </c>
      <c r="J16" s="43">
        <v>61354592</v>
      </c>
      <c r="K16" s="56">
        <v>3700</v>
      </c>
      <c r="L16" s="59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>
        <v>774694</v>
      </c>
      <c r="C17" s="41">
        <v>865033</v>
      </c>
      <c r="D17" s="42">
        <v>0.75</v>
      </c>
      <c r="E17" s="41">
        <v>5926.26</v>
      </c>
      <c r="F17" s="61">
        <v>3790.19</v>
      </c>
      <c r="G17" s="41">
        <v>47366.080000000002</v>
      </c>
      <c r="H17" s="43">
        <v>14528</v>
      </c>
      <c r="I17" s="41">
        <v>177286</v>
      </c>
      <c r="J17" s="41">
        <v>61378021</v>
      </c>
      <c r="K17" s="56"/>
      <c r="L17" s="59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>
        <v>778793</v>
      </c>
      <c r="C18" s="43">
        <v>871071</v>
      </c>
      <c r="D18" s="42">
        <v>0.6</v>
      </c>
      <c r="E18" s="41">
        <v>5950.54</v>
      </c>
      <c r="F18" s="41">
        <v>3800.76</v>
      </c>
      <c r="G18" s="41">
        <v>47399.11</v>
      </c>
      <c r="H18" s="43">
        <v>14528</v>
      </c>
      <c r="I18" s="43">
        <v>177407</v>
      </c>
      <c r="J18" s="43">
        <v>61403784</v>
      </c>
      <c r="K18" s="56"/>
      <c r="L18" s="59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>
        <v>782940</v>
      </c>
      <c r="C19" s="43">
        <v>877132</v>
      </c>
      <c r="D19" s="42">
        <v>0.55000000000000004</v>
      </c>
      <c r="E19" s="41">
        <v>5975.33</v>
      </c>
      <c r="F19" s="41">
        <v>3811.17</v>
      </c>
      <c r="G19" s="41">
        <v>47431.33</v>
      </c>
      <c r="H19" s="43">
        <v>14528</v>
      </c>
      <c r="I19" s="43">
        <v>177533</v>
      </c>
      <c r="J19" s="43">
        <v>61428726</v>
      </c>
      <c r="K19" s="56"/>
      <c r="L19" s="59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>
        <v>786936</v>
      </c>
      <c r="C20" s="46">
        <v>883127</v>
      </c>
      <c r="D20" s="42">
        <v>0.5</v>
      </c>
      <c r="E20" s="43">
        <v>5998.56</v>
      </c>
      <c r="F20" s="43">
        <v>3821.72</v>
      </c>
      <c r="G20" s="47">
        <v>47461.18</v>
      </c>
      <c r="H20" s="43">
        <v>14528</v>
      </c>
      <c r="I20" s="46">
        <v>177664</v>
      </c>
      <c r="J20" s="46">
        <v>61454642</v>
      </c>
      <c r="K20" s="56"/>
      <c r="L20" s="62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>
        <v>791007</v>
      </c>
      <c r="C21" s="46">
        <v>889109</v>
      </c>
      <c r="D21" s="42">
        <v>0.4</v>
      </c>
      <c r="E21" s="47">
        <v>6021.72</v>
      </c>
      <c r="F21" s="41">
        <v>3830.69</v>
      </c>
      <c r="G21" s="47">
        <v>47491.17</v>
      </c>
      <c r="H21" s="43">
        <v>14528</v>
      </c>
      <c r="I21" s="46">
        <v>177768</v>
      </c>
      <c r="J21" s="46">
        <v>61482365</v>
      </c>
      <c r="K21" s="56"/>
      <c r="L21" s="62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>
        <v>795080</v>
      </c>
      <c r="C22" s="90">
        <v>895242</v>
      </c>
      <c r="D22" s="42">
        <v>0.35</v>
      </c>
      <c r="E22" s="41">
        <v>6045.54</v>
      </c>
      <c r="F22" s="41">
        <v>3841.11</v>
      </c>
      <c r="G22" s="47">
        <v>47528.86</v>
      </c>
      <c r="H22" s="43">
        <v>14528</v>
      </c>
      <c r="I22" s="47">
        <v>177879</v>
      </c>
      <c r="J22" s="46">
        <v>61508622</v>
      </c>
      <c r="K22" s="56"/>
      <c r="L22" s="62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>
        <v>799103</v>
      </c>
      <c r="C23" s="46">
        <v>901044</v>
      </c>
      <c r="D23" s="42">
        <v>0.3</v>
      </c>
      <c r="E23" s="47">
        <v>6066.18</v>
      </c>
      <c r="F23" s="41">
        <v>3851.18</v>
      </c>
      <c r="G23" s="47">
        <v>47558.17</v>
      </c>
      <c r="H23" s="43">
        <v>14528</v>
      </c>
      <c r="I23" s="46">
        <v>177982</v>
      </c>
      <c r="J23" s="46">
        <v>61532905</v>
      </c>
      <c r="K23" s="56"/>
      <c r="L23" s="62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>
        <v>803217</v>
      </c>
      <c r="C24" s="46">
        <v>907203</v>
      </c>
      <c r="D24" s="42">
        <v>0.8</v>
      </c>
      <c r="E24" s="47">
        <v>6089.78</v>
      </c>
      <c r="F24" s="41">
        <v>3861.81</v>
      </c>
      <c r="G24" s="47">
        <v>47586.41</v>
      </c>
      <c r="H24" s="43">
        <v>14528</v>
      </c>
      <c r="I24" s="46">
        <v>178099</v>
      </c>
      <c r="J24" s="46">
        <v>61558804</v>
      </c>
      <c r="K24" s="56">
        <v>4200</v>
      </c>
      <c r="L24" s="63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>
        <v>807287</v>
      </c>
      <c r="C25" s="47">
        <v>913393</v>
      </c>
      <c r="D25" s="42">
        <v>0.74</v>
      </c>
      <c r="E25" s="47">
        <v>6115.15</v>
      </c>
      <c r="F25" s="41">
        <v>3872.74</v>
      </c>
      <c r="G25" s="47">
        <v>47618.03</v>
      </c>
      <c r="H25" s="43">
        <v>14528</v>
      </c>
      <c r="I25" s="46">
        <v>178227</v>
      </c>
      <c r="J25" s="46">
        <v>61584425</v>
      </c>
      <c r="K25" s="64"/>
      <c r="L25" s="63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>
        <v>811389</v>
      </c>
      <c r="C26" s="47">
        <v>919542</v>
      </c>
      <c r="D26" s="45">
        <v>0.64</v>
      </c>
      <c r="E26" s="47">
        <v>6141.78</v>
      </c>
      <c r="F26" s="41">
        <v>3884.01</v>
      </c>
      <c r="G26" s="47">
        <v>47652.36</v>
      </c>
      <c r="H26" s="43">
        <v>14528</v>
      </c>
      <c r="I26" s="46">
        <v>178354</v>
      </c>
      <c r="J26" s="46">
        <v>61609581</v>
      </c>
      <c r="K26" s="56"/>
      <c r="L26" s="63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>
        <v>815365</v>
      </c>
      <c r="C27" s="46">
        <v>925438</v>
      </c>
      <c r="D27" s="42">
        <v>0.57999999999999996</v>
      </c>
      <c r="E27" s="47">
        <v>6166.2</v>
      </c>
      <c r="F27" s="41">
        <v>3894.18</v>
      </c>
      <c r="G27" s="47">
        <v>47685.36</v>
      </c>
      <c r="H27" s="43">
        <v>14528</v>
      </c>
      <c r="I27" s="46">
        <v>178480</v>
      </c>
      <c r="J27" s="46">
        <v>61633721</v>
      </c>
      <c r="K27" s="65"/>
      <c r="L27" s="62"/>
      <c r="M27" s="28"/>
    </row>
    <row r="28" spans="1:19" s="29" customFormat="1" ht="12.95" customHeight="1" x14ac:dyDescent="0.25">
      <c r="A28" s="55">
        <f t="shared" si="0"/>
        <v>44886</v>
      </c>
      <c r="B28" s="46">
        <v>819390</v>
      </c>
      <c r="C28" s="46">
        <v>931232</v>
      </c>
      <c r="D28" s="42">
        <v>0.5</v>
      </c>
      <c r="E28" s="47">
        <v>6191.83</v>
      </c>
      <c r="F28" s="41">
        <v>3904.68</v>
      </c>
      <c r="G28" s="47">
        <v>47714.43</v>
      </c>
      <c r="H28" s="43">
        <v>14528</v>
      </c>
      <c r="I28" s="46">
        <v>178598</v>
      </c>
      <c r="J28" s="46">
        <v>61658313</v>
      </c>
      <c r="K28" s="56"/>
      <c r="L28" s="62"/>
      <c r="M28" s="28"/>
    </row>
    <row r="29" spans="1:19" s="29" customFormat="1" ht="12.95" customHeight="1" x14ac:dyDescent="0.25">
      <c r="A29" s="55">
        <f t="shared" si="0"/>
        <v>44887</v>
      </c>
      <c r="B29" s="46">
        <v>823404</v>
      </c>
      <c r="C29" s="46">
        <v>937116</v>
      </c>
      <c r="D29" s="42">
        <v>0.42</v>
      </c>
      <c r="E29" s="47">
        <v>6214.16</v>
      </c>
      <c r="F29" s="41">
        <v>3913.88</v>
      </c>
      <c r="G29" s="47">
        <v>47745.35</v>
      </c>
      <c r="H29" s="43">
        <v>14528</v>
      </c>
      <c r="I29" s="46">
        <v>178706</v>
      </c>
      <c r="J29" s="46">
        <v>61679850</v>
      </c>
      <c r="K29" s="56"/>
      <c r="L29" s="62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>
        <v>827424</v>
      </c>
      <c r="C30" s="46">
        <v>942602</v>
      </c>
      <c r="D30" s="42">
        <v>0.35</v>
      </c>
      <c r="E30" s="47">
        <v>6238.38</v>
      </c>
      <c r="F30" s="41">
        <v>3921.8</v>
      </c>
      <c r="G30" s="47">
        <v>47774.28</v>
      </c>
      <c r="H30" s="43">
        <v>14528</v>
      </c>
      <c r="I30" s="46">
        <v>178817</v>
      </c>
      <c r="J30" s="46">
        <v>61699215</v>
      </c>
      <c r="K30" s="56"/>
      <c r="L30" s="62"/>
      <c r="M30" s="28"/>
    </row>
    <row r="31" spans="1:19" s="29" customFormat="1" ht="12.95" customHeight="1" x14ac:dyDescent="0.25">
      <c r="A31" s="55">
        <f t="shared" si="0"/>
        <v>44889</v>
      </c>
      <c r="B31" s="46">
        <v>831460</v>
      </c>
      <c r="C31" s="46">
        <v>948286</v>
      </c>
      <c r="D31" s="42">
        <v>0.28000000000000003</v>
      </c>
      <c r="E31" s="47">
        <v>6265.32</v>
      </c>
      <c r="F31" s="41">
        <v>3927.75</v>
      </c>
      <c r="G31" s="47">
        <v>47802.78</v>
      </c>
      <c r="H31" s="43">
        <v>14528</v>
      </c>
      <c r="I31" s="46">
        <v>178930</v>
      </c>
      <c r="J31" s="46">
        <v>61719229</v>
      </c>
      <c r="K31" s="56">
        <v>4000</v>
      </c>
      <c r="L31" s="62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>
        <v>835485</v>
      </c>
      <c r="C32" s="46">
        <v>954203</v>
      </c>
      <c r="D32" s="42">
        <v>0.8</v>
      </c>
      <c r="E32" s="47">
        <v>6288.25</v>
      </c>
      <c r="F32" s="41">
        <v>3936.86</v>
      </c>
      <c r="G32" s="47">
        <v>47833.75</v>
      </c>
      <c r="H32" s="43">
        <v>14528</v>
      </c>
      <c r="I32" s="46">
        <v>179043</v>
      </c>
      <c r="J32" s="46">
        <v>61741337</v>
      </c>
      <c r="K32" s="56"/>
      <c r="L32" s="62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2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6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2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7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2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15450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68"/>
      <c r="F39" s="68"/>
      <c r="G39" s="68"/>
      <c r="H39" s="37">
        <f>H38*219.969</f>
        <v>-3195709.6319999998</v>
      </c>
      <c r="I39" s="36">
        <f>I38*219.969</f>
        <v>-38723342.759999998</v>
      </c>
      <c r="J39" s="68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69" t="s">
        <v>37</v>
      </c>
      <c r="I40" s="49"/>
      <c r="J40" s="49"/>
      <c r="K40" s="49"/>
      <c r="L40" s="49"/>
    </row>
    <row r="41" spans="1:16" x14ac:dyDescent="0.25">
      <c r="A41" s="80"/>
      <c r="B41" s="81"/>
      <c r="C41" s="81"/>
      <c r="D41" s="80"/>
      <c r="E41" s="81"/>
      <c r="F41" s="81"/>
      <c r="G41" s="81"/>
      <c r="H41" s="81"/>
      <c r="I41" s="81"/>
      <c r="J41" s="81"/>
      <c r="K41" s="80"/>
      <c r="L41" s="80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/>
      <c r="J42" s="49"/>
      <c r="K42" s="49"/>
      <c r="L42" s="49"/>
    </row>
    <row r="43" spans="1:16" x14ac:dyDescent="0.25">
      <c r="A43" s="49"/>
      <c r="B43" s="49"/>
      <c r="C43" s="68"/>
      <c r="D43" s="49"/>
      <c r="E43" s="49"/>
      <c r="F43" s="49"/>
      <c r="G43" s="49"/>
      <c r="H43" s="49"/>
      <c r="I43" s="49"/>
      <c r="J43" s="49"/>
      <c r="K43" s="49"/>
      <c r="L43" s="49"/>
    </row>
    <row r="44" spans="1:16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82"/>
      <c r="K44" s="49"/>
      <c r="L44" s="49"/>
    </row>
    <row r="45" spans="1:16" x14ac:dyDescent="0.25">
      <c r="A45" s="49"/>
      <c r="B45" s="49"/>
      <c r="C45" s="83"/>
      <c r="D45" s="49"/>
      <c r="E45" s="49"/>
      <c r="F45" s="49"/>
      <c r="G45" s="49"/>
      <c r="H45" s="49"/>
      <c r="I45" s="82"/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2022-11-25T04:30:30Z</dcterms:modified>
</cp:coreProperties>
</file>