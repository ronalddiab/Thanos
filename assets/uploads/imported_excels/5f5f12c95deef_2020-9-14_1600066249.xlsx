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e.ElKhoury\Downloads\"/>
    </mc:Choice>
  </mc:AlternateContent>
  <bookViews>
    <workbookView xWindow="0" yWindow="0" windowWidth="28800" windowHeight="12435" activeTab="1"/>
  </bookViews>
  <sheets>
    <sheet name="TOTAL" sheetId="1" r:id="rId1"/>
    <sheet name="Submetering" sheetId="3" r:id="rId2"/>
    <sheet name="FS-AD Daily " sheetId="2" r:id="rId3"/>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8" i="2"/>
  <c r="AI7" i="2" l="1"/>
  <c r="Z32" i="3" l="1"/>
  <c r="AI6"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C6" i="2"/>
  <c r="AN36" i="2" l="1"/>
  <c r="AH36" i="2"/>
  <c r="AG36" i="2"/>
  <c r="AF36" i="2"/>
  <c r="J36" i="2"/>
  <c r="I36" i="2"/>
  <c r="H36" i="2"/>
  <c r="G36" i="2"/>
  <c r="D36" i="2"/>
  <c r="E31" i="3"/>
  <c r="F31" i="3"/>
  <c r="G31" i="3"/>
  <c r="H31" i="3"/>
  <c r="Z7" i="2"/>
  <c r="K6" i="2" l="1"/>
  <c r="L6" i="2" l="1"/>
  <c r="AK35" i="2"/>
  <c r="AL35" i="2" s="1"/>
  <c r="AM35" i="2" s="1"/>
  <c r="AD35" i="2"/>
  <c r="AE35" i="2" s="1"/>
  <c r="Z35" i="2"/>
  <c r="AA35" i="2" s="1"/>
  <c r="T35" i="2"/>
  <c r="U35" i="2" s="1"/>
  <c r="R35" i="2"/>
  <c r="S35" i="2"/>
  <c r="K35" i="2"/>
  <c r="L35" i="2" s="1"/>
  <c r="AO35" i="2" s="1"/>
  <c r="M4" i="1"/>
  <c r="M5" i="1"/>
  <c r="M6" i="1"/>
  <c r="M8" i="1"/>
  <c r="M9" i="1"/>
  <c r="M10" i="1"/>
  <c r="M11" i="1"/>
  <c r="M12" i="1"/>
  <c r="Y13" i="3"/>
  <c r="Y14" i="3"/>
  <c r="M14" i="1" s="1"/>
  <c r="Y15" i="3"/>
  <c r="M15" i="1" s="1"/>
  <c r="Y16" i="3"/>
  <c r="M16" i="1" s="1"/>
  <c r="Y17" i="3"/>
  <c r="M17" i="1" s="1"/>
  <c r="Y18" i="3"/>
  <c r="M18" i="1" s="1"/>
  <c r="Y19" i="3"/>
  <c r="M19" i="1" s="1"/>
  <c r="Y20" i="3"/>
  <c r="M20" i="1" s="1"/>
  <c r="Y21" i="3"/>
  <c r="M21" i="1" s="1"/>
  <c r="Y22" i="3"/>
  <c r="M22" i="1" s="1"/>
  <c r="Y23" i="3"/>
  <c r="Y24" i="3"/>
  <c r="M24" i="1" s="1"/>
  <c r="Y25" i="3"/>
  <c r="M25" i="1" s="1"/>
  <c r="Y26" i="3"/>
  <c r="M26" i="1" s="1"/>
  <c r="Y27" i="3"/>
  <c r="M27" i="1" s="1"/>
  <c r="Y28" i="3"/>
  <c r="M28" i="1" s="1"/>
  <c r="Y29" i="3"/>
  <c r="M29" i="1" s="1"/>
  <c r="Y30" i="3"/>
  <c r="M30" i="1" s="1"/>
  <c r="Y31" i="3"/>
  <c r="M31" i="1" s="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23" i="1"/>
  <c r="M13" i="1" l="1"/>
  <c r="Y32" i="3"/>
  <c r="N32" i="1"/>
  <c r="Z9" i="2"/>
  <c r="P5" i="3" s="1"/>
  <c r="G5" i="1"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R24" i="2"/>
  <c r="O20" i="3" s="1"/>
  <c r="R25" i="2"/>
  <c r="R26" i="2"/>
  <c r="R27" i="2"/>
  <c r="O23" i="3" s="1"/>
  <c r="R28" i="2"/>
  <c r="O24" i="3" s="1"/>
  <c r="R29" i="2"/>
  <c r="O25" i="3" s="1"/>
  <c r="R30" i="2"/>
  <c r="R31" i="2"/>
  <c r="O27" i="3" s="1"/>
  <c r="R32" i="2"/>
  <c r="O28" i="3" s="1"/>
  <c r="R33" i="2"/>
  <c r="R34" i="2"/>
  <c r="O31" i="3"/>
  <c r="R6" i="2"/>
  <c r="R7" i="2"/>
  <c r="O3" i="3" s="1"/>
  <c r="R8" i="2"/>
  <c r="O4" i="3" s="1"/>
  <c r="R9" i="2"/>
  <c r="O5" i="3" s="1"/>
  <c r="R10" i="2"/>
  <c r="O6" i="3" s="1"/>
  <c r="R11" i="2"/>
  <c r="O7" i="3" s="1"/>
  <c r="R12" i="2"/>
  <c r="O8" i="3" s="1"/>
  <c r="R13" i="2"/>
  <c r="O9" i="3" s="1"/>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D27" i="2"/>
  <c r="AE27" i="2" s="1"/>
  <c r="AD28" i="2"/>
  <c r="AE28" i="2" s="1"/>
  <c r="AD29" i="2"/>
  <c r="AE29" i="2" s="1"/>
  <c r="AD31" i="2"/>
  <c r="AE31" i="2" s="1"/>
  <c r="AD33" i="2"/>
  <c r="AE33" i="2" s="1"/>
  <c r="AK7" i="2"/>
  <c r="AL7" i="2" s="1"/>
  <c r="AM7" i="2" s="1"/>
  <c r="AD8" i="2"/>
  <c r="AD7" i="2"/>
  <c r="AE7" i="2" s="1"/>
  <c r="AD6" i="2"/>
  <c r="T8" i="2"/>
  <c r="N4" i="3" s="1"/>
  <c r="T7" i="2"/>
  <c r="U7" i="2" s="1"/>
  <c r="S8" i="2"/>
  <c r="S7" i="2"/>
  <c r="K8" i="2"/>
  <c r="L8" i="2" s="1"/>
  <c r="K7" i="2"/>
  <c r="Z6" i="2"/>
  <c r="AK8" i="2"/>
  <c r="AL8" i="2" s="1"/>
  <c r="AM8" i="2" s="1"/>
  <c r="AK9" i="2"/>
  <c r="X5" i="3" s="1"/>
  <c r="AK10" i="2"/>
  <c r="AL10" i="2" s="1"/>
  <c r="AM10" i="2" s="1"/>
  <c r="AD9" i="2"/>
  <c r="AE9" i="2" s="1"/>
  <c r="AE11" i="2"/>
  <c r="AD12" i="2"/>
  <c r="AE12" i="2" s="1"/>
  <c r="AD15" i="2"/>
  <c r="AE15" i="2" s="1"/>
  <c r="AD16" i="2"/>
  <c r="T12" i="3" s="1"/>
  <c r="AE16" i="2"/>
  <c r="AD18" i="2"/>
  <c r="AE18" i="2" s="1"/>
  <c r="AD20" i="2"/>
  <c r="AE20" i="2" s="1"/>
  <c r="AD21" i="2"/>
  <c r="AE21" i="2" s="1"/>
  <c r="AD23" i="2"/>
  <c r="AE23" i="2" s="1"/>
  <c r="AD24" i="2"/>
  <c r="AE24" i="2" s="1"/>
  <c r="AD25" i="2"/>
  <c r="AE26" i="2"/>
  <c r="AD30" i="2"/>
  <c r="AE30" i="2" s="1"/>
  <c r="AD32" i="2"/>
  <c r="T28" i="3" s="1"/>
  <c r="AD34" i="2"/>
  <c r="AE34" i="2" s="1"/>
  <c r="AD41" i="2"/>
  <c r="D37" i="2"/>
  <c r="D38" i="2" s="1"/>
  <c r="G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O21" i="3"/>
  <c r="S24" i="2"/>
  <c r="S23" i="2"/>
  <c r="O19" i="3"/>
  <c r="S22" i="2"/>
  <c r="O18" i="3"/>
  <c r="S21" i="2"/>
  <c r="S20" i="2"/>
  <c r="S19" i="2"/>
  <c r="S18" i="2"/>
  <c r="O14" i="3"/>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T21" i="3"/>
  <c r="AE25" i="2"/>
  <c r="U32" i="2"/>
  <c r="U30" i="2"/>
  <c r="D39" i="2"/>
  <c r="T27" i="3"/>
  <c r="P26" i="3"/>
  <c r="G26" i="1" s="1"/>
  <c r="P15" i="3"/>
  <c r="U11" i="2"/>
  <c r="P11" i="3"/>
  <c r="G11" i="1" s="1"/>
  <c r="X27" i="3"/>
  <c r="T22" i="3"/>
  <c r="U8" i="2"/>
  <c r="N29" i="3"/>
  <c r="P27" i="3"/>
  <c r="AL25" i="2"/>
  <c r="AM25" i="2" s="1"/>
  <c r="T3" i="3"/>
  <c r="T17" i="3"/>
  <c r="P17" i="3"/>
  <c r="G17" i="1" s="1"/>
  <c r="U19" i="2"/>
  <c r="N19" i="3"/>
  <c r="T23" i="3"/>
  <c r="G30" i="1"/>
  <c r="R32" i="3" l="1"/>
  <c r="U15" i="2"/>
  <c r="N10" i="3"/>
  <c r="K10" i="1" s="1"/>
  <c r="X9" i="3"/>
  <c r="L32" i="3"/>
  <c r="AL11" i="2"/>
  <c r="AM11" i="2" s="1"/>
  <c r="W32" i="3"/>
  <c r="V32" i="3"/>
  <c r="U32" i="3"/>
  <c r="Q32" i="3"/>
  <c r="K32" i="3"/>
  <c r="J32" i="3"/>
  <c r="M32" i="3"/>
  <c r="I32" i="3"/>
  <c r="P4" i="3"/>
  <c r="G4" i="1" s="1"/>
  <c r="T7" i="3"/>
  <c r="I7" i="1" s="1"/>
  <c r="O2" i="3"/>
  <c r="O32" i="3" s="1"/>
  <c r="R36" i="2"/>
  <c r="R38" i="2" s="1"/>
  <c r="K28" i="1"/>
  <c r="T20" i="3"/>
  <c r="S27" i="3"/>
  <c r="U16" i="2"/>
  <c r="AO16" i="2" s="1"/>
  <c r="X2" i="3"/>
  <c r="AK36" i="2"/>
  <c r="T36" i="2"/>
  <c r="U36" i="2" s="1"/>
  <c r="N24" i="3"/>
  <c r="X10" i="3"/>
  <c r="P24" i="3"/>
  <c r="G24" i="1" s="1"/>
  <c r="U9" i="2"/>
  <c r="AA6" i="2"/>
  <c r="Z36" i="2"/>
  <c r="AE6" i="2"/>
  <c r="AD36" i="2"/>
  <c r="AE36" i="2" s="1"/>
  <c r="N3" i="3"/>
  <c r="T30" i="3"/>
  <c r="T5" i="3"/>
  <c r="I5" i="1" s="1"/>
  <c r="X18" i="3"/>
  <c r="P19" i="3"/>
  <c r="G19" i="1" s="1"/>
  <c r="P28" i="3"/>
  <c r="G28" i="1" s="1"/>
  <c r="AE32" i="2"/>
  <c r="AO32" i="2" s="1"/>
  <c r="L7" i="2"/>
  <c r="L36" i="2" s="1"/>
  <c r="K36" i="2"/>
  <c r="S11" i="3"/>
  <c r="S5" i="3"/>
  <c r="E30" i="1"/>
  <c r="E17" i="1"/>
  <c r="N2" i="3"/>
  <c r="U6" i="2"/>
  <c r="AL6" i="2"/>
  <c r="G3" i="1"/>
  <c r="S3" i="3"/>
  <c r="P2" i="3"/>
  <c r="AA7" i="2"/>
  <c r="AO7" i="2" s="1"/>
  <c r="U25" i="2"/>
  <c r="I21" i="1"/>
  <c r="N18" i="3"/>
  <c r="K18" i="1" s="1"/>
  <c r="S23" i="3"/>
  <c r="K30" i="1"/>
  <c r="K24" i="1"/>
  <c r="E29" i="1"/>
  <c r="K7" i="1"/>
  <c r="S30" i="3"/>
  <c r="X31" i="3"/>
  <c r="I31" i="1" s="1"/>
  <c r="X26" i="3"/>
  <c r="X13" i="3"/>
  <c r="I13" i="1" s="1"/>
  <c r="AL21" i="2"/>
  <c r="AM21" i="2" s="1"/>
  <c r="T25" i="3"/>
  <c r="I25" i="1" s="1"/>
  <c r="T11" i="3"/>
  <c r="T16" i="3"/>
  <c r="I17" i="1"/>
  <c r="S26" i="3"/>
  <c r="AA17" i="2"/>
  <c r="S15" i="3"/>
  <c r="K15" i="1"/>
  <c r="K11" i="1"/>
  <c r="K8" i="1"/>
  <c r="K4" i="1"/>
  <c r="N31" i="3"/>
  <c r="K31" i="1" s="1"/>
  <c r="K25" i="1"/>
  <c r="K29" i="1"/>
  <c r="E24" i="1"/>
  <c r="E13" i="1"/>
  <c r="E6" i="1"/>
  <c r="X30" i="3"/>
  <c r="I30" i="1" s="1"/>
  <c r="AL34" i="2"/>
  <c r="AM34" i="2" s="1"/>
  <c r="I27" i="1"/>
  <c r="AL24" i="2"/>
  <c r="AM24" i="2" s="1"/>
  <c r="AL9" i="2"/>
  <c r="AM9" i="2" s="1"/>
  <c r="X4" i="3"/>
  <c r="X19" i="3"/>
  <c r="AE17" i="2"/>
  <c r="I20" i="1"/>
  <c r="T8" i="3"/>
  <c r="I8" i="1" s="1"/>
  <c r="T24" i="3"/>
  <c r="I22" i="1"/>
  <c r="G13" i="1"/>
  <c r="S13" i="3"/>
  <c r="AO33" i="2"/>
  <c r="S14" i="3"/>
  <c r="G15" i="1"/>
  <c r="P29" i="3"/>
  <c r="AA9" i="2"/>
  <c r="S17" i="3"/>
  <c r="P10" i="3"/>
  <c r="P25" i="3"/>
  <c r="G25" i="1" s="1"/>
  <c r="N9" i="3"/>
  <c r="K9" i="1" s="1"/>
  <c r="N16" i="3"/>
  <c r="K16" i="1" s="1"/>
  <c r="AO15" i="2"/>
  <c r="N27" i="3"/>
  <c r="K27" i="1" s="1"/>
  <c r="K26" i="1"/>
  <c r="K13" i="1"/>
  <c r="N23" i="3"/>
  <c r="K23" i="1" s="1"/>
  <c r="K19" i="1"/>
  <c r="AO28" i="2"/>
  <c r="K5" i="1"/>
  <c r="K20" i="1"/>
  <c r="K12" i="1"/>
  <c r="N20" i="3"/>
  <c r="AO31" i="2"/>
  <c r="AO9" i="2"/>
  <c r="K21" i="1"/>
  <c r="U12" i="2"/>
  <c r="K6" i="1"/>
  <c r="AO20" i="2"/>
  <c r="E12" i="1"/>
  <c r="E9" i="1"/>
  <c r="E7" i="1"/>
  <c r="E4" i="1"/>
  <c r="E3" i="1"/>
  <c r="E23" i="1"/>
  <c r="E18" i="1"/>
  <c r="E16" i="1"/>
  <c r="E15" i="1"/>
  <c r="E14" i="1"/>
  <c r="E25" i="1"/>
  <c r="AO21"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AE22" i="2"/>
  <c r="S22" i="3"/>
  <c r="S21" i="3"/>
  <c r="G21" i="1"/>
  <c r="AO23" i="2"/>
  <c r="T10" i="3"/>
  <c r="AE14" i="2"/>
  <c r="AO14" i="2" s="1"/>
  <c r="AL32" i="2"/>
  <c r="AM32" i="2" s="1"/>
  <c r="X28" i="3"/>
  <c r="I28" i="1" s="1"/>
  <c r="AL28" i="2"/>
  <c r="AM28" i="2" s="1"/>
  <c r="X24" i="3"/>
  <c r="I24" i="1" s="1"/>
  <c r="X16" i="3"/>
  <c r="AL20" i="2"/>
  <c r="AM20" i="2" s="1"/>
  <c r="T6" i="3"/>
  <c r="AO22" i="2"/>
  <c r="X3" i="3"/>
  <c r="X12" i="3"/>
  <c r="I12" i="1" s="1"/>
  <c r="AA26" i="2"/>
  <c r="AO26" i="2" s="1"/>
  <c r="N22" i="3"/>
  <c r="K22" i="1" s="1"/>
  <c r="N17" i="3"/>
  <c r="K17" i="1" s="1"/>
  <c r="T19" i="3"/>
  <c r="P18" i="3"/>
  <c r="P7" i="3"/>
  <c r="AA25" i="2"/>
  <c r="AO25" i="2" s="1"/>
  <c r="P12" i="3"/>
  <c r="S9" i="3"/>
  <c r="T26" i="3"/>
  <c r="AL26" i="2"/>
  <c r="AM26" i="2" s="1"/>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S24" i="3" l="1"/>
  <c r="S28" i="3"/>
  <c r="AO17" i="2"/>
  <c r="T32" i="3"/>
  <c r="I10" i="1"/>
  <c r="I18" i="1"/>
  <c r="I3" i="1"/>
  <c r="X32" i="3"/>
  <c r="S4" i="3"/>
  <c r="P32" i="3"/>
  <c r="K3" i="1"/>
  <c r="N32" i="3"/>
  <c r="AO6" i="2"/>
  <c r="AM6" i="2"/>
  <c r="AM36" i="2" s="1"/>
  <c r="AL36" i="2"/>
  <c r="G2" i="1"/>
  <c r="K2" i="1"/>
  <c r="AA36" i="2"/>
  <c r="S19" i="3"/>
  <c r="S25" i="3"/>
  <c r="I16" i="1"/>
  <c r="S2" i="3"/>
  <c r="I4" i="1"/>
  <c r="I26" i="1"/>
  <c r="I19" i="1"/>
  <c r="I11" i="1"/>
  <c r="AO34" i="2"/>
  <c r="S29" i="3"/>
  <c r="G29" i="1"/>
  <c r="G10" i="1"/>
  <c r="S10" i="3"/>
  <c r="U37" i="2"/>
  <c r="AO12" i="2"/>
  <c r="G20" i="1"/>
  <c r="S20" i="3"/>
  <c r="G18" i="1"/>
  <c r="S18" i="3"/>
  <c r="S12" i="3"/>
  <c r="G12" i="1"/>
  <c r="S16" i="3"/>
  <c r="G16" i="1"/>
  <c r="I2" i="1"/>
  <c r="S8" i="3"/>
  <c r="G8" i="1"/>
  <c r="I15" i="1"/>
  <c r="G6" i="1"/>
  <c r="S6" i="3"/>
  <c r="S7" i="3"/>
  <c r="G7" i="1"/>
  <c r="I6" i="1"/>
  <c r="AO36" i="2" l="1"/>
  <c r="S32" i="3"/>
  <c r="U38" i="2"/>
  <c r="M2" i="1" l="1"/>
  <c r="M32" i="1" s="1"/>
</calcChain>
</file>

<file path=xl/comments1.xml><?xml version="1.0" encoding="utf-8"?>
<comments xmlns="http://schemas.openxmlformats.org/spreadsheetml/2006/main">
  <authors>
    <author>Marian Chitian</author>
    <author>Janet Perona</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AB11" authorId="1" shapeId="0">
      <text>
        <r>
          <rPr>
            <b/>
            <sz val="9"/>
            <color indexed="81"/>
            <rFont val="Tahoma"/>
            <family val="2"/>
          </rPr>
          <t>Tabreed reset the BTU meter for billing.
New meter reading is 16837.8.</t>
        </r>
        <r>
          <rPr>
            <sz val="9"/>
            <color indexed="81"/>
            <rFont val="Tahoma"/>
            <family val="2"/>
          </rPr>
          <t xml:space="preserve">
</t>
        </r>
        <r>
          <rPr>
            <b/>
            <sz val="9"/>
            <color indexed="81"/>
            <rFont val="Tahoma"/>
            <family val="2"/>
          </rPr>
          <t>Consumption for the day is 27085.</t>
        </r>
      </text>
    </comment>
    <comment ref="AD11" authorId="1" shapeId="0">
      <text>
        <r>
          <rPr>
            <b/>
            <sz val="9"/>
            <color indexed="81"/>
            <rFont val="Tahoma"/>
            <family val="2"/>
          </rPr>
          <t>Tabreed reset the BTU meter for billing.
New meter reading is 16837.8.
Consumption for the day is 27085.</t>
        </r>
        <r>
          <rPr>
            <sz val="9"/>
            <color indexed="81"/>
            <rFont val="Tahoma"/>
            <family val="2"/>
          </rPr>
          <t xml:space="preserve">
</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<sst xmlns="http://schemas.openxmlformats.org/spreadsheetml/2006/main" count="217" uniqueCount="104">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</sst>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10">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42">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19"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1" fillId="0" borderId="19"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0"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9" borderId="1" xfId="0" applyFill="1" applyBorder="1" applyAlignment="1">
      <alignment horizontal="center" vertical="center"/>
    </xf>
    <xf numFmtId="1" fontId="0" fillId="9" borderId="1" xfId="0" applyNumberFormat="1" applyFill="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P22" sqref="P2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8</v>
      </c>
      <c r="D2" s="107">
        <v>2020</v>
      </c>
      <c r="E2" s="102">
        <f>Submetering!E2+Submetering!F2+Submetering!G2+Submetering!H2+Submetering!I2+Submetering!J2+Submetering!K2</f>
        <v>26862</v>
      </c>
      <c r="F2" s="109">
        <v>0.2</v>
      </c>
      <c r="G2" s="102">
        <f>Submetering!P2</f>
        <v>479</v>
      </c>
      <c r="H2" s="109">
        <v>6.47</v>
      </c>
      <c r="I2" s="102">
        <f>Submetering!T2-Submetering!T2*15%-Submetering!X2</f>
        <v>54400.139000005816</v>
      </c>
      <c r="J2" s="101">
        <v>0.21</v>
      </c>
      <c r="K2" s="102">
        <f>Submetering!N2-Submetering!O2</f>
        <v>38.064999999999998</v>
      </c>
      <c r="L2" s="109">
        <v>7.84</v>
      </c>
      <c r="M2" s="102">
        <f>Submetering!Y2</f>
        <v>115</v>
      </c>
      <c r="N2" s="103">
        <f>Submetering!Z2</f>
        <v>219</v>
      </c>
    </row>
    <row r="3" spans="1:15" x14ac:dyDescent="0.25">
      <c r="A3" s="110" t="s">
        <v>80</v>
      </c>
      <c r="B3" s="72">
        <f>B2+1</f>
        <v>2</v>
      </c>
      <c r="C3" s="73">
        <v>8</v>
      </c>
      <c r="D3" s="72">
        <v>2020</v>
      </c>
      <c r="E3" s="71">
        <f>Submetering!E3+Submetering!F3+Submetering!G3+Submetering!H3+Submetering!I3+Submetering!J3+Submetering!K3</f>
        <v>26001</v>
      </c>
      <c r="F3" s="74">
        <v>0.2</v>
      </c>
      <c r="G3" s="71">
        <f>Submetering!P3</f>
        <v>503.20000000006985</v>
      </c>
      <c r="H3" s="74">
        <v>6.47</v>
      </c>
      <c r="I3" s="71">
        <f>Submetering!T3-Submetering!T3*15%-Submetering!X3</f>
        <v>52523.14399999709</v>
      </c>
      <c r="J3" s="70">
        <v>0.21</v>
      </c>
      <c r="K3" s="71">
        <f>Submetering!N3-Submetering!O3</f>
        <v>81.341000000000008</v>
      </c>
      <c r="L3" s="74">
        <v>7.84</v>
      </c>
      <c r="M3" s="71">
        <f>Submetering!Y3</f>
        <v>105</v>
      </c>
      <c r="N3" s="105">
        <f>Submetering!Z3</f>
        <v>207</v>
      </c>
    </row>
    <row r="4" spans="1:15" x14ac:dyDescent="0.25">
      <c r="A4" s="110" t="s">
        <v>80</v>
      </c>
      <c r="B4" s="72">
        <f t="shared" ref="B4:B31" si="0">B3+1</f>
        <v>3</v>
      </c>
      <c r="C4" s="73">
        <v>8</v>
      </c>
      <c r="D4" s="72">
        <v>2020</v>
      </c>
      <c r="E4" s="71">
        <f>Submetering!E4+Submetering!F4+Submetering!G4+Submetering!H4+Submetering!I4+Submetering!J4+Submetering!K4</f>
        <v>26873</v>
      </c>
      <c r="F4" s="74">
        <v>0.2</v>
      </c>
      <c r="G4" s="71">
        <f>Submetering!P4</f>
        <v>499.5</v>
      </c>
      <c r="H4" s="74">
        <v>6.47</v>
      </c>
      <c r="I4" s="71">
        <f>Submetering!T4-Submetering!T4*15%-Submetering!X4</f>
        <v>57529.090000001452</v>
      </c>
      <c r="J4" s="70">
        <v>0.21</v>
      </c>
      <c r="K4" s="71">
        <f>Submetering!N4-Submetering!O4</f>
        <v>75.539000000000001</v>
      </c>
      <c r="L4" s="74">
        <v>7.84</v>
      </c>
      <c r="M4" s="71">
        <f>Submetering!Y4</f>
        <v>93</v>
      </c>
      <c r="N4" s="105">
        <f>Submetering!Z4</f>
        <v>197</v>
      </c>
    </row>
    <row r="5" spans="1:15" x14ac:dyDescent="0.25">
      <c r="A5" s="110" t="s">
        <v>80</v>
      </c>
      <c r="B5" s="72">
        <f t="shared" si="0"/>
        <v>4</v>
      </c>
      <c r="C5" s="73">
        <v>8</v>
      </c>
      <c r="D5" s="72">
        <v>2020</v>
      </c>
      <c r="E5" s="71">
        <f>Submetering!E5+Submetering!F5+Submetering!G5+Submetering!H5+Submetering!I5+Submetering!J5+Submetering!K5</f>
        <v>27079</v>
      </c>
      <c r="F5" s="74">
        <v>0.2</v>
      </c>
      <c r="G5" s="71">
        <f>Submetering!P5</f>
        <v>501.09999999997672</v>
      </c>
      <c r="H5" s="74">
        <v>6.47</v>
      </c>
      <c r="I5" s="71">
        <f>Submetering!T5-Submetering!T5*15%-Submetering!X5</f>
        <v>56150.636800000007</v>
      </c>
      <c r="J5" s="70">
        <v>0.21</v>
      </c>
      <c r="K5" s="81">
        <f>Submetering!N5-Submetering!O5</f>
        <v>-2.1000000000000085</v>
      </c>
      <c r="L5" s="74">
        <v>7.84</v>
      </c>
      <c r="M5" s="71">
        <f>Submetering!Y5</f>
        <v>94</v>
      </c>
      <c r="N5" s="105">
        <f>Submetering!Z5</f>
        <v>203</v>
      </c>
    </row>
    <row r="6" spans="1:15" x14ac:dyDescent="0.25">
      <c r="A6" s="110" t="s">
        <v>80</v>
      </c>
      <c r="B6" s="72">
        <f t="shared" si="0"/>
        <v>5</v>
      </c>
      <c r="C6" s="73">
        <v>8</v>
      </c>
      <c r="D6" s="72">
        <v>2020</v>
      </c>
      <c r="E6" s="71">
        <f>Submetering!E6+Submetering!F6+Submetering!G6+Submetering!H6+Submetering!I6+Submetering!J6+Submetering!K6</f>
        <v>27722</v>
      </c>
      <c r="F6" s="74">
        <v>0.2</v>
      </c>
      <c r="G6" s="71">
        <f>Submetering!P6</f>
        <v>493.29999999993015</v>
      </c>
      <c r="H6" s="74">
        <v>6.47</v>
      </c>
      <c r="I6" s="71">
        <f>Submetering!T6-Submetering!T6*15%-Submetering!X6</f>
        <v>58189.334399998552</v>
      </c>
      <c r="J6" s="70">
        <v>0.21</v>
      </c>
      <c r="K6" s="71">
        <f>Submetering!N6-Submetering!O6</f>
        <v>68.539000000000016</v>
      </c>
      <c r="L6" s="74">
        <v>7.84</v>
      </c>
      <c r="M6" s="71">
        <f>Submetering!Y6</f>
        <v>94</v>
      </c>
      <c r="N6" s="105">
        <f>Submetering!Z6</f>
        <v>193</v>
      </c>
    </row>
    <row r="7" spans="1:15" x14ac:dyDescent="0.25">
      <c r="A7" s="110" t="s">
        <v>80</v>
      </c>
      <c r="B7" s="72">
        <f t="shared" si="0"/>
        <v>6</v>
      </c>
      <c r="C7" s="73">
        <v>8</v>
      </c>
      <c r="D7" s="72">
        <v>2020</v>
      </c>
      <c r="E7" s="71">
        <f>Submetering!E7+Submetering!F7+Submetering!G7+Submetering!H7+Submetering!I7+Submetering!J7+Submetering!K7</f>
        <v>26868</v>
      </c>
      <c r="F7" s="74">
        <v>0.2</v>
      </c>
      <c r="G7" s="71">
        <f>Submetering!P7</f>
        <v>470.5</v>
      </c>
      <c r="H7" s="74">
        <v>6.47</v>
      </c>
      <c r="I7" s="71">
        <f>Submetering!T7-Submetering!T7*15%-Submetering!X7</f>
        <v>56546.230999998545</v>
      </c>
      <c r="J7" s="70">
        <v>0.21</v>
      </c>
      <c r="K7" s="71">
        <f>Submetering!N7-Submetering!O7</f>
        <v>14.490000000000009</v>
      </c>
      <c r="L7" s="74">
        <v>7.84</v>
      </c>
      <c r="M7" s="71">
        <f>Submetering!Y7</f>
        <v>99</v>
      </c>
      <c r="N7" s="105">
        <f>Submetering!Z7</f>
        <v>196</v>
      </c>
    </row>
    <row r="8" spans="1:15" x14ac:dyDescent="0.25">
      <c r="A8" s="110" t="s">
        <v>80</v>
      </c>
      <c r="B8" s="72">
        <f t="shared" si="0"/>
        <v>7</v>
      </c>
      <c r="C8" s="73">
        <v>8</v>
      </c>
      <c r="D8" s="72">
        <v>2020</v>
      </c>
      <c r="E8" s="71">
        <f>Submetering!E8+Submetering!F8+Submetering!G8+Submetering!H8+Submetering!I8+Submetering!J8+Submetering!K8</f>
        <v>26517</v>
      </c>
      <c r="F8" s="74">
        <v>0.2</v>
      </c>
      <c r="G8" s="71">
        <f>Submetering!P8</f>
        <v>470.40000000002328</v>
      </c>
      <c r="H8" s="74">
        <v>6.47</v>
      </c>
      <c r="I8" s="71">
        <f>Submetering!T8-Submetering!T8*15%-Submetering!X8</f>
        <v>59846.590200002931</v>
      </c>
      <c r="J8" s="70">
        <v>0.21</v>
      </c>
      <c r="K8" s="71">
        <f>Submetering!N8-Submetering!O8</f>
        <v>42.36399999999999</v>
      </c>
      <c r="L8" s="74">
        <v>7.84</v>
      </c>
      <c r="M8" s="71">
        <f>Submetering!Y8</f>
        <v>94</v>
      </c>
      <c r="N8" s="105">
        <f>Submetering!Z8</f>
        <v>190</v>
      </c>
    </row>
    <row r="9" spans="1:15" x14ac:dyDescent="0.25">
      <c r="A9" s="110" t="s">
        <v>80</v>
      </c>
      <c r="B9" s="72">
        <f t="shared" si="0"/>
        <v>8</v>
      </c>
      <c r="C9" s="73">
        <v>8</v>
      </c>
      <c r="D9" s="72">
        <v>2020</v>
      </c>
      <c r="E9" s="71">
        <f>Submetering!E9+Submetering!F9+Submetering!G9+Submetering!H9+Submetering!I9+Submetering!J9+Submetering!K9</f>
        <v>26977</v>
      </c>
      <c r="F9" s="74">
        <v>0.2</v>
      </c>
      <c r="G9" s="71">
        <f>Submetering!P9</f>
        <v>469.90000000002328</v>
      </c>
      <c r="H9" s="74">
        <v>6.47</v>
      </c>
      <c r="I9" s="71">
        <f>Submetering!T9-Submetering!T9*15%-Submetering!X9</f>
        <v>61072.665800001458</v>
      </c>
      <c r="J9" s="70">
        <v>0.21</v>
      </c>
      <c r="K9" s="71">
        <f>Submetering!N9-Submetering!O9</f>
        <v>101.34200000000001</v>
      </c>
      <c r="L9" s="74">
        <v>7.84</v>
      </c>
      <c r="M9" s="71">
        <f>Submetering!Y9</f>
        <v>94</v>
      </c>
      <c r="N9" s="105">
        <f>Submetering!Z9</f>
        <v>187</v>
      </c>
      <c r="O9" s="1" t="s">
        <v>12</v>
      </c>
    </row>
    <row r="10" spans="1:15" x14ac:dyDescent="0.25">
      <c r="A10" s="110" t="s">
        <v>80</v>
      </c>
      <c r="B10" s="72">
        <f t="shared" si="0"/>
        <v>9</v>
      </c>
      <c r="C10" s="73">
        <v>8</v>
      </c>
      <c r="D10" s="72">
        <v>2020</v>
      </c>
      <c r="E10" s="71">
        <f>Submetering!E10+Submetering!F10+Submetering!G10+Submetering!H10+Submetering!I10+Submetering!J10+Submetering!K10</f>
        <v>26782</v>
      </c>
      <c r="F10" s="74">
        <v>0.2</v>
      </c>
      <c r="G10" s="71">
        <f>Submetering!P10</f>
        <v>494.69999999995343</v>
      </c>
      <c r="H10" s="74">
        <v>6.47</v>
      </c>
      <c r="I10" s="71">
        <f>Submetering!T10-Submetering!T10*15%-Submetering!X10</f>
        <v>56631.328999994177</v>
      </c>
      <c r="J10" s="70">
        <v>0.21</v>
      </c>
      <c r="K10" s="71">
        <f>Submetering!N10-Submetering!O10</f>
        <v>41.461999999999989</v>
      </c>
      <c r="L10" s="74">
        <v>7.84</v>
      </c>
      <c r="M10" s="71">
        <f>Submetering!Y10</f>
        <v>84</v>
      </c>
      <c r="N10" s="105">
        <f>Submetering!Z10</f>
        <v>172</v>
      </c>
    </row>
    <row r="11" spans="1:15" x14ac:dyDescent="0.25">
      <c r="A11" s="110" t="s">
        <v>80</v>
      </c>
      <c r="B11" s="72">
        <f t="shared" si="0"/>
        <v>10</v>
      </c>
      <c r="C11" s="73">
        <v>8</v>
      </c>
      <c r="D11" s="72">
        <v>2020</v>
      </c>
      <c r="E11" s="71">
        <f>Submetering!E11+Submetering!F11+Submetering!G11+Submetering!H11+Submetering!I11+Submetering!J11+Submetering!K11</f>
        <v>27165</v>
      </c>
      <c r="F11" s="74">
        <v>0.2</v>
      </c>
      <c r="G11" s="71">
        <f>Submetering!P11</f>
        <v>483</v>
      </c>
      <c r="H11" s="74">
        <v>6.47</v>
      </c>
      <c r="I11" s="71">
        <f>Submetering!T11-Submetering!T11*15%-Submetering!X11</f>
        <v>64982.226999999955</v>
      </c>
      <c r="J11" s="70">
        <v>0.21</v>
      </c>
      <c r="K11" s="71">
        <f>Submetering!N11-Submetering!O11</f>
        <v>35.759</v>
      </c>
      <c r="L11" s="74">
        <v>7.84</v>
      </c>
      <c r="M11" s="71">
        <f>Submetering!Y11</f>
        <v>75</v>
      </c>
      <c r="N11" s="105">
        <f>Submetering!Z11</f>
        <v>163</v>
      </c>
    </row>
    <row r="12" spans="1:15" x14ac:dyDescent="0.25">
      <c r="A12" s="110" t="s">
        <v>80</v>
      </c>
      <c r="B12" s="72">
        <f t="shared" si="0"/>
        <v>11</v>
      </c>
      <c r="C12" s="73">
        <v>8</v>
      </c>
      <c r="D12" s="72">
        <v>2020</v>
      </c>
      <c r="E12" s="71">
        <f>Submetering!E12+Submetering!F12+Submetering!G12+Submetering!H12+Submetering!I12+Submetering!J12+Submetering!K12</f>
        <v>27031</v>
      </c>
      <c r="F12" s="74">
        <v>0.2</v>
      </c>
      <c r="G12" s="71">
        <f>Submetering!P12</f>
        <v>487.20000000006985</v>
      </c>
      <c r="H12" s="74">
        <v>6.47</v>
      </c>
      <c r="I12" s="71">
        <f>Submetering!T12-Submetering!T12*15%-Submetering!X12</f>
        <v>62486.133840000082</v>
      </c>
      <c r="J12" s="70">
        <v>0.21</v>
      </c>
      <c r="K12" s="71">
        <f>Submetering!N12-Submetering!O12</f>
        <v>59.912000000000006</v>
      </c>
      <c r="L12" s="74">
        <v>7.84</v>
      </c>
      <c r="M12" s="71">
        <f>Submetering!Y12</f>
        <v>76</v>
      </c>
      <c r="N12" s="105">
        <f>Submetering!Z12</f>
        <v>164</v>
      </c>
    </row>
    <row r="13" spans="1:15" x14ac:dyDescent="0.25">
      <c r="A13" s="110" t="s">
        <v>80</v>
      </c>
      <c r="B13" s="72">
        <f t="shared" si="0"/>
        <v>12</v>
      </c>
      <c r="C13" s="73">
        <v>8</v>
      </c>
      <c r="D13" s="72">
        <v>2020</v>
      </c>
      <c r="E13" s="71">
        <f>Submetering!E13+Submetering!F13+Submetering!G13+Submetering!H13+Submetering!I13+Submetering!J13+Submetering!K13</f>
        <v>27028</v>
      </c>
      <c r="F13" s="74">
        <v>0.2</v>
      </c>
      <c r="G13" s="71">
        <f>Submetering!P13</f>
        <v>470.59999999997672</v>
      </c>
      <c r="H13" s="74">
        <v>6.47</v>
      </c>
      <c r="I13" s="71">
        <f>Submetering!T13-Submetering!T13*15%-Submetering!X13</f>
        <v>63871.439160001391</v>
      </c>
      <c r="J13" s="70">
        <v>0.21</v>
      </c>
      <c r="K13" s="71">
        <f>Submetering!N13-Submetering!O13</f>
        <v>30.407000000000011</v>
      </c>
      <c r="L13" s="74">
        <v>7.84</v>
      </c>
      <c r="M13" s="71">
        <f>Submetering!Y13</f>
        <v>0</v>
      </c>
      <c r="N13" s="105">
        <f>Submetering!Z13</f>
        <v>0</v>
      </c>
    </row>
    <row r="14" spans="1:15" x14ac:dyDescent="0.25">
      <c r="A14" s="110" t="s">
        <v>80</v>
      </c>
      <c r="B14" s="72">
        <f t="shared" si="0"/>
        <v>13</v>
      </c>
      <c r="C14" s="73">
        <v>8</v>
      </c>
      <c r="D14" s="72">
        <v>2020</v>
      </c>
      <c r="E14" s="71">
        <f>Submetering!E14+Submetering!F14+Submetering!G14+Submetering!H14+Submetering!I14+Submetering!J14+Submetering!K14</f>
        <v>26297</v>
      </c>
      <c r="F14" s="74">
        <v>0.2</v>
      </c>
      <c r="G14" s="71">
        <f>Submetering!P14</f>
        <v>465.90000000002328</v>
      </c>
      <c r="H14" s="74">
        <v>6.47</v>
      </c>
      <c r="I14" s="71">
        <f>Submetering!T14-Submetering!T14*15%-Submetering!X14</f>
        <v>54134.534460000024</v>
      </c>
      <c r="J14" s="70">
        <v>0.21</v>
      </c>
      <c r="K14" s="71">
        <f>Submetering!N14-Submetering!O14</f>
        <v>37.501999999999995</v>
      </c>
      <c r="L14" s="74">
        <v>7.84</v>
      </c>
      <c r="M14" s="71">
        <f>Submetering!Y14</f>
        <v>0</v>
      </c>
      <c r="N14" s="105">
        <f>Submetering!Z14</f>
        <v>0</v>
      </c>
    </row>
    <row r="15" spans="1:15" x14ac:dyDescent="0.25">
      <c r="A15" s="110" t="s">
        <v>80</v>
      </c>
      <c r="B15" s="72">
        <f t="shared" si="0"/>
        <v>14</v>
      </c>
      <c r="C15" s="73">
        <v>8</v>
      </c>
      <c r="D15" s="72">
        <v>2020</v>
      </c>
      <c r="E15" s="71">
        <f>Submetering!E15+Submetering!F15+Submetering!G15+Submetering!H15+Submetering!I15+Submetering!J15+Submetering!K15</f>
        <v>0</v>
      </c>
      <c r="F15" s="74">
        <v>0.2</v>
      </c>
      <c r="G15" s="71" t="str">
        <f>Submetering!P15</f>
        <v>0</v>
      </c>
      <c r="H15" s="74">
        <v>6.47</v>
      </c>
      <c r="I15" s="71">
        <f>Submetering!T15-Submetering!T15*15%-Submetering!X15</f>
        <v>0</v>
      </c>
      <c r="J15" s="70">
        <v>0.21</v>
      </c>
      <c r="K15" s="81">
        <f>Submetering!N15-Submetering!O15</f>
        <v>0</v>
      </c>
      <c r="L15" s="74">
        <v>7.84</v>
      </c>
      <c r="M15" s="71">
        <f>Submetering!Y15</f>
        <v>0</v>
      </c>
      <c r="N15" s="105">
        <f>Submetering!Z15</f>
        <v>0</v>
      </c>
    </row>
    <row r="16" spans="1:15" x14ac:dyDescent="0.25">
      <c r="A16" s="110" t="s">
        <v>80</v>
      </c>
      <c r="B16" s="72">
        <f t="shared" si="0"/>
        <v>15</v>
      </c>
      <c r="C16" s="73">
        <v>8</v>
      </c>
      <c r="D16" s="72">
        <v>2020</v>
      </c>
      <c r="E16" s="71">
        <f>Submetering!E16+Submetering!F16+Submetering!G16+Submetering!H16+Submetering!I16+Submetering!J16+Submetering!K16</f>
        <v>0</v>
      </c>
      <c r="F16" s="74">
        <v>0.2</v>
      </c>
      <c r="G16" s="71">
        <f>Submetering!P16</f>
        <v>0</v>
      </c>
      <c r="H16" s="74">
        <v>6.47</v>
      </c>
      <c r="I16" s="71">
        <f>Submetering!T16-Submetering!T16*15%-Submetering!X16</f>
        <v>0</v>
      </c>
      <c r="J16" s="70">
        <v>0.21</v>
      </c>
      <c r="K16" s="71">
        <f>Submetering!N16-Submetering!O16</f>
        <v>0</v>
      </c>
      <c r="L16" s="74">
        <v>7.84</v>
      </c>
      <c r="M16" s="71">
        <f>Submetering!Y16</f>
        <v>0</v>
      </c>
      <c r="N16" s="105">
        <f>Submetering!Z16</f>
        <v>0</v>
      </c>
    </row>
    <row r="17" spans="1:14" x14ac:dyDescent="0.25">
      <c r="A17" s="110" t="s">
        <v>80</v>
      </c>
      <c r="B17" s="72">
        <f t="shared" si="0"/>
        <v>16</v>
      </c>
      <c r="C17" s="73">
        <v>8</v>
      </c>
      <c r="D17" s="72">
        <v>2020</v>
      </c>
      <c r="E17" s="71">
        <f>Submetering!E17+Submetering!F17+Submetering!G17+Submetering!H17+Submetering!I17+Submetering!J17+Submetering!K17</f>
        <v>0</v>
      </c>
      <c r="F17" s="74">
        <v>0.2</v>
      </c>
      <c r="G17" s="71">
        <f>Submetering!P17</f>
        <v>0</v>
      </c>
      <c r="H17" s="74">
        <v>6.47</v>
      </c>
      <c r="I17" s="71">
        <f>Submetering!T17-Submetering!T17*15%-Submetering!X17</f>
        <v>0</v>
      </c>
      <c r="J17" s="70">
        <v>0.21</v>
      </c>
      <c r="K17" s="71">
        <f>Submetering!N17-Submetering!O17</f>
        <v>0</v>
      </c>
      <c r="L17" s="74">
        <v>7.84</v>
      </c>
      <c r="M17" s="71">
        <f>Submetering!Y17</f>
        <v>0</v>
      </c>
      <c r="N17" s="105">
        <f>Submetering!Z17</f>
        <v>0</v>
      </c>
    </row>
    <row r="18" spans="1:14" x14ac:dyDescent="0.25">
      <c r="A18" s="110" t="s">
        <v>80</v>
      </c>
      <c r="B18" s="72">
        <f t="shared" si="0"/>
        <v>17</v>
      </c>
      <c r="C18" s="73">
        <v>8</v>
      </c>
      <c r="D18" s="72">
        <v>2020</v>
      </c>
      <c r="E18" s="71">
        <f>Submetering!E18+Submetering!F18+Submetering!G18+Submetering!H18+Submetering!I18+Submetering!J18+Submetering!K18</f>
        <v>0</v>
      </c>
      <c r="F18" s="74">
        <v>0.2</v>
      </c>
      <c r="G18" s="71">
        <f>Submetering!P18</f>
        <v>0</v>
      </c>
      <c r="H18" s="74">
        <v>6.47</v>
      </c>
      <c r="I18" s="71">
        <f>Submetering!T18-Submetering!T18*15%-Submetering!X18</f>
        <v>0</v>
      </c>
      <c r="J18" s="70">
        <v>0.21</v>
      </c>
      <c r="K18" s="71">
        <f>Submetering!N18-Submetering!O18</f>
        <v>0</v>
      </c>
      <c r="L18" s="74">
        <v>7.84</v>
      </c>
      <c r="M18" s="71">
        <f>Submetering!Y18</f>
        <v>0</v>
      </c>
      <c r="N18" s="105">
        <f>Submetering!Z18</f>
        <v>0</v>
      </c>
    </row>
    <row r="19" spans="1:14" x14ac:dyDescent="0.25">
      <c r="A19" s="110" t="s">
        <v>80</v>
      </c>
      <c r="B19" s="72">
        <f t="shared" si="0"/>
        <v>18</v>
      </c>
      <c r="C19" s="73">
        <v>8</v>
      </c>
      <c r="D19" s="72">
        <v>2020</v>
      </c>
      <c r="E19" s="71">
        <f>Submetering!E19+Submetering!F19+Submetering!G19+Submetering!H19+Submetering!I19+Submetering!J19+Submetering!K19</f>
        <v>0</v>
      </c>
      <c r="F19" s="74">
        <v>0.2</v>
      </c>
      <c r="G19" s="71">
        <f>Submetering!P19</f>
        <v>0</v>
      </c>
      <c r="H19" s="74">
        <v>6.47</v>
      </c>
      <c r="I19" s="71">
        <f>Submetering!T19-Submetering!T19*15%-Submetering!X19</f>
        <v>0</v>
      </c>
      <c r="J19" s="70">
        <v>0.21</v>
      </c>
      <c r="K19" s="71">
        <f>Submetering!N19-Submetering!O19</f>
        <v>0</v>
      </c>
      <c r="L19" s="74">
        <v>7.84</v>
      </c>
      <c r="M19" s="71">
        <f>Submetering!Y19</f>
        <v>0</v>
      </c>
      <c r="N19" s="105">
        <f>Submetering!Z19</f>
        <v>0</v>
      </c>
    </row>
    <row r="20" spans="1:14" x14ac:dyDescent="0.25">
      <c r="A20" s="110" t="s">
        <v>80</v>
      </c>
      <c r="B20" s="72">
        <f t="shared" si="0"/>
        <v>19</v>
      </c>
      <c r="C20" s="73">
        <v>8</v>
      </c>
      <c r="D20" s="72">
        <v>2020</v>
      </c>
      <c r="E20" s="71">
        <f>Submetering!E20+Submetering!F20+Submetering!G20+Submetering!H20+Submetering!I20+Submetering!J20+Submetering!K20</f>
        <v>0</v>
      </c>
      <c r="F20" s="74">
        <v>0.2</v>
      </c>
      <c r="G20" s="71">
        <f>Submetering!P20</f>
        <v>0</v>
      </c>
      <c r="H20" s="74">
        <v>6.47</v>
      </c>
      <c r="I20" s="71">
        <f>Submetering!T20-Submetering!T20*15%-Submetering!X20</f>
        <v>0</v>
      </c>
      <c r="J20" s="70">
        <v>0.21</v>
      </c>
      <c r="K20" s="71">
        <f>Submetering!N20-Submetering!O20</f>
        <v>0</v>
      </c>
      <c r="L20" s="74">
        <v>7.84</v>
      </c>
      <c r="M20" s="71">
        <f>Submetering!Y20</f>
        <v>0</v>
      </c>
      <c r="N20" s="105">
        <f>Submetering!Z20</f>
        <v>0</v>
      </c>
    </row>
    <row r="21" spans="1:14" x14ac:dyDescent="0.25">
      <c r="A21" s="110" t="s">
        <v>80</v>
      </c>
      <c r="B21" s="72">
        <f t="shared" si="0"/>
        <v>20</v>
      </c>
      <c r="C21" s="73">
        <v>8</v>
      </c>
      <c r="D21" s="72">
        <v>2020</v>
      </c>
      <c r="E21" s="71">
        <f>Submetering!E21+Submetering!F21+Submetering!G21+Submetering!H21+Submetering!I21+Submetering!J21+Submetering!K21</f>
        <v>0</v>
      </c>
      <c r="F21" s="74">
        <v>0.2</v>
      </c>
      <c r="G21" s="71">
        <f>Submetering!P21</f>
        <v>0</v>
      </c>
      <c r="H21" s="74">
        <v>6.47</v>
      </c>
      <c r="I21" s="71">
        <f>Submetering!T21-Submetering!T21*15%-Submetering!X21</f>
        <v>0</v>
      </c>
      <c r="J21" s="70">
        <v>0.21</v>
      </c>
      <c r="K21" s="71">
        <f>Submetering!N21-Submetering!O21</f>
        <v>0</v>
      </c>
      <c r="L21" s="74">
        <v>7.84</v>
      </c>
      <c r="M21" s="71">
        <f>Submetering!Y21</f>
        <v>0</v>
      </c>
      <c r="N21" s="105">
        <f>Submetering!Z21</f>
        <v>0</v>
      </c>
    </row>
    <row r="22" spans="1:14" x14ac:dyDescent="0.25">
      <c r="A22" s="110" t="s">
        <v>80</v>
      </c>
      <c r="B22" s="72">
        <f t="shared" si="0"/>
        <v>21</v>
      </c>
      <c r="C22" s="73">
        <v>8</v>
      </c>
      <c r="D22" s="72">
        <v>2020</v>
      </c>
      <c r="E22" s="71">
        <f>Submetering!E22+Submetering!F22+Submetering!G22+Submetering!H22+Submetering!I22+Submetering!J22+Submetering!K22</f>
        <v>0</v>
      </c>
      <c r="F22" s="74">
        <v>0.2</v>
      </c>
      <c r="G22" s="71">
        <f>Submetering!P22</f>
        <v>0</v>
      </c>
      <c r="H22" s="74">
        <v>6.47</v>
      </c>
      <c r="I22" s="71">
        <f>Submetering!T22-Submetering!T22*15%-Submetering!X22</f>
        <v>0</v>
      </c>
      <c r="J22" s="70">
        <v>0.21</v>
      </c>
      <c r="K22" s="71">
        <f>Submetering!N22-Submetering!O22</f>
        <v>0</v>
      </c>
      <c r="L22" s="74">
        <v>7.84</v>
      </c>
      <c r="M22" s="71">
        <f>Submetering!Y22</f>
        <v>0</v>
      </c>
      <c r="N22" s="105">
        <f>Submetering!Z22</f>
        <v>0</v>
      </c>
    </row>
    <row r="23" spans="1:14" x14ac:dyDescent="0.25">
      <c r="A23" s="110" t="s">
        <v>80</v>
      </c>
      <c r="B23" s="72">
        <f t="shared" si="0"/>
        <v>22</v>
      </c>
      <c r="C23" s="73">
        <v>8</v>
      </c>
      <c r="D23" s="72">
        <v>2020</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05">
        <f>Submetering!Z23</f>
        <v>0</v>
      </c>
    </row>
    <row r="24" spans="1:14" x14ac:dyDescent="0.25">
      <c r="A24" s="110" t="s">
        <v>80</v>
      </c>
      <c r="B24" s="72">
        <f t="shared" si="0"/>
        <v>23</v>
      </c>
      <c r="C24" s="73">
        <v>8</v>
      </c>
      <c r="D24" s="72">
        <v>2020</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05">
        <f>Submetering!Z24</f>
        <v>0</v>
      </c>
    </row>
    <row r="25" spans="1:14" x14ac:dyDescent="0.25">
      <c r="A25" s="110" t="s">
        <v>80</v>
      </c>
      <c r="B25" s="72">
        <f t="shared" si="0"/>
        <v>24</v>
      </c>
      <c r="C25" s="73">
        <v>8</v>
      </c>
      <c r="D25" s="72">
        <v>2020</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05">
        <f>Submetering!Z25</f>
        <v>0</v>
      </c>
    </row>
    <row r="26" spans="1:14" x14ac:dyDescent="0.25">
      <c r="A26" s="110" t="s">
        <v>80</v>
      </c>
      <c r="B26" s="72">
        <f>B25+1</f>
        <v>25</v>
      </c>
      <c r="C26" s="73">
        <v>8</v>
      </c>
      <c r="D26" s="72">
        <v>2020</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05">
        <f>Submetering!Z26</f>
        <v>0</v>
      </c>
    </row>
    <row r="27" spans="1:14" x14ac:dyDescent="0.25">
      <c r="A27" s="110" t="s">
        <v>80</v>
      </c>
      <c r="B27" s="72">
        <f t="shared" si="0"/>
        <v>26</v>
      </c>
      <c r="C27" s="73">
        <v>8</v>
      </c>
      <c r="D27" s="72">
        <v>2020</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05">
        <f>Submetering!Z27</f>
        <v>0</v>
      </c>
    </row>
    <row r="28" spans="1:14" x14ac:dyDescent="0.25">
      <c r="A28" s="110" t="s">
        <v>80</v>
      </c>
      <c r="B28" s="72">
        <f t="shared" si="0"/>
        <v>27</v>
      </c>
      <c r="C28" s="73">
        <v>8</v>
      </c>
      <c r="D28" s="72">
        <v>2020</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05">
        <f>Submetering!Z28</f>
        <v>0</v>
      </c>
    </row>
    <row r="29" spans="1:14" x14ac:dyDescent="0.25">
      <c r="A29" s="110" t="s">
        <v>80</v>
      </c>
      <c r="B29" s="72">
        <f t="shared" si="0"/>
        <v>28</v>
      </c>
      <c r="C29" s="73">
        <v>8</v>
      </c>
      <c r="D29" s="72">
        <v>2020</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05">
        <f>Submetering!Z29</f>
        <v>0</v>
      </c>
    </row>
    <row r="30" spans="1:14" x14ac:dyDescent="0.25">
      <c r="A30" s="110" t="s">
        <v>80</v>
      </c>
      <c r="B30" s="72">
        <f t="shared" si="0"/>
        <v>29</v>
      </c>
      <c r="C30" s="73">
        <v>8</v>
      </c>
      <c r="D30" s="72">
        <v>2020</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05">
        <f>Submetering!Z30</f>
        <v>0</v>
      </c>
    </row>
    <row r="31" spans="1:14" x14ac:dyDescent="0.25">
      <c r="A31" s="126" t="s">
        <v>80</v>
      </c>
      <c r="B31" s="127">
        <f t="shared" si="0"/>
        <v>30</v>
      </c>
      <c r="C31" s="73">
        <v>8</v>
      </c>
      <c r="D31" s="127">
        <v>2020</v>
      </c>
      <c r="E31" s="124">
        <f>Submetering!E31+Submetering!F31+Submetering!G31+Submetering!H31+Submetering!I31+Submetering!J31+Submetering!K31</f>
        <v>0</v>
      </c>
      <c r="F31" s="128">
        <v>0.2</v>
      </c>
      <c r="G31" s="124">
        <f>Submetering!P31</f>
        <v>0</v>
      </c>
      <c r="H31" s="128">
        <v>6.47</v>
      </c>
      <c r="I31" s="124">
        <f>Submetering!T31-Submetering!T31*15%-Submetering!X31</f>
        <v>0</v>
      </c>
      <c r="J31" s="123">
        <v>0.21</v>
      </c>
      <c r="K31" s="124">
        <f>Submetering!N31-Submetering!O31</f>
        <v>0</v>
      </c>
      <c r="L31" s="128">
        <v>7.84</v>
      </c>
      <c r="M31" s="124">
        <f>Submetering!Y31</f>
        <v>0</v>
      </c>
      <c r="N31" s="125">
        <f>Submetering!Z31</f>
        <v>0</v>
      </c>
    </row>
    <row r="32" spans="1:14" x14ac:dyDescent="0.25">
      <c r="M32" s="4">
        <f>SUM(M2:M31)</f>
        <v>1023</v>
      </c>
      <c r="N32" s="4">
        <f>SUM(N2:N31)</f>
        <v>2091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pane xSplit="2" ySplit="1" topLeftCell="I2" activePane="bottomRight" state="frozen"/>
      <selection pane="topRight" activeCell="C1" sqref="C1"/>
      <selection pane="bottomLeft" activeCell="A2" sqref="A2"/>
      <selection pane="bottomRight" activeCell="J34" sqref="J34"/>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3" t="s">
        <v>0</v>
      </c>
      <c r="B1" s="94" t="s">
        <v>1</v>
      </c>
      <c r="C1" s="95" t="s">
        <v>2</v>
      </c>
      <c r="D1" s="94" t="s">
        <v>3</v>
      </c>
      <c r="E1" s="96" t="s">
        <v>64</v>
      </c>
      <c r="F1" s="96" t="s">
        <v>81</v>
      </c>
      <c r="G1" s="96" t="s">
        <v>84</v>
      </c>
      <c r="H1" s="96" t="s">
        <v>65</v>
      </c>
      <c r="I1" s="96" t="s">
        <v>66</v>
      </c>
      <c r="J1" s="96" t="s">
        <v>67</v>
      </c>
      <c r="K1" s="96" t="s">
        <v>68</v>
      </c>
      <c r="L1" s="97" t="s">
        <v>69</v>
      </c>
      <c r="M1" s="97" t="s">
        <v>70</v>
      </c>
      <c r="N1" s="97" t="s">
        <v>71</v>
      </c>
      <c r="O1" s="97" t="s">
        <v>72</v>
      </c>
      <c r="P1" s="97" t="s">
        <v>73</v>
      </c>
      <c r="Q1" s="97" t="s">
        <v>74</v>
      </c>
      <c r="R1" s="97" t="s">
        <v>75</v>
      </c>
      <c r="S1" s="97" t="s">
        <v>91</v>
      </c>
      <c r="T1" s="97" t="s">
        <v>86</v>
      </c>
      <c r="U1" s="97" t="s">
        <v>87</v>
      </c>
      <c r="V1" s="97" t="s">
        <v>88</v>
      </c>
      <c r="W1" s="97" t="s">
        <v>89</v>
      </c>
      <c r="X1" s="97" t="s">
        <v>90</v>
      </c>
      <c r="Y1" s="98" t="s">
        <v>8</v>
      </c>
      <c r="Z1" s="97" t="s">
        <v>9</v>
      </c>
    </row>
    <row r="2" spans="1:26" x14ac:dyDescent="0.25">
      <c r="A2" s="99" t="s">
        <v>80</v>
      </c>
      <c r="B2" s="100">
        <v>1</v>
      </c>
      <c r="C2" s="101">
        <v>8</v>
      </c>
      <c r="D2" s="100">
        <v>2020</v>
      </c>
      <c r="E2" s="102">
        <f>'FS-AD Daily '!B6</f>
        <v>5011</v>
      </c>
      <c r="F2" s="102">
        <f>'FS-AD Daily '!C6</f>
        <v>3847</v>
      </c>
      <c r="G2" s="102">
        <f>'FS-AD Daily '!D6</f>
        <v>886</v>
      </c>
      <c r="H2" s="102">
        <f>'FS-AD Daily '!E6</f>
        <v>4599</v>
      </c>
      <c r="I2" s="102">
        <f>'FS-AD Daily '!F6</f>
        <v>5526</v>
      </c>
      <c r="J2" s="102">
        <f>'FS-AD Daily '!G6</f>
        <v>2902</v>
      </c>
      <c r="K2" s="102">
        <f>'FS-AD Daily '!H6</f>
        <v>4091</v>
      </c>
      <c r="L2" s="102">
        <f>'FS-AD Daily '!I6</f>
        <v>2569</v>
      </c>
      <c r="M2" s="102">
        <f>'FS-AD Daily '!J6</f>
        <v>7117</v>
      </c>
      <c r="N2" s="102">
        <f>'FS-AD Daily '!T6</f>
        <v>113.422</v>
      </c>
      <c r="O2" s="102">
        <f>'FS-AD Daily '!R6</f>
        <v>75.356999999999999</v>
      </c>
      <c r="P2" s="102">
        <f>'FS-AD Daily '!Z6</f>
        <v>479</v>
      </c>
      <c r="Q2" s="102">
        <f>'FS-AD Daily '!V6</f>
        <v>277.10000000000002</v>
      </c>
      <c r="R2" s="102">
        <f>'FS-AD Daily '!W6</f>
        <v>0</v>
      </c>
      <c r="S2" s="102">
        <f>P2-Q2-R2</f>
        <v>201.89999999999998</v>
      </c>
      <c r="T2" s="102">
        <f>'FS-AD Daily '!AD6*3.516</f>
        <v>90941.34</v>
      </c>
      <c r="U2" s="102">
        <f>('FS-AD Daily '!AF6)*1000</f>
        <v>45400</v>
      </c>
      <c r="V2" s="102">
        <f>('FS-AD Daily '!AG6)*1000</f>
        <v>27400</v>
      </c>
      <c r="W2" s="102">
        <f>'FS-AD Daily '!AH6*1000</f>
        <v>18800</v>
      </c>
      <c r="X2" s="102">
        <f>('FS-AD Daily '!AK6)*1000</f>
        <v>22899.999999994179</v>
      </c>
      <c r="Y2" s="102">
        <v>115</v>
      </c>
      <c r="Z2" s="103">
        <v>219</v>
      </c>
    </row>
    <row r="3" spans="1:26" x14ac:dyDescent="0.25">
      <c r="A3" s="104" t="s">
        <v>80</v>
      </c>
      <c r="B3" s="69">
        <f>B2+1</f>
        <v>2</v>
      </c>
      <c r="C3" s="70">
        <v>8</v>
      </c>
      <c r="D3" s="69">
        <v>2020</v>
      </c>
      <c r="E3" s="71">
        <f>'FS-AD Daily '!B7</f>
        <v>4928</v>
      </c>
      <c r="F3" s="71">
        <f>'FS-AD Daily '!C7</f>
        <v>3755</v>
      </c>
      <c r="G3" s="71">
        <f>'FS-AD Daily '!D7</f>
        <v>870</v>
      </c>
      <c r="H3" s="71">
        <f>'FS-AD Daily '!E7</f>
        <v>4515</v>
      </c>
      <c r="I3" s="71">
        <f>'FS-AD Daily '!F7</f>
        <v>4918</v>
      </c>
      <c r="J3" s="71">
        <f>'FS-AD Daily '!G7</f>
        <v>2951</v>
      </c>
      <c r="K3" s="71">
        <f>'FS-AD Daily '!H7</f>
        <v>4064</v>
      </c>
      <c r="L3" s="71">
        <f>'FS-AD Daily '!I7</f>
        <v>2532</v>
      </c>
      <c r="M3" s="71">
        <f>'FS-AD Daily '!J7</f>
        <v>7255</v>
      </c>
      <c r="N3" s="71">
        <f>'FS-AD Daily '!T7</f>
        <v>125.78</v>
      </c>
      <c r="O3" s="71">
        <f>'FS-AD Daily '!R7</f>
        <v>44.439</v>
      </c>
      <c r="P3" s="71">
        <f>'FS-AD Daily '!Z7</f>
        <v>503.20000000006985</v>
      </c>
      <c r="Q3" s="71">
        <f>'FS-AD Daily '!V7</f>
        <v>289</v>
      </c>
      <c r="R3" s="71">
        <f>'FS-AD Daily '!W7</f>
        <v>0</v>
      </c>
      <c r="S3" s="71">
        <f t="shared" ref="S3:S31" si="0">P3-Q3-R3</f>
        <v>214.20000000006985</v>
      </c>
      <c r="T3" s="71">
        <f>'FS-AD Daily '!AD7*3.516</f>
        <v>91556.64</v>
      </c>
      <c r="U3" s="71">
        <f>('FS-AD Daily '!AF7)*1000</f>
        <v>44700</v>
      </c>
      <c r="V3" s="71">
        <f>('FS-AD Daily '!AG7)*1000</f>
        <v>27600</v>
      </c>
      <c r="W3" s="71">
        <f>'FS-AD Daily '!AH7*1000</f>
        <v>18100</v>
      </c>
      <c r="X3" s="71">
        <f>('FS-AD Daily '!AK7)*1000</f>
        <v>25300.00000000291</v>
      </c>
      <c r="Y3" s="71">
        <v>105</v>
      </c>
      <c r="Z3" s="105">
        <v>207</v>
      </c>
    </row>
    <row r="4" spans="1:26" x14ac:dyDescent="0.25">
      <c r="A4" s="104" t="s">
        <v>80</v>
      </c>
      <c r="B4" s="69">
        <f t="shared" ref="B4:B31" si="1">B3+1</f>
        <v>3</v>
      </c>
      <c r="C4" s="70">
        <v>8</v>
      </c>
      <c r="D4" s="69">
        <v>2020</v>
      </c>
      <c r="E4" s="71">
        <f>'FS-AD Daily '!B8</f>
        <v>4997</v>
      </c>
      <c r="F4" s="71">
        <f>'FS-AD Daily '!C8</f>
        <v>3943</v>
      </c>
      <c r="G4" s="71">
        <f>'FS-AD Daily '!D8</f>
        <v>868</v>
      </c>
      <c r="H4" s="71">
        <f>'FS-AD Daily '!E8</f>
        <v>4720</v>
      </c>
      <c r="I4" s="71">
        <f>'FS-AD Daily '!F8</f>
        <v>4946</v>
      </c>
      <c r="J4" s="71">
        <f>'FS-AD Daily '!G8</f>
        <v>3095</v>
      </c>
      <c r="K4" s="71">
        <f>'FS-AD Daily '!H8</f>
        <v>4304</v>
      </c>
      <c r="L4" s="71">
        <f>'FS-AD Daily '!I8</f>
        <v>2595</v>
      </c>
      <c r="M4" s="71">
        <f>'FS-AD Daily '!J8</f>
        <v>7407</v>
      </c>
      <c r="N4" s="71">
        <f>'FS-AD Daily '!T8</f>
        <v>147.28100000000001</v>
      </c>
      <c r="O4" s="71">
        <f>'FS-AD Daily '!R8</f>
        <v>71.742000000000004</v>
      </c>
      <c r="P4" s="71">
        <f>'FS-AD Daily '!Z8</f>
        <v>499.5</v>
      </c>
      <c r="Q4" s="71">
        <f>'FS-AD Daily '!V8</f>
        <v>288.5</v>
      </c>
      <c r="R4" s="71">
        <f>'FS-AD Daily '!W8</f>
        <v>0</v>
      </c>
      <c r="S4" s="71">
        <f t="shared" si="0"/>
        <v>211</v>
      </c>
      <c r="T4" s="71">
        <f>'FS-AD Daily '!AD8*3.516</f>
        <v>98975.4</v>
      </c>
      <c r="U4" s="71">
        <f>('FS-AD Daily '!AF8)*1000</f>
        <v>48900</v>
      </c>
      <c r="V4" s="71">
        <f>('FS-AD Daily '!AG8)*1000</f>
        <v>29500</v>
      </c>
      <c r="W4" s="71">
        <f>'FS-AD Daily '!AH8*1000</f>
        <v>19000</v>
      </c>
      <c r="X4" s="71">
        <f>('FS-AD Daily '!AK8)*1000</f>
        <v>26599.999999998545</v>
      </c>
      <c r="Y4" s="71">
        <v>93</v>
      </c>
      <c r="Z4" s="105">
        <v>197</v>
      </c>
    </row>
    <row r="5" spans="1:26" x14ac:dyDescent="0.25">
      <c r="A5" s="104" t="s">
        <v>80</v>
      </c>
      <c r="B5" s="69">
        <f t="shared" si="1"/>
        <v>4</v>
      </c>
      <c r="C5" s="70">
        <v>8</v>
      </c>
      <c r="D5" s="69">
        <v>2020</v>
      </c>
      <c r="E5" s="71">
        <f>'FS-AD Daily '!B9</f>
        <v>4769</v>
      </c>
      <c r="F5" s="71">
        <f>'FS-AD Daily '!C9</f>
        <v>3989</v>
      </c>
      <c r="G5" s="71">
        <f>'FS-AD Daily '!D9</f>
        <v>900</v>
      </c>
      <c r="H5" s="71">
        <f>'FS-AD Daily '!E9</f>
        <v>4648</v>
      </c>
      <c r="I5" s="71">
        <f>'FS-AD Daily '!F9</f>
        <v>4957</v>
      </c>
      <c r="J5" s="71">
        <f>'FS-AD Daily '!G9</f>
        <v>3061</v>
      </c>
      <c r="K5" s="71">
        <f>'FS-AD Daily '!H9</f>
        <v>4755</v>
      </c>
      <c r="L5" s="71">
        <f>'FS-AD Daily '!I9</f>
        <v>2645</v>
      </c>
      <c r="M5" s="71">
        <f>'FS-AD Daily '!J9</f>
        <v>7425</v>
      </c>
      <c r="N5" s="71">
        <f>'FS-AD Daily '!T9</f>
        <v>126.212</v>
      </c>
      <c r="O5" s="71">
        <f>'FS-AD Daily '!R9</f>
        <v>128.31200000000001</v>
      </c>
      <c r="P5" s="71">
        <f>'FS-AD Daily '!Z9</f>
        <v>501.09999999997672</v>
      </c>
      <c r="Q5" s="71">
        <f>'FS-AD Daily '!V9</f>
        <v>292.7</v>
      </c>
      <c r="R5" s="71">
        <f>'FS-AD Daily '!W9</f>
        <v>0</v>
      </c>
      <c r="S5" s="71">
        <f t="shared" si="0"/>
        <v>208.39999999997673</v>
      </c>
      <c r="T5" s="71">
        <f>'FS-AD Daily '!AD9*3.516</f>
        <v>96647.808000000005</v>
      </c>
      <c r="U5" s="71">
        <f>('FS-AD Daily '!AF9)*1000</f>
        <v>46400</v>
      </c>
      <c r="V5" s="71">
        <f>('FS-AD Daily '!AG9)*1000</f>
        <v>29700</v>
      </c>
      <c r="W5" s="71">
        <f>'FS-AD Daily '!AH9*1000</f>
        <v>18600</v>
      </c>
      <c r="X5" s="71">
        <f>('FS-AD Daily '!AK9)*1000</f>
        <v>26000</v>
      </c>
      <c r="Y5" s="71">
        <v>94</v>
      </c>
      <c r="Z5" s="105">
        <v>203</v>
      </c>
    </row>
    <row r="6" spans="1:26" x14ac:dyDescent="0.25">
      <c r="A6" s="104" t="s">
        <v>80</v>
      </c>
      <c r="B6" s="69">
        <f t="shared" si="1"/>
        <v>5</v>
      </c>
      <c r="C6" s="70">
        <v>8</v>
      </c>
      <c r="D6" s="69">
        <v>2020</v>
      </c>
      <c r="E6" s="71">
        <f>'FS-AD Daily '!B10</f>
        <v>4964</v>
      </c>
      <c r="F6" s="71">
        <f>'FS-AD Daily '!C10</f>
        <v>4030</v>
      </c>
      <c r="G6" s="71">
        <f>'FS-AD Daily '!D10</f>
        <v>899</v>
      </c>
      <c r="H6" s="71">
        <f>'FS-AD Daily '!E10</f>
        <v>4653</v>
      </c>
      <c r="I6" s="71">
        <f>'FS-AD Daily '!F10</f>
        <v>4962</v>
      </c>
      <c r="J6" s="71">
        <f>'FS-AD Daily '!G10</f>
        <v>3093</v>
      </c>
      <c r="K6" s="71">
        <f>'FS-AD Daily '!H10</f>
        <v>5121</v>
      </c>
      <c r="L6" s="71">
        <f>'FS-AD Daily '!I10</f>
        <v>2612</v>
      </c>
      <c r="M6" s="71">
        <f>'FS-AD Daily '!J10</f>
        <v>7279</v>
      </c>
      <c r="N6" s="71">
        <f>'FS-AD Daily '!T10</f>
        <v>134.82300000000001</v>
      </c>
      <c r="O6" s="71">
        <f>'FS-AD Daily '!R10</f>
        <v>66.283999999999992</v>
      </c>
      <c r="P6" s="71">
        <f>'FS-AD Daily '!Z10</f>
        <v>493.29999999993015</v>
      </c>
      <c r="Q6" s="71">
        <f>'FS-AD Daily '!V10</f>
        <v>291.8</v>
      </c>
      <c r="R6" s="71">
        <f>'FS-AD Daily '!W10</f>
        <v>0</v>
      </c>
      <c r="S6" s="71">
        <f t="shared" si="0"/>
        <v>201.49999999993014</v>
      </c>
      <c r="T6" s="71">
        <f>'FS-AD Daily '!AD10*3.516</f>
        <v>99516.864000000001</v>
      </c>
      <c r="U6" s="71">
        <f>('FS-AD Daily '!AF10)*1000</f>
        <v>47500</v>
      </c>
      <c r="V6" s="71">
        <f>('FS-AD Daily '!AG10)*1000</f>
        <v>30700</v>
      </c>
      <c r="W6" s="71">
        <f>'FS-AD Daily '!AH10*1000</f>
        <v>19200</v>
      </c>
      <c r="X6" s="71">
        <f>('FS-AD Daily '!AK10)*1000</f>
        <v>26400.000000001455</v>
      </c>
      <c r="Y6" s="71">
        <v>94</v>
      </c>
      <c r="Z6" s="105">
        <v>193</v>
      </c>
    </row>
    <row r="7" spans="1:26" x14ac:dyDescent="0.25">
      <c r="A7" s="104" t="s">
        <v>80</v>
      </c>
      <c r="B7" s="69">
        <f t="shared" si="1"/>
        <v>6</v>
      </c>
      <c r="C7" s="70">
        <v>8</v>
      </c>
      <c r="D7" s="69">
        <v>2020</v>
      </c>
      <c r="E7" s="71">
        <f>'FS-AD Daily '!B11</f>
        <v>4728</v>
      </c>
      <c r="F7" s="71">
        <f>'FS-AD Daily '!C11</f>
        <v>3837</v>
      </c>
      <c r="G7" s="71">
        <f>'FS-AD Daily '!D11</f>
        <v>873</v>
      </c>
      <c r="H7" s="71">
        <f>'FS-AD Daily '!E11</f>
        <v>4522</v>
      </c>
      <c r="I7" s="71">
        <f>'FS-AD Daily '!F11</f>
        <v>4915</v>
      </c>
      <c r="J7" s="71">
        <f>'FS-AD Daily '!G11</f>
        <v>3001</v>
      </c>
      <c r="K7" s="71">
        <f>'FS-AD Daily '!H11</f>
        <v>4992</v>
      </c>
      <c r="L7" s="71">
        <f>'FS-AD Daily '!I11</f>
        <v>2485</v>
      </c>
      <c r="M7" s="71">
        <f>'FS-AD Daily '!J11</f>
        <v>6902</v>
      </c>
      <c r="N7" s="71">
        <f>'FS-AD Daily '!T11</f>
        <v>142.447</v>
      </c>
      <c r="O7" s="71">
        <f>'FS-AD Daily '!R11</f>
        <v>127.95699999999999</v>
      </c>
      <c r="P7" s="71">
        <f>'FS-AD Daily '!Z11</f>
        <v>470.5</v>
      </c>
      <c r="Q7" s="71">
        <f>'FS-AD Daily '!V11</f>
        <v>280.5</v>
      </c>
      <c r="R7" s="71">
        <f>'FS-AD Daily '!W11</f>
        <v>0</v>
      </c>
      <c r="S7" s="71">
        <f t="shared" si="0"/>
        <v>190</v>
      </c>
      <c r="T7" s="71">
        <f>'FS-AD Daily '!AD11*3.516</f>
        <v>95230.86</v>
      </c>
      <c r="U7" s="71">
        <f>('FS-AD Daily '!AF11)*1000</f>
        <v>47000</v>
      </c>
      <c r="V7" s="71">
        <f>('FS-AD Daily '!AG11)*1000</f>
        <v>29100</v>
      </c>
      <c r="W7" s="71">
        <f>'FS-AD Daily '!AH11*1000</f>
        <v>18300</v>
      </c>
      <c r="X7" s="71">
        <f>('FS-AD Daily '!AK11)*1000</f>
        <v>24400.000000001455</v>
      </c>
      <c r="Y7" s="71">
        <v>99</v>
      </c>
      <c r="Z7" s="105">
        <v>196</v>
      </c>
    </row>
    <row r="8" spans="1:26" x14ac:dyDescent="0.25">
      <c r="A8" s="104" t="s">
        <v>80</v>
      </c>
      <c r="B8" s="69">
        <f t="shared" si="1"/>
        <v>7</v>
      </c>
      <c r="C8" s="70">
        <v>8</v>
      </c>
      <c r="D8" s="69">
        <v>2020</v>
      </c>
      <c r="E8" s="71">
        <f>'FS-AD Daily '!B12</f>
        <v>4899</v>
      </c>
      <c r="F8" s="71">
        <f>'FS-AD Daily '!C12</f>
        <v>3211</v>
      </c>
      <c r="G8" s="71">
        <f>'FS-AD Daily '!D12</f>
        <v>844</v>
      </c>
      <c r="H8" s="71">
        <f>'FS-AD Daily '!E12</f>
        <v>4375</v>
      </c>
      <c r="I8" s="71">
        <f>'FS-AD Daily '!F12</f>
        <v>4948</v>
      </c>
      <c r="J8" s="71">
        <f>'FS-AD Daily '!G12</f>
        <v>3022</v>
      </c>
      <c r="K8" s="71">
        <f>'FS-AD Daily '!H12</f>
        <v>5218</v>
      </c>
      <c r="L8" s="71">
        <f>'FS-AD Daily '!I12</f>
        <v>2503</v>
      </c>
      <c r="M8" s="71">
        <f>'FS-AD Daily '!J12</f>
        <v>6927</v>
      </c>
      <c r="N8" s="71">
        <f>'FS-AD Daily '!T12</f>
        <v>112.922</v>
      </c>
      <c r="O8" s="71">
        <f>'FS-AD Daily '!R12</f>
        <v>70.558000000000007</v>
      </c>
      <c r="P8" s="71">
        <f>'FS-AD Daily '!Z12</f>
        <v>470.40000000002328</v>
      </c>
      <c r="Q8" s="71">
        <f>'FS-AD Daily '!V12</f>
        <v>287.39999999999998</v>
      </c>
      <c r="R8" s="71">
        <f>'FS-AD Daily '!W12</f>
        <v>0</v>
      </c>
      <c r="S8" s="71">
        <f t="shared" si="0"/>
        <v>183.00000000002331</v>
      </c>
      <c r="T8" s="71">
        <f>'FS-AD Daily '!AD12*3.516</f>
        <v>100054.81200000002</v>
      </c>
      <c r="U8" s="71">
        <f>('FS-AD Daily '!AF12)*1000</f>
        <v>49700</v>
      </c>
      <c r="V8" s="71">
        <f>('FS-AD Daily '!AG12)*1000</f>
        <v>30200</v>
      </c>
      <c r="W8" s="71">
        <f>'FS-AD Daily '!AH12*1000</f>
        <v>17800</v>
      </c>
      <c r="X8" s="71">
        <f>('FS-AD Daily '!AK12)*1000</f>
        <v>25199.99999999709</v>
      </c>
      <c r="Y8" s="71">
        <v>94</v>
      </c>
      <c r="Z8" s="105">
        <v>190</v>
      </c>
    </row>
    <row r="9" spans="1:26" x14ac:dyDescent="0.25">
      <c r="A9" s="104" t="s">
        <v>80</v>
      </c>
      <c r="B9" s="69">
        <f t="shared" si="1"/>
        <v>8</v>
      </c>
      <c r="C9" s="70">
        <v>8</v>
      </c>
      <c r="D9" s="69">
        <v>2020</v>
      </c>
      <c r="E9" s="71">
        <f>'FS-AD Daily '!B13</f>
        <v>5050</v>
      </c>
      <c r="F9" s="71">
        <f>'FS-AD Daily '!C13</f>
        <v>3213</v>
      </c>
      <c r="G9" s="71">
        <f>'FS-AD Daily '!D13</f>
        <v>833</v>
      </c>
      <c r="H9" s="71">
        <f>'FS-AD Daily '!E13</f>
        <v>4516</v>
      </c>
      <c r="I9" s="71">
        <f>'FS-AD Daily '!F13</f>
        <v>4951</v>
      </c>
      <c r="J9" s="71">
        <f>'FS-AD Daily '!G13</f>
        <v>3124</v>
      </c>
      <c r="K9" s="71">
        <f>'FS-AD Daily '!H13</f>
        <v>5290</v>
      </c>
      <c r="L9" s="71">
        <f>'FS-AD Daily '!I13</f>
        <v>2561</v>
      </c>
      <c r="M9" s="71">
        <f>'FS-AD Daily '!J13</f>
        <v>7143</v>
      </c>
      <c r="N9" s="71">
        <f>'FS-AD Daily '!T13</f>
        <v>165.29300000000001</v>
      </c>
      <c r="O9" s="71">
        <f>'FS-AD Daily '!R13</f>
        <v>63.951000000000001</v>
      </c>
      <c r="P9" s="71">
        <f>'FS-AD Daily '!Z13</f>
        <v>469.90000000002328</v>
      </c>
      <c r="Q9" s="71">
        <f>'FS-AD Daily '!V13</f>
        <v>280.89999999999998</v>
      </c>
      <c r="R9" s="71">
        <f>'FS-AD Daily '!W13</f>
        <v>0</v>
      </c>
      <c r="S9" s="71">
        <f t="shared" si="0"/>
        <v>189.00000000002331</v>
      </c>
      <c r="T9" s="71">
        <f>'FS-AD Daily '!AD13*3.516</f>
        <v>103732.548</v>
      </c>
      <c r="U9" s="71">
        <f>('FS-AD Daily '!AF13)*1000</f>
        <v>51600</v>
      </c>
      <c r="V9" s="71">
        <f>('FS-AD Daily '!AG13)*1000</f>
        <v>30400</v>
      </c>
      <c r="W9" s="71">
        <f>'FS-AD Daily '!AH13*1000</f>
        <v>18500</v>
      </c>
      <c r="X9" s="71">
        <f>('FS-AD Daily '!AK13)*1000</f>
        <v>27099.999999998545</v>
      </c>
      <c r="Y9" s="71">
        <v>94</v>
      </c>
      <c r="Z9" s="105">
        <v>187</v>
      </c>
    </row>
    <row r="10" spans="1:26" x14ac:dyDescent="0.25">
      <c r="A10" s="104" t="s">
        <v>80</v>
      </c>
      <c r="B10" s="69">
        <f t="shared" si="1"/>
        <v>9</v>
      </c>
      <c r="C10" s="70">
        <v>8</v>
      </c>
      <c r="D10" s="69">
        <v>2020</v>
      </c>
      <c r="E10" s="71">
        <f>'FS-AD Daily '!B14</f>
        <v>4914</v>
      </c>
      <c r="F10" s="71">
        <f>'FS-AD Daily '!C14</f>
        <v>3130</v>
      </c>
      <c r="G10" s="71">
        <f>'FS-AD Daily '!D14</f>
        <v>853</v>
      </c>
      <c r="H10" s="71">
        <f>'FS-AD Daily '!E14</f>
        <v>4578</v>
      </c>
      <c r="I10" s="71">
        <f>'FS-AD Daily '!F14</f>
        <v>5077</v>
      </c>
      <c r="J10" s="71">
        <f>'FS-AD Daily '!G14</f>
        <v>3123</v>
      </c>
      <c r="K10" s="71">
        <f>'FS-AD Daily '!H14</f>
        <v>5107</v>
      </c>
      <c r="L10" s="71">
        <f>'FS-AD Daily '!I14</f>
        <v>2612</v>
      </c>
      <c r="M10" s="71">
        <f>'FS-AD Daily '!J14</f>
        <v>7179</v>
      </c>
      <c r="N10" s="71">
        <f>'FS-AD Daily '!T14</f>
        <v>113.154</v>
      </c>
      <c r="O10" s="71">
        <f>'FS-AD Daily '!R14</f>
        <v>71.692000000000007</v>
      </c>
      <c r="P10" s="71">
        <f>'FS-AD Daily '!Z14</f>
        <v>494.69999999995343</v>
      </c>
      <c r="Q10" s="71">
        <f>'FS-AD Daily '!V14</f>
        <v>288</v>
      </c>
      <c r="R10" s="71">
        <f>'FS-AD Daily '!W14</f>
        <v>0</v>
      </c>
      <c r="S10" s="71">
        <f t="shared" si="0"/>
        <v>206.69999999995343</v>
      </c>
      <c r="T10" s="71">
        <f>'FS-AD Daily '!AD14*3.516</f>
        <v>96742.74</v>
      </c>
      <c r="U10" s="71">
        <f>('FS-AD Daily '!AF14)*1000</f>
        <v>47500</v>
      </c>
      <c r="V10" s="71">
        <f>('FS-AD Daily '!AG14)*1000</f>
        <v>28900</v>
      </c>
      <c r="W10" s="71">
        <f>'FS-AD Daily '!AH14*1000</f>
        <v>18000</v>
      </c>
      <c r="X10" s="71">
        <f>('FS-AD Daily '!AK14)*1000</f>
        <v>25600.000000005821</v>
      </c>
      <c r="Y10" s="71">
        <v>84</v>
      </c>
      <c r="Z10" s="105">
        <v>172</v>
      </c>
    </row>
    <row r="11" spans="1:26" x14ac:dyDescent="0.25">
      <c r="A11" s="104" t="s">
        <v>80</v>
      </c>
      <c r="B11" s="69">
        <f t="shared" si="1"/>
        <v>10</v>
      </c>
      <c r="C11" s="70">
        <v>8</v>
      </c>
      <c r="D11" s="69">
        <v>2020</v>
      </c>
      <c r="E11" s="71">
        <f>'FS-AD Daily '!B15</f>
        <v>4666</v>
      </c>
      <c r="F11" s="71">
        <f>'FS-AD Daily '!C15</f>
        <v>3519</v>
      </c>
      <c r="G11" s="71">
        <f>'FS-AD Daily '!D15</f>
        <v>895</v>
      </c>
      <c r="H11" s="71">
        <f>'FS-AD Daily '!E15</f>
        <v>4573</v>
      </c>
      <c r="I11" s="71">
        <f>'FS-AD Daily '!F15</f>
        <v>4973</v>
      </c>
      <c r="J11" s="71">
        <f>'FS-AD Daily '!G15</f>
        <v>3078</v>
      </c>
      <c r="K11" s="71">
        <f>'FS-AD Daily '!H15</f>
        <v>5461</v>
      </c>
      <c r="L11" s="71">
        <f>'FS-AD Daily '!I15</f>
        <v>2631</v>
      </c>
      <c r="M11" s="71">
        <f>'FS-AD Daily '!J15</f>
        <v>7240</v>
      </c>
      <c r="N11" s="71">
        <f>'FS-AD Daily '!T15</f>
        <v>113.489</v>
      </c>
      <c r="O11" s="71">
        <f>'FS-AD Daily '!R15</f>
        <v>77.73</v>
      </c>
      <c r="P11" s="71">
        <f>'FS-AD Daily '!Z15</f>
        <v>483</v>
      </c>
      <c r="Q11" s="71">
        <f>'FS-AD Daily '!V15</f>
        <v>284.8</v>
      </c>
      <c r="R11" s="71">
        <f>'FS-AD Daily '!W15</f>
        <v>0</v>
      </c>
      <c r="S11" s="71">
        <f t="shared" si="0"/>
        <v>198.2</v>
      </c>
      <c r="T11" s="71">
        <f>'FS-AD Daily '!AD15*3.516</f>
        <v>108802.61999999995</v>
      </c>
      <c r="U11" s="71">
        <f>('FS-AD Daily '!AF15)*1000</f>
        <v>53600</v>
      </c>
      <c r="V11" s="71">
        <f>('FS-AD Daily '!AG15)*1000</f>
        <v>31400</v>
      </c>
      <c r="W11" s="71">
        <f>'FS-AD Daily '!AH15*1000</f>
        <v>19100</v>
      </c>
      <c r="X11" s="71">
        <f>('FS-AD Daily '!AK15)*1000</f>
        <v>27500</v>
      </c>
      <c r="Y11" s="71">
        <v>75</v>
      </c>
      <c r="Z11" s="105">
        <v>163</v>
      </c>
    </row>
    <row r="12" spans="1:26" x14ac:dyDescent="0.25">
      <c r="A12" s="104" t="s">
        <v>80</v>
      </c>
      <c r="B12" s="69">
        <f t="shared" si="1"/>
        <v>11</v>
      </c>
      <c r="C12" s="70">
        <v>8</v>
      </c>
      <c r="D12" s="69">
        <v>2020</v>
      </c>
      <c r="E12" s="71">
        <f>'FS-AD Daily '!B16</f>
        <v>5010</v>
      </c>
      <c r="F12" s="71">
        <f>'FS-AD Daily '!C16</f>
        <v>3493</v>
      </c>
      <c r="G12" s="71">
        <f>'FS-AD Daily '!D16</f>
        <v>861</v>
      </c>
      <c r="H12" s="71">
        <f>'FS-AD Daily '!E16</f>
        <v>4457</v>
      </c>
      <c r="I12" s="71">
        <f>'FS-AD Daily '!F16</f>
        <v>4940</v>
      </c>
      <c r="J12" s="71">
        <f>'FS-AD Daily '!G16</f>
        <v>2910</v>
      </c>
      <c r="K12" s="71">
        <f>'FS-AD Daily '!H16</f>
        <v>5360</v>
      </c>
      <c r="L12" s="71">
        <f>'FS-AD Daily '!I16</f>
        <v>2520</v>
      </c>
      <c r="M12" s="71">
        <f>'FS-AD Daily '!J16</f>
        <v>7354</v>
      </c>
      <c r="N12" s="71">
        <f>'FS-AD Daily '!T16</f>
        <v>141.87700000000001</v>
      </c>
      <c r="O12" s="71">
        <f>'FS-AD Daily '!R16</f>
        <v>81.965000000000003</v>
      </c>
      <c r="P12" s="71">
        <f>'FS-AD Daily '!Z16</f>
        <v>487.20000000006985</v>
      </c>
      <c r="Q12" s="71">
        <f>'FS-AD Daily '!V16</f>
        <v>285.60000000000002</v>
      </c>
      <c r="R12" s="71">
        <f>'FS-AD Daily '!W16</f>
        <v>0</v>
      </c>
      <c r="S12" s="71">
        <f t="shared" si="0"/>
        <v>201.60000000006983</v>
      </c>
      <c r="T12" s="71">
        <f>'FS-AD Daily '!AD16*3.516</f>
        <v>107042.51040000009</v>
      </c>
      <c r="U12" s="71">
        <f>('FS-AD Daily '!AF16)*1000</f>
        <v>52900</v>
      </c>
      <c r="V12" s="71">
        <f>('FS-AD Daily '!AG16)*1000</f>
        <v>28200</v>
      </c>
      <c r="W12" s="71">
        <f>'FS-AD Daily '!AH16*1000</f>
        <v>18400</v>
      </c>
      <c r="X12" s="71">
        <f>('FS-AD Daily '!AK16)*1000</f>
        <v>28500</v>
      </c>
      <c r="Y12" s="71">
        <v>76</v>
      </c>
      <c r="Z12" s="105">
        <v>164</v>
      </c>
    </row>
    <row r="13" spans="1:26" x14ac:dyDescent="0.25">
      <c r="A13" s="104" t="s">
        <v>80</v>
      </c>
      <c r="B13" s="69">
        <f t="shared" si="1"/>
        <v>12</v>
      </c>
      <c r="C13" s="70">
        <v>8</v>
      </c>
      <c r="D13" s="69">
        <v>2020</v>
      </c>
      <c r="E13" s="71">
        <f>'FS-AD Daily '!B17</f>
        <v>4988</v>
      </c>
      <c r="F13" s="71">
        <f>'FS-AD Daily '!C17</f>
        <v>3468</v>
      </c>
      <c r="G13" s="71">
        <f>'FS-AD Daily '!D17</f>
        <v>875</v>
      </c>
      <c r="H13" s="71">
        <f>'FS-AD Daily '!E17</f>
        <v>4281</v>
      </c>
      <c r="I13" s="71">
        <f>'FS-AD Daily '!F17</f>
        <v>4982</v>
      </c>
      <c r="J13" s="71">
        <f>'FS-AD Daily '!G17</f>
        <v>2840</v>
      </c>
      <c r="K13" s="71">
        <f>'FS-AD Daily '!H17</f>
        <v>5594</v>
      </c>
      <c r="L13" s="71">
        <f>'FS-AD Daily '!I17</f>
        <v>2569</v>
      </c>
      <c r="M13" s="71">
        <f>'FS-AD Daily '!J17</f>
        <v>7344</v>
      </c>
      <c r="N13" s="71">
        <f>'FS-AD Daily '!T17</f>
        <v>111.926</v>
      </c>
      <c r="O13" s="71">
        <f>'FS-AD Daily '!R17</f>
        <v>81.518999999999991</v>
      </c>
      <c r="P13" s="71">
        <f>'FS-AD Daily '!Z17</f>
        <v>470.59999999997672</v>
      </c>
      <c r="Q13" s="71">
        <f>'FS-AD Daily '!V17</f>
        <v>277.39999999999998</v>
      </c>
      <c r="R13" s="71">
        <f>'FS-AD Daily '!W17</f>
        <v>0</v>
      </c>
      <c r="S13" s="71">
        <f t="shared" si="0"/>
        <v>193.19999999997674</v>
      </c>
      <c r="T13" s="71">
        <f>'FS-AD Daily '!AD17*3.516</f>
        <v>111142.86959999992</v>
      </c>
      <c r="U13" s="71">
        <f>('FS-AD Daily '!AF17)*1000</f>
        <v>55000</v>
      </c>
      <c r="V13" s="71">
        <f>('FS-AD Daily '!AG17)*1000</f>
        <v>26700</v>
      </c>
      <c r="W13" s="71">
        <f>'FS-AD Daily '!AH17*1000</f>
        <v>19300</v>
      </c>
      <c r="X13" s="71">
        <f>('FS-AD Daily '!AK17)*1000</f>
        <v>30599.999999998545</v>
      </c>
      <c r="Y13" s="71">
        <f>'FS-AD Daily '!AN17</f>
        <v>0</v>
      </c>
      <c r="Z13" s="105"/>
    </row>
    <row r="14" spans="1:26" x14ac:dyDescent="0.25">
      <c r="A14" s="104" t="s">
        <v>80</v>
      </c>
      <c r="B14" s="69">
        <f t="shared" si="1"/>
        <v>13</v>
      </c>
      <c r="C14" s="70">
        <v>8</v>
      </c>
      <c r="D14" s="69">
        <v>2020</v>
      </c>
      <c r="E14" s="71">
        <f>'FS-AD Daily '!B18</f>
        <v>4887</v>
      </c>
      <c r="F14" s="71">
        <f>'FS-AD Daily '!C18</f>
        <v>3534</v>
      </c>
      <c r="G14" s="71">
        <f>'FS-AD Daily '!D18</f>
        <v>884</v>
      </c>
      <c r="H14" s="71">
        <f>'FS-AD Daily '!E18</f>
        <v>4159</v>
      </c>
      <c r="I14" s="71">
        <f>'FS-AD Daily '!F18</f>
        <v>4991</v>
      </c>
      <c r="J14" s="71">
        <f>'FS-AD Daily '!G18</f>
        <v>2744</v>
      </c>
      <c r="K14" s="71">
        <f>'FS-AD Daily '!H18</f>
        <v>5098</v>
      </c>
      <c r="L14" s="71">
        <f>'FS-AD Daily '!I18</f>
        <v>2547</v>
      </c>
      <c r="M14" s="71">
        <f>'FS-AD Daily '!J18</f>
        <v>7140</v>
      </c>
      <c r="N14" s="71">
        <f>'FS-AD Daily '!T18</f>
        <v>107.931</v>
      </c>
      <c r="O14" s="71">
        <f>'FS-AD Daily '!R18</f>
        <v>70.429000000000002</v>
      </c>
      <c r="P14" s="71">
        <f>'FS-AD Daily '!Z18</f>
        <v>465.90000000002328</v>
      </c>
      <c r="Q14" s="71">
        <f>'FS-AD Daily '!V18</f>
        <v>272</v>
      </c>
      <c r="R14" s="71">
        <f>'FS-AD Daily '!W18</f>
        <v>0</v>
      </c>
      <c r="S14" s="71">
        <f t="shared" si="0"/>
        <v>193.90000000002328</v>
      </c>
      <c r="T14" s="71">
        <f>'FS-AD Daily '!AD18*3.516</f>
        <v>93687.687600000019</v>
      </c>
      <c r="U14" s="71">
        <f>('FS-AD Daily '!AF18)*1000</f>
        <v>45500</v>
      </c>
      <c r="V14" s="71">
        <f>('FS-AD Daily '!AG18)*1000</f>
        <v>21700</v>
      </c>
      <c r="W14" s="71">
        <f>'FS-AD Daily '!AH18*1000</f>
        <v>16000</v>
      </c>
      <c r="X14" s="71">
        <f>('FS-AD Daily '!AK18)*1000</f>
        <v>25500</v>
      </c>
      <c r="Y14" s="71">
        <f>'FS-AD Daily '!AN18</f>
        <v>0</v>
      </c>
      <c r="Z14" s="105"/>
    </row>
    <row r="15" spans="1:26" x14ac:dyDescent="0.25">
      <c r="A15" s="104" t="s">
        <v>80</v>
      </c>
      <c r="B15" s="69">
        <f t="shared" si="1"/>
        <v>14</v>
      </c>
      <c r="C15" s="70">
        <v>8</v>
      </c>
      <c r="D15" s="69">
        <v>2020</v>
      </c>
      <c r="E15" s="71">
        <f>'FS-AD Daily '!B19</f>
        <v>0</v>
      </c>
      <c r="F15" s="71">
        <f>'FS-AD Daily '!C19</f>
        <v>0</v>
      </c>
      <c r="G15" s="71">
        <f>'FS-AD Daily '!D19</f>
        <v>0</v>
      </c>
      <c r="H15" s="71">
        <f>'FS-AD Daily '!E19</f>
        <v>0</v>
      </c>
      <c r="I15" s="71">
        <f>'FS-AD Daily '!F19</f>
        <v>0</v>
      </c>
      <c r="J15" s="71">
        <f>'FS-AD Daily '!G19</f>
        <v>0</v>
      </c>
      <c r="K15" s="71">
        <f>'FS-AD Daily '!H19</f>
        <v>0</v>
      </c>
      <c r="L15" s="71">
        <f>'FS-AD Daily '!I19</f>
        <v>0</v>
      </c>
      <c r="M15" s="71">
        <f>'FS-AD Daily '!J19</f>
        <v>0</v>
      </c>
      <c r="N15" s="71">
        <f>'FS-AD Daily '!T19</f>
        <v>0</v>
      </c>
      <c r="O15" s="71">
        <f>'FS-AD Daily '!R19</f>
        <v>0</v>
      </c>
      <c r="P15" s="71" t="str">
        <f>'FS-AD Daily '!Z19</f>
        <v>0</v>
      </c>
      <c r="Q15" s="71">
        <f>'FS-AD Daily '!V19</f>
        <v>0</v>
      </c>
      <c r="R15" s="71">
        <f>'FS-AD Daily '!W19</f>
        <v>0</v>
      </c>
      <c r="S15" s="71">
        <f t="shared" si="0"/>
        <v>0</v>
      </c>
      <c r="T15" s="71">
        <f>'FS-AD Daily '!AD19*3.516</f>
        <v>0</v>
      </c>
      <c r="U15" s="71">
        <f>('FS-AD Daily '!AF19)*1000</f>
        <v>0</v>
      </c>
      <c r="V15" s="71">
        <f>('FS-AD Daily '!AG19)*1000</f>
        <v>0</v>
      </c>
      <c r="W15" s="71">
        <f>'FS-AD Daily '!AH19*1000</f>
        <v>0</v>
      </c>
      <c r="X15" s="71">
        <f>('FS-AD Daily '!AK19)*1000</f>
        <v>0</v>
      </c>
      <c r="Y15" s="71">
        <f>'FS-AD Daily '!AN19</f>
        <v>0</v>
      </c>
      <c r="Z15" s="105"/>
    </row>
    <row r="16" spans="1:26" x14ac:dyDescent="0.25">
      <c r="A16" s="104" t="s">
        <v>80</v>
      </c>
      <c r="B16" s="69">
        <f t="shared" si="1"/>
        <v>15</v>
      </c>
      <c r="C16" s="70">
        <v>8</v>
      </c>
      <c r="D16" s="69">
        <v>2020</v>
      </c>
      <c r="E16" s="71">
        <f>'FS-AD Daily '!B20</f>
        <v>0</v>
      </c>
      <c r="F16" s="71">
        <f>'FS-AD Daily '!C20</f>
        <v>0</v>
      </c>
      <c r="G16" s="71">
        <f>'FS-AD Daily '!D20</f>
        <v>0</v>
      </c>
      <c r="H16" s="71">
        <f>'FS-AD Daily '!E20</f>
        <v>0</v>
      </c>
      <c r="I16" s="71">
        <f>'FS-AD Daily '!F20</f>
        <v>0</v>
      </c>
      <c r="J16" s="71">
        <f>'FS-AD Daily '!G20</f>
        <v>0</v>
      </c>
      <c r="K16" s="71">
        <f>'FS-AD Daily '!H20</f>
        <v>0</v>
      </c>
      <c r="L16" s="71">
        <f>'FS-AD Daily '!I20</f>
        <v>0</v>
      </c>
      <c r="M16" s="71">
        <f>'FS-AD Daily '!J20</f>
        <v>0</v>
      </c>
      <c r="N16" s="71">
        <f>'FS-AD Daily '!T20</f>
        <v>0</v>
      </c>
      <c r="O16" s="71">
        <f>'FS-AD Daily '!R20</f>
        <v>0</v>
      </c>
      <c r="P16" s="71">
        <f>'FS-AD Daily '!Z20</f>
        <v>0</v>
      </c>
      <c r="Q16" s="71">
        <f>'FS-AD Daily '!V20</f>
        <v>0</v>
      </c>
      <c r="R16" s="71">
        <f>'FS-AD Daily '!W20</f>
        <v>0</v>
      </c>
      <c r="S16" s="71">
        <f t="shared" si="0"/>
        <v>0</v>
      </c>
      <c r="T16" s="71">
        <f>'FS-AD Daily '!AD20*3.516</f>
        <v>0</v>
      </c>
      <c r="U16" s="71">
        <f>('FS-AD Daily '!AF20)*1000</f>
        <v>0</v>
      </c>
      <c r="V16" s="71">
        <f>('FS-AD Daily '!AG20)*1000</f>
        <v>0</v>
      </c>
      <c r="W16" s="71">
        <f>'FS-AD Daily '!AH20*1000</f>
        <v>0</v>
      </c>
      <c r="X16" s="71">
        <f>('FS-AD Daily '!AK20)*1000</f>
        <v>0</v>
      </c>
      <c r="Y16" s="71">
        <f>'FS-AD Daily '!AN20</f>
        <v>0</v>
      </c>
      <c r="Z16" s="105"/>
    </row>
    <row r="17" spans="1:26" x14ac:dyDescent="0.25">
      <c r="A17" s="104" t="s">
        <v>80</v>
      </c>
      <c r="B17" s="69">
        <f t="shared" si="1"/>
        <v>16</v>
      </c>
      <c r="C17" s="70">
        <v>8</v>
      </c>
      <c r="D17" s="69">
        <v>2020</v>
      </c>
      <c r="E17" s="71">
        <f>'FS-AD Daily '!B21</f>
        <v>0</v>
      </c>
      <c r="F17" s="71">
        <f>'FS-AD Daily '!C21</f>
        <v>0</v>
      </c>
      <c r="G17" s="71">
        <f>'FS-AD Daily '!D21</f>
        <v>0</v>
      </c>
      <c r="H17" s="71">
        <f>'FS-AD Daily '!E21</f>
        <v>0</v>
      </c>
      <c r="I17" s="71">
        <f>'FS-AD Daily '!F21</f>
        <v>0</v>
      </c>
      <c r="J17" s="71">
        <f>'FS-AD Daily '!G21</f>
        <v>0</v>
      </c>
      <c r="K17" s="71">
        <f>'FS-AD Daily '!H21</f>
        <v>0</v>
      </c>
      <c r="L17" s="71">
        <f>'FS-AD Daily '!I21</f>
        <v>0</v>
      </c>
      <c r="M17" s="71">
        <f>'FS-AD Daily '!J21</f>
        <v>0</v>
      </c>
      <c r="N17" s="71">
        <f>'FS-AD Daily '!T21</f>
        <v>0</v>
      </c>
      <c r="O17" s="71">
        <f>'FS-AD Daily '!R21</f>
        <v>0</v>
      </c>
      <c r="P17" s="71">
        <f>'FS-AD Daily '!Z21</f>
        <v>0</v>
      </c>
      <c r="Q17" s="71">
        <f>'FS-AD Daily '!V21</f>
        <v>0</v>
      </c>
      <c r="R17" s="71">
        <f>'FS-AD Daily '!W21</f>
        <v>0</v>
      </c>
      <c r="S17" s="71">
        <f t="shared" si="0"/>
        <v>0</v>
      </c>
      <c r="T17" s="71">
        <f>'FS-AD Daily '!AD21*3.516</f>
        <v>0</v>
      </c>
      <c r="U17" s="71">
        <f>('FS-AD Daily '!AF21)*1000</f>
        <v>0</v>
      </c>
      <c r="V17" s="71">
        <f>('FS-AD Daily '!AG21)*1000</f>
        <v>0</v>
      </c>
      <c r="W17" s="71">
        <f>'FS-AD Daily '!AH21*1000</f>
        <v>0</v>
      </c>
      <c r="X17" s="71">
        <f>('FS-AD Daily '!AK21)*1000</f>
        <v>0</v>
      </c>
      <c r="Y17" s="71">
        <f>'FS-AD Daily '!AN21</f>
        <v>0</v>
      </c>
      <c r="Z17" s="105"/>
    </row>
    <row r="18" spans="1:26" x14ac:dyDescent="0.25">
      <c r="A18" s="104" t="s">
        <v>80</v>
      </c>
      <c r="B18" s="69">
        <f t="shared" si="1"/>
        <v>17</v>
      </c>
      <c r="C18" s="70">
        <v>8</v>
      </c>
      <c r="D18" s="69">
        <v>2020</v>
      </c>
      <c r="E18" s="71">
        <f>'FS-AD Daily '!B22</f>
        <v>0</v>
      </c>
      <c r="F18" s="71">
        <f>'FS-AD Daily '!C22</f>
        <v>0</v>
      </c>
      <c r="G18" s="71">
        <f>'FS-AD Daily '!D22</f>
        <v>0</v>
      </c>
      <c r="H18" s="71">
        <f>'FS-AD Daily '!E22</f>
        <v>0</v>
      </c>
      <c r="I18" s="71">
        <f>'FS-AD Daily '!F22</f>
        <v>0</v>
      </c>
      <c r="J18" s="71">
        <f>'FS-AD Daily '!G22</f>
        <v>0</v>
      </c>
      <c r="K18" s="71">
        <f>'FS-AD Daily '!H22</f>
        <v>0</v>
      </c>
      <c r="L18" s="71">
        <f>'FS-AD Daily '!I22</f>
        <v>0</v>
      </c>
      <c r="M18" s="71">
        <f>'FS-AD Daily '!J22</f>
        <v>0</v>
      </c>
      <c r="N18" s="71">
        <f>'FS-AD Daily '!T22</f>
        <v>0</v>
      </c>
      <c r="O18" s="71">
        <f>'FS-AD Daily '!R22</f>
        <v>0</v>
      </c>
      <c r="P18" s="71">
        <f>'FS-AD Daily '!Z22</f>
        <v>0</v>
      </c>
      <c r="Q18" s="71">
        <f>'FS-AD Daily '!V22</f>
        <v>0</v>
      </c>
      <c r="R18" s="71">
        <f>'FS-AD Daily '!W22</f>
        <v>0</v>
      </c>
      <c r="S18" s="71">
        <f t="shared" si="0"/>
        <v>0</v>
      </c>
      <c r="T18" s="71">
        <f>'FS-AD Daily '!AD22*3.516</f>
        <v>0</v>
      </c>
      <c r="U18" s="71">
        <f>('FS-AD Daily '!AF22)*1000</f>
        <v>0</v>
      </c>
      <c r="V18" s="71">
        <f>('FS-AD Daily '!AG22)*1000</f>
        <v>0</v>
      </c>
      <c r="W18" s="71">
        <f>'FS-AD Daily '!AH22*1000</f>
        <v>0</v>
      </c>
      <c r="X18" s="71">
        <f>('FS-AD Daily '!AK22)*1000</f>
        <v>0</v>
      </c>
      <c r="Y18" s="71">
        <f>'FS-AD Daily '!AN22</f>
        <v>0</v>
      </c>
      <c r="Z18" s="105"/>
    </row>
    <row r="19" spans="1:26" x14ac:dyDescent="0.25">
      <c r="A19" s="104" t="s">
        <v>80</v>
      </c>
      <c r="B19" s="69">
        <f t="shared" si="1"/>
        <v>18</v>
      </c>
      <c r="C19" s="70">
        <v>8</v>
      </c>
      <c r="D19" s="69">
        <v>2020</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f>'FS-AD Daily '!AN23</f>
        <v>0</v>
      </c>
      <c r="Z19" s="105"/>
    </row>
    <row r="20" spans="1:26" x14ac:dyDescent="0.25">
      <c r="A20" s="104" t="s">
        <v>80</v>
      </c>
      <c r="B20" s="69">
        <f t="shared" si="1"/>
        <v>19</v>
      </c>
      <c r="C20" s="70">
        <v>8</v>
      </c>
      <c r="D20" s="69">
        <v>2020</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f>'FS-AD Daily '!AN24</f>
        <v>0</v>
      </c>
      <c r="Z20" s="105"/>
    </row>
    <row r="21" spans="1:26" x14ac:dyDescent="0.25">
      <c r="A21" s="104" t="s">
        <v>80</v>
      </c>
      <c r="B21" s="69">
        <f t="shared" si="1"/>
        <v>20</v>
      </c>
      <c r="C21" s="70">
        <v>8</v>
      </c>
      <c r="D21" s="69">
        <v>2020</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f>'FS-AD Daily '!AN25</f>
        <v>0</v>
      </c>
      <c r="Z21" s="105"/>
    </row>
    <row r="22" spans="1:26" x14ac:dyDescent="0.25">
      <c r="A22" s="104" t="s">
        <v>80</v>
      </c>
      <c r="B22" s="69">
        <f t="shared" si="1"/>
        <v>21</v>
      </c>
      <c r="C22" s="70">
        <v>8</v>
      </c>
      <c r="D22" s="69">
        <v>2020</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05"/>
    </row>
    <row r="23" spans="1:26" x14ac:dyDescent="0.25">
      <c r="A23" s="104" t="s">
        <v>80</v>
      </c>
      <c r="B23" s="69">
        <f t="shared" si="1"/>
        <v>22</v>
      </c>
      <c r="C23" s="70">
        <v>8</v>
      </c>
      <c r="D23" s="69">
        <v>2020</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05"/>
    </row>
    <row r="24" spans="1:26" x14ac:dyDescent="0.25">
      <c r="A24" s="104" t="s">
        <v>80</v>
      </c>
      <c r="B24" s="69">
        <f t="shared" si="1"/>
        <v>23</v>
      </c>
      <c r="C24" s="70">
        <v>8</v>
      </c>
      <c r="D24" s="69">
        <v>2020</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05"/>
    </row>
    <row r="25" spans="1:26" x14ac:dyDescent="0.25">
      <c r="A25" s="104" t="s">
        <v>80</v>
      </c>
      <c r="B25" s="69">
        <f t="shared" si="1"/>
        <v>24</v>
      </c>
      <c r="C25" s="70">
        <v>8</v>
      </c>
      <c r="D25" s="69">
        <v>2020</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05"/>
    </row>
    <row r="26" spans="1:26" x14ac:dyDescent="0.25">
      <c r="A26" s="104" t="s">
        <v>80</v>
      </c>
      <c r="B26" s="69">
        <f>B25+1</f>
        <v>25</v>
      </c>
      <c r="C26" s="70">
        <v>8</v>
      </c>
      <c r="D26" s="69">
        <v>2020</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05"/>
    </row>
    <row r="27" spans="1:26" x14ac:dyDescent="0.25">
      <c r="A27" s="104" t="s">
        <v>80</v>
      </c>
      <c r="B27" s="69">
        <f t="shared" si="1"/>
        <v>26</v>
      </c>
      <c r="C27" s="70">
        <v>8</v>
      </c>
      <c r="D27" s="69">
        <v>2020</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05"/>
    </row>
    <row r="28" spans="1:26" x14ac:dyDescent="0.25">
      <c r="A28" s="104" t="s">
        <v>80</v>
      </c>
      <c r="B28" s="69">
        <f t="shared" si="1"/>
        <v>27</v>
      </c>
      <c r="C28" s="70">
        <v>8</v>
      </c>
      <c r="D28" s="69">
        <v>2020</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05"/>
    </row>
    <row r="29" spans="1:26" x14ac:dyDescent="0.25">
      <c r="A29" s="104" t="s">
        <v>80</v>
      </c>
      <c r="B29" s="69">
        <f t="shared" si="1"/>
        <v>28</v>
      </c>
      <c r="C29" s="70">
        <v>8</v>
      </c>
      <c r="D29" s="69">
        <v>2020</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05"/>
    </row>
    <row r="30" spans="1:26" x14ac:dyDescent="0.25">
      <c r="A30" s="104" t="s">
        <v>80</v>
      </c>
      <c r="B30" s="69">
        <f t="shared" si="1"/>
        <v>29</v>
      </c>
      <c r="C30" s="70">
        <v>8</v>
      </c>
      <c r="D30" s="69">
        <v>2020</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5"/>
    </row>
    <row r="31" spans="1:26" x14ac:dyDescent="0.25">
      <c r="A31" s="121" t="s">
        <v>80</v>
      </c>
      <c r="B31" s="122">
        <f t="shared" si="1"/>
        <v>30</v>
      </c>
      <c r="C31" s="70">
        <v>8</v>
      </c>
      <c r="D31" s="122">
        <v>2020</v>
      </c>
      <c r="E31" s="71">
        <f>'FS-AD Daily '!B35</f>
        <v>0</v>
      </c>
      <c r="F31" s="71">
        <f>'FS-AD Daily '!C35</f>
        <v>0</v>
      </c>
      <c r="G31" s="71">
        <f>'FS-AD Daily '!D35</f>
        <v>0</v>
      </c>
      <c r="H31" s="71">
        <f>'FS-AD Daily '!E35</f>
        <v>0</v>
      </c>
      <c r="I31" s="124">
        <f>'FS-AD Daily '!F35</f>
        <v>0</v>
      </c>
      <c r="J31" s="124">
        <f>'FS-AD Daily '!G35</f>
        <v>0</v>
      </c>
      <c r="K31" s="124">
        <f>'FS-AD Daily '!H35</f>
        <v>0</v>
      </c>
      <c r="L31" s="124">
        <f>'FS-AD Daily '!I35</f>
        <v>0</v>
      </c>
      <c r="M31" s="124">
        <f>'FS-AD Daily '!J35</f>
        <v>0</v>
      </c>
      <c r="N31" s="124">
        <f>'FS-AD Daily '!T35</f>
        <v>0</v>
      </c>
      <c r="O31" s="124">
        <f>'FS-AD Daily '!R35</f>
        <v>0</v>
      </c>
      <c r="P31" s="124">
        <f>'FS-AD Daily '!Z35</f>
        <v>0</v>
      </c>
      <c r="Q31" s="124">
        <f>'FS-AD Daily '!V35</f>
        <v>0</v>
      </c>
      <c r="R31" s="124">
        <f>'FS-AD Daily '!W35</f>
        <v>0</v>
      </c>
      <c r="S31" s="124">
        <f t="shared" si="0"/>
        <v>0</v>
      </c>
      <c r="T31" s="124">
        <f>'FS-AD Daily '!AD35*3.516</f>
        <v>0</v>
      </c>
      <c r="U31" s="124">
        <f>('FS-AD Daily '!AF35)*1000</f>
        <v>0</v>
      </c>
      <c r="V31" s="124">
        <f>('FS-AD Daily '!AG35)*1000</f>
        <v>0</v>
      </c>
      <c r="W31" s="124">
        <f>'FS-AD Daily '!AH35*1000</f>
        <v>0</v>
      </c>
      <c r="X31" s="124">
        <f>('FS-AD Daily '!AK35)*1000</f>
        <v>0</v>
      </c>
      <c r="Y31" s="124">
        <f>'FS-AD Daily '!AN35</f>
        <v>0</v>
      </c>
      <c r="Z31" s="125"/>
    </row>
    <row r="32" spans="1:26" x14ac:dyDescent="0.25">
      <c r="I32" s="4">
        <f>SUM(I2:I31)</f>
        <v>65086</v>
      </c>
      <c r="J32" s="4">
        <f t="shared" ref="J32:Y32" si="2">SUM(J2:J31)</f>
        <v>38944</v>
      </c>
      <c r="K32" s="4">
        <f t="shared" si="2"/>
        <v>64455</v>
      </c>
      <c r="L32" s="4">
        <f t="shared" si="2"/>
        <v>33381</v>
      </c>
      <c r="M32" s="4">
        <f t="shared" si="2"/>
        <v>93712</v>
      </c>
      <c r="N32" s="4">
        <f t="shared" si="2"/>
        <v>1656.557</v>
      </c>
      <c r="O32" s="4">
        <f t="shared" si="2"/>
        <v>1031.9350000000002</v>
      </c>
      <c r="P32" s="4">
        <f t="shared" si="2"/>
        <v>6288.3000000000466</v>
      </c>
      <c r="Q32" s="4">
        <f t="shared" si="2"/>
        <v>3695.7000000000003</v>
      </c>
      <c r="R32" s="4">
        <f t="shared" si="2"/>
        <v>0</v>
      </c>
      <c r="S32" s="4">
        <f t="shared" si="2"/>
        <v>2592.6000000000463</v>
      </c>
      <c r="T32" s="4">
        <f t="shared" si="2"/>
        <v>1294074.6995999999</v>
      </c>
      <c r="U32" s="4">
        <f t="shared" si="2"/>
        <v>635700</v>
      </c>
      <c r="V32" s="4">
        <f t="shared" si="2"/>
        <v>371500</v>
      </c>
      <c r="W32" s="4">
        <f t="shared" si="2"/>
        <v>239100</v>
      </c>
      <c r="X32" s="4">
        <f t="shared" si="2"/>
        <v>341599.99999999854</v>
      </c>
      <c r="Y32" s="4">
        <f t="shared" si="2"/>
        <v>1023</v>
      </c>
      <c r="Z32" s="4">
        <f>SUM(Z2:Z31)</f>
        <v>2091</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zoomScaleNormal="100" workbookViewId="0">
      <pane xSplit="7" ySplit="4" topLeftCell="AD5" activePane="bottomRight" state="frozen"/>
      <selection pane="topRight" activeCell="H1" sqref="H1"/>
      <selection pane="bottomLeft" activeCell="A5" sqref="A5"/>
      <selection pane="bottomRight" activeCell="AN18" sqref="AN18"/>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1" t="s">
        <v>14</v>
      </c>
      <c r="C1" s="131"/>
      <c r="D1" s="131"/>
      <c r="E1" s="131"/>
      <c r="F1" s="131"/>
      <c r="G1" s="131"/>
      <c r="H1" s="131"/>
      <c r="I1" s="131"/>
      <c r="J1" s="131"/>
      <c r="K1" s="25" t="s">
        <v>15</v>
      </c>
      <c r="L1" s="26" t="s">
        <v>16</v>
      </c>
      <c r="M1" s="27" t="s">
        <v>17</v>
      </c>
      <c r="N1" s="28" t="s">
        <v>18</v>
      </c>
      <c r="O1" s="28" t="s">
        <v>19</v>
      </c>
      <c r="P1" s="65" t="s">
        <v>20</v>
      </c>
      <c r="Q1" s="30" t="s">
        <v>21</v>
      </c>
      <c r="R1" s="31" t="s">
        <v>22</v>
      </c>
      <c r="S1" s="29" t="s">
        <v>23</v>
      </c>
      <c r="T1" s="32" t="s">
        <v>24</v>
      </c>
      <c r="U1" s="33" t="s">
        <v>25</v>
      </c>
      <c r="V1" s="32" t="s">
        <v>26</v>
      </c>
      <c r="W1" s="32" t="s">
        <v>27</v>
      </c>
      <c r="X1" s="132" t="s">
        <v>28</v>
      </c>
      <c r="Y1" s="132"/>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33" t="s">
        <v>41</v>
      </c>
      <c r="L2" s="135" t="s">
        <v>42</v>
      </c>
      <c r="M2" s="10"/>
      <c r="N2" s="10"/>
      <c r="O2" s="10"/>
      <c r="P2" s="10"/>
      <c r="Q2" s="10"/>
      <c r="R2" s="10"/>
      <c r="S2" s="137"/>
      <c r="T2" s="47"/>
      <c r="U2" s="138"/>
      <c r="V2" s="45"/>
      <c r="W2" s="45"/>
      <c r="X2" s="22">
        <v>1</v>
      </c>
      <c r="Y2" s="22">
        <v>2</v>
      </c>
      <c r="Z2" s="23"/>
      <c r="AA2" s="135" t="s">
        <v>101</v>
      </c>
      <c r="AB2" s="43"/>
      <c r="AC2" s="133" t="s">
        <v>43</v>
      </c>
      <c r="AD2" s="140"/>
      <c r="AE2" s="138" t="s">
        <v>100</v>
      </c>
      <c r="AF2" s="45"/>
      <c r="AG2" s="45"/>
      <c r="AH2" s="45"/>
      <c r="AI2" s="44"/>
      <c r="AJ2" s="44"/>
      <c r="AK2" s="44"/>
      <c r="AL2" s="44"/>
      <c r="AM2" s="138" t="s">
        <v>100</v>
      </c>
      <c r="AN2" s="141"/>
      <c r="AO2" s="139"/>
    </row>
    <row r="3" spans="1:44" ht="15" customHeight="1" x14ac:dyDescent="0.25">
      <c r="A3" s="9"/>
      <c r="B3" s="11" t="s">
        <v>44</v>
      </c>
      <c r="C3" s="11" t="s">
        <v>45</v>
      </c>
      <c r="D3" s="11" t="s">
        <v>46</v>
      </c>
      <c r="E3" s="11" t="s">
        <v>47</v>
      </c>
      <c r="F3" s="11" t="s">
        <v>48</v>
      </c>
      <c r="G3" s="11" t="s">
        <v>49</v>
      </c>
      <c r="H3" s="11" t="s">
        <v>50</v>
      </c>
      <c r="I3" s="11" t="s">
        <v>51</v>
      </c>
      <c r="J3" s="11" t="s">
        <v>52</v>
      </c>
      <c r="K3" s="134"/>
      <c r="L3" s="136"/>
      <c r="M3" s="10"/>
      <c r="N3" s="10"/>
      <c r="O3" s="10"/>
      <c r="P3" s="10"/>
      <c r="Q3" s="10"/>
      <c r="R3" s="10"/>
      <c r="S3" s="137"/>
      <c r="T3" s="47"/>
      <c r="U3" s="138"/>
      <c r="V3" s="45"/>
      <c r="W3" s="45"/>
      <c r="X3" s="11"/>
      <c r="Y3" s="11"/>
      <c r="Z3" s="12"/>
      <c r="AA3" s="135"/>
      <c r="AB3" s="43"/>
      <c r="AC3" s="133"/>
      <c r="AD3" s="140"/>
      <c r="AE3" s="138"/>
      <c r="AF3" s="45"/>
      <c r="AG3" s="45"/>
      <c r="AH3" s="45"/>
      <c r="AI3" s="13"/>
      <c r="AJ3" s="44"/>
      <c r="AK3" s="44"/>
      <c r="AL3" s="44"/>
      <c r="AM3" s="138"/>
      <c r="AN3" s="141"/>
      <c r="AO3" s="13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7"/>
      <c r="T4" s="47"/>
      <c r="U4" s="138"/>
      <c r="V4" s="45"/>
      <c r="W4" s="45"/>
      <c r="X4" s="52"/>
      <c r="Y4" s="88">
        <v>692769.6</v>
      </c>
      <c r="Z4" s="12"/>
      <c r="AA4" s="135"/>
      <c r="AB4" s="87">
        <v>41514385</v>
      </c>
      <c r="AC4" s="133"/>
      <c r="AD4" s="140"/>
      <c r="AE4" s="138"/>
      <c r="AF4" s="45"/>
      <c r="AG4" s="45"/>
      <c r="AH4" s="45"/>
      <c r="AI4" s="43">
        <v>37586.800000000003</v>
      </c>
      <c r="AJ4" s="43"/>
      <c r="AK4" s="43"/>
      <c r="AL4" s="43"/>
      <c r="AM4" s="138"/>
      <c r="AN4" s="141"/>
      <c r="AO4" s="13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2" t="e">
        <f>SUM(#REF!)</f>
        <v>#REF!</v>
      </c>
    </row>
    <row r="6" spans="1:44" x14ac:dyDescent="0.25">
      <c r="A6" s="80">
        <v>44075</v>
      </c>
      <c r="B6" s="86">
        <v>5011</v>
      </c>
      <c r="C6" s="86">
        <v>3847</v>
      </c>
      <c r="D6" s="86">
        <v>886</v>
      </c>
      <c r="E6" s="86">
        <v>4599</v>
      </c>
      <c r="F6" s="86">
        <v>5526</v>
      </c>
      <c r="G6" s="86">
        <v>2902</v>
      </c>
      <c r="H6" s="86">
        <v>4091</v>
      </c>
      <c r="I6" s="86">
        <v>2569</v>
      </c>
      <c r="J6" s="86">
        <v>7117</v>
      </c>
      <c r="K6" s="63">
        <f>SUM(B6:H6)</f>
        <v>26862</v>
      </c>
      <c r="L6" s="40">
        <f>K6*0.2</f>
        <v>5372.4000000000005</v>
      </c>
      <c r="M6" s="85">
        <v>102.78</v>
      </c>
      <c r="N6" s="85">
        <v>1.196</v>
      </c>
      <c r="O6" s="85">
        <v>6.7629999999999999</v>
      </c>
      <c r="P6" s="83">
        <v>67.397999999999996</v>
      </c>
      <c r="Q6" s="85">
        <v>10.641999999999999</v>
      </c>
      <c r="R6" s="85">
        <f t="shared" ref="R6:R34" si="0">N6+O6+P6</f>
        <v>75.356999999999999</v>
      </c>
      <c r="S6" s="85">
        <f t="shared" ref="S6:S34" si="1">(N6+O6+P6)*7.84</f>
        <v>590.79887999999994</v>
      </c>
      <c r="T6" s="64">
        <f t="shared" ref="T6:T34" si="2">M6+Q6</f>
        <v>113.422</v>
      </c>
      <c r="U6" s="85">
        <f>T6*7.84</f>
        <v>889.22847999999999</v>
      </c>
      <c r="V6" s="85">
        <v>277.10000000000002</v>
      </c>
      <c r="W6" s="85">
        <v>0</v>
      </c>
      <c r="X6" s="86" t="s">
        <v>63</v>
      </c>
      <c r="Y6" s="86">
        <v>693248.6</v>
      </c>
      <c r="Z6" s="61">
        <f>IF((Y6-Y5&lt;0), "0",Y6-Y4)</f>
        <v>479</v>
      </c>
      <c r="AA6" s="91">
        <f>Z6*6.47</f>
        <v>3099.1299999999997</v>
      </c>
      <c r="AB6" s="86">
        <v>41540250</v>
      </c>
      <c r="AC6" s="86">
        <f>AB4</f>
        <v>41514385</v>
      </c>
      <c r="AD6" s="41">
        <f t="shared" ref="AD6:AD35" si="3">IF((AB6-AC6&lt;0), "0",AB6-AC6)</f>
        <v>25865</v>
      </c>
      <c r="AE6" s="85">
        <f>AD6*0.333415</f>
        <v>8623.7789750000011</v>
      </c>
      <c r="AF6" s="85">
        <v>45.4</v>
      </c>
      <c r="AG6" s="85">
        <v>27.4</v>
      </c>
      <c r="AH6" s="85">
        <v>18.8</v>
      </c>
      <c r="AI6" s="75">
        <f>AI4</f>
        <v>37586.800000000003</v>
      </c>
      <c r="AJ6" s="75">
        <v>37609.699999999997</v>
      </c>
      <c r="AK6" s="59">
        <f>IF((AJ6-AI6)&lt;0, "0",AJ6-AI6)</f>
        <v>22.899999999994179</v>
      </c>
      <c r="AL6" s="120">
        <f t="shared" ref="AL6:AL34" si="4">AK6*(284.34513609)</f>
        <v>6511.5036164593448</v>
      </c>
      <c r="AM6" s="85">
        <f>AL6*0.333415</f>
        <v>2171.0329782817926</v>
      </c>
      <c r="AN6" s="102">
        <v>115</v>
      </c>
      <c r="AO6" s="77">
        <f t="shared" ref="AO6:AO34" si="5">L6+U6+AA6+AE6</f>
        <v>17984.537455000002</v>
      </c>
    </row>
    <row r="7" spans="1:44" x14ac:dyDescent="0.25">
      <c r="A7" s="79">
        <v>44076</v>
      </c>
      <c r="B7" s="87">
        <v>4928</v>
      </c>
      <c r="C7" s="87">
        <v>3755</v>
      </c>
      <c r="D7" s="87">
        <v>870</v>
      </c>
      <c r="E7" s="87">
        <v>4515</v>
      </c>
      <c r="F7" s="87">
        <v>4918</v>
      </c>
      <c r="G7" s="87">
        <v>2951</v>
      </c>
      <c r="H7" s="87">
        <v>4064</v>
      </c>
      <c r="I7" s="87">
        <v>2532</v>
      </c>
      <c r="J7" s="87">
        <v>7255</v>
      </c>
      <c r="K7" s="87">
        <f>SUM(B7:H7)</f>
        <v>26001</v>
      </c>
      <c r="L7" s="14">
        <f>K7*0.2</f>
        <v>5200.2000000000007</v>
      </c>
      <c r="M7" s="84">
        <v>113.765</v>
      </c>
      <c r="N7" s="84">
        <v>0.94299999999999995</v>
      </c>
      <c r="O7" s="84">
        <v>6.7320000000000002</v>
      </c>
      <c r="P7" s="82">
        <v>36.764000000000003</v>
      </c>
      <c r="Q7" s="84">
        <v>12.015000000000001</v>
      </c>
      <c r="R7" s="84">
        <f t="shared" si="0"/>
        <v>44.439</v>
      </c>
      <c r="S7" s="84">
        <f>(N7+O7+P7)*7.84</f>
        <v>348.40175999999997</v>
      </c>
      <c r="T7" s="84">
        <f>M7+Q7</f>
        <v>125.78</v>
      </c>
      <c r="U7" s="84">
        <f>T7*7.84</f>
        <v>986.11519999999996</v>
      </c>
      <c r="V7" s="84">
        <v>289</v>
      </c>
      <c r="W7" s="84">
        <v>0</v>
      </c>
      <c r="X7" s="87" t="s">
        <v>63</v>
      </c>
      <c r="Y7" s="87">
        <v>693751.8</v>
      </c>
      <c r="Z7" s="5">
        <f>IF((Y7-Y6&lt;0), "0",Y7-Y6)</f>
        <v>503.20000000006985</v>
      </c>
      <c r="AA7" s="14">
        <f t="shared" ref="AA7:AA34" si="6">Z7*6.47</f>
        <v>3255.7040000004517</v>
      </c>
      <c r="AB7" s="87">
        <v>41566290</v>
      </c>
      <c r="AC7" s="87">
        <f>AB6</f>
        <v>41540250</v>
      </c>
      <c r="AD7" s="5">
        <f t="shared" si="3"/>
        <v>26040</v>
      </c>
      <c r="AE7" s="84">
        <f>AD7*0.333415</f>
        <v>8682.1265999999996</v>
      </c>
      <c r="AF7" s="84">
        <v>44.7</v>
      </c>
      <c r="AG7" s="84">
        <v>27.6</v>
      </c>
      <c r="AH7" s="84">
        <v>18.100000000000001</v>
      </c>
      <c r="AI7" s="88">
        <f>AJ6</f>
        <v>37609.699999999997</v>
      </c>
      <c r="AJ7" s="88">
        <v>37635</v>
      </c>
      <c r="AK7" s="48">
        <f t="shared" ref="AK7:AK34" si="7">IF((AJ7-AI7)&lt;0, "0",AJ7-AI7)</f>
        <v>25.30000000000291</v>
      </c>
      <c r="AL7" s="90">
        <f t="shared" si="4"/>
        <v>7193.9319430778269</v>
      </c>
      <c r="AM7" s="84">
        <f>AL7*0.333415</f>
        <v>2398.5648188012938</v>
      </c>
      <c r="AN7" s="71">
        <v>105</v>
      </c>
      <c r="AO7" s="78">
        <f t="shared" si="5"/>
        <v>18124.145800000453</v>
      </c>
    </row>
    <row r="8" spans="1:44" x14ac:dyDescent="0.25">
      <c r="A8" s="79">
        <v>44077</v>
      </c>
      <c r="B8" s="87">
        <v>4997</v>
      </c>
      <c r="C8" s="87">
        <v>3943</v>
      </c>
      <c r="D8" s="87">
        <v>868</v>
      </c>
      <c r="E8" s="87">
        <v>4720</v>
      </c>
      <c r="F8" s="87">
        <v>4946</v>
      </c>
      <c r="G8" s="87">
        <v>3095</v>
      </c>
      <c r="H8" s="87">
        <v>4304</v>
      </c>
      <c r="I8" s="87">
        <v>2595</v>
      </c>
      <c r="J8" s="87">
        <v>7407</v>
      </c>
      <c r="K8" s="87">
        <f>SUM(B8:H8)</f>
        <v>26873</v>
      </c>
      <c r="L8" s="14">
        <f t="shared" ref="L8:L34" si="8">K8*0.2</f>
        <v>5374.6</v>
      </c>
      <c r="M8" s="84">
        <v>134.614</v>
      </c>
      <c r="N8" s="84">
        <v>0.996</v>
      </c>
      <c r="O8" s="84">
        <v>6.9050000000000002</v>
      </c>
      <c r="P8" s="82">
        <v>63.841000000000001</v>
      </c>
      <c r="Q8" s="84">
        <v>12.667</v>
      </c>
      <c r="R8" s="84">
        <f t="shared" si="0"/>
        <v>71.742000000000004</v>
      </c>
      <c r="S8" s="84">
        <f>(N8+O8+P8)*7.84</f>
        <v>562.45727999999997</v>
      </c>
      <c r="T8" s="84">
        <f>M8+Q8</f>
        <v>147.28100000000001</v>
      </c>
      <c r="U8" s="84">
        <f>T8*7.84</f>
        <v>1154.6830400000001</v>
      </c>
      <c r="V8" s="84">
        <v>288.5</v>
      </c>
      <c r="W8" s="84">
        <v>0</v>
      </c>
      <c r="X8" s="87" t="s">
        <v>63</v>
      </c>
      <c r="Y8" s="87">
        <v>694251.3</v>
      </c>
      <c r="Z8" s="5">
        <f t="shared" ref="Z8:Z34" si="9">IF((Y8-Y7&lt;0), "0",Y8-Y7)</f>
        <v>499.5</v>
      </c>
      <c r="AA8" s="14">
        <f t="shared" si="6"/>
        <v>3231.7649999999999</v>
      </c>
      <c r="AB8" s="87">
        <v>41594440</v>
      </c>
      <c r="AC8" s="87">
        <f t="shared" ref="AC8:AC35" si="10">AB7</f>
        <v>41566290</v>
      </c>
      <c r="AD8" s="5">
        <f t="shared" si="3"/>
        <v>28150</v>
      </c>
      <c r="AE8" s="84">
        <f t="shared" ref="AE8:AE35" si="11">AD8*0.333415</f>
        <v>9385.6322500000006</v>
      </c>
      <c r="AF8" s="84">
        <v>48.9</v>
      </c>
      <c r="AG8" s="84">
        <v>29.5</v>
      </c>
      <c r="AH8" s="84">
        <v>19</v>
      </c>
      <c r="AI8" s="88">
        <f>AJ7</f>
        <v>37635</v>
      </c>
      <c r="AJ8" s="87">
        <v>37661.599999999999</v>
      </c>
      <c r="AK8" s="48">
        <f t="shared" si="7"/>
        <v>26.599999999998545</v>
      </c>
      <c r="AL8" s="90">
        <f t="shared" si="4"/>
        <v>7563.580619993586</v>
      </c>
      <c r="AM8" s="84">
        <f t="shared" ref="AM8:AM34" si="12">AL8*0.333415</f>
        <v>2521.8112324151616</v>
      </c>
      <c r="AN8" s="71">
        <v>93</v>
      </c>
      <c r="AO8" s="78">
        <f t="shared" si="5"/>
        <v>19146.68029</v>
      </c>
    </row>
    <row r="9" spans="1:44" x14ac:dyDescent="0.25">
      <c r="A9" s="79">
        <v>44078</v>
      </c>
      <c r="B9" s="87">
        <v>4769</v>
      </c>
      <c r="C9" s="87">
        <v>3989</v>
      </c>
      <c r="D9" s="87">
        <v>900</v>
      </c>
      <c r="E9" s="87">
        <v>4648</v>
      </c>
      <c r="F9" s="87">
        <v>4957</v>
      </c>
      <c r="G9" s="87">
        <v>3061</v>
      </c>
      <c r="H9" s="87">
        <v>4755</v>
      </c>
      <c r="I9" s="87">
        <v>2645</v>
      </c>
      <c r="J9" s="87">
        <v>7425</v>
      </c>
      <c r="K9" s="87">
        <f t="shared" ref="K9:K34" si="13">SUM(B9:H9)</f>
        <v>27079</v>
      </c>
      <c r="L9" s="14">
        <f t="shared" si="8"/>
        <v>5415.8</v>
      </c>
      <c r="M9" s="84">
        <v>115.681</v>
      </c>
      <c r="N9" s="84">
        <v>0.78600000000000003</v>
      </c>
      <c r="O9" s="84">
        <v>6.8819999999999997</v>
      </c>
      <c r="P9" s="82">
        <v>120.64400000000001</v>
      </c>
      <c r="Q9" s="84">
        <v>10.531000000000001</v>
      </c>
      <c r="R9" s="84">
        <f t="shared" si="0"/>
        <v>128.31200000000001</v>
      </c>
      <c r="S9" s="84">
        <f t="shared" si="1"/>
        <v>1005.96608</v>
      </c>
      <c r="T9" s="84">
        <f t="shared" si="2"/>
        <v>126.212</v>
      </c>
      <c r="U9" s="84">
        <f t="shared" ref="U9:U36" si="14">T9*7.84</f>
        <v>989.50207999999998</v>
      </c>
      <c r="V9" s="84">
        <v>292.7</v>
      </c>
      <c r="W9" s="84">
        <v>0</v>
      </c>
      <c r="X9" s="87" t="s">
        <v>63</v>
      </c>
      <c r="Y9" s="87">
        <v>694752.4</v>
      </c>
      <c r="Z9" s="5">
        <f t="shared" si="9"/>
        <v>501.09999999997672</v>
      </c>
      <c r="AA9" s="14">
        <f t="shared" si="6"/>
        <v>3242.1169999998492</v>
      </c>
      <c r="AB9" s="87">
        <v>41621928</v>
      </c>
      <c r="AC9" s="87">
        <f t="shared" si="10"/>
        <v>41594440</v>
      </c>
      <c r="AD9" s="5">
        <f t="shared" si="3"/>
        <v>27488</v>
      </c>
      <c r="AE9" s="84">
        <f t="shared" si="11"/>
        <v>9164.9115199999997</v>
      </c>
      <c r="AF9" s="84">
        <v>46.4</v>
      </c>
      <c r="AG9" s="84">
        <v>29.7</v>
      </c>
      <c r="AH9" s="84">
        <v>18.600000000000001</v>
      </c>
      <c r="AI9" s="88">
        <f t="shared" ref="AI9:AI35" si="15">AJ8</f>
        <v>37661.599999999999</v>
      </c>
      <c r="AJ9" s="87">
        <v>37687.599999999999</v>
      </c>
      <c r="AK9" s="48">
        <f t="shared" si="7"/>
        <v>26</v>
      </c>
      <c r="AL9" s="90">
        <f t="shared" si="4"/>
        <v>7392.9735383399993</v>
      </c>
      <c r="AM9" s="84">
        <f t="shared" si="12"/>
        <v>2464.928272285631</v>
      </c>
      <c r="AN9" s="71">
        <v>94</v>
      </c>
      <c r="AO9" s="78">
        <f t="shared" si="5"/>
        <v>18812.330599999848</v>
      </c>
    </row>
    <row r="10" spans="1:44" x14ac:dyDescent="0.25">
      <c r="A10" s="79">
        <v>44079</v>
      </c>
      <c r="B10" s="87">
        <v>4964</v>
      </c>
      <c r="C10" s="87">
        <v>4030</v>
      </c>
      <c r="D10" s="87">
        <v>899</v>
      </c>
      <c r="E10" s="87">
        <v>4653</v>
      </c>
      <c r="F10" s="87">
        <v>4962</v>
      </c>
      <c r="G10" s="87">
        <v>3093</v>
      </c>
      <c r="H10" s="87">
        <v>5121</v>
      </c>
      <c r="I10" s="87">
        <v>2612</v>
      </c>
      <c r="J10" s="87">
        <v>7279</v>
      </c>
      <c r="K10" s="87">
        <f t="shared" si="13"/>
        <v>27722</v>
      </c>
      <c r="L10" s="14">
        <f t="shared" si="8"/>
        <v>5544.4000000000005</v>
      </c>
      <c r="M10" s="84">
        <v>123.486</v>
      </c>
      <c r="N10" s="84">
        <v>1.492</v>
      </c>
      <c r="O10" s="84">
        <v>6.8680000000000003</v>
      </c>
      <c r="P10" s="82">
        <v>57.923999999999999</v>
      </c>
      <c r="Q10" s="84">
        <v>11.337</v>
      </c>
      <c r="R10" s="84">
        <f t="shared" si="0"/>
        <v>66.283999999999992</v>
      </c>
      <c r="S10" s="84">
        <f t="shared" si="1"/>
        <v>519.66655999999989</v>
      </c>
      <c r="T10" s="84">
        <f t="shared" si="2"/>
        <v>134.82300000000001</v>
      </c>
      <c r="U10" s="84">
        <f t="shared" si="14"/>
        <v>1057.01232</v>
      </c>
      <c r="V10" s="84">
        <v>291.8</v>
      </c>
      <c r="W10" s="84">
        <v>0</v>
      </c>
      <c r="X10" s="87" t="s">
        <v>63</v>
      </c>
      <c r="Y10" s="87">
        <v>695245.7</v>
      </c>
      <c r="Z10" s="5">
        <f t="shared" si="9"/>
        <v>493.29999999993015</v>
      </c>
      <c r="AA10" s="14">
        <f t="shared" si="6"/>
        <v>3191.6509999995478</v>
      </c>
      <c r="AB10" s="87">
        <v>41650232</v>
      </c>
      <c r="AC10" s="87">
        <f t="shared" si="10"/>
        <v>41621928</v>
      </c>
      <c r="AD10" s="5">
        <f t="shared" si="3"/>
        <v>28304</v>
      </c>
      <c r="AE10" s="84">
        <f t="shared" si="11"/>
        <v>9436.9781600000006</v>
      </c>
      <c r="AF10" s="84">
        <v>47.5</v>
      </c>
      <c r="AG10" s="84">
        <v>30.7</v>
      </c>
      <c r="AH10" s="84">
        <v>19.2</v>
      </c>
      <c r="AI10" s="88">
        <f t="shared" si="15"/>
        <v>37687.599999999999</v>
      </c>
      <c r="AJ10" s="88">
        <v>37714</v>
      </c>
      <c r="AK10" s="48">
        <f t="shared" si="7"/>
        <v>26.400000000001455</v>
      </c>
      <c r="AL10" s="90">
        <f t="shared" si="4"/>
        <v>7506.7115927764135</v>
      </c>
      <c r="AM10" s="84">
        <f t="shared" si="12"/>
        <v>2502.8502457055479</v>
      </c>
      <c r="AN10" s="71">
        <v>94</v>
      </c>
      <c r="AO10" s="78">
        <f t="shared" si="5"/>
        <v>19230.041479999549</v>
      </c>
    </row>
    <row r="11" spans="1:44" x14ac:dyDescent="0.25">
      <c r="A11" s="79">
        <v>44080</v>
      </c>
      <c r="B11" s="87">
        <v>4728</v>
      </c>
      <c r="C11" s="87">
        <v>3837</v>
      </c>
      <c r="D11" s="87">
        <v>873</v>
      </c>
      <c r="E11" s="87">
        <v>4522</v>
      </c>
      <c r="F11" s="87">
        <v>4915</v>
      </c>
      <c r="G11" s="87">
        <v>3001</v>
      </c>
      <c r="H11" s="87">
        <v>4992</v>
      </c>
      <c r="I11" s="87">
        <v>2485</v>
      </c>
      <c r="J11" s="87">
        <v>6902</v>
      </c>
      <c r="K11" s="87">
        <f t="shared" si="13"/>
        <v>26868</v>
      </c>
      <c r="L11" s="14">
        <f t="shared" si="8"/>
        <v>5373.6</v>
      </c>
      <c r="M11" s="84">
        <v>130.14500000000001</v>
      </c>
      <c r="N11" s="84">
        <v>1.181</v>
      </c>
      <c r="O11" s="84">
        <v>6.4189999999999996</v>
      </c>
      <c r="P11" s="82">
        <v>120.357</v>
      </c>
      <c r="Q11" s="84">
        <v>12.302</v>
      </c>
      <c r="R11" s="84">
        <f t="shared" si="0"/>
        <v>127.95699999999999</v>
      </c>
      <c r="S11" s="84">
        <f t="shared" si="1"/>
        <v>1003.18288</v>
      </c>
      <c r="T11" s="84">
        <f t="shared" si="2"/>
        <v>142.447</v>
      </c>
      <c r="U11" s="84">
        <f t="shared" si="14"/>
        <v>1116.78448</v>
      </c>
      <c r="V11" s="84">
        <v>280.5</v>
      </c>
      <c r="W11" s="84">
        <v>0</v>
      </c>
      <c r="X11" s="87" t="s">
        <v>63</v>
      </c>
      <c r="Y11" s="87">
        <v>695716.2</v>
      </c>
      <c r="Z11" s="5">
        <f t="shared" si="9"/>
        <v>470.5</v>
      </c>
      <c r="AA11" s="14">
        <f t="shared" si="6"/>
        <v>3044.1349999999998</v>
      </c>
      <c r="AB11" s="129">
        <v>16837.8</v>
      </c>
      <c r="AC11" s="87">
        <f t="shared" si="10"/>
        <v>41650232</v>
      </c>
      <c r="AD11" s="130">
        <v>27085</v>
      </c>
      <c r="AE11" s="84">
        <f t="shared" si="11"/>
        <v>9030.5452750000004</v>
      </c>
      <c r="AF11" s="84">
        <v>47</v>
      </c>
      <c r="AG11" s="84">
        <v>29.1</v>
      </c>
      <c r="AH11" s="84">
        <v>18.3</v>
      </c>
      <c r="AI11" s="88">
        <f t="shared" si="15"/>
        <v>37714</v>
      </c>
      <c r="AJ11" s="88">
        <v>37738.400000000001</v>
      </c>
      <c r="AK11" s="48">
        <f t="shared" si="7"/>
        <v>24.400000000001455</v>
      </c>
      <c r="AL11" s="90">
        <f t="shared" si="4"/>
        <v>6938.0213205964137</v>
      </c>
      <c r="AM11" s="84">
        <f t="shared" si="12"/>
        <v>2313.2403786066534</v>
      </c>
      <c r="AN11" s="71">
        <v>99</v>
      </c>
      <c r="AO11" s="78">
        <f t="shared" si="5"/>
        <v>18565.064754999999</v>
      </c>
    </row>
    <row r="12" spans="1:44" x14ac:dyDescent="0.25">
      <c r="A12" s="79">
        <v>44081</v>
      </c>
      <c r="B12" s="87">
        <v>4899</v>
      </c>
      <c r="C12" s="87">
        <v>3211</v>
      </c>
      <c r="D12" s="87">
        <v>844</v>
      </c>
      <c r="E12" s="87">
        <v>4375</v>
      </c>
      <c r="F12" s="87">
        <v>4948</v>
      </c>
      <c r="G12" s="87">
        <v>3022</v>
      </c>
      <c r="H12" s="87">
        <v>5218</v>
      </c>
      <c r="I12" s="87">
        <v>2503</v>
      </c>
      <c r="J12" s="87">
        <v>6927</v>
      </c>
      <c r="K12" s="87">
        <f t="shared" si="13"/>
        <v>26517</v>
      </c>
      <c r="L12" s="14">
        <f t="shared" si="8"/>
        <v>5303.4000000000005</v>
      </c>
      <c r="M12" s="84">
        <v>99.480999999999995</v>
      </c>
      <c r="N12" s="84">
        <v>1.151</v>
      </c>
      <c r="O12" s="84">
        <v>6.5140000000000002</v>
      </c>
      <c r="P12" s="82">
        <v>62.893000000000001</v>
      </c>
      <c r="Q12" s="84">
        <v>13.441000000000001</v>
      </c>
      <c r="R12" s="84">
        <f t="shared" si="0"/>
        <v>70.558000000000007</v>
      </c>
      <c r="S12" s="84">
        <f t="shared" si="1"/>
        <v>553.17472000000009</v>
      </c>
      <c r="T12" s="84">
        <f t="shared" si="2"/>
        <v>112.922</v>
      </c>
      <c r="U12" s="84">
        <f t="shared" si="14"/>
        <v>885.30847999999992</v>
      </c>
      <c r="V12" s="84">
        <v>287.39999999999998</v>
      </c>
      <c r="W12" s="84">
        <v>0</v>
      </c>
      <c r="X12" s="87" t="s">
        <v>63</v>
      </c>
      <c r="Y12" s="87">
        <v>696186.6</v>
      </c>
      <c r="Z12" s="5">
        <f t="shared" si="9"/>
        <v>470.40000000002328</v>
      </c>
      <c r="AA12" s="14">
        <f t="shared" si="6"/>
        <v>3043.4880000001504</v>
      </c>
      <c r="AB12" s="87">
        <v>45294.8</v>
      </c>
      <c r="AC12" s="87">
        <f t="shared" si="10"/>
        <v>16837.8</v>
      </c>
      <c r="AD12" s="5">
        <f t="shared" si="3"/>
        <v>28457.000000000004</v>
      </c>
      <c r="AE12" s="84">
        <f t="shared" si="11"/>
        <v>9487.9906550000014</v>
      </c>
      <c r="AF12" s="84">
        <v>49.7</v>
      </c>
      <c r="AG12" s="84">
        <v>30.2</v>
      </c>
      <c r="AH12" s="84">
        <v>17.8</v>
      </c>
      <c r="AI12" s="88">
        <f t="shared" si="15"/>
        <v>37738.400000000001</v>
      </c>
      <c r="AJ12" s="88">
        <v>37763.599999999999</v>
      </c>
      <c r="AK12" s="48">
        <f t="shared" si="7"/>
        <v>25.19999999999709</v>
      </c>
      <c r="AL12" s="90">
        <f t="shared" si="4"/>
        <v>7165.497429467172</v>
      </c>
      <c r="AM12" s="84">
        <f t="shared" si="12"/>
        <v>2389.0843254457973</v>
      </c>
      <c r="AN12" s="71">
        <v>94</v>
      </c>
      <c r="AO12" s="78">
        <f t="shared" si="5"/>
        <v>18720.187135000153</v>
      </c>
    </row>
    <row r="13" spans="1:44" x14ac:dyDescent="0.25">
      <c r="A13" s="79">
        <v>44082</v>
      </c>
      <c r="B13" s="87">
        <v>5050</v>
      </c>
      <c r="C13" s="87">
        <v>3213</v>
      </c>
      <c r="D13" s="87">
        <v>833</v>
      </c>
      <c r="E13" s="87">
        <v>4516</v>
      </c>
      <c r="F13" s="87">
        <v>4951</v>
      </c>
      <c r="G13" s="87">
        <v>3124</v>
      </c>
      <c r="H13" s="87">
        <v>5290</v>
      </c>
      <c r="I13" s="87">
        <v>2561</v>
      </c>
      <c r="J13" s="87">
        <v>7143</v>
      </c>
      <c r="K13" s="87">
        <f t="shared" si="13"/>
        <v>26977</v>
      </c>
      <c r="L13" s="14">
        <f t="shared" si="8"/>
        <v>5395.4000000000005</v>
      </c>
      <c r="M13" s="84">
        <v>152.53200000000001</v>
      </c>
      <c r="N13" s="84">
        <v>0.83099999999999996</v>
      </c>
      <c r="O13" s="84">
        <v>7.0990000000000002</v>
      </c>
      <c r="P13" s="82">
        <v>56.021000000000001</v>
      </c>
      <c r="Q13" s="84">
        <v>12.760999999999999</v>
      </c>
      <c r="R13" s="84">
        <f t="shared" si="0"/>
        <v>63.951000000000001</v>
      </c>
      <c r="S13" s="84">
        <f t="shared" si="1"/>
        <v>501.37583999999998</v>
      </c>
      <c r="T13" s="84">
        <f t="shared" si="2"/>
        <v>165.29300000000001</v>
      </c>
      <c r="U13" s="84">
        <f t="shared" si="14"/>
        <v>1295.8971200000001</v>
      </c>
      <c r="V13" s="84">
        <v>280.89999999999998</v>
      </c>
      <c r="W13" s="84">
        <v>0</v>
      </c>
      <c r="X13" s="87" t="s">
        <v>63</v>
      </c>
      <c r="Y13" s="87">
        <v>696656.5</v>
      </c>
      <c r="Z13" s="5">
        <f t="shared" si="9"/>
        <v>469.90000000002328</v>
      </c>
      <c r="AA13" s="14">
        <f t="shared" si="6"/>
        <v>3040.2530000001507</v>
      </c>
      <c r="AB13" s="87">
        <v>74797.8</v>
      </c>
      <c r="AC13" s="87">
        <f t="shared" si="10"/>
        <v>45294.8</v>
      </c>
      <c r="AD13" s="5">
        <f t="shared" si="3"/>
        <v>29503</v>
      </c>
      <c r="AE13" s="84">
        <f t="shared" si="11"/>
        <v>9836.7427450000014</v>
      </c>
      <c r="AF13" s="84">
        <v>51.6</v>
      </c>
      <c r="AG13" s="84">
        <v>30.4</v>
      </c>
      <c r="AH13" s="84">
        <v>18.5</v>
      </c>
      <c r="AI13" s="88">
        <f t="shared" si="15"/>
        <v>37763.599999999999</v>
      </c>
      <c r="AJ13" s="88">
        <v>37790.699999999997</v>
      </c>
      <c r="AK13" s="48">
        <f t="shared" si="7"/>
        <v>27.099999999998545</v>
      </c>
      <c r="AL13" s="90">
        <f t="shared" si="4"/>
        <v>7705.7531880385859</v>
      </c>
      <c r="AM13" s="84">
        <f t="shared" si="12"/>
        <v>2569.2136991898851</v>
      </c>
      <c r="AN13" s="71">
        <v>94</v>
      </c>
      <c r="AO13" s="78">
        <f t="shared" si="5"/>
        <v>19568.292865000156</v>
      </c>
    </row>
    <row r="14" spans="1:44" x14ac:dyDescent="0.25">
      <c r="A14" s="79">
        <v>44083</v>
      </c>
      <c r="B14" s="87">
        <v>4914</v>
      </c>
      <c r="C14" s="87">
        <v>3130</v>
      </c>
      <c r="D14" s="87">
        <v>853</v>
      </c>
      <c r="E14" s="87">
        <v>4578</v>
      </c>
      <c r="F14" s="87">
        <v>5077</v>
      </c>
      <c r="G14" s="87">
        <v>3123</v>
      </c>
      <c r="H14" s="87">
        <v>5107</v>
      </c>
      <c r="I14" s="87">
        <v>2612</v>
      </c>
      <c r="J14" s="87">
        <v>7179</v>
      </c>
      <c r="K14" s="87">
        <f t="shared" si="13"/>
        <v>26782</v>
      </c>
      <c r="L14" s="14">
        <f t="shared" si="8"/>
        <v>5356.4000000000005</v>
      </c>
      <c r="M14" s="84">
        <v>101.711</v>
      </c>
      <c r="N14" s="84">
        <v>1.704</v>
      </c>
      <c r="O14" s="84">
        <v>7.6449999999999996</v>
      </c>
      <c r="P14" s="82">
        <v>62.343000000000004</v>
      </c>
      <c r="Q14" s="84">
        <v>11.443</v>
      </c>
      <c r="R14" s="84">
        <f>N14+O14+P14</f>
        <v>71.692000000000007</v>
      </c>
      <c r="S14" s="84">
        <f t="shared" si="1"/>
        <v>562.06528000000003</v>
      </c>
      <c r="T14" s="84">
        <f t="shared" si="2"/>
        <v>113.154</v>
      </c>
      <c r="U14" s="84">
        <f t="shared" si="14"/>
        <v>887.12735999999995</v>
      </c>
      <c r="V14" s="84">
        <v>288</v>
      </c>
      <c r="W14" s="84">
        <v>0</v>
      </c>
      <c r="X14" s="87" t="s">
        <v>63</v>
      </c>
      <c r="Y14" s="88">
        <v>697151.2</v>
      </c>
      <c r="Z14" s="5">
        <f>IF((Y14-Y13&lt;0), "0",Y14-Y13)</f>
        <v>494.69999999995343</v>
      </c>
      <c r="AA14" s="14">
        <f t="shared" si="6"/>
        <v>3200.7089999996988</v>
      </c>
      <c r="AB14" s="87">
        <v>102312.8</v>
      </c>
      <c r="AC14" s="87">
        <f t="shared" si="10"/>
        <v>74797.8</v>
      </c>
      <c r="AD14" s="5">
        <f t="shared" si="3"/>
        <v>27515</v>
      </c>
      <c r="AE14" s="84">
        <f t="shared" si="11"/>
        <v>9173.9137250000003</v>
      </c>
      <c r="AF14" s="84">
        <v>47.5</v>
      </c>
      <c r="AG14" s="84">
        <v>28.9</v>
      </c>
      <c r="AH14" s="84">
        <v>18</v>
      </c>
      <c r="AI14" s="88">
        <f t="shared" si="15"/>
        <v>37790.699999999997</v>
      </c>
      <c r="AJ14" s="88">
        <v>37816.300000000003</v>
      </c>
      <c r="AK14" s="48">
        <f t="shared" si="7"/>
        <v>25.600000000005821</v>
      </c>
      <c r="AL14" s="90">
        <f t="shared" si="4"/>
        <v>7279.2354839056543</v>
      </c>
      <c r="AM14" s="84">
        <f t="shared" si="12"/>
        <v>2427.006298866404</v>
      </c>
      <c r="AN14" s="71">
        <v>84</v>
      </c>
      <c r="AO14" s="78">
        <f t="shared" si="5"/>
        <v>18618.150084999699</v>
      </c>
    </row>
    <row r="15" spans="1:44" x14ac:dyDescent="0.25">
      <c r="A15" s="79">
        <v>44084</v>
      </c>
      <c r="B15" s="87">
        <v>4666</v>
      </c>
      <c r="C15" s="87">
        <v>3519</v>
      </c>
      <c r="D15" s="87">
        <v>895</v>
      </c>
      <c r="E15" s="87">
        <v>4573</v>
      </c>
      <c r="F15" s="87">
        <v>4973</v>
      </c>
      <c r="G15" s="87">
        <v>3078</v>
      </c>
      <c r="H15" s="87">
        <v>5461</v>
      </c>
      <c r="I15" s="87">
        <v>2631</v>
      </c>
      <c r="J15" s="87">
        <v>7240</v>
      </c>
      <c r="K15" s="87">
        <f t="shared" si="13"/>
        <v>27165</v>
      </c>
      <c r="L15" s="14">
        <f t="shared" si="8"/>
        <v>5433</v>
      </c>
      <c r="M15" s="84">
        <v>101.16500000000001</v>
      </c>
      <c r="N15" s="84">
        <v>0.92700000000000005</v>
      </c>
      <c r="O15" s="84">
        <v>7.4980000000000002</v>
      </c>
      <c r="P15" s="82">
        <v>69.305000000000007</v>
      </c>
      <c r="Q15" s="84">
        <v>12.324</v>
      </c>
      <c r="R15" s="84">
        <f t="shared" si="0"/>
        <v>77.73</v>
      </c>
      <c r="S15" s="84">
        <f t="shared" si="1"/>
        <v>609.40319999999997</v>
      </c>
      <c r="T15" s="84">
        <f t="shared" si="2"/>
        <v>113.489</v>
      </c>
      <c r="U15" s="84">
        <f t="shared" si="14"/>
        <v>889.75376000000006</v>
      </c>
      <c r="V15" s="84">
        <v>284.8</v>
      </c>
      <c r="W15" s="84">
        <v>0</v>
      </c>
      <c r="X15" s="87" t="s">
        <v>63</v>
      </c>
      <c r="Y15" s="88">
        <v>697634.2</v>
      </c>
      <c r="Z15" s="5">
        <f t="shared" si="9"/>
        <v>483</v>
      </c>
      <c r="AA15" s="14">
        <f t="shared" si="6"/>
        <v>3125.0099999999998</v>
      </c>
      <c r="AB15" s="87">
        <v>133257.79999999999</v>
      </c>
      <c r="AC15" s="87">
        <f t="shared" si="10"/>
        <v>102312.8</v>
      </c>
      <c r="AD15" s="5">
        <f t="shared" si="3"/>
        <v>30944.999999999985</v>
      </c>
      <c r="AE15" s="84">
        <f t="shared" si="11"/>
        <v>10317.527174999996</v>
      </c>
      <c r="AF15" s="84">
        <v>53.6</v>
      </c>
      <c r="AG15" s="84">
        <v>31.4</v>
      </c>
      <c r="AH15" s="84">
        <v>19.100000000000001</v>
      </c>
      <c r="AI15" s="88">
        <f t="shared" si="15"/>
        <v>37816.300000000003</v>
      </c>
      <c r="AJ15" s="88">
        <v>37843.800000000003</v>
      </c>
      <c r="AK15" s="48">
        <f t="shared" si="7"/>
        <v>27.5</v>
      </c>
      <c r="AL15" s="90">
        <f t="shared" si="4"/>
        <v>7819.4912424749991</v>
      </c>
      <c r="AM15" s="84">
        <f t="shared" si="12"/>
        <v>2607.135672609802</v>
      </c>
      <c r="AN15" s="71">
        <v>75</v>
      </c>
      <c r="AO15" s="89">
        <f t="shared" si="5"/>
        <v>19765.290934999997</v>
      </c>
    </row>
    <row r="16" spans="1:44" x14ac:dyDescent="0.25">
      <c r="A16" s="79">
        <v>44085</v>
      </c>
      <c r="B16" s="87">
        <v>5010</v>
      </c>
      <c r="C16" s="87">
        <v>3493</v>
      </c>
      <c r="D16" s="87">
        <v>861</v>
      </c>
      <c r="E16" s="87">
        <v>4457</v>
      </c>
      <c r="F16" s="87">
        <v>4940</v>
      </c>
      <c r="G16" s="87">
        <v>2910</v>
      </c>
      <c r="H16" s="87">
        <v>5360</v>
      </c>
      <c r="I16" s="87">
        <v>2520</v>
      </c>
      <c r="J16" s="87">
        <v>7354</v>
      </c>
      <c r="K16" s="87">
        <f t="shared" si="13"/>
        <v>27031</v>
      </c>
      <c r="L16" s="14">
        <f t="shared" si="8"/>
        <v>5406.2000000000007</v>
      </c>
      <c r="M16" s="84">
        <v>132.16300000000001</v>
      </c>
      <c r="N16" s="84">
        <v>1.0489999999999999</v>
      </c>
      <c r="O16" s="84">
        <v>7.5910000000000002</v>
      </c>
      <c r="P16" s="82">
        <v>73.325000000000003</v>
      </c>
      <c r="Q16" s="84">
        <v>9.7140000000000004</v>
      </c>
      <c r="R16" s="84">
        <f t="shared" si="0"/>
        <v>81.965000000000003</v>
      </c>
      <c r="S16" s="84">
        <f t="shared" si="1"/>
        <v>642.60559999999998</v>
      </c>
      <c r="T16" s="84">
        <f t="shared" si="2"/>
        <v>141.87700000000001</v>
      </c>
      <c r="U16" s="84">
        <f t="shared" si="14"/>
        <v>1112.3156800000002</v>
      </c>
      <c r="V16" s="84">
        <v>285.60000000000002</v>
      </c>
      <c r="W16" s="84">
        <v>0</v>
      </c>
      <c r="X16" s="87" t="s">
        <v>63</v>
      </c>
      <c r="Y16" s="88">
        <v>698121.4</v>
      </c>
      <c r="Z16" s="5">
        <f t="shared" si="9"/>
        <v>487.20000000006985</v>
      </c>
      <c r="AA16" s="14">
        <f t="shared" si="6"/>
        <v>3152.1840000004518</v>
      </c>
      <c r="AB16" s="87">
        <v>163702.20000000001</v>
      </c>
      <c r="AC16" s="87">
        <f t="shared" si="10"/>
        <v>133257.79999999999</v>
      </c>
      <c r="AD16" s="5">
        <f t="shared" si="3"/>
        <v>30444.400000000023</v>
      </c>
      <c r="AE16" s="84">
        <f t="shared" si="11"/>
        <v>10150.619626000009</v>
      </c>
      <c r="AF16" s="84">
        <v>52.9</v>
      </c>
      <c r="AG16" s="84">
        <v>28.2</v>
      </c>
      <c r="AH16" s="84">
        <v>18.399999999999999</v>
      </c>
      <c r="AI16" s="88">
        <f t="shared" si="15"/>
        <v>37843.800000000003</v>
      </c>
      <c r="AJ16" s="88">
        <v>37872.300000000003</v>
      </c>
      <c r="AK16" s="48">
        <f t="shared" si="7"/>
        <v>28.5</v>
      </c>
      <c r="AL16" s="90">
        <f t="shared" si="4"/>
        <v>8103.8363785649999</v>
      </c>
      <c r="AM16" s="84">
        <f t="shared" si="12"/>
        <v>2701.9406061592495</v>
      </c>
      <c r="AN16" s="71">
        <v>76</v>
      </c>
      <c r="AO16" s="78">
        <f t="shared" si="5"/>
        <v>19821.319306000463</v>
      </c>
    </row>
    <row r="17" spans="1:41" x14ac:dyDescent="0.25">
      <c r="A17" s="79">
        <v>44086</v>
      </c>
      <c r="B17" s="87">
        <v>4988</v>
      </c>
      <c r="C17" s="87">
        <v>3468</v>
      </c>
      <c r="D17" s="87">
        <v>875</v>
      </c>
      <c r="E17" s="87">
        <v>4281</v>
      </c>
      <c r="F17" s="87">
        <v>4982</v>
      </c>
      <c r="G17" s="87">
        <v>2840</v>
      </c>
      <c r="H17" s="87">
        <v>5594</v>
      </c>
      <c r="I17" s="87">
        <v>2569</v>
      </c>
      <c r="J17" s="87">
        <v>7344</v>
      </c>
      <c r="K17" s="87">
        <f t="shared" si="13"/>
        <v>27028</v>
      </c>
      <c r="L17" s="14">
        <f t="shared" si="8"/>
        <v>5405.6</v>
      </c>
      <c r="M17" s="84">
        <v>99.039000000000001</v>
      </c>
      <c r="N17" s="84">
        <v>2.67</v>
      </c>
      <c r="O17" s="84">
        <v>7.5910000000000002</v>
      </c>
      <c r="P17" s="82">
        <v>71.257999999999996</v>
      </c>
      <c r="Q17" s="84">
        <v>12.887</v>
      </c>
      <c r="R17" s="84">
        <f t="shared" si="0"/>
        <v>81.518999999999991</v>
      </c>
      <c r="S17" s="84">
        <f t="shared" si="1"/>
        <v>639.10895999999991</v>
      </c>
      <c r="T17" s="84">
        <f t="shared" si="2"/>
        <v>111.926</v>
      </c>
      <c r="U17" s="84">
        <f t="shared" si="14"/>
        <v>877.49983999999995</v>
      </c>
      <c r="V17" s="84">
        <v>277.39999999999998</v>
      </c>
      <c r="W17" s="84">
        <v>0</v>
      </c>
      <c r="X17" s="87" t="s">
        <v>63</v>
      </c>
      <c r="Y17" s="88">
        <v>698592</v>
      </c>
      <c r="Z17" s="5">
        <f t="shared" si="9"/>
        <v>470.59999999997672</v>
      </c>
      <c r="AA17" s="14">
        <f t="shared" si="6"/>
        <v>3044.7819999998492</v>
      </c>
      <c r="AB17" s="87">
        <v>195312.8</v>
      </c>
      <c r="AC17" s="87">
        <f t="shared" si="10"/>
        <v>163702.20000000001</v>
      </c>
      <c r="AD17" s="5">
        <f t="shared" si="3"/>
        <v>31610.599999999977</v>
      </c>
      <c r="AE17" s="84">
        <f t="shared" si="11"/>
        <v>10539.448198999993</v>
      </c>
      <c r="AF17" s="84">
        <v>55</v>
      </c>
      <c r="AG17" s="84">
        <v>26.7</v>
      </c>
      <c r="AH17" s="84">
        <v>19.3</v>
      </c>
      <c r="AI17" s="88">
        <f t="shared" si="15"/>
        <v>37872.300000000003</v>
      </c>
      <c r="AJ17" s="88">
        <v>37902.9</v>
      </c>
      <c r="AK17" s="48">
        <f t="shared" si="7"/>
        <v>30.599999999998545</v>
      </c>
      <c r="AL17" s="90">
        <f t="shared" si="4"/>
        <v>8700.9611643535864</v>
      </c>
      <c r="AM17" s="84">
        <f t="shared" si="12"/>
        <v>2901.030966612951</v>
      </c>
      <c r="AN17" s="5"/>
      <c r="AO17" s="78">
        <f t="shared" si="5"/>
        <v>19867.33003899984</v>
      </c>
    </row>
    <row r="18" spans="1:41" x14ac:dyDescent="0.25">
      <c r="A18" s="79">
        <v>44087</v>
      </c>
      <c r="B18" s="87">
        <v>4887</v>
      </c>
      <c r="C18" s="87">
        <v>3534</v>
      </c>
      <c r="D18" s="87">
        <v>884</v>
      </c>
      <c r="E18" s="87">
        <v>4159</v>
      </c>
      <c r="F18" s="87">
        <v>4991</v>
      </c>
      <c r="G18" s="87">
        <v>2744</v>
      </c>
      <c r="H18" s="87">
        <v>5098</v>
      </c>
      <c r="I18" s="87">
        <v>2547</v>
      </c>
      <c r="J18" s="87">
        <v>7140</v>
      </c>
      <c r="K18" s="87">
        <f t="shared" si="13"/>
        <v>26297</v>
      </c>
      <c r="L18" s="14">
        <f t="shared" si="8"/>
        <v>5259.4000000000005</v>
      </c>
      <c r="M18" s="84">
        <v>96.597999999999999</v>
      </c>
      <c r="N18" s="84">
        <v>1.0489999999999999</v>
      </c>
      <c r="O18" s="84">
        <v>7.4550000000000001</v>
      </c>
      <c r="P18" s="82">
        <v>61.924999999999997</v>
      </c>
      <c r="Q18" s="84">
        <v>11.333</v>
      </c>
      <c r="R18" s="84">
        <f t="shared" si="0"/>
        <v>70.429000000000002</v>
      </c>
      <c r="S18" s="84">
        <f t="shared" si="1"/>
        <v>552.16336000000001</v>
      </c>
      <c r="T18" s="84">
        <f t="shared" si="2"/>
        <v>107.931</v>
      </c>
      <c r="U18" s="84">
        <f t="shared" si="14"/>
        <v>846.17903999999999</v>
      </c>
      <c r="V18" s="84">
        <v>272</v>
      </c>
      <c r="W18" s="84">
        <v>0</v>
      </c>
      <c r="X18" s="87" t="s">
        <v>63</v>
      </c>
      <c r="Y18" s="88">
        <v>699057.9</v>
      </c>
      <c r="Z18" s="5">
        <f t="shared" si="9"/>
        <v>465.90000000002328</v>
      </c>
      <c r="AA18" s="14">
        <f t="shared" si="6"/>
        <v>3014.3730000001506</v>
      </c>
      <c r="AB18" s="87">
        <v>221958.9</v>
      </c>
      <c r="AC18" s="87">
        <f t="shared" si="10"/>
        <v>195312.8</v>
      </c>
      <c r="AD18" s="5">
        <f t="shared" si="3"/>
        <v>26646.100000000006</v>
      </c>
      <c r="AE18" s="84">
        <f t="shared" si="11"/>
        <v>8884.2094315000031</v>
      </c>
      <c r="AF18" s="82">
        <v>45.5</v>
      </c>
      <c r="AG18" s="82">
        <v>21.7</v>
      </c>
      <c r="AH18" s="82">
        <v>16</v>
      </c>
      <c r="AI18" s="88">
        <f t="shared" si="15"/>
        <v>37902.9</v>
      </c>
      <c r="AJ18" s="88">
        <v>37928.400000000001</v>
      </c>
      <c r="AK18" s="48">
        <f t="shared" si="7"/>
        <v>25.5</v>
      </c>
      <c r="AL18" s="90">
        <f t="shared" si="4"/>
        <v>7250.8009702949994</v>
      </c>
      <c r="AM18" s="84">
        <f t="shared" si="12"/>
        <v>2417.5258055109075</v>
      </c>
      <c r="AN18" s="5"/>
      <c r="AO18" s="78">
        <f t="shared" si="5"/>
        <v>18004.161471500156</v>
      </c>
    </row>
    <row r="19" spans="1:41" x14ac:dyDescent="0.25">
      <c r="A19" s="79">
        <v>44088</v>
      </c>
      <c r="B19" s="87"/>
      <c r="C19" s="87"/>
      <c r="D19" s="87"/>
      <c r="E19" s="87"/>
      <c r="F19" s="87"/>
      <c r="G19" s="87"/>
      <c r="H19" s="87"/>
      <c r="I19" s="87"/>
      <c r="J19" s="87"/>
      <c r="K19" s="87">
        <f t="shared" si="13"/>
        <v>0</v>
      </c>
      <c r="L19" s="14">
        <f t="shared" si="8"/>
        <v>0</v>
      </c>
      <c r="M19" s="84"/>
      <c r="N19" s="84"/>
      <c r="O19" s="84"/>
      <c r="P19" s="82"/>
      <c r="Q19" s="84"/>
      <c r="R19" s="84">
        <f t="shared" si="0"/>
        <v>0</v>
      </c>
      <c r="S19" s="84">
        <f t="shared" si="1"/>
        <v>0</v>
      </c>
      <c r="T19" s="84">
        <f t="shared" si="2"/>
        <v>0</v>
      </c>
      <c r="U19" s="84">
        <f t="shared" si="14"/>
        <v>0</v>
      </c>
      <c r="V19" s="84"/>
      <c r="W19" s="84">
        <v>0</v>
      </c>
      <c r="X19" s="87" t="s">
        <v>63</v>
      </c>
      <c r="Y19" s="88"/>
      <c r="Z19" s="5" t="str">
        <f t="shared" si="9"/>
        <v>0</v>
      </c>
      <c r="AA19" s="14">
        <f t="shared" si="6"/>
        <v>0</v>
      </c>
      <c r="AB19" s="87"/>
      <c r="AC19" s="87">
        <f t="shared" si="10"/>
        <v>221958.9</v>
      </c>
      <c r="AD19" s="5" t="str">
        <f t="shared" si="3"/>
        <v>0</v>
      </c>
      <c r="AE19" s="84">
        <f t="shared" si="11"/>
        <v>0</v>
      </c>
      <c r="AF19" s="84"/>
      <c r="AG19" s="84"/>
      <c r="AH19" s="84"/>
      <c r="AI19" s="88">
        <f t="shared" si="15"/>
        <v>37928.400000000001</v>
      </c>
      <c r="AJ19" s="88"/>
      <c r="AK19" s="48" t="str">
        <f t="shared" si="7"/>
        <v>0</v>
      </c>
      <c r="AL19" s="90">
        <f t="shared" si="4"/>
        <v>0</v>
      </c>
      <c r="AM19" s="84">
        <f t="shared" si="12"/>
        <v>0</v>
      </c>
      <c r="AN19" s="5"/>
      <c r="AO19" s="78">
        <f t="shared" si="5"/>
        <v>0</v>
      </c>
    </row>
    <row r="20" spans="1:41" x14ac:dyDescent="0.25">
      <c r="A20" s="79">
        <v>44089</v>
      </c>
      <c r="B20" s="87"/>
      <c r="C20" s="87"/>
      <c r="D20" s="87"/>
      <c r="E20" s="87"/>
      <c r="F20" s="87"/>
      <c r="G20" s="87"/>
      <c r="H20" s="87"/>
      <c r="I20" s="87"/>
      <c r="J20" s="87"/>
      <c r="K20" s="87">
        <f t="shared" si="13"/>
        <v>0</v>
      </c>
      <c r="L20" s="14">
        <f t="shared" si="8"/>
        <v>0</v>
      </c>
      <c r="M20" s="84"/>
      <c r="N20" s="84"/>
      <c r="O20" s="84"/>
      <c r="P20" s="82"/>
      <c r="Q20" s="84"/>
      <c r="R20" s="84">
        <f t="shared" si="0"/>
        <v>0</v>
      </c>
      <c r="S20" s="84">
        <f t="shared" si="1"/>
        <v>0</v>
      </c>
      <c r="T20" s="84">
        <f t="shared" si="2"/>
        <v>0</v>
      </c>
      <c r="U20" s="84">
        <f t="shared" si="14"/>
        <v>0</v>
      </c>
      <c r="V20" s="84"/>
      <c r="W20" s="84">
        <v>0</v>
      </c>
      <c r="X20" s="87" t="s">
        <v>63</v>
      </c>
      <c r="Y20" s="87"/>
      <c r="Z20" s="5">
        <f t="shared" si="9"/>
        <v>0</v>
      </c>
      <c r="AA20" s="14">
        <f t="shared" si="6"/>
        <v>0</v>
      </c>
      <c r="AB20" s="87"/>
      <c r="AC20" s="87">
        <f t="shared" si="10"/>
        <v>0</v>
      </c>
      <c r="AD20" s="5">
        <f t="shared" si="3"/>
        <v>0</v>
      </c>
      <c r="AE20" s="84">
        <f t="shared" si="11"/>
        <v>0</v>
      </c>
      <c r="AF20" s="84"/>
      <c r="AG20" s="84"/>
      <c r="AH20" s="84"/>
      <c r="AI20" s="88">
        <f t="shared" si="15"/>
        <v>0</v>
      </c>
      <c r="AJ20" s="88"/>
      <c r="AK20" s="48">
        <f t="shared" si="7"/>
        <v>0</v>
      </c>
      <c r="AL20" s="90">
        <f t="shared" si="4"/>
        <v>0</v>
      </c>
      <c r="AM20" s="84">
        <f t="shared" si="12"/>
        <v>0</v>
      </c>
      <c r="AN20" s="5"/>
      <c r="AO20" s="78">
        <f t="shared" si="5"/>
        <v>0</v>
      </c>
    </row>
    <row r="21" spans="1:41" x14ac:dyDescent="0.25">
      <c r="A21" s="79">
        <v>44090</v>
      </c>
      <c r="B21" s="87"/>
      <c r="C21" s="87"/>
      <c r="D21" s="87"/>
      <c r="E21" s="87"/>
      <c r="F21" s="87"/>
      <c r="G21" s="87"/>
      <c r="H21" s="87"/>
      <c r="I21" s="87"/>
      <c r="J21" s="87"/>
      <c r="K21" s="87">
        <f t="shared" si="13"/>
        <v>0</v>
      </c>
      <c r="L21" s="14">
        <f t="shared" si="8"/>
        <v>0</v>
      </c>
      <c r="M21" s="84"/>
      <c r="N21" s="84"/>
      <c r="O21" s="84"/>
      <c r="P21" s="82"/>
      <c r="Q21" s="84"/>
      <c r="R21" s="84">
        <f t="shared" si="0"/>
        <v>0</v>
      </c>
      <c r="S21" s="84">
        <f t="shared" si="1"/>
        <v>0</v>
      </c>
      <c r="T21" s="84">
        <f t="shared" si="2"/>
        <v>0</v>
      </c>
      <c r="U21" s="84">
        <f t="shared" si="14"/>
        <v>0</v>
      </c>
      <c r="V21" s="84"/>
      <c r="W21" s="84">
        <v>0</v>
      </c>
      <c r="X21" s="87" t="s">
        <v>63</v>
      </c>
      <c r="Y21" s="88"/>
      <c r="Z21" s="5">
        <f t="shared" si="9"/>
        <v>0</v>
      </c>
      <c r="AA21" s="14">
        <f t="shared" si="6"/>
        <v>0</v>
      </c>
      <c r="AB21" s="87"/>
      <c r="AC21" s="87">
        <f t="shared" si="10"/>
        <v>0</v>
      </c>
      <c r="AD21" s="5">
        <f t="shared" si="3"/>
        <v>0</v>
      </c>
      <c r="AE21" s="84">
        <f t="shared" si="11"/>
        <v>0</v>
      </c>
      <c r="AF21" s="84"/>
      <c r="AG21" s="84"/>
      <c r="AH21" s="84"/>
      <c r="AI21" s="88">
        <f t="shared" si="15"/>
        <v>0</v>
      </c>
      <c r="AJ21" s="88"/>
      <c r="AK21" s="48">
        <f t="shared" si="7"/>
        <v>0</v>
      </c>
      <c r="AL21" s="90">
        <f t="shared" si="4"/>
        <v>0</v>
      </c>
      <c r="AM21" s="84">
        <f t="shared" si="12"/>
        <v>0</v>
      </c>
      <c r="AN21" s="5"/>
      <c r="AO21" s="78">
        <f t="shared" si="5"/>
        <v>0</v>
      </c>
    </row>
    <row r="22" spans="1:41" x14ac:dyDescent="0.25">
      <c r="A22" s="79">
        <v>44091</v>
      </c>
      <c r="B22" s="87"/>
      <c r="C22" s="87"/>
      <c r="D22" s="87"/>
      <c r="E22" s="87"/>
      <c r="F22" s="87"/>
      <c r="G22" s="87"/>
      <c r="H22" s="87"/>
      <c r="I22" s="87"/>
      <c r="J22" s="87"/>
      <c r="K22" s="87">
        <f t="shared" si="13"/>
        <v>0</v>
      </c>
      <c r="L22" s="14">
        <f t="shared" si="8"/>
        <v>0</v>
      </c>
      <c r="M22" s="84"/>
      <c r="N22" s="84"/>
      <c r="O22" s="84"/>
      <c r="P22" s="82"/>
      <c r="Q22" s="84"/>
      <c r="R22" s="84">
        <f t="shared" si="0"/>
        <v>0</v>
      </c>
      <c r="S22" s="84">
        <f t="shared" si="1"/>
        <v>0</v>
      </c>
      <c r="T22" s="84">
        <f t="shared" si="2"/>
        <v>0</v>
      </c>
      <c r="U22" s="84">
        <f t="shared" si="14"/>
        <v>0</v>
      </c>
      <c r="V22" s="84"/>
      <c r="W22" s="84">
        <v>0</v>
      </c>
      <c r="X22" s="87" t="s">
        <v>63</v>
      </c>
      <c r="Y22" s="88"/>
      <c r="Z22" s="5">
        <f t="shared" si="9"/>
        <v>0</v>
      </c>
      <c r="AA22" s="14">
        <f t="shared" si="6"/>
        <v>0</v>
      </c>
      <c r="AB22" s="87"/>
      <c r="AC22" s="87">
        <f t="shared" si="10"/>
        <v>0</v>
      </c>
      <c r="AD22" s="5">
        <f t="shared" si="3"/>
        <v>0</v>
      </c>
      <c r="AE22" s="84">
        <f t="shared" si="11"/>
        <v>0</v>
      </c>
      <c r="AF22" s="84"/>
      <c r="AG22" s="84"/>
      <c r="AH22" s="84"/>
      <c r="AI22" s="88">
        <f t="shared" si="15"/>
        <v>0</v>
      </c>
      <c r="AJ22" s="88"/>
      <c r="AK22" s="48">
        <f t="shared" si="7"/>
        <v>0</v>
      </c>
      <c r="AL22" s="90">
        <f t="shared" si="4"/>
        <v>0</v>
      </c>
      <c r="AM22" s="84">
        <f t="shared" si="12"/>
        <v>0</v>
      </c>
      <c r="AN22" s="5"/>
      <c r="AO22" s="78">
        <f t="shared" si="5"/>
        <v>0</v>
      </c>
    </row>
    <row r="23" spans="1:41" x14ac:dyDescent="0.25">
      <c r="A23" s="79">
        <v>44092</v>
      </c>
      <c r="B23" s="87"/>
      <c r="C23" s="87"/>
      <c r="D23" s="87"/>
      <c r="E23" s="87"/>
      <c r="F23" s="87"/>
      <c r="G23" s="87"/>
      <c r="H23" s="87"/>
      <c r="I23" s="87"/>
      <c r="J23" s="87"/>
      <c r="K23" s="87">
        <f t="shared" si="13"/>
        <v>0</v>
      </c>
      <c r="L23" s="14">
        <f t="shared" si="8"/>
        <v>0</v>
      </c>
      <c r="M23" s="84"/>
      <c r="N23" s="84"/>
      <c r="O23" s="84"/>
      <c r="P23" s="82"/>
      <c r="Q23" s="84"/>
      <c r="R23" s="84">
        <f t="shared" si="0"/>
        <v>0</v>
      </c>
      <c r="S23" s="84">
        <f t="shared" si="1"/>
        <v>0</v>
      </c>
      <c r="T23" s="84">
        <f t="shared" si="2"/>
        <v>0</v>
      </c>
      <c r="U23" s="84">
        <f t="shared" si="14"/>
        <v>0</v>
      </c>
      <c r="V23" s="84"/>
      <c r="W23" s="84">
        <v>0</v>
      </c>
      <c r="X23" s="87" t="s">
        <v>63</v>
      </c>
      <c r="Y23" s="88"/>
      <c r="Z23" s="5">
        <f t="shared" si="9"/>
        <v>0</v>
      </c>
      <c r="AA23" s="14">
        <f t="shared" si="6"/>
        <v>0</v>
      </c>
      <c r="AB23" s="87"/>
      <c r="AC23" s="87">
        <f t="shared" si="10"/>
        <v>0</v>
      </c>
      <c r="AD23" s="5">
        <f t="shared" si="3"/>
        <v>0</v>
      </c>
      <c r="AE23" s="84">
        <f t="shared" si="11"/>
        <v>0</v>
      </c>
      <c r="AF23" s="84"/>
      <c r="AG23" s="84"/>
      <c r="AH23" s="84"/>
      <c r="AI23" s="88">
        <f t="shared" si="15"/>
        <v>0</v>
      </c>
      <c r="AJ23" s="88"/>
      <c r="AK23" s="48">
        <f t="shared" si="7"/>
        <v>0</v>
      </c>
      <c r="AL23" s="90">
        <f t="shared" si="4"/>
        <v>0</v>
      </c>
      <c r="AM23" s="84">
        <f t="shared" si="12"/>
        <v>0</v>
      </c>
      <c r="AN23" s="5"/>
      <c r="AO23" s="78">
        <f t="shared" si="5"/>
        <v>0</v>
      </c>
    </row>
    <row r="24" spans="1:41" x14ac:dyDescent="0.25">
      <c r="A24" s="79">
        <v>44093</v>
      </c>
      <c r="B24" s="87"/>
      <c r="C24" s="87"/>
      <c r="D24" s="87"/>
      <c r="E24" s="87"/>
      <c r="F24" s="87"/>
      <c r="G24" s="87"/>
      <c r="H24" s="87"/>
      <c r="I24" s="87"/>
      <c r="J24" s="87"/>
      <c r="K24" s="87">
        <f t="shared" si="13"/>
        <v>0</v>
      </c>
      <c r="L24" s="14">
        <f t="shared" si="8"/>
        <v>0</v>
      </c>
      <c r="M24" s="84"/>
      <c r="N24" s="84"/>
      <c r="O24" s="84"/>
      <c r="P24" s="82"/>
      <c r="Q24" s="84"/>
      <c r="R24" s="84">
        <f t="shared" si="0"/>
        <v>0</v>
      </c>
      <c r="S24" s="84">
        <f t="shared" si="1"/>
        <v>0</v>
      </c>
      <c r="T24" s="84">
        <f t="shared" si="2"/>
        <v>0</v>
      </c>
      <c r="U24" s="84">
        <f t="shared" si="14"/>
        <v>0</v>
      </c>
      <c r="V24" s="84"/>
      <c r="W24" s="84">
        <v>0</v>
      </c>
      <c r="X24" s="87" t="s">
        <v>63</v>
      </c>
      <c r="Y24" s="88"/>
      <c r="Z24" s="5">
        <f t="shared" si="9"/>
        <v>0</v>
      </c>
      <c r="AA24" s="14">
        <f t="shared" si="6"/>
        <v>0</v>
      </c>
      <c r="AB24" s="87"/>
      <c r="AC24" s="87">
        <f t="shared" si="10"/>
        <v>0</v>
      </c>
      <c r="AD24" s="5">
        <f t="shared" si="3"/>
        <v>0</v>
      </c>
      <c r="AE24" s="84">
        <f t="shared" si="11"/>
        <v>0</v>
      </c>
      <c r="AF24" s="84"/>
      <c r="AG24" s="84"/>
      <c r="AH24" s="84"/>
      <c r="AI24" s="88">
        <f t="shared" si="15"/>
        <v>0</v>
      </c>
      <c r="AJ24" s="88"/>
      <c r="AK24" s="48">
        <f t="shared" si="7"/>
        <v>0</v>
      </c>
      <c r="AL24" s="90">
        <f t="shared" si="4"/>
        <v>0</v>
      </c>
      <c r="AM24" s="84">
        <f t="shared" si="12"/>
        <v>0</v>
      </c>
      <c r="AN24" s="5"/>
      <c r="AO24" s="78">
        <f t="shared" si="5"/>
        <v>0</v>
      </c>
    </row>
    <row r="25" spans="1:41" x14ac:dyDescent="0.25">
      <c r="A25" s="79">
        <v>44094</v>
      </c>
      <c r="B25" s="87"/>
      <c r="C25" s="87"/>
      <c r="D25" s="87"/>
      <c r="E25" s="87"/>
      <c r="F25" s="87"/>
      <c r="G25" s="87"/>
      <c r="H25" s="87"/>
      <c r="I25" s="87"/>
      <c r="J25" s="87"/>
      <c r="K25" s="87">
        <f t="shared" si="13"/>
        <v>0</v>
      </c>
      <c r="L25" s="14">
        <f t="shared" si="8"/>
        <v>0</v>
      </c>
      <c r="M25" s="84"/>
      <c r="N25" s="84"/>
      <c r="O25" s="84"/>
      <c r="P25" s="82"/>
      <c r="Q25" s="84"/>
      <c r="R25" s="84">
        <f t="shared" si="0"/>
        <v>0</v>
      </c>
      <c r="S25" s="84">
        <f t="shared" si="1"/>
        <v>0</v>
      </c>
      <c r="T25" s="84">
        <f t="shared" si="2"/>
        <v>0</v>
      </c>
      <c r="U25" s="84">
        <f t="shared" si="14"/>
        <v>0</v>
      </c>
      <c r="V25" s="84"/>
      <c r="W25" s="84">
        <v>0</v>
      </c>
      <c r="X25" s="87" t="s">
        <v>63</v>
      </c>
      <c r="Y25" s="88"/>
      <c r="Z25" s="5">
        <f t="shared" si="9"/>
        <v>0</v>
      </c>
      <c r="AA25" s="14">
        <f t="shared" si="6"/>
        <v>0</v>
      </c>
      <c r="AB25" s="87"/>
      <c r="AC25" s="87">
        <f t="shared" si="10"/>
        <v>0</v>
      </c>
      <c r="AD25" s="5">
        <f t="shared" si="3"/>
        <v>0</v>
      </c>
      <c r="AE25" s="84">
        <f t="shared" si="11"/>
        <v>0</v>
      </c>
      <c r="AF25" s="84"/>
      <c r="AG25" s="84"/>
      <c r="AH25" s="84"/>
      <c r="AI25" s="88">
        <f t="shared" si="15"/>
        <v>0</v>
      </c>
      <c r="AJ25" s="88"/>
      <c r="AK25" s="48">
        <f t="shared" si="7"/>
        <v>0</v>
      </c>
      <c r="AL25" s="90">
        <f t="shared" si="4"/>
        <v>0</v>
      </c>
      <c r="AM25" s="84">
        <f t="shared" si="12"/>
        <v>0</v>
      </c>
      <c r="AN25" s="5"/>
      <c r="AO25" s="78">
        <f t="shared" si="5"/>
        <v>0</v>
      </c>
    </row>
    <row r="26" spans="1:41" x14ac:dyDescent="0.25">
      <c r="A26" s="79">
        <v>44095</v>
      </c>
      <c r="B26" s="87"/>
      <c r="C26" s="87"/>
      <c r="D26" s="87"/>
      <c r="E26" s="87"/>
      <c r="F26" s="87"/>
      <c r="G26" s="87"/>
      <c r="H26" s="87"/>
      <c r="I26" s="87"/>
      <c r="J26" s="87"/>
      <c r="K26" s="87">
        <f t="shared" si="13"/>
        <v>0</v>
      </c>
      <c r="L26" s="14">
        <f t="shared" si="8"/>
        <v>0</v>
      </c>
      <c r="M26" s="84"/>
      <c r="N26" s="84"/>
      <c r="O26" s="84"/>
      <c r="P26" s="82"/>
      <c r="Q26" s="84"/>
      <c r="R26" s="84">
        <f t="shared" si="0"/>
        <v>0</v>
      </c>
      <c r="S26" s="84">
        <f t="shared" si="1"/>
        <v>0</v>
      </c>
      <c r="T26" s="84">
        <f t="shared" si="2"/>
        <v>0</v>
      </c>
      <c r="U26" s="84">
        <f t="shared" si="14"/>
        <v>0</v>
      </c>
      <c r="V26" s="84"/>
      <c r="W26" s="84">
        <v>0</v>
      </c>
      <c r="X26" s="87" t="s">
        <v>63</v>
      </c>
      <c r="Y26" s="87"/>
      <c r="Z26" s="5">
        <f t="shared" si="9"/>
        <v>0</v>
      </c>
      <c r="AA26" s="14">
        <f t="shared" si="6"/>
        <v>0</v>
      </c>
      <c r="AB26" s="87"/>
      <c r="AC26" s="87">
        <f t="shared" si="10"/>
        <v>0</v>
      </c>
      <c r="AD26" s="5">
        <f t="shared" si="3"/>
        <v>0</v>
      </c>
      <c r="AE26" s="84">
        <f t="shared" si="11"/>
        <v>0</v>
      </c>
      <c r="AF26" s="84"/>
      <c r="AG26" s="84"/>
      <c r="AH26" s="84"/>
      <c r="AI26" s="88">
        <f t="shared" si="15"/>
        <v>0</v>
      </c>
      <c r="AJ26" s="88"/>
      <c r="AK26" s="48">
        <f t="shared" si="7"/>
        <v>0</v>
      </c>
      <c r="AL26" s="90">
        <f t="shared" si="4"/>
        <v>0</v>
      </c>
      <c r="AM26" s="84">
        <f t="shared" si="12"/>
        <v>0</v>
      </c>
      <c r="AN26" s="5"/>
      <c r="AO26" s="78">
        <f t="shared" si="5"/>
        <v>0</v>
      </c>
    </row>
    <row r="27" spans="1:41" x14ac:dyDescent="0.25">
      <c r="A27" s="79">
        <v>44096</v>
      </c>
      <c r="B27" s="87"/>
      <c r="C27" s="87"/>
      <c r="D27" s="87"/>
      <c r="E27" s="87"/>
      <c r="F27" s="87"/>
      <c r="G27" s="87"/>
      <c r="H27" s="87"/>
      <c r="I27" s="87"/>
      <c r="J27" s="87"/>
      <c r="K27" s="87">
        <f t="shared" si="13"/>
        <v>0</v>
      </c>
      <c r="L27" s="14">
        <f t="shared" si="8"/>
        <v>0</v>
      </c>
      <c r="M27" s="84"/>
      <c r="N27" s="84"/>
      <c r="O27" s="84"/>
      <c r="P27" s="82"/>
      <c r="Q27" s="84"/>
      <c r="R27" s="84">
        <f t="shared" si="0"/>
        <v>0</v>
      </c>
      <c r="S27" s="84">
        <f t="shared" si="1"/>
        <v>0</v>
      </c>
      <c r="T27" s="84">
        <f t="shared" si="2"/>
        <v>0</v>
      </c>
      <c r="U27" s="84">
        <f t="shared" si="14"/>
        <v>0</v>
      </c>
      <c r="V27" s="84"/>
      <c r="W27" s="84">
        <v>0</v>
      </c>
      <c r="X27" s="87" t="s">
        <v>63</v>
      </c>
      <c r="Y27" s="87"/>
      <c r="Z27" s="5">
        <f t="shared" si="9"/>
        <v>0</v>
      </c>
      <c r="AA27" s="14">
        <f t="shared" si="6"/>
        <v>0</v>
      </c>
      <c r="AB27" s="87"/>
      <c r="AC27" s="87">
        <f t="shared" si="10"/>
        <v>0</v>
      </c>
      <c r="AD27" s="5">
        <f t="shared" si="3"/>
        <v>0</v>
      </c>
      <c r="AE27" s="84">
        <f t="shared" si="11"/>
        <v>0</v>
      </c>
      <c r="AF27" s="84"/>
      <c r="AG27" s="84"/>
      <c r="AH27" s="84"/>
      <c r="AI27" s="88">
        <f t="shared" si="15"/>
        <v>0</v>
      </c>
      <c r="AJ27" s="88"/>
      <c r="AK27" s="48">
        <f t="shared" si="7"/>
        <v>0</v>
      </c>
      <c r="AL27" s="90">
        <f t="shared" si="4"/>
        <v>0</v>
      </c>
      <c r="AM27" s="84">
        <f t="shared" si="12"/>
        <v>0</v>
      </c>
      <c r="AN27" s="5"/>
      <c r="AO27" s="78">
        <f t="shared" si="5"/>
        <v>0</v>
      </c>
    </row>
    <row r="28" spans="1:41" x14ac:dyDescent="0.25">
      <c r="A28" s="79">
        <v>44097</v>
      </c>
      <c r="B28" s="87"/>
      <c r="C28" s="87"/>
      <c r="D28" s="87"/>
      <c r="E28" s="87"/>
      <c r="F28" s="87"/>
      <c r="G28" s="87"/>
      <c r="H28" s="87"/>
      <c r="I28" s="87"/>
      <c r="J28" s="87"/>
      <c r="K28" s="87">
        <f t="shared" si="13"/>
        <v>0</v>
      </c>
      <c r="L28" s="14">
        <f t="shared" si="8"/>
        <v>0</v>
      </c>
      <c r="M28" s="84"/>
      <c r="N28" s="84"/>
      <c r="O28" s="84"/>
      <c r="P28" s="82"/>
      <c r="Q28" s="84"/>
      <c r="R28" s="84">
        <f t="shared" si="0"/>
        <v>0</v>
      </c>
      <c r="S28" s="84">
        <f t="shared" si="1"/>
        <v>0</v>
      </c>
      <c r="T28" s="84">
        <f t="shared" si="2"/>
        <v>0</v>
      </c>
      <c r="U28" s="84">
        <f t="shared" si="14"/>
        <v>0</v>
      </c>
      <c r="V28" s="84"/>
      <c r="W28" s="84">
        <v>0</v>
      </c>
      <c r="X28" s="87" t="s">
        <v>63</v>
      </c>
      <c r="Y28" s="87"/>
      <c r="Z28" s="5">
        <f t="shared" si="9"/>
        <v>0</v>
      </c>
      <c r="AA28" s="14">
        <f t="shared" si="6"/>
        <v>0</v>
      </c>
      <c r="AB28" s="87"/>
      <c r="AC28" s="87">
        <f t="shared" si="10"/>
        <v>0</v>
      </c>
      <c r="AD28" s="5">
        <f t="shared" si="3"/>
        <v>0</v>
      </c>
      <c r="AE28" s="84">
        <f t="shared" si="11"/>
        <v>0</v>
      </c>
      <c r="AF28" s="84"/>
      <c r="AG28" s="84"/>
      <c r="AH28" s="84"/>
      <c r="AI28" s="88">
        <f t="shared" si="15"/>
        <v>0</v>
      </c>
      <c r="AJ28" s="88"/>
      <c r="AK28" s="48">
        <f t="shared" si="7"/>
        <v>0</v>
      </c>
      <c r="AL28" s="90">
        <f t="shared" si="4"/>
        <v>0</v>
      </c>
      <c r="AM28" s="84">
        <f t="shared" si="12"/>
        <v>0</v>
      </c>
      <c r="AN28" s="5"/>
      <c r="AO28" s="78">
        <f t="shared" si="5"/>
        <v>0</v>
      </c>
    </row>
    <row r="29" spans="1:41" x14ac:dyDescent="0.25">
      <c r="A29" s="79">
        <v>44098</v>
      </c>
      <c r="B29" s="87"/>
      <c r="C29" s="87"/>
      <c r="D29" s="87"/>
      <c r="E29" s="87"/>
      <c r="F29" s="87"/>
      <c r="G29" s="87"/>
      <c r="H29" s="87"/>
      <c r="I29" s="87"/>
      <c r="J29" s="87"/>
      <c r="K29" s="87">
        <f t="shared" si="13"/>
        <v>0</v>
      </c>
      <c r="L29" s="14">
        <f t="shared" si="8"/>
        <v>0</v>
      </c>
      <c r="M29" s="84"/>
      <c r="N29" s="84"/>
      <c r="O29" s="84"/>
      <c r="P29" s="82"/>
      <c r="Q29" s="84"/>
      <c r="R29" s="84">
        <f t="shared" si="0"/>
        <v>0</v>
      </c>
      <c r="S29" s="84">
        <f t="shared" si="1"/>
        <v>0</v>
      </c>
      <c r="T29" s="84">
        <f t="shared" si="2"/>
        <v>0</v>
      </c>
      <c r="U29" s="84">
        <f t="shared" si="14"/>
        <v>0</v>
      </c>
      <c r="V29" s="84"/>
      <c r="W29" s="84">
        <v>0</v>
      </c>
      <c r="X29" s="87" t="s">
        <v>63</v>
      </c>
      <c r="Y29" s="87"/>
      <c r="Z29" s="5">
        <f t="shared" si="9"/>
        <v>0</v>
      </c>
      <c r="AA29" s="14">
        <f t="shared" si="6"/>
        <v>0</v>
      </c>
      <c r="AB29" s="87"/>
      <c r="AC29" s="87">
        <f t="shared" si="10"/>
        <v>0</v>
      </c>
      <c r="AD29" s="5">
        <f t="shared" si="3"/>
        <v>0</v>
      </c>
      <c r="AE29" s="84">
        <f t="shared" si="11"/>
        <v>0</v>
      </c>
      <c r="AF29" s="84"/>
      <c r="AG29" s="84"/>
      <c r="AH29" s="84"/>
      <c r="AI29" s="88">
        <f t="shared" si="15"/>
        <v>0</v>
      </c>
      <c r="AJ29" s="88"/>
      <c r="AK29" s="48">
        <f t="shared" si="7"/>
        <v>0</v>
      </c>
      <c r="AL29" s="90">
        <f t="shared" si="4"/>
        <v>0</v>
      </c>
      <c r="AM29" s="84">
        <f t="shared" si="12"/>
        <v>0</v>
      </c>
      <c r="AN29" s="5"/>
      <c r="AO29" s="78">
        <f t="shared" si="5"/>
        <v>0</v>
      </c>
    </row>
    <row r="30" spans="1:41" x14ac:dyDescent="0.25">
      <c r="A30" s="79">
        <v>44099</v>
      </c>
      <c r="B30" s="87"/>
      <c r="C30" s="87"/>
      <c r="D30" s="87"/>
      <c r="E30" s="87"/>
      <c r="F30" s="87"/>
      <c r="G30" s="87"/>
      <c r="H30" s="87"/>
      <c r="I30" s="87"/>
      <c r="J30" s="87"/>
      <c r="K30" s="87">
        <f t="shared" si="13"/>
        <v>0</v>
      </c>
      <c r="L30" s="14">
        <f t="shared" si="8"/>
        <v>0</v>
      </c>
      <c r="M30" s="84"/>
      <c r="N30" s="84"/>
      <c r="O30" s="84"/>
      <c r="P30" s="82"/>
      <c r="Q30" s="84"/>
      <c r="R30" s="84">
        <f t="shared" si="0"/>
        <v>0</v>
      </c>
      <c r="S30" s="84">
        <f t="shared" si="1"/>
        <v>0</v>
      </c>
      <c r="T30" s="84">
        <f t="shared" si="2"/>
        <v>0</v>
      </c>
      <c r="U30" s="84">
        <f t="shared" si="14"/>
        <v>0</v>
      </c>
      <c r="V30" s="84"/>
      <c r="W30" s="84">
        <v>0</v>
      </c>
      <c r="X30" s="87" t="s">
        <v>63</v>
      </c>
      <c r="Y30" s="87"/>
      <c r="Z30" s="5">
        <f t="shared" si="9"/>
        <v>0</v>
      </c>
      <c r="AA30" s="14">
        <f t="shared" si="6"/>
        <v>0</v>
      </c>
      <c r="AB30" s="87"/>
      <c r="AC30" s="87">
        <f t="shared" si="10"/>
        <v>0</v>
      </c>
      <c r="AD30" s="5">
        <f t="shared" si="3"/>
        <v>0</v>
      </c>
      <c r="AE30" s="84">
        <f t="shared" si="11"/>
        <v>0</v>
      </c>
      <c r="AF30" s="84"/>
      <c r="AG30" s="84"/>
      <c r="AH30" s="84"/>
      <c r="AI30" s="88">
        <f t="shared" si="15"/>
        <v>0</v>
      </c>
      <c r="AJ30" s="88"/>
      <c r="AK30" s="48">
        <f t="shared" si="7"/>
        <v>0</v>
      </c>
      <c r="AL30" s="90">
        <f t="shared" si="4"/>
        <v>0</v>
      </c>
      <c r="AM30" s="84">
        <f t="shared" si="12"/>
        <v>0</v>
      </c>
      <c r="AN30" s="5"/>
      <c r="AO30" s="78">
        <f t="shared" si="5"/>
        <v>0</v>
      </c>
    </row>
    <row r="31" spans="1:41" x14ac:dyDescent="0.25">
      <c r="A31" s="79">
        <v>44100</v>
      </c>
      <c r="B31" s="87"/>
      <c r="C31" s="87"/>
      <c r="D31" s="87"/>
      <c r="E31" s="87"/>
      <c r="F31" s="87"/>
      <c r="G31" s="87"/>
      <c r="H31" s="87"/>
      <c r="I31" s="87"/>
      <c r="J31" s="87"/>
      <c r="K31" s="87">
        <f t="shared" si="13"/>
        <v>0</v>
      </c>
      <c r="L31" s="14">
        <f t="shared" si="8"/>
        <v>0</v>
      </c>
      <c r="M31" s="84"/>
      <c r="N31" s="84"/>
      <c r="O31" s="84"/>
      <c r="P31" s="82"/>
      <c r="Q31" s="84"/>
      <c r="R31" s="84">
        <f t="shared" si="0"/>
        <v>0</v>
      </c>
      <c r="S31" s="84">
        <f t="shared" si="1"/>
        <v>0</v>
      </c>
      <c r="T31" s="84">
        <f t="shared" si="2"/>
        <v>0</v>
      </c>
      <c r="U31" s="84">
        <f t="shared" si="14"/>
        <v>0</v>
      </c>
      <c r="V31" s="84"/>
      <c r="W31" s="84">
        <v>0</v>
      </c>
      <c r="X31" s="87" t="s">
        <v>63</v>
      </c>
      <c r="Y31" s="87"/>
      <c r="Z31" s="5">
        <f t="shared" si="9"/>
        <v>0</v>
      </c>
      <c r="AA31" s="14">
        <f t="shared" si="6"/>
        <v>0</v>
      </c>
      <c r="AB31" s="87"/>
      <c r="AC31" s="87">
        <f t="shared" si="10"/>
        <v>0</v>
      </c>
      <c r="AD31" s="5">
        <f t="shared" si="3"/>
        <v>0</v>
      </c>
      <c r="AE31" s="84">
        <f t="shared" si="11"/>
        <v>0</v>
      </c>
      <c r="AF31" s="84"/>
      <c r="AG31" s="84"/>
      <c r="AH31" s="84"/>
      <c r="AI31" s="88">
        <f t="shared" si="15"/>
        <v>0</v>
      </c>
      <c r="AJ31" s="88"/>
      <c r="AK31" s="48">
        <f t="shared" si="7"/>
        <v>0</v>
      </c>
      <c r="AL31" s="90">
        <f t="shared" si="4"/>
        <v>0</v>
      </c>
      <c r="AM31" s="84">
        <f t="shared" si="12"/>
        <v>0</v>
      </c>
      <c r="AN31" s="5"/>
      <c r="AO31" s="78">
        <f t="shared" si="5"/>
        <v>0</v>
      </c>
    </row>
    <row r="32" spans="1:41" x14ac:dyDescent="0.25">
      <c r="A32" s="79">
        <v>44101</v>
      </c>
      <c r="B32" s="87"/>
      <c r="C32" s="87"/>
      <c r="D32" s="87"/>
      <c r="E32" s="87"/>
      <c r="F32" s="87"/>
      <c r="G32" s="87"/>
      <c r="H32" s="87"/>
      <c r="I32" s="87"/>
      <c r="J32" s="87"/>
      <c r="K32" s="87">
        <f t="shared" si="13"/>
        <v>0</v>
      </c>
      <c r="L32" s="14">
        <f t="shared" si="8"/>
        <v>0</v>
      </c>
      <c r="M32" s="84"/>
      <c r="N32" s="84"/>
      <c r="O32" s="84"/>
      <c r="P32" s="82"/>
      <c r="Q32" s="84"/>
      <c r="R32" s="84">
        <f t="shared" si="0"/>
        <v>0</v>
      </c>
      <c r="S32" s="84">
        <f t="shared" si="1"/>
        <v>0</v>
      </c>
      <c r="T32" s="84">
        <f t="shared" si="2"/>
        <v>0</v>
      </c>
      <c r="U32" s="84">
        <f t="shared" si="14"/>
        <v>0</v>
      </c>
      <c r="V32" s="84"/>
      <c r="W32" s="84">
        <v>0</v>
      </c>
      <c r="X32" s="87" t="s">
        <v>63</v>
      </c>
      <c r="Y32" s="87"/>
      <c r="Z32" s="5">
        <f t="shared" si="9"/>
        <v>0</v>
      </c>
      <c r="AA32" s="14">
        <f t="shared" si="6"/>
        <v>0</v>
      </c>
      <c r="AB32" s="87"/>
      <c r="AC32" s="87">
        <f t="shared" si="10"/>
        <v>0</v>
      </c>
      <c r="AD32" s="5">
        <f t="shared" si="3"/>
        <v>0</v>
      </c>
      <c r="AE32" s="84">
        <f t="shared" si="11"/>
        <v>0</v>
      </c>
      <c r="AF32" s="84"/>
      <c r="AG32" s="84"/>
      <c r="AH32" s="84"/>
      <c r="AI32" s="88">
        <f t="shared" si="15"/>
        <v>0</v>
      </c>
      <c r="AJ32" s="87"/>
      <c r="AK32" s="48">
        <f t="shared" si="7"/>
        <v>0</v>
      </c>
      <c r="AL32" s="90">
        <f t="shared" si="4"/>
        <v>0</v>
      </c>
      <c r="AM32" s="84">
        <f t="shared" si="12"/>
        <v>0</v>
      </c>
      <c r="AN32" s="5"/>
      <c r="AO32" s="78">
        <f t="shared" si="5"/>
        <v>0</v>
      </c>
    </row>
    <row r="33" spans="1:41" x14ac:dyDescent="0.25">
      <c r="A33" s="79">
        <v>44102</v>
      </c>
      <c r="B33" s="87"/>
      <c r="C33" s="87"/>
      <c r="D33" s="87"/>
      <c r="E33" s="87"/>
      <c r="F33" s="87"/>
      <c r="G33" s="87"/>
      <c r="H33" s="87"/>
      <c r="I33" s="87"/>
      <c r="J33" s="87"/>
      <c r="K33" s="87">
        <f t="shared" si="13"/>
        <v>0</v>
      </c>
      <c r="L33" s="14">
        <f t="shared" si="8"/>
        <v>0</v>
      </c>
      <c r="M33" s="84"/>
      <c r="N33" s="84"/>
      <c r="O33" s="84"/>
      <c r="P33" s="82"/>
      <c r="Q33" s="84"/>
      <c r="R33" s="84">
        <f t="shared" si="0"/>
        <v>0</v>
      </c>
      <c r="S33" s="84">
        <f t="shared" si="1"/>
        <v>0</v>
      </c>
      <c r="T33" s="84">
        <f t="shared" si="2"/>
        <v>0</v>
      </c>
      <c r="U33" s="84">
        <f t="shared" si="14"/>
        <v>0</v>
      </c>
      <c r="V33" s="84"/>
      <c r="W33" s="84">
        <v>0</v>
      </c>
      <c r="X33" s="87" t="s">
        <v>63</v>
      </c>
      <c r="Y33" s="87"/>
      <c r="Z33" s="5">
        <f t="shared" si="9"/>
        <v>0</v>
      </c>
      <c r="AA33" s="14">
        <f t="shared" si="6"/>
        <v>0</v>
      </c>
      <c r="AB33" s="87"/>
      <c r="AC33" s="87">
        <f t="shared" si="10"/>
        <v>0</v>
      </c>
      <c r="AD33" s="5">
        <f t="shared" si="3"/>
        <v>0</v>
      </c>
      <c r="AE33" s="84">
        <f t="shared" si="11"/>
        <v>0</v>
      </c>
      <c r="AF33" s="84"/>
      <c r="AG33" s="84"/>
      <c r="AH33" s="84"/>
      <c r="AI33" s="88">
        <f t="shared" si="15"/>
        <v>0</v>
      </c>
      <c r="AJ33" s="87"/>
      <c r="AK33" s="48">
        <f t="shared" si="7"/>
        <v>0</v>
      </c>
      <c r="AL33" s="90">
        <f t="shared" si="4"/>
        <v>0</v>
      </c>
      <c r="AM33" s="84">
        <f t="shared" si="12"/>
        <v>0</v>
      </c>
      <c r="AN33" s="5"/>
      <c r="AO33" s="78">
        <f t="shared" si="5"/>
        <v>0</v>
      </c>
    </row>
    <row r="34" spans="1:41" x14ac:dyDescent="0.25">
      <c r="A34" s="79">
        <v>44103</v>
      </c>
      <c r="B34" s="87"/>
      <c r="C34" s="87"/>
      <c r="D34" s="87"/>
      <c r="E34" s="87"/>
      <c r="F34" s="87"/>
      <c r="G34" s="87"/>
      <c r="H34" s="87"/>
      <c r="I34" s="87"/>
      <c r="J34" s="87"/>
      <c r="K34" s="87">
        <f t="shared" si="13"/>
        <v>0</v>
      </c>
      <c r="L34" s="14">
        <f t="shared" si="8"/>
        <v>0</v>
      </c>
      <c r="M34" s="84"/>
      <c r="N34" s="84"/>
      <c r="O34" s="84"/>
      <c r="P34" s="82"/>
      <c r="Q34" s="84"/>
      <c r="R34" s="84">
        <f t="shared" si="0"/>
        <v>0</v>
      </c>
      <c r="S34" s="84">
        <f t="shared" si="1"/>
        <v>0</v>
      </c>
      <c r="T34" s="84">
        <f t="shared" si="2"/>
        <v>0</v>
      </c>
      <c r="U34" s="84">
        <f t="shared" si="14"/>
        <v>0</v>
      </c>
      <c r="V34" s="84"/>
      <c r="W34" s="84">
        <v>0</v>
      </c>
      <c r="X34" s="87" t="s">
        <v>63</v>
      </c>
      <c r="Y34" s="87"/>
      <c r="Z34" s="5">
        <f t="shared" si="9"/>
        <v>0</v>
      </c>
      <c r="AA34" s="14">
        <f t="shared" si="6"/>
        <v>0</v>
      </c>
      <c r="AB34" s="87"/>
      <c r="AC34" s="87">
        <f t="shared" si="10"/>
        <v>0</v>
      </c>
      <c r="AD34" s="5">
        <f t="shared" si="3"/>
        <v>0</v>
      </c>
      <c r="AE34" s="84">
        <f t="shared" si="11"/>
        <v>0</v>
      </c>
      <c r="AF34" s="84"/>
      <c r="AG34" s="84"/>
      <c r="AH34" s="84"/>
      <c r="AI34" s="88">
        <f t="shared" si="15"/>
        <v>0</v>
      </c>
      <c r="AJ34" s="88"/>
      <c r="AK34" s="48">
        <f t="shared" si="7"/>
        <v>0</v>
      </c>
      <c r="AL34" s="90">
        <f t="shared" si="4"/>
        <v>0</v>
      </c>
      <c r="AM34" s="84">
        <f t="shared" si="12"/>
        <v>0</v>
      </c>
      <c r="AN34" s="5"/>
      <c r="AO34" s="78">
        <f t="shared" si="5"/>
        <v>0</v>
      </c>
    </row>
    <row r="35" spans="1:41" x14ac:dyDescent="0.25">
      <c r="A35" s="79">
        <v>44104</v>
      </c>
      <c r="B35" s="87"/>
      <c r="C35" s="87"/>
      <c r="D35" s="87"/>
      <c r="E35" s="87"/>
      <c r="F35" s="87"/>
      <c r="G35" s="87"/>
      <c r="H35" s="87"/>
      <c r="I35" s="87"/>
      <c r="J35" s="87"/>
      <c r="K35" s="87">
        <f t="shared" ref="K35" si="16">SUM(B35:H35)</f>
        <v>0</v>
      </c>
      <c r="L35" s="14">
        <f t="shared" ref="L35" si="17">K35*0.2</f>
        <v>0</v>
      </c>
      <c r="M35" s="84"/>
      <c r="N35" s="84"/>
      <c r="O35" s="84"/>
      <c r="P35" s="82"/>
      <c r="Q35" s="84"/>
      <c r="R35" s="84">
        <f t="shared" ref="R35" si="18">N35+O35+P35</f>
        <v>0</v>
      </c>
      <c r="S35" s="84">
        <f t="shared" ref="S35" si="19">(N35+O35+P35)*7.84</f>
        <v>0</v>
      </c>
      <c r="T35" s="84">
        <f t="shared" ref="T35" si="20">M35+Q35</f>
        <v>0</v>
      </c>
      <c r="U35" s="84">
        <f t="shared" ref="U35" si="21">T35*7.84</f>
        <v>0</v>
      </c>
      <c r="V35" s="84"/>
      <c r="W35" s="84">
        <v>0</v>
      </c>
      <c r="X35" s="87" t="s">
        <v>103</v>
      </c>
      <c r="Y35" s="87"/>
      <c r="Z35" s="5">
        <f t="shared" ref="Z35" si="22">IF((Y35-Y34&lt;0), "0",Y35-Y34)</f>
        <v>0</v>
      </c>
      <c r="AA35" s="14">
        <f t="shared" ref="AA35" si="23">Z35*6.47</f>
        <v>0</v>
      </c>
      <c r="AB35" s="87"/>
      <c r="AC35" s="87">
        <f t="shared" si="10"/>
        <v>0</v>
      </c>
      <c r="AD35" s="5">
        <f t="shared" si="3"/>
        <v>0</v>
      </c>
      <c r="AE35" s="84">
        <f t="shared" si="11"/>
        <v>0</v>
      </c>
      <c r="AF35" s="84"/>
      <c r="AG35" s="84"/>
      <c r="AH35" s="84"/>
      <c r="AI35" s="88">
        <f t="shared" si="15"/>
        <v>0</v>
      </c>
      <c r="AJ35" s="88"/>
      <c r="AK35" s="48">
        <f t="shared" ref="AK35" si="24">IF((AJ35-AI35)&lt;0, "0",AJ35-AI35)</f>
        <v>0</v>
      </c>
      <c r="AL35" s="90">
        <f t="shared" ref="AL35" si="25">AK35*(284.34513609)</f>
        <v>0</v>
      </c>
      <c r="AM35" s="84">
        <f t="shared" ref="AM35" si="26">AL35*0.333415</f>
        <v>0</v>
      </c>
      <c r="AN35" s="5"/>
      <c r="AO35" s="78">
        <f t="shared" ref="AO35" si="27">L35+U35+AA35+AE35</f>
        <v>0</v>
      </c>
    </row>
    <row r="36" spans="1:41" x14ac:dyDescent="0.25">
      <c r="A36" s="76"/>
      <c r="D36" s="6">
        <f>SUM(D6:D35)</f>
        <v>11341</v>
      </c>
      <c r="E36" s="6" t="s">
        <v>93</v>
      </c>
      <c r="G36" s="6">
        <f t="shared" ref="G36:L36" si="28">SUM(G6:G35)</f>
        <v>38944</v>
      </c>
      <c r="H36" s="6">
        <f t="shared" si="28"/>
        <v>64455</v>
      </c>
      <c r="I36" s="6">
        <f t="shared" si="28"/>
        <v>33381</v>
      </c>
      <c r="J36" s="6">
        <f t="shared" si="28"/>
        <v>93712</v>
      </c>
      <c r="K36" s="6">
        <f t="shared" si="28"/>
        <v>349202</v>
      </c>
      <c r="L36" s="15">
        <f t="shared" si="28"/>
        <v>69840.400000000009</v>
      </c>
      <c r="R36" s="16">
        <f>SUM(R6:R35)</f>
        <v>1031.9350000000002</v>
      </c>
      <c r="T36" s="16">
        <f>SUM(T6:T35)</f>
        <v>1656.557</v>
      </c>
      <c r="U36" s="16">
        <f t="shared" si="14"/>
        <v>12987.40688</v>
      </c>
      <c r="Z36" s="17">
        <f>SUM(Z6:Z35)</f>
        <v>6288.3000000000466</v>
      </c>
      <c r="AA36" s="17">
        <f>SUM(AA6:AA35)</f>
        <v>40685.301000000291</v>
      </c>
      <c r="AD36" s="17">
        <f>SUM(AD6:AD35)</f>
        <v>368053.1</v>
      </c>
      <c r="AE36" s="16">
        <f>AD36*0.334569</f>
        <v>123139.1576139</v>
      </c>
      <c r="AF36" s="16">
        <f>SUM(AF6:AF35)</f>
        <v>635.70000000000005</v>
      </c>
      <c r="AG36" s="16">
        <f>SUM(AG6:AG35)</f>
        <v>371.49999999999994</v>
      </c>
      <c r="AH36" s="16">
        <f>SUM(AH6:AH35)</f>
        <v>239.10000000000002</v>
      </c>
      <c r="AK36" s="42">
        <f>SUM(AK6:AK35)</f>
        <v>341.59999999999854</v>
      </c>
      <c r="AL36" s="42">
        <f>SUM(AL6:AL35)</f>
        <v>97132.298488343571</v>
      </c>
      <c r="AM36" s="42">
        <f>SUM(AM6:AM35)</f>
        <v>32385.365300491074</v>
      </c>
      <c r="AN36" s="42">
        <f>SUM(AN6:AN35)</f>
        <v>1023</v>
      </c>
      <c r="AO36" s="42">
        <f>SUM(AO6:AO35)</f>
        <v>246227.53221650035</v>
      </c>
    </row>
    <row r="37" spans="1:41" x14ac:dyDescent="0.25">
      <c r="D37" s="6" t="e">
        <f>#REF!*24</f>
        <v>#REF!</v>
      </c>
      <c r="E37" s="6" t="s">
        <v>1</v>
      </c>
      <c r="R37" s="16">
        <v>7.84</v>
      </c>
      <c r="T37" s="16" t="s">
        <v>99</v>
      </c>
      <c r="U37" s="16">
        <f>U36-R38</f>
        <v>4897.0364799999988</v>
      </c>
    </row>
    <row r="38" spans="1:41" x14ac:dyDescent="0.25">
      <c r="D38" s="6" t="e">
        <f>D37*31</f>
        <v>#REF!</v>
      </c>
      <c r="E38" s="6" t="s">
        <v>2</v>
      </c>
      <c r="F38" s="6" t="s">
        <v>94</v>
      </c>
      <c r="G38" s="6" t="e">
        <f>D38*0.2</f>
        <v>#REF!</v>
      </c>
      <c r="R38" s="16">
        <f>R36*R37</f>
        <v>8090.3704000000016</v>
      </c>
      <c r="U38" s="16">
        <f>U37/R37</f>
        <v>624.62199999999984</v>
      </c>
    </row>
    <row r="39" spans="1:41" x14ac:dyDescent="0.25">
      <c r="D39" s="15" t="e">
        <f>D38*0.2</f>
        <v>#REF!</v>
      </c>
    </row>
    <row r="40" spans="1:41" x14ac:dyDescent="0.25">
      <c r="E40" s="68" t="s">
        <v>98</v>
      </c>
    </row>
    <row r="41" spans="1:41" x14ac:dyDescent="0.25">
      <c r="AD41" s="6">
        <f>G41*0.2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Joe El Khoury</cp:lastModifiedBy>
  <dcterms:created xsi:type="dcterms:W3CDTF">2017-05-03T09:23:30Z</dcterms:created>
  <dcterms:modified xsi:type="dcterms:W3CDTF">2020-09-14T06:48:50Z</dcterms:modified>
</cp:coreProperties>
</file>