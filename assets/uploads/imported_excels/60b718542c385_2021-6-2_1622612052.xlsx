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33" i="8"/>
  <c r="G33" i="8" s="1"/>
  <c r="E32" i="8"/>
  <c r="E31" i="8"/>
  <c r="G31" i="8" s="1"/>
  <c r="E30" i="8"/>
  <c r="G30" i="8" s="1"/>
  <c r="E29" i="8"/>
  <c r="G29" i="8" s="1"/>
  <c r="E28" i="8"/>
  <c r="G28" i="8" s="1"/>
  <c r="E27" i="8"/>
  <c r="G27" i="8" s="1"/>
  <c r="E26" i="8"/>
  <c r="E25" i="8"/>
  <c r="G25" i="8" s="1"/>
  <c r="E24" i="8"/>
  <c r="G24" i="8" s="1"/>
  <c r="E23" i="8"/>
  <c r="E22" i="8"/>
  <c r="G22" i="8" s="1"/>
  <c r="E21" i="8"/>
  <c r="G21" i="8" s="1"/>
  <c r="E20" i="8"/>
  <c r="G20" i="8" s="1"/>
  <c r="E19" i="8"/>
  <c r="G19" i="8" s="1"/>
  <c r="E18" i="8"/>
  <c r="E17" i="8"/>
  <c r="G17" i="8" s="1"/>
  <c r="E16" i="8"/>
  <c r="G16" i="8" s="1"/>
  <c r="E15" i="8"/>
  <c r="G15" i="8" s="1"/>
  <c r="E14" i="8"/>
  <c r="G14" i="8" s="1"/>
  <c r="E13" i="8"/>
  <c r="G13" i="8" s="1"/>
  <c r="E12" i="8"/>
  <c r="E11" i="8"/>
  <c r="G11" i="8" s="1"/>
  <c r="E10" i="8"/>
  <c r="G10" i="8" s="1"/>
  <c r="E9" i="8"/>
  <c r="G9" i="8" s="1"/>
  <c r="E8" i="8"/>
  <c r="G26" i="8"/>
  <c r="G18" i="8"/>
  <c r="E7" i="8"/>
  <c r="G7" i="8" s="1"/>
  <c r="G8" i="8"/>
  <c r="G12" i="8"/>
  <c r="G23" i="8"/>
  <c r="G32" i="8"/>
  <c r="G4" i="8"/>
  <c r="H4" i="8" s="1"/>
  <c r="E6" i="8"/>
  <c r="G6" i="8" s="1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<sst xmlns="http://schemas.openxmlformats.org/spreadsheetml/2006/main" count="110" uniqueCount="57">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</sst>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>
        <row r="34">
          <cell r="I34">
            <v>1212080.9483089999</v>
          </cell>
        </row>
      </sheetData>
      <sheetData sheetId="5">
        <row r="4">
          <cell r="E4">
            <v>742179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4">
          <cell r="F4">
            <v>4684.9539999999997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3" sqref="A3:XFD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-12930983.640000001</v>
      </c>
      <c r="F4" s="3">
        <v>0.75</v>
      </c>
      <c r="G4" s="13">
        <f>Gas!J6</f>
        <v>-1212080.9483089999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0</v>
      </c>
      <c r="F5" s="3">
        <v>0.75</v>
      </c>
      <c r="G5" s="13">
        <f>Gas!J7</f>
        <v>0</v>
      </c>
      <c r="H5" s="3">
        <v>1.66</v>
      </c>
      <c r="I5" s="13">
        <f>Water!H7</f>
        <v>0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0</v>
      </c>
      <c r="F6" s="3">
        <v>0.75</v>
      </c>
      <c r="G6" s="13">
        <f>Gas!J8</f>
        <v>0</v>
      </c>
      <c r="H6" s="3">
        <v>1.66</v>
      </c>
      <c r="I6" s="13">
        <f>Water!H8</f>
        <v>0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0</v>
      </c>
      <c r="F7" s="3">
        <v>0.75</v>
      </c>
      <c r="G7" s="13">
        <f>Gas!J9</f>
        <v>0</v>
      </c>
      <c r="H7" s="3">
        <v>1.66</v>
      </c>
      <c r="I7" s="13">
        <f>Water!H9</f>
        <v>0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0</v>
      </c>
      <c r="F8" s="3">
        <v>0.75</v>
      </c>
      <c r="G8" s="13">
        <f>Gas!J10</f>
        <v>0</v>
      </c>
      <c r="H8" s="3">
        <v>1.66</v>
      </c>
      <c r="I8" s="13">
        <f>Water!H10</f>
        <v>0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0</v>
      </c>
      <c r="F9" s="3">
        <v>0.75</v>
      </c>
      <c r="G9" s="13">
        <f>Gas!J11</f>
        <v>0</v>
      </c>
      <c r="H9" s="3">
        <v>1.66</v>
      </c>
      <c r="I9" s="13">
        <f>Water!H11</f>
        <v>0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0</v>
      </c>
      <c r="F10" s="3">
        <v>0.75</v>
      </c>
      <c r="G10" s="13">
        <f>Gas!J12</f>
        <v>0</v>
      </c>
      <c r="H10" s="3">
        <v>1.66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0</v>
      </c>
      <c r="F11" s="3">
        <v>0.75</v>
      </c>
      <c r="G11" s="13">
        <f>Gas!J13</f>
        <v>0</v>
      </c>
      <c r="H11" s="3">
        <v>1.66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0</v>
      </c>
      <c r="F12" s="3">
        <v>0.75</v>
      </c>
      <c r="G12" s="13">
        <f>Gas!J14</f>
        <v>0</v>
      </c>
      <c r="H12" s="3">
        <v>1.66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0</v>
      </c>
      <c r="F13" s="3">
        <v>0.75</v>
      </c>
      <c r="G13" s="13">
        <f>Gas!J15</f>
        <v>0</v>
      </c>
      <c r="H13" s="3">
        <v>1.66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0</v>
      </c>
      <c r="F14" s="3">
        <v>0.75</v>
      </c>
      <c r="G14" s="13">
        <f>Gas!J16</f>
        <v>0</v>
      </c>
      <c r="H14" s="3">
        <v>1.66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0</v>
      </c>
      <c r="F15" s="3">
        <v>0.75</v>
      </c>
      <c r="G15" s="13">
        <f>Gas!J17</f>
        <v>0</v>
      </c>
      <c r="H15" s="3">
        <v>1.66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0</v>
      </c>
      <c r="F16" s="3">
        <v>0.75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0</v>
      </c>
      <c r="F17" s="3">
        <v>0.75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0</v>
      </c>
      <c r="F18" s="3">
        <v>0.75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0</v>
      </c>
      <c r="F19" s="3">
        <v>0.75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0</v>
      </c>
      <c r="F20" s="3">
        <v>0.75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0</v>
      </c>
      <c r="F21" s="3">
        <v>0.75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0</v>
      </c>
      <c r="F22" s="3">
        <v>0.75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0</v>
      </c>
      <c r="F23" s="3">
        <v>0.75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0</v>
      </c>
      <c r="F24" s="3">
        <v>0.75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0</v>
      </c>
      <c r="F25" s="3">
        <v>0.75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H5" sqref="H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f>[1]Jun.2021!$E$6</f>
        <v>0</v>
      </c>
      <c r="F6" s="24">
        <v>1065</v>
      </c>
      <c r="G6" s="24">
        <f t="shared" ref="G6:G33" si="1">E6+F6</f>
        <v>1065</v>
      </c>
      <c r="H6" s="25">
        <f t="shared" si="0"/>
        <v>-9628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f>[1]Jun.2021!$E$7</f>
        <v>0</v>
      </c>
      <c r="F7" s="24">
        <v>1065</v>
      </c>
      <c r="G7" s="24">
        <f t="shared" si="1"/>
        <v>1065</v>
      </c>
      <c r="H7" s="25">
        <f t="shared" si="0"/>
        <v>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f>[1]Jun.2021!$E$8</f>
        <v>0</v>
      </c>
      <c r="F8" s="24">
        <v>1065</v>
      </c>
      <c r="G8" s="24">
        <f t="shared" si="1"/>
        <v>1065</v>
      </c>
      <c r="H8" s="25">
        <f t="shared" si="0"/>
        <v>0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f>[1]Jun.2021!$E$9</f>
        <v>0</v>
      </c>
      <c r="F9" s="24">
        <v>1065</v>
      </c>
      <c r="G9" s="24">
        <f t="shared" si="1"/>
        <v>1065</v>
      </c>
      <c r="H9" s="25">
        <f t="shared" si="0"/>
        <v>0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f>[1]Jun.2021!$E$10</f>
        <v>0</v>
      </c>
      <c r="F10" s="24">
        <v>1065</v>
      </c>
      <c r="G10" s="24">
        <f t="shared" si="1"/>
        <v>1065</v>
      </c>
      <c r="H10" s="25">
        <f t="shared" si="0"/>
        <v>0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f>[1]Jun.2021!$E$11</f>
        <v>0</v>
      </c>
      <c r="F11" s="24">
        <v>1065</v>
      </c>
      <c r="G11" s="24">
        <f t="shared" si="1"/>
        <v>1065</v>
      </c>
      <c r="H11" s="25">
        <f t="shared" si="0"/>
        <v>0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f>[1]Jun.2021!$E$12</f>
        <v>0</v>
      </c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f>[1]Jun.2021!$E$13</f>
        <v>0</v>
      </c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0</v>
      </c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f>[1]Jun.2021!$E$15</f>
        <v>0</v>
      </c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f>[1]Jun.2021!$E$16</f>
        <v>0</v>
      </c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f>[1]Jun.2021!$E$17</f>
        <v>0</v>
      </c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f>[1]Jun.2021!$E$18</f>
        <v>0</v>
      </c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f>[1]Jun.2021!$E$19</f>
        <v>0</v>
      </c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f>[1]Jun.2021!$E$20</f>
        <v>0</v>
      </c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f>[1]Jun.2021!$E$21</f>
        <v>0</v>
      </c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f>[1]Jun.2021!$E$22</f>
        <v>0</v>
      </c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0</v>
      </c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0</v>
      </c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0</v>
      </c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0</v>
      </c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7" sqref="F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f>[2]Jun.2021!$E$6</f>
        <v>0</v>
      </c>
      <c r="F6" s="24">
        <f>[2]Jun.2021!$F$6</f>
        <v>0</v>
      </c>
      <c r="G6" s="24">
        <f t="shared" si="1"/>
        <v>0</v>
      </c>
      <c r="H6" s="18">
        <v>1.299221</v>
      </c>
      <c r="I6" s="24">
        <f t="shared" si="0"/>
        <v>0</v>
      </c>
      <c r="J6" s="25">
        <f t="shared" si="2"/>
        <v>-1212080.9483089999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f>[2]Jun.2021!$E$7</f>
        <v>0</v>
      </c>
      <c r="F7" s="24">
        <f>[2]Jun.2021!$F$7</f>
        <v>0</v>
      </c>
      <c r="G7" s="24">
        <f t="shared" si="1"/>
        <v>0</v>
      </c>
      <c r="H7" s="18">
        <v>1.299221</v>
      </c>
      <c r="I7" s="24">
        <f t="shared" si="0"/>
        <v>0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f>[2]Jun.2021!$E$8</f>
        <v>0</v>
      </c>
      <c r="F8" s="24">
        <f>[2]Jun.2021!$F$8</f>
        <v>0</v>
      </c>
      <c r="G8" s="24">
        <f t="shared" si="1"/>
        <v>0</v>
      </c>
      <c r="H8" s="18">
        <v>1.299221</v>
      </c>
      <c r="I8" s="24">
        <f t="shared" si="0"/>
        <v>0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f>[2]Jun.2021!$E$9</f>
        <v>0</v>
      </c>
      <c r="F9" s="24">
        <f>[2]Jun.2021!$F$9</f>
        <v>0</v>
      </c>
      <c r="G9" s="24">
        <f t="shared" si="1"/>
        <v>0</v>
      </c>
      <c r="H9" s="18">
        <v>1.299221</v>
      </c>
      <c r="I9" s="24">
        <f t="shared" si="0"/>
        <v>0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f>[2]Jun.2021!$E$10</f>
        <v>0</v>
      </c>
      <c r="F10" s="24">
        <f>[2]Jun.2021!$F$10</f>
        <v>0</v>
      </c>
      <c r="G10" s="24">
        <f t="shared" si="1"/>
        <v>0</v>
      </c>
      <c r="H10" s="18">
        <v>1.299221</v>
      </c>
      <c r="I10" s="24">
        <f t="shared" si="0"/>
        <v>0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f>[2]Jun.2021!$E$11</f>
        <v>0</v>
      </c>
      <c r="F11" s="24">
        <f>[2]Jun.2021!$F$11</f>
        <v>0</v>
      </c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f>[2]Jun.2021!$E$12</f>
        <v>0</v>
      </c>
      <c r="F12" s="24">
        <f>[2]Jun.2021!$F$12</f>
        <v>0</v>
      </c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f>[2]Jun.2021!$E$13</f>
        <v>0</v>
      </c>
      <c r="F13" s="24">
        <f>[2]Jun.2021!$F$13</f>
        <v>0</v>
      </c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0</v>
      </c>
      <c r="F14" s="24">
        <f>[2]Jun.2021!$F$14</f>
        <v>0</v>
      </c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f>[2]Jun.2021!$E$15</f>
        <v>0</v>
      </c>
      <c r="F15" s="24">
        <f>[2]Jun.2021!$F$15</f>
        <v>0</v>
      </c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f>[2]Jun.2021!$E$16</f>
        <v>0</v>
      </c>
      <c r="F16" s="24">
        <f>[2]Jun.2021!$F$16</f>
        <v>0</v>
      </c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f>[2]Jun.2021!$E$17</f>
        <v>0</v>
      </c>
      <c r="F17" s="24">
        <f>[2]Jun.2021!$F$17</f>
        <v>0</v>
      </c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f>[2]Jun.2021!$E$18</f>
        <v>0</v>
      </c>
      <c r="F18" s="24">
        <f>[2]Jun.2021!$F$18</f>
        <v>0</v>
      </c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f>[2]Jun.2021!$E$19</f>
        <v>0</v>
      </c>
      <c r="F19" s="24">
        <f>[2]Jun.2021!$F$19</f>
        <v>0</v>
      </c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f>[2]Jun.2021!$E$20</f>
        <v>0</v>
      </c>
      <c r="F20" s="24">
        <f>[2]Jun.2021!$F$20</f>
        <v>0</v>
      </c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f>[2]Jun.2021!$E$21</f>
        <v>0</v>
      </c>
      <c r="F21" s="24">
        <f>[2]Jun.2021!$F$21</f>
        <v>0</v>
      </c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f>[2]Jun.2021!$E$22</f>
        <v>0</v>
      </c>
      <c r="F22" s="24">
        <f>[2]Jun.2021!$F$22</f>
        <v>0</v>
      </c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f>[2]Jun.2021!$E$23</f>
        <v>0</v>
      </c>
      <c r="F23" s="24">
        <f>[2]Jun.2021!$F$23</f>
        <v>0</v>
      </c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f>[2]Jun.2021!$E$24</f>
        <v>0</v>
      </c>
      <c r="F24" s="24">
        <f>[2]Jun.2021!$F$24</f>
        <v>0</v>
      </c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f>[2]Jun.2021!$E$25</f>
        <v>0</v>
      </c>
      <c r="F25" s="24">
        <f>[2]Jun.2021!$F$25</f>
        <v>0</v>
      </c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f>[2]Jun.2021!$E$26</f>
        <v>0</v>
      </c>
      <c r="F26" s="24">
        <f>[2]Jun.2021!$F$26</f>
        <v>0</v>
      </c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-242416.18966179999</v>
      </c>
      <c r="M36" s="17">
        <f>+(L36*31)</f>
        <v>-7514901.8795157997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6" sqref="F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f>'[4]Haziran.2021  '!$F$6</f>
        <v>0</v>
      </c>
      <c r="G6" s="23">
        <v>2760</v>
      </c>
      <c r="H6" s="24">
        <f t="shared" si="11"/>
        <v>0</v>
      </c>
      <c r="I6" s="25">
        <f t="shared" ref="I6:I32" si="18">H6-H5</f>
        <v>-12930983.640000001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-12930983.640000001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-12930983.640000001</v>
      </c>
      <c r="AF6" s="74">
        <f t="shared" si="5"/>
        <v>-4.0553759450940372E-6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-12930983.640000001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f>'[4]Haziran.2021  '!$F$7</f>
        <v>0</v>
      </c>
      <c r="G7" s="23">
        <v>2760</v>
      </c>
      <c r="H7" s="24">
        <f t="shared" si="11"/>
        <v>0</v>
      </c>
      <c r="I7" s="25">
        <f t="shared" si="18"/>
        <v>0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0</v>
      </c>
      <c r="W7" s="74" t="e">
        <f t="shared" si="2"/>
        <v>#DIV/0!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0</v>
      </c>
      <c r="AF7" s="74" t="e">
        <f t="shared" si="5"/>
        <v>#DIV/0!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0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f>'[4]Haziran.2021  '!$F$8</f>
        <v>0</v>
      </c>
      <c r="G8" s="23">
        <v>2760</v>
      </c>
      <c r="H8" s="24">
        <f t="shared" si="11"/>
        <v>0</v>
      </c>
      <c r="I8" s="25">
        <f t="shared" si="18"/>
        <v>0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0</v>
      </c>
      <c r="W8" s="74" t="e">
        <f t="shared" si="2"/>
        <v>#DIV/0!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0</v>
      </c>
      <c r="AF8" s="74" t="e">
        <f t="shared" si="5"/>
        <v>#DIV/0!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0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f>'[4]Haziran.2021  '!$F$9</f>
        <v>0</v>
      </c>
      <c r="G9" s="23">
        <v>2760</v>
      </c>
      <c r="H9" s="24">
        <f t="shared" si="11"/>
        <v>0</v>
      </c>
      <c r="I9" s="25">
        <f t="shared" si="18"/>
        <v>0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0</v>
      </c>
      <c r="W9" s="74" t="e">
        <f t="shared" si="2"/>
        <v>#DIV/0!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0</v>
      </c>
      <c r="AF9" s="74" t="e">
        <f t="shared" si="5"/>
        <v>#DIV/0!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0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f>'[4]Haziran.2021  '!$F$10</f>
        <v>0</v>
      </c>
      <c r="G10" s="23">
        <v>2760</v>
      </c>
      <c r="H10" s="24">
        <f t="shared" si="11"/>
        <v>0</v>
      </c>
      <c r="I10" s="25">
        <f t="shared" si="18"/>
        <v>0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0</v>
      </c>
      <c r="W10" s="74" t="e">
        <f t="shared" si="2"/>
        <v>#DIV/0!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0</v>
      </c>
      <c r="AF10" s="74" t="e">
        <f>AD10/AE10</f>
        <v>#DIV/0!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f>'[4]Haziran.2021  '!$F$11</f>
        <v>0</v>
      </c>
      <c r="G11" s="23">
        <v>2760</v>
      </c>
      <c r="H11" s="24">
        <f t="shared" si="11"/>
        <v>0</v>
      </c>
      <c r="I11" s="25">
        <f t="shared" si="18"/>
        <v>0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0</v>
      </c>
      <c r="W11" s="74" t="e">
        <f t="shared" si="2"/>
        <v>#DIV/0!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0</v>
      </c>
      <c r="AF11" s="74" t="e">
        <f>AD11/AE11</f>
        <v>#DIV/0!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f>'[4]Haziran.2021  '!$F$12</f>
        <v>0</v>
      </c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f>'[4]Haziran.2021  '!$F$13</f>
        <v>0</v>
      </c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0</v>
      </c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f>'[4]Haziran.2021  '!$F$15</f>
        <v>0</v>
      </c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f>'[4]Haziran.2021  '!$F$16</f>
        <v>0</v>
      </c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f>'[4]Haziran.2021  '!$F$17</f>
        <v>0</v>
      </c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f>'[4]Haziran.2021  '!$F$18</f>
        <v>0</v>
      </c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f>'[4]Haziran.2021  '!$F$19</f>
        <v>0</v>
      </c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f>'[4]Haziran.2021  '!$F$20</f>
        <v>0</v>
      </c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f>'[4]Haziran.2021  '!$F$21</f>
        <v>0</v>
      </c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f>'[4]Haziran.2021  '!$F$22</f>
        <v>0</v>
      </c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0</v>
      </c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0</v>
      </c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0</v>
      </c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0</v>
      </c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2021-06-02T05:33:38Z</dcterms:modified>
</cp:coreProperties>
</file>