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F:\Budget\Energies\HEP\"/>
    </mc:Choice>
  </mc:AlternateContent>
  <bookViews>
    <workbookView xWindow="32760" yWindow="32760" windowWidth="15195" windowHeight="6855" activeTab="1"/>
  </bookViews>
  <sheets>
    <sheet name="TOTAL" sheetId="1" r:id="rId1"/>
    <sheet name="Submetering" sheetId="3" r:id="rId2"/>
    <sheet name="Geneva Daily" sheetId="2" r:id="rId3"/>
  </sheets>
  <calcPr calcId="152511"/>
</workbook>
</file>

<file path=xl/calcChain.xml><?xml version="1.0" encoding="utf-8"?>
<calcChain xmlns="http://schemas.openxmlformats.org/spreadsheetml/2006/main">
  <c r="H2" i="1" l="1"/>
  <c r="J4" i="1" l="1"/>
  <c r="J5" i="1"/>
  <c r="J6" i="1"/>
  <c r="J7" i="1"/>
  <c r="J8" i="1"/>
  <c r="J9" i="1" s="1"/>
  <c r="J10" i="1" s="1"/>
  <c r="J11" i="1" s="1"/>
  <c r="J12" i="1" s="1"/>
  <c r="J13" i="1" s="1"/>
  <c r="J14" i="1" s="1"/>
  <c r="J15" i="1" s="1"/>
  <c r="J16" i="1" s="1"/>
  <c r="J17" i="1" s="1"/>
  <c r="J18" i="1" s="1"/>
  <c r="J19" i="1" s="1"/>
  <c r="J20" i="1" s="1"/>
  <c r="J21" i="1" s="1"/>
  <c r="J22" i="1" s="1"/>
  <c r="J23" i="1" s="1"/>
  <c r="J24" i="1" s="1"/>
  <c r="J25" i="1" s="1"/>
  <c r="J26" i="1" s="1"/>
  <c r="J27" i="1" s="1"/>
  <c r="J28" i="1" s="1"/>
  <c r="J29" i="1" s="1"/>
  <c r="J30" i="1" s="1"/>
  <c r="J31" i="1" s="1"/>
  <c r="J32" i="1" s="1"/>
  <c r="J3" i="1"/>
  <c r="H3" i="1"/>
  <c r="H4" i="1" s="1"/>
  <c r="H5" i="1" s="1"/>
  <c r="H6" i="1" s="1"/>
  <c r="H7" i="1" s="1"/>
  <c r="H8" i="1" s="1"/>
  <c r="H9" i="1" s="1"/>
  <c r="H10" i="1" s="1"/>
  <c r="H11" i="1" s="1"/>
  <c r="H12" i="1" s="1"/>
  <c r="H13" i="1" s="1"/>
  <c r="H14" i="1" s="1"/>
  <c r="H15" i="1" s="1"/>
  <c r="H16" i="1" s="1"/>
  <c r="H17" i="1" s="1"/>
  <c r="H18" i="1" s="1"/>
  <c r="H19" i="1" s="1"/>
  <c r="H20" i="1" s="1"/>
  <c r="H21" i="1" s="1"/>
  <c r="H22" i="1" s="1"/>
  <c r="H23" i="1" s="1"/>
  <c r="H24" i="1" s="1"/>
  <c r="H25" i="1" s="1"/>
  <c r="H26" i="1" s="1"/>
  <c r="H27" i="1" s="1"/>
  <c r="H28" i="1" s="1"/>
  <c r="H29" i="1" s="1"/>
  <c r="H30" i="1" s="1"/>
  <c r="H31" i="1" s="1"/>
  <c r="H32" i="1" s="1"/>
  <c r="F4" i="1"/>
  <c r="F5" i="1" s="1"/>
  <c r="F6" i="1" s="1"/>
  <c r="F7" i="1" s="1"/>
  <c r="F8" i="1" s="1"/>
  <c r="F9" i="1" s="1"/>
  <c r="F10" i="1" s="1"/>
  <c r="F11" i="1" s="1"/>
  <c r="F12" i="1" s="1"/>
  <c r="F13" i="1" s="1"/>
  <c r="F14" i="1" s="1"/>
  <c r="F15" i="1" s="1"/>
  <c r="F16" i="1" s="1"/>
  <c r="F17" i="1" s="1"/>
  <c r="F18" i="1" s="1"/>
  <c r="F19" i="1" s="1"/>
  <c r="F20" i="1" s="1"/>
  <c r="F21" i="1" s="1"/>
  <c r="F22" i="1" s="1"/>
  <c r="F23" i="1" s="1"/>
  <c r="F24" i="1" s="1"/>
  <c r="F25" i="1" s="1"/>
  <c r="F26" i="1" s="1"/>
  <c r="F27" i="1" s="1"/>
  <c r="F28" i="1" s="1"/>
  <c r="F29" i="1" s="1"/>
  <c r="F30" i="1" s="1"/>
  <c r="F31" i="1" s="1"/>
  <c r="F32" i="1" s="1"/>
  <c r="F3" i="1"/>
  <c r="G9" i="1"/>
  <c r="G10" i="1"/>
  <c r="G11" i="1"/>
  <c r="D2" i="1" l="1"/>
  <c r="D3" i="3"/>
  <c r="D4" i="3" s="1"/>
  <c r="D5" i="3" l="1"/>
  <c r="D4" i="1"/>
  <c r="D3" i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2" i="1"/>
  <c r="G3" i="1"/>
  <c r="G4" i="1"/>
  <c r="G5" i="1"/>
  <c r="G6" i="1"/>
  <c r="G7" i="1"/>
  <c r="G8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2" i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2" i="1"/>
  <c r="D6" i="3" l="1"/>
  <c r="D5" i="1"/>
  <c r="B32" i="3"/>
  <c r="L32" i="1"/>
  <c r="K32" i="1"/>
  <c r="I32" i="1"/>
  <c r="B32" i="1"/>
  <c r="D7" i="3" l="1"/>
  <c r="D6" i="1"/>
  <c r="F4" i="2"/>
  <c r="F6" i="2"/>
  <c r="F7" i="2"/>
  <c r="F8" i="2"/>
  <c r="F9" i="2"/>
  <c r="F10" i="2"/>
  <c r="F11" i="2"/>
  <c r="M13" i="2"/>
  <c r="K13" i="2"/>
  <c r="L31" i="1"/>
  <c r="L30" i="1"/>
  <c r="L29" i="1"/>
  <c r="L27" i="1"/>
  <c r="L26" i="1"/>
  <c r="L25" i="1"/>
  <c r="L24" i="1"/>
  <c r="L23" i="1"/>
  <c r="L22" i="1"/>
  <c r="L21" i="1"/>
  <c r="L20" i="1"/>
  <c r="L19" i="1"/>
  <c r="L18" i="1"/>
  <c r="L17" i="1"/>
  <c r="L16" i="1"/>
  <c r="L15" i="1"/>
  <c r="L14" i="1"/>
  <c r="L13" i="1"/>
  <c r="L12" i="1"/>
  <c r="L11" i="1"/>
  <c r="L10" i="1"/>
  <c r="L9" i="1"/>
  <c r="L7" i="1"/>
  <c r="L6" i="1"/>
  <c r="L5" i="1"/>
  <c r="L4" i="1"/>
  <c r="L3" i="1"/>
  <c r="L8" i="1"/>
  <c r="L2" i="1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2" i="1"/>
  <c r="K33" i="2"/>
  <c r="M33" i="2"/>
  <c r="O33" i="2"/>
  <c r="K34" i="2"/>
  <c r="M34" i="2"/>
  <c r="O34" i="2"/>
  <c r="F33" i="2"/>
  <c r="H33" i="2"/>
  <c r="F34" i="2"/>
  <c r="H34" i="2"/>
  <c r="D33" i="2"/>
  <c r="D34" i="2"/>
  <c r="D6" i="2"/>
  <c r="H6" i="2"/>
  <c r="D7" i="2"/>
  <c r="H7" i="2"/>
  <c r="D8" i="2"/>
  <c r="H8" i="2"/>
  <c r="L28" i="1"/>
  <c r="O4" i="2"/>
  <c r="H4" i="2"/>
  <c r="D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32" i="2"/>
  <c r="D9" i="2"/>
  <c r="D10" i="2"/>
  <c r="D11" i="2"/>
  <c r="D12" i="2"/>
  <c r="D13" i="2"/>
  <c r="K6" i="2"/>
  <c r="M6" i="2"/>
  <c r="O6" i="2"/>
  <c r="K7" i="2"/>
  <c r="M7" i="2"/>
  <c r="O7" i="2"/>
  <c r="K8" i="2"/>
  <c r="M8" i="2"/>
  <c r="O8" i="2"/>
  <c r="H9" i="2"/>
  <c r="K9" i="2"/>
  <c r="M9" i="2"/>
  <c r="O9" i="2"/>
  <c r="H10" i="2"/>
  <c r="K10" i="2"/>
  <c r="M10" i="2"/>
  <c r="O10" i="2"/>
  <c r="H11" i="2"/>
  <c r="K11" i="2"/>
  <c r="M11" i="2"/>
  <c r="O11" i="2"/>
  <c r="F12" i="2"/>
  <c r="H12" i="2"/>
  <c r="K12" i="2"/>
  <c r="M12" i="2"/>
  <c r="O12" i="2"/>
  <c r="F13" i="2"/>
  <c r="H13" i="2"/>
  <c r="O13" i="2"/>
  <c r="D14" i="2"/>
  <c r="F14" i="2"/>
  <c r="H14" i="2"/>
  <c r="K14" i="2"/>
  <c r="M14" i="2"/>
  <c r="O14" i="2"/>
  <c r="F15" i="2"/>
  <c r="F16" i="2"/>
  <c r="H16" i="2"/>
  <c r="K16" i="2"/>
  <c r="M16" i="2"/>
  <c r="O16" i="2"/>
  <c r="F17" i="2"/>
  <c r="H17" i="2"/>
  <c r="K17" i="2"/>
  <c r="M17" i="2"/>
  <c r="O17" i="2"/>
  <c r="F18" i="2"/>
  <c r="H18" i="2"/>
  <c r="K18" i="2"/>
  <c r="M18" i="2"/>
  <c r="O18" i="2"/>
  <c r="F19" i="2"/>
  <c r="H19" i="2"/>
  <c r="K19" i="2"/>
  <c r="M19" i="2"/>
  <c r="O19" i="2"/>
  <c r="F20" i="2"/>
  <c r="H20" i="2"/>
  <c r="K20" i="2"/>
  <c r="M20" i="2"/>
  <c r="O20" i="2"/>
  <c r="F21" i="2"/>
  <c r="H21" i="2"/>
  <c r="K21" i="2"/>
  <c r="M21" i="2"/>
  <c r="O21" i="2"/>
  <c r="F22" i="2"/>
  <c r="H22" i="2"/>
  <c r="K22" i="2"/>
  <c r="M22" i="2"/>
  <c r="O22" i="2"/>
  <c r="F23" i="2"/>
  <c r="H23" i="2"/>
  <c r="K23" i="2"/>
  <c r="M23" i="2"/>
  <c r="O23" i="2"/>
  <c r="F24" i="2"/>
  <c r="H24" i="2"/>
  <c r="K24" i="2"/>
  <c r="M24" i="2"/>
  <c r="O24" i="2"/>
  <c r="F25" i="2"/>
  <c r="H25" i="2"/>
  <c r="K25" i="2"/>
  <c r="M25" i="2"/>
  <c r="O25" i="2"/>
  <c r="F26" i="2"/>
  <c r="H26" i="2"/>
  <c r="K26" i="2"/>
  <c r="M26" i="2"/>
  <c r="O26" i="2"/>
  <c r="F27" i="2"/>
  <c r="H27" i="2"/>
  <c r="K27" i="2"/>
  <c r="M27" i="2"/>
  <c r="O27" i="2"/>
  <c r="F28" i="2"/>
  <c r="H28" i="2"/>
  <c r="K28" i="2"/>
  <c r="M28" i="2"/>
  <c r="O28" i="2"/>
  <c r="F29" i="2"/>
  <c r="H29" i="2"/>
  <c r="K29" i="2"/>
  <c r="M29" i="2"/>
  <c r="O29" i="2"/>
  <c r="F30" i="2"/>
  <c r="H30" i="2"/>
  <c r="K30" i="2"/>
  <c r="M30" i="2"/>
  <c r="O30" i="2"/>
  <c r="F31" i="2"/>
  <c r="H31" i="2"/>
  <c r="K31" i="2"/>
  <c r="M31" i="2"/>
  <c r="O31" i="2"/>
  <c r="F32" i="2"/>
  <c r="H32" i="2"/>
  <c r="K32" i="2"/>
  <c r="M32" i="2"/>
  <c r="O32" i="2"/>
  <c r="B3" i="3"/>
  <c r="B4" i="3"/>
  <c r="B5" i="3"/>
  <c r="B6" i="3"/>
  <c r="B7" i="3"/>
  <c r="B8" i="3"/>
  <c r="B9" i="3"/>
  <c r="B10" i="3"/>
  <c r="B11" i="3"/>
  <c r="B12" i="3"/>
  <c r="B13" i="3"/>
  <c r="B14" i="3"/>
  <c r="B15" i="3"/>
  <c r="B16" i="3"/>
  <c r="B17" i="3"/>
  <c r="B18" i="3"/>
  <c r="B19" i="3"/>
  <c r="B20" i="3"/>
  <c r="B21" i="3"/>
  <c r="B22" i="3"/>
  <c r="B23" i="3"/>
  <c r="B24" i="3"/>
  <c r="B25" i="3"/>
  <c r="B26" i="3"/>
  <c r="B27" i="3"/>
  <c r="B28" i="3"/>
  <c r="B29" i="3"/>
  <c r="B30" i="3"/>
  <c r="B31" i="3"/>
  <c r="B3" i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D8" i="3" l="1"/>
  <c r="D7" i="1"/>
  <c r="D9" i="3" l="1"/>
  <c r="D8" i="1"/>
  <c r="D10" i="3" l="1"/>
  <c r="D9" i="1"/>
  <c r="D11" i="3" l="1"/>
  <c r="D10" i="1"/>
  <c r="D12" i="3" l="1"/>
  <c r="D11" i="1"/>
  <c r="D13" i="3" l="1"/>
  <c r="D12" i="1"/>
  <c r="D14" i="3" l="1"/>
  <c r="D13" i="1"/>
  <c r="D15" i="3" l="1"/>
  <c r="D14" i="1"/>
  <c r="D16" i="3" l="1"/>
  <c r="D15" i="1"/>
  <c r="D17" i="3" l="1"/>
  <c r="D16" i="1"/>
  <c r="D18" i="3" l="1"/>
  <c r="D17" i="1"/>
  <c r="D19" i="3" l="1"/>
  <c r="D18" i="1"/>
  <c r="D20" i="3" l="1"/>
  <c r="D19" i="1"/>
  <c r="D21" i="3" l="1"/>
  <c r="D20" i="1"/>
  <c r="D22" i="3" l="1"/>
  <c r="D21" i="1"/>
  <c r="D23" i="3" l="1"/>
  <c r="D22" i="1"/>
  <c r="D24" i="3" l="1"/>
  <c r="D23" i="1"/>
  <c r="D25" i="3" l="1"/>
  <c r="D24" i="1"/>
  <c r="D26" i="3" l="1"/>
  <c r="D25" i="1"/>
  <c r="D27" i="3" l="1"/>
  <c r="D26" i="1"/>
  <c r="D28" i="3" l="1"/>
  <c r="D27" i="1"/>
  <c r="D29" i="3" l="1"/>
  <c r="D28" i="1"/>
  <c r="D30" i="3" l="1"/>
  <c r="D29" i="1"/>
  <c r="D31" i="3" l="1"/>
  <c r="D30" i="1"/>
  <c r="D32" i="3" l="1"/>
  <c r="D32" i="1" s="1"/>
  <c r="D31" i="1"/>
</calcChain>
</file>

<file path=xl/sharedStrings.xml><?xml version="1.0" encoding="utf-8"?>
<sst xmlns="http://schemas.openxmlformats.org/spreadsheetml/2006/main" count="108" uniqueCount="33">
  <si>
    <t xml:space="preserve">Date </t>
  </si>
  <si>
    <t xml:space="preserve">Reading KWH </t>
  </si>
  <si>
    <t>Difference KWH</t>
  </si>
  <si>
    <t xml:space="preserve"> Reading KWH </t>
  </si>
  <si>
    <t>Site Name</t>
  </si>
  <si>
    <t>Day</t>
  </si>
  <si>
    <t>Month</t>
  </si>
  <si>
    <t>Year</t>
  </si>
  <si>
    <t>Total Electricity Kwh</t>
  </si>
  <si>
    <t>Electricity Tariff ($/Kwh)</t>
  </si>
  <si>
    <t>Water Utility Supply (m3) m3</t>
  </si>
  <si>
    <t>Water Utility Supply (m3) $/m3</t>
  </si>
  <si>
    <t xml:space="preserve">Room Nights </t>
  </si>
  <si>
    <t xml:space="preserve">Total Guests </t>
  </si>
  <si>
    <t>ROOM NIGHTS</t>
  </si>
  <si>
    <t xml:space="preserve">Days </t>
  </si>
  <si>
    <t>Daily Consumption m³</t>
  </si>
  <si>
    <t xml:space="preserve">Daily Consumption m³ </t>
  </si>
  <si>
    <t>Reading m³</t>
  </si>
  <si>
    <t>TOTAL GUESTS</t>
  </si>
  <si>
    <t>Natual Gas (m3)</t>
  </si>
  <si>
    <t>Natural Gas $/m3</t>
  </si>
  <si>
    <t>Main Electricity KWh</t>
  </si>
  <si>
    <t>Main Gas KWh</t>
  </si>
  <si>
    <t>SPA Boiler&amp; Fire Place Gas</t>
  </si>
  <si>
    <r>
      <t>SPA Boiler&amp; Fire Place Gas m</t>
    </r>
    <r>
      <rPr>
        <b/>
        <vertAlign val="superscript"/>
        <sz val="11"/>
        <color indexed="8"/>
        <rFont val="Calibri"/>
        <family val="2"/>
      </rPr>
      <t>3</t>
    </r>
  </si>
  <si>
    <r>
      <t>Main Gas m</t>
    </r>
    <r>
      <rPr>
        <b/>
        <vertAlign val="superscript"/>
        <sz val="11"/>
        <color indexed="8"/>
        <rFont val="Calibri"/>
        <family val="2"/>
      </rPr>
      <t>3</t>
    </r>
  </si>
  <si>
    <t xml:space="preserve"> Water Bergues m3</t>
  </si>
  <si>
    <t xml:space="preserve"> Water Mont-Blanc m3</t>
  </si>
  <si>
    <t xml:space="preserve"> Water Winkelried m3</t>
  </si>
  <si>
    <r>
      <t xml:space="preserve"> Water Bergues m</t>
    </r>
    <r>
      <rPr>
        <b/>
        <vertAlign val="superscript"/>
        <sz val="11"/>
        <color indexed="8"/>
        <rFont val="Calibri"/>
        <family val="2"/>
      </rPr>
      <t>3</t>
    </r>
  </si>
  <si>
    <r>
      <t xml:space="preserve"> Water Mont-Blanc m</t>
    </r>
    <r>
      <rPr>
        <b/>
        <vertAlign val="superscript"/>
        <sz val="11"/>
        <color indexed="8"/>
        <rFont val="Calibri"/>
        <family val="2"/>
      </rPr>
      <t>3</t>
    </r>
  </si>
  <si>
    <t>Geneva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</si>
</sst>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0" x14ac:knownFonts="1">
    <font>
      <sz val="11"/>
      <color theme="1"/>
      <name val="Calibri"/>
      <family val="2"/>
      <scheme val="minor"/>
    </font>
    <font>
      <b/>
      <vertAlign val="superscript"/>
      <sz val="11"/>
      <color indexed="8"/>
      <name val="Calibri"/>
      <family val="2"/>
    </font>
    <font>
      <b/>
      <sz val="11"/>
      <color theme="1"/>
      <name val="Calibri"/>
      <family val="2"/>
      <scheme val="minor"/>
    </font>
    <font>
      <sz val="16"/>
      <color theme="1"/>
      <name val="Segoe UI Emoji"/>
      <family val="2"/>
    </font>
    <font>
      <b/>
      <sz val="11"/>
      <color rgb="FF000000"/>
      <name val="Segoe UI Emoji"/>
      <family val="2"/>
    </font>
    <font>
      <b/>
      <sz val="16"/>
      <color theme="1"/>
      <name val="Segoe UI Emoji"/>
      <family val="2"/>
    </font>
    <font>
      <b/>
      <sz val="12"/>
      <color theme="1"/>
      <name val="Segoe UI Emoji"/>
      <family val="2"/>
    </font>
    <font>
      <b/>
      <sz val="11"/>
      <color theme="1"/>
      <name val="Segoe UI Emoji"/>
      <family val="2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14">
    <fill>
      <patternFill patternType="none"/>
    </fill>
    <fill>
      <patternFill patternType="gray125"/>
    </fill>
    <fill>
      <gradientFill type="path" left="0.5" right="0.5" top="0.5" bottom="0.5">
        <stop position="0">
          <color theme="0" tint="-5.0965910824915313E-2"/>
        </stop>
        <stop position="1">
          <color theme="0" tint="-0.1490218817712943"/>
        </stop>
      </gradientFill>
    </fill>
    <fill>
      <gradientFill type="path" left="0.5" right="0.5" top="0.5" bottom="0.5">
        <stop position="0">
          <color theme="0" tint="-5.0965910824915313E-2"/>
        </stop>
        <stop position="1">
          <color theme="0" tint="-0.25098422193060094"/>
        </stop>
      </gradientFill>
    </fill>
    <fill>
      <gradientFill type="path" left="0.5" right="0.5" top="0.5" bottom="0.5">
        <stop position="0">
          <color theme="0" tint="-0.1490218817712943"/>
        </stop>
        <stop position="1">
          <color theme="0" tint="-0.25098422193060094"/>
        </stop>
      </gradientFill>
    </fill>
    <fill>
      <gradientFill type="path" left="0.5" right="0.5" top="0.5" bottom="0.5">
        <stop position="0">
          <color theme="8" tint="0.59999389629810485"/>
        </stop>
        <stop position="1">
          <color theme="8" tint="0.40000610370189521"/>
        </stop>
      </gradientFill>
    </fill>
    <fill>
      <patternFill patternType="solid">
        <fgColor theme="9" tint="0.59999389629810485"/>
        <bgColor indexed="22"/>
      </patternFill>
    </fill>
    <fill>
      <patternFill patternType="solid">
        <fgColor rgb="FFFFFF00"/>
        <bgColor indexed="64"/>
      </patternFill>
    </fill>
    <fill>
      <patternFill patternType="solid">
        <fgColor theme="3" tint="0.79998168889431442"/>
        <bgColor indexed="10"/>
      </patternFill>
    </fill>
    <fill>
      <gradientFill type="path">
        <stop position="0">
          <color theme="4" tint="0.59999389629810485"/>
        </stop>
        <stop position="1">
          <color theme="4" tint="0.80001220740379042"/>
        </stop>
      </gradientFill>
    </fill>
    <fill>
      <patternFill patternType="solid">
        <fgColor theme="5" tint="0.79998168889431442"/>
        <bgColor theme="4" tint="0.79998168889431442"/>
      </patternFill>
    </fill>
    <fill>
      <patternFill patternType="solid">
        <fgColor theme="3" tint="0.79998168889431442"/>
        <bgColor indexed="13"/>
      </patternFill>
    </fill>
    <fill>
      <patternFill patternType="solid">
        <fgColor rgb="FFFFFFFF"/>
        <bgColor indexed="64"/>
      </patternFill>
    </fill>
    <fill>
      <patternFill patternType="solid">
        <fgColor theme="4" tint="0.79998168889431442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61">
    <xf numFmtId="0" fontId="0" fillId="0" borderId="0" xfId="0"/>
    <xf numFmtId="0" fontId="3" fillId="2" borderId="0" xfId="0" applyFont="1" applyFill="1" applyAlignment="1">
      <alignment horizontal="center"/>
    </xf>
    <xf numFmtId="0" fontId="2" fillId="3" borderId="1" xfId="0" applyFont="1" applyFill="1" applyBorder="1" applyAlignment="1">
      <alignment horizontal="center" vertical="center"/>
    </xf>
    <xf numFmtId="0" fontId="2" fillId="4" borderId="2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wrapText="1"/>
    </xf>
    <xf numFmtId="0" fontId="0" fillId="0" borderId="0" xfId="0" applyAlignment="1">
      <alignment horizontal="center"/>
    </xf>
    <xf numFmtId="15" fontId="2" fillId="3" borderId="1" xfId="0" applyNumberFormat="1" applyFont="1" applyFill="1" applyBorder="1" applyAlignment="1">
      <alignment horizontal="center" vertical="center"/>
    </xf>
    <xf numFmtId="1" fontId="4" fillId="0" borderId="3" xfId="0" applyNumberFormat="1" applyFont="1" applyBorder="1" applyAlignment="1">
      <alignment horizontal="center"/>
    </xf>
    <xf numFmtId="0" fontId="2" fillId="0" borderId="0" xfId="0" applyFont="1" applyAlignment="1">
      <alignment horizontal="center"/>
    </xf>
    <xf numFmtId="1" fontId="0" fillId="0" borderId="0" xfId="0" applyNumberFormat="1"/>
    <xf numFmtId="1" fontId="5" fillId="2" borderId="0" xfId="0" applyNumberFormat="1" applyFont="1" applyFill="1" applyAlignment="1">
      <alignment horizontal="center"/>
    </xf>
    <xf numFmtId="1" fontId="2" fillId="4" borderId="1" xfId="0" applyNumberFormat="1" applyFont="1" applyFill="1" applyBorder="1" applyAlignment="1">
      <alignment horizontal="center" vertical="center" wrapText="1"/>
    </xf>
    <xf numFmtId="1" fontId="2" fillId="0" borderId="0" xfId="0" applyNumberFormat="1" applyFont="1" applyAlignment="1">
      <alignment horizontal="center"/>
    </xf>
    <xf numFmtId="2" fontId="3" fillId="2" borderId="0" xfId="0" applyNumberFormat="1" applyFont="1" applyFill="1" applyAlignment="1">
      <alignment horizontal="center"/>
    </xf>
    <xf numFmtId="2" fontId="2" fillId="4" borderId="1" xfId="0" applyNumberFormat="1" applyFont="1" applyFill="1" applyBorder="1" applyAlignment="1">
      <alignment horizontal="center" vertical="center" wrapText="1"/>
    </xf>
    <xf numFmtId="2" fontId="0" fillId="0" borderId="0" xfId="0" applyNumberFormat="1" applyAlignment="1">
      <alignment horizontal="center"/>
    </xf>
    <xf numFmtId="0" fontId="2" fillId="0" borderId="0" xfId="0" applyFont="1"/>
    <xf numFmtId="0" fontId="0" fillId="0" borderId="3" xfId="0" applyBorder="1" applyAlignment="1">
      <alignment horizontal="center"/>
    </xf>
    <xf numFmtId="0" fontId="6" fillId="5" borderId="4" xfId="0" applyFont="1" applyFill="1" applyBorder="1" applyAlignment="1">
      <alignment horizontal="center" vertical="center" wrapText="1"/>
    </xf>
    <xf numFmtId="1" fontId="0" fillId="0" borderId="0" xfId="0" applyNumberFormat="1" applyAlignment="1">
      <alignment horizontal="center"/>
    </xf>
    <xf numFmtId="1" fontId="0" fillId="0" borderId="3" xfId="0" applyNumberFormat="1" applyBorder="1" applyAlignment="1">
      <alignment horizontal="center"/>
    </xf>
    <xf numFmtId="1" fontId="2" fillId="6" borderId="3" xfId="0" applyNumberFormat="1" applyFont="1" applyFill="1" applyBorder="1" applyAlignment="1">
      <alignment horizontal="center" wrapText="1"/>
    </xf>
    <xf numFmtId="1" fontId="0" fillId="0" borderId="3" xfId="0" applyNumberFormat="1" applyBorder="1" applyAlignment="1">
      <alignment horizontal="center" vertical="center"/>
    </xf>
    <xf numFmtId="0" fontId="2" fillId="0" borderId="5" xfId="0" applyFont="1" applyBorder="1"/>
    <xf numFmtId="0" fontId="2" fillId="0" borderId="5" xfId="0" applyFont="1" applyBorder="1" applyAlignment="1">
      <alignment horizontal="center"/>
    </xf>
    <xf numFmtId="0" fontId="2" fillId="0" borderId="5" xfId="0" applyFont="1" applyBorder="1" applyAlignment="1">
      <alignment horizontal="center" wrapText="1"/>
    </xf>
    <xf numFmtId="2" fontId="2" fillId="0" borderId="5" xfId="0" applyNumberFormat="1" applyFont="1" applyBorder="1" applyAlignment="1">
      <alignment horizontal="center" wrapText="1"/>
    </xf>
    <xf numFmtId="1" fontId="4" fillId="7" borderId="3" xfId="0" applyNumberFormat="1" applyFont="1" applyFill="1" applyBorder="1" applyAlignment="1">
      <alignment horizontal="center"/>
    </xf>
    <xf numFmtId="0" fontId="2" fillId="0" borderId="5" xfId="0" applyFont="1" applyBorder="1" applyAlignment="1">
      <alignment horizontal="center" vertical="center"/>
    </xf>
    <xf numFmtId="1" fontId="2" fillId="0" borderId="5" xfId="0" applyNumberFormat="1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0" fillId="0" borderId="0" xfId="0" applyAlignment="1">
      <alignment horizontal="right"/>
    </xf>
    <xf numFmtId="0" fontId="0" fillId="12" borderId="0" xfId="0" applyFill="1"/>
    <xf numFmtId="0" fontId="8" fillId="12" borderId="0" xfId="0" applyFont="1" applyFill="1" applyAlignment="1">
      <alignment horizontal="right" vertical="center" wrapText="1"/>
    </xf>
    <xf numFmtId="14" fontId="9" fillId="12" borderId="0" xfId="0" applyNumberFormat="1" applyFont="1" applyFill="1" applyAlignment="1">
      <alignment horizontal="right" vertical="center" wrapText="1"/>
    </xf>
    <xf numFmtId="0" fontId="2" fillId="13" borderId="0" xfId="0" applyFont="1" applyFill="1"/>
    <xf numFmtId="0" fontId="0" fillId="13" borderId="0" xfId="0" applyFill="1" applyAlignment="1">
      <alignment horizontal="center"/>
    </xf>
    <xf numFmtId="1" fontId="0" fillId="0" borderId="0" xfId="0" applyNumberFormat="1" applyFill="1" applyAlignment="1">
      <alignment horizontal="center"/>
    </xf>
    <xf numFmtId="0" fontId="2" fillId="0" borderId="5" xfId="0" applyFont="1" applyFill="1" applyBorder="1" applyAlignment="1">
      <alignment horizontal="center" vertical="center"/>
    </xf>
    <xf numFmtId="1" fontId="2" fillId="0" borderId="5" xfId="0" applyNumberFormat="1" applyFont="1" applyFill="1" applyBorder="1" applyAlignment="1">
      <alignment horizontal="center" vertical="center" wrapText="1"/>
    </xf>
    <xf numFmtId="0" fontId="0" fillId="0" borderId="0" xfId="0" applyFill="1" applyAlignment="1">
      <alignment horizontal="center"/>
    </xf>
    <xf numFmtId="0" fontId="0" fillId="0" borderId="0" xfId="0" applyFill="1" applyAlignment="1">
      <alignment horizontal="right"/>
    </xf>
    <xf numFmtId="0" fontId="0" fillId="0" borderId="0" xfId="0" applyFill="1"/>
    <xf numFmtId="1" fontId="0" fillId="0" borderId="0" xfId="0" applyNumberFormat="1" applyFill="1" applyAlignment="1">
      <alignment horizontal="right"/>
    </xf>
    <xf numFmtId="1" fontId="0" fillId="0" borderId="0" xfId="0" applyNumberFormat="1" applyFill="1" applyAlignment="1">
      <alignment horizontal="center" vertical="center"/>
    </xf>
    <xf numFmtId="0" fontId="3" fillId="2" borderId="3" xfId="0" applyFont="1" applyFill="1" applyBorder="1" applyAlignment="1">
      <alignment horizontal="center"/>
    </xf>
    <xf numFmtId="0" fontId="3" fillId="9" borderId="8" xfId="0" applyFont="1" applyFill="1" applyBorder="1" applyAlignment="1">
      <alignment horizontal="center" vertical="center"/>
    </xf>
    <xf numFmtId="0" fontId="3" fillId="9" borderId="9" xfId="0" applyFont="1" applyFill="1" applyBorder="1" applyAlignment="1">
      <alignment horizontal="center" vertical="center"/>
    </xf>
    <xf numFmtId="0" fontId="3" fillId="9" borderId="0" xfId="0" applyFont="1" applyFill="1" applyAlignment="1">
      <alignment horizontal="center" vertical="center"/>
    </xf>
    <xf numFmtId="0" fontId="7" fillId="10" borderId="10" xfId="0" applyFont="1" applyFill="1" applyBorder="1" applyAlignment="1">
      <alignment horizontal="center" vertical="center"/>
    </xf>
    <xf numFmtId="1" fontId="4" fillId="0" borderId="3" xfId="0" applyNumberFormat="1" applyFont="1" applyBorder="1" applyAlignment="1">
      <alignment horizontal="center" vertical="center"/>
    </xf>
    <xf numFmtId="0" fontId="5" fillId="2" borderId="2" xfId="0" applyFont="1" applyFill="1" applyBorder="1" applyAlignment="1">
      <alignment horizontal="center"/>
    </xf>
    <xf numFmtId="0" fontId="5" fillId="2" borderId="1" xfId="0" applyFont="1" applyFill="1" applyBorder="1" applyAlignment="1">
      <alignment horizontal="center"/>
    </xf>
    <xf numFmtId="0" fontId="2" fillId="11" borderId="11" xfId="0" applyFont="1" applyFill="1" applyBorder="1" applyAlignment="1">
      <alignment horizontal="center" vertical="center" wrapText="1"/>
    </xf>
    <xf numFmtId="0" fontId="2" fillId="11" borderId="7" xfId="0" applyFont="1" applyFill="1" applyBorder="1" applyAlignment="1">
      <alignment horizontal="center" vertical="center" wrapText="1"/>
    </xf>
    <xf numFmtId="0" fontId="7" fillId="10" borderId="12" xfId="0" applyFont="1" applyFill="1" applyBorder="1" applyAlignment="1">
      <alignment horizontal="center" vertical="center"/>
    </xf>
    <xf numFmtId="0" fontId="7" fillId="10" borderId="13" xfId="0" applyFont="1" applyFill="1" applyBorder="1" applyAlignment="1">
      <alignment horizontal="center" vertical="center"/>
    </xf>
    <xf numFmtId="0" fontId="2" fillId="8" borderId="7" xfId="0" applyFont="1" applyFill="1" applyBorder="1" applyAlignment="1">
      <alignment horizontal="center" vertical="center" wrapText="1"/>
    </xf>
    <xf numFmtId="1" fontId="4" fillId="0" borderId="6" xfId="0" applyNumberFormat="1" applyFont="1" applyBorder="1" applyAlignment="1">
      <alignment horizontal="center" vertical="center"/>
    </xf>
    <xf numFmtId="1" fontId="4" fillId="0" borderId="1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70C0"/>
  </sheetPr>
  <dimension ref="A1:X32"/>
  <sheetViews>
    <sheetView topLeftCell="B1" workbookViewId="0">
      <selection activeCell="D2" sqref="D2"/>
    </sheetView>
  </sheetViews>
  <sheetFormatPr defaultColWidth="11.5703125" defaultRowHeight="15" x14ac:dyDescent="0.25"/>
  <cols>
    <col min="1" max="1" width="18.140625" style="17" customWidth="1"/>
    <col min="2" max="3" width="11.5703125" style="9"/>
    <col min="4" max="4" width="13.42578125" style="9" customWidth="1"/>
    <col min="5" max="5" width="12.5703125" style="6" customWidth="1"/>
    <col min="6" max="6" width="12.5703125" style="16" customWidth="1"/>
    <col min="7" max="7" width="11.5703125" style="6"/>
    <col min="8" max="8" width="11.5703125" style="16"/>
    <col min="9" max="24" width="11.5703125" style="6"/>
  </cols>
  <sheetData>
    <row r="1" spans="1:24" s="17" customFormat="1" ht="60" x14ac:dyDescent="0.25">
      <c r="A1" s="24" t="s">
        <v>4</v>
      </c>
      <c r="B1" s="25" t="s">
        <v>5</v>
      </c>
      <c r="C1" s="25" t="s">
        <v>6</v>
      </c>
      <c r="D1" s="25" t="s">
        <v>7</v>
      </c>
      <c r="E1" s="26" t="s">
        <v>8</v>
      </c>
      <c r="F1" s="27" t="s">
        <v>9</v>
      </c>
      <c r="G1" s="26" t="s">
        <v>20</v>
      </c>
      <c r="H1" s="27" t="s">
        <v>21</v>
      </c>
      <c r="I1" s="26" t="s">
        <v>10</v>
      </c>
      <c r="J1" s="26" t="s">
        <v>11</v>
      </c>
      <c r="K1" s="26" t="s">
        <v>12</v>
      </c>
      <c r="L1" s="26" t="s">
        <v>13</v>
      </c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</row>
    <row r="2" spans="1:24" x14ac:dyDescent="0.25">
      <c r="A2" s="17" t="s">
        <v>32</v>
      </c>
      <c r="B2" s="9">
        <v>1</v>
      </c>
      <c r="C2" s="6">
        <v>1</v>
      </c>
      <c r="D2" s="9">
        <f>Submetering!D2</f>
        <v>2023</v>
      </c>
      <c r="E2" s="20">
        <f>Submetering!E2</f>
        <v>7234.35</v>
      </c>
      <c r="F2" s="16">
        <v>0.13469999999999999</v>
      </c>
      <c r="G2" s="20">
        <f>Submetering!F2+Submetering!G2</f>
        <v>425.07</v>
      </c>
      <c r="H2" s="16">
        <f>0.1004*10.7</f>
        <v>1.0742799999999999</v>
      </c>
      <c r="I2" s="20">
        <f>Submetering!J2+Submetering!I2+Submetering!H2</f>
        <v>87.98</v>
      </c>
      <c r="J2" s="16">
        <v>3.86</v>
      </c>
      <c r="K2" s="20">
        <f>Submetering!K2</f>
        <v>67</v>
      </c>
      <c r="L2" s="20">
        <f>Submetering!L2</f>
        <v>0</v>
      </c>
    </row>
    <row r="3" spans="1:24" x14ac:dyDescent="0.25">
      <c r="A3" s="17" t="s">
        <v>32</v>
      </c>
      <c r="B3" s="9">
        <f>B2+1</f>
        <v>2</v>
      </c>
      <c r="C3" s="6">
        <v>1</v>
      </c>
      <c r="D3" s="9">
        <f>Submetering!D3</f>
        <v>2023</v>
      </c>
      <c r="E3" s="20">
        <f>Submetering!E3</f>
        <v>7132.61</v>
      </c>
      <c r="F3" s="16">
        <f>F2</f>
        <v>0.13469999999999999</v>
      </c>
      <c r="G3" s="20">
        <f>Submetering!F3+Submetering!G3</f>
        <v>392.71999999999997</v>
      </c>
      <c r="H3" s="16">
        <f>H2</f>
        <v>1.0742799999999999</v>
      </c>
      <c r="I3" s="20">
        <f>Submetering!J3+Submetering!I3+Submetering!H3</f>
        <v>76.150000000000006</v>
      </c>
      <c r="J3" s="16">
        <f>J2</f>
        <v>3.86</v>
      </c>
      <c r="K3" s="20">
        <f>Submetering!K3</f>
        <v>59</v>
      </c>
      <c r="L3" s="20">
        <f>Submetering!L3</f>
        <v>0</v>
      </c>
    </row>
    <row r="4" spans="1:24" x14ac:dyDescent="0.25">
      <c r="A4" s="17" t="s">
        <v>32</v>
      </c>
      <c r="B4" s="9">
        <f t="shared" ref="B4:B32" si="0">B3+1</f>
        <v>3</v>
      </c>
      <c r="C4" s="6">
        <v>1</v>
      </c>
      <c r="D4" s="9">
        <f>Submetering!D4</f>
        <v>2023</v>
      </c>
      <c r="E4" s="20">
        <f>Submetering!E4</f>
        <v>7063.05</v>
      </c>
      <c r="F4" s="16">
        <f t="shared" ref="F4:F32" si="1">F3</f>
        <v>0.13469999999999999</v>
      </c>
      <c r="G4" s="20">
        <f>Submetering!F4+Submetering!G4</f>
        <v>444.15</v>
      </c>
      <c r="H4" s="16">
        <f t="shared" ref="H4:H32" si="2">H3</f>
        <v>1.0742799999999999</v>
      </c>
      <c r="I4" s="20">
        <f>Submetering!J4+Submetering!I4+Submetering!H4</f>
        <v>79.02</v>
      </c>
      <c r="J4" s="16">
        <f t="shared" ref="J4:J32" si="3">J3</f>
        <v>3.86</v>
      </c>
      <c r="K4" s="20">
        <f>Submetering!K4</f>
        <v>53</v>
      </c>
      <c r="L4" s="20">
        <f>Submetering!L4</f>
        <v>0</v>
      </c>
    </row>
    <row r="5" spans="1:24" x14ac:dyDescent="0.25">
      <c r="A5" s="17" t="s">
        <v>32</v>
      </c>
      <c r="B5" s="9">
        <f t="shared" si="0"/>
        <v>4</v>
      </c>
      <c r="C5" s="6">
        <v>1</v>
      </c>
      <c r="D5" s="9">
        <f>Submetering!D5</f>
        <v>2023</v>
      </c>
      <c r="E5" s="20">
        <f>Submetering!E5</f>
        <v>7260.79</v>
      </c>
      <c r="F5" s="16">
        <f t="shared" si="1"/>
        <v>0.13469999999999999</v>
      </c>
      <c r="G5" s="20">
        <f>Submetering!F5+Submetering!G5</f>
        <v>463.47999999999996</v>
      </c>
      <c r="H5" s="16">
        <f t="shared" si="2"/>
        <v>1.0742799999999999</v>
      </c>
      <c r="I5" s="20">
        <f>Submetering!J5+Submetering!I5+Submetering!H5</f>
        <v>85.58</v>
      </c>
      <c r="J5" s="16">
        <f t="shared" si="3"/>
        <v>3.86</v>
      </c>
      <c r="K5" s="20">
        <f>Submetering!K5</f>
        <v>59</v>
      </c>
      <c r="L5" s="20">
        <f>Submetering!L5</f>
        <v>0</v>
      </c>
    </row>
    <row r="6" spans="1:24" x14ac:dyDescent="0.25">
      <c r="A6" s="17" t="s">
        <v>32</v>
      </c>
      <c r="B6" s="9">
        <f t="shared" si="0"/>
        <v>5</v>
      </c>
      <c r="C6" s="6">
        <v>1</v>
      </c>
      <c r="D6" s="9">
        <f>Submetering!D6</f>
        <v>2023</v>
      </c>
      <c r="E6" s="20">
        <f>Submetering!E6</f>
        <v>7303.54</v>
      </c>
      <c r="F6" s="16">
        <f t="shared" si="1"/>
        <v>0.13469999999999999</v>
      </c>
      <c r="G6" s="20">
        <f>Submetering!F6+Submetering!G6</f>
        <v>455.03000000000003</v>
      </c>
      <c r="H6" s="16">
        <f t="shared" si="2"/>
        <v>1.0742799999999999</v>
      </c>
      <c r="I6" s="20">
        <f>Submetering!J6+Submetering!I6+Submetering!H6</f>
        <v>39.299999999999997</v>
      </c>
      <c r="J6" s="16">
        <f t="shared" si="3"/>
        <v>3.86</v>
      </c>
      <c r="K6" s="20">
        <f>Submetering!K6</f>
        <v>62</v>
      </c>
      <c r="L6" s="20">
        <f>Submetering!L6</f>
        <v>0</v>
      </c>
    </row>
    <row r="7" spans="1:24" x14ac:dyDescent="0.25">
      <c r="A7" s="17" t="s">
        <v>32</v>
      </c>
      <c r="B7" s="9">
        <f t="shared" si="0"/>
        <v>6</v>
      </c>
      <c r="C7" s="6">
        <v>1</v>
      </c>
      <c r="D7" s="9">
        <f>Submetering!D7</f>
        <v>2023</v>
      </c>
      <c r="E7" s="20">
        <f>Submetering!E7</f>
        <v>7614.53</v>
      </c>
      <c r="F7" s="16">
        <f t="shared" si="1"/>
        <v>0.13469999999999999</v>
      </c>
      <c r="G7" s="20">
        <f>Submetering!F7+Submetering!G7</f>
        <v>545.79000000000008</v>
      </c>
      <c r="H7" s="16">
        <f t="shared" si="2"/>
        <v>1.0742799999999999</v>
      </c>
      <c r="I7" s="20">
        <f>Submetering!J7+Submetering!I7+Submetering!H7</f>
        <v>85.16</v>
      </c>
      <c r="J7" s="16">
        <f t="shared" si="3"/>
        <v>3.86</v>
      </c>
      <c r="K7" s="20">
        <f>Submetering!K7</f>
        <v>73</v>
      </c>
      <c r="L7" s="20">
        <f>Submetering!L7</f>
        <v>0</v>
      </c>
    </row>
    <row r="8" spans="1:24" x14ac:dyDescent="0.25">
      <c r="A8" s="17" t="s">
        <v>32</v>
      </c>
      <c r="B8" s="9">
        <f t="shared" si="0"/>
        <v>7</v>
      </c>
      <c r="C8" s="6">
        <v>1</v>
      </c>
      <c r="D8" s="9">
        <f>Submetering!D8</f>
        <v>2023</v>
      </c>
      <c r="E8" s="20">
        <f>Submetering!E8</f>
        <v>7441.43</v>
      </c>
      <c r="F8" s="16">
        <f t="shared" si="1"/>
        <v>0.13469999999999999</v>
      </c>
      <c r="G8" s="20">
        <f>Submetering!F8+Submetering!G8</f>
        <v>503.63</v>
      </c>
      <c r="H8" s="16">
        <f t="shared" si="2"/>
        <v>1.0742799999999999</v>
      </c>
      <c r="I8" s="20">
        <f>Submetering!J8+Submetering!I8+Submetering!H8</f>
        <v>92.62</v>
      </c>
      <c r="J8" s="16">
        <f t="shared" si="3"/>
        <v>3.86</v>
      </c>
      <c r="K8" s="20">
        <f>Submetering!K8</f>
        <v>53</v>
      </c>
      <c r="L8" s="20">
        <f>Submetering!L8</f>
        <v>0</v>
      </c>
    </row>
    <row r="9" spans="1:24" x14ac:dyDescent="0.25">
      <c r="A9" s="17" t="s">
        <v>32</v>
      </c>
      <c r="B9" s="9">
        <f t="shared" si="0"/>
        <v>8</v>
      </c>
      <c r="C9" s="6">
        <v>1</v>
      </c>
      <c r="D9" s="9">
        <f>Submetering!D9</f>
        <v>2023</v>
      </c>
      <c r="E9" s="20">
        <f>Submetering!E9</f>
        <v>7103.63</v>
      </c>
      <c r="F9" s="16">
        <f t="shared" si="1"/>
        <v>0.13469999999999999</v>
      </c>
      <c r="G9" s="20">
        <f>Submetering!F9+Submetering!G9</f>
        <v>509.75</v>
      </c>
      <c r="H9" s="16">
        <f t="shared" si="2"/>
        <v>1.0742799999999999</v>
      </c>
      <c r="I9" s="20">
        <f>Submetering!J9+Submetering!I9+Submetering!H9</f>
        <v>78.97</v>
      </c>
      <c r="J9" s="16">
        <f t="shared" si="3"/>
        <v>3.86</v>
      </c>
      <c r="K9" s="20">
        <f>Submetering!K9</f>
        <v>73</v>
      </c>
      <c r="L9" s="20">
        <f>Submetering!L9</f>
        <v>0</v>
      </c>
    </row>
    <row r="10" spans="1:24" x14ac:dyDescent="0.25">
      <c r="A10" s="17" t="s">
        <v>32</v>
      </c>
      <c r="B10" s="9">
        <f t="shared" si="0"/>
        <v>9</v>
      </c>
      <c r="C10" s="6">
        <v>1</v>
      </c>
      <c r="D10" s="9">
        <f>Submetering!D10</f>
        <v>2023</v>
      </c>
      <c r="E10" s="20">
        <f>Submetering!E10</f>
        <v>7389.08</v>
      </c>
      <c r="F10" s="16">
        <f t="shared" si="1"/>
        <v>0.13469999999999999</v>
      </c>
      <c r="G10" s="20">
        <f>Submetering!F10+Submetering!G10</f>
        <v>573.65000000000009</v>
      </c>
      <c r="H10" s="16">
        <f t="shared" si="2"/>
        <v>1.0742799999999999</v>
      </c>
      <c r="I10" s="20">
        <f>Submetering!J10+Submetering!I10+Submetering!H10</f>
        <v>25.5</v>
      </c>
      <c r="J10" s="16">
        <f t="shared" si="3"/>
        <v>3.86</v>
      </c>
      <c r="K10" s="20">
        <f>Submetering!K10</f>
        <v>76</v>
      </c>
      <c r="L10" s="20">
        <f>Submetering!L10</f>
        <v>0</v>
      </c>
    </row>
    <row r="11" spans="1:24" x14ac:dyDescent="0.25">
      <c r="A11" s="17" t="s">
        <v>32</v>
      </c>
      <c r="B11" s="9">
        <f t="shared" si="0"/>
        <v>10</v>
      </c>
      <c r="C11" s="6">
        <v>1</v>
      </c>
      <c r="D11" s="9">
        <f>Submetering!D11</f>
        <v>2023</v>
      </c>
      <c r="E11" s="20">
        <f>Submetering!E11</f>
        <v>7525.58</v>
      </c>
      <c r="F11" s="16">
        <f t="shared" si="1"/>
        <v>0.13469999999999999</v>
      </c>
      <c r="G11" s="20">
        <f>Submetering!F11+Submetering!G11</f>
        <v>0</v>
      </c>
      <c r="H11" s="16">
        <f t="shared" si="2"/>
        <v>1.0742799999999999</v>
      </c>
      <c r="I11" s="20">
        <f>Submetering!J11+Submetering!I11+Submetering!H11</f>
        <v>0</v>
      </c>
      <c r="J11" s="16">
        <f t="shared" si="3"/>
        <v>3.86</v>
      </c>
      <c r="K11" s="20">
        <f>Submetering!K11</f>
        <v>63</v>
      </c>
      <c r="L11" s="20">
        <f>Submetering!L11</f>
        <v>0</v>
      </c>
    </row>
    <row r="12" spans="1:24" x14ac:dyDescent="0.25">
      <c r="A12" s="17" t="s">
        <v>32</v>
      </c>
      <c r="B12" s="9">
        <f t="shared" si="0"/>
        <v>11</v>
      </c>
      <c r="C12" s="6">
        <v>1</v>
      </c>
      <c r="D12" s="9">
        <f>Submetering!D12</f>
        <v>2023</v>
      </c>
      <c r="E12" s="20">
        <f>Submetering!E12</f>
        <v>0</v>
      </c>
      <c r="F12" s="16">
        <f t="shared" si="1"/>
        <v>0.13469999999999999</v>
      </c>
      <c r="G12" s="20">
        <f>Submetering!F12+Submetering!G12</f>
        <v>0</v>
      </c>
      <c r="H12" s="16">
        <f t="shared" si="2"/>
        <v>1.0742799999999999</v>
      </c>
      <c r="I12" s="20">
        <f>Submetering!J12+Submetering!I12+Submetering!H12</f>
        <v>0</v>
      </c>
      <c r="J12" s="16">
        <f t="shared" si="3"/>
        <v>3.86</v>
      </c>
      <c r="K12" s="20">
        <f>Submetering!K12</f>
        <v>0</v>
      </c>
      <c r="L12" s="20">
        <f>Submetering!L12</f>
        <v>0</v>
      </c>
    </row>
    <row r="13" spans="1:24" x14ac:dyDescent="0.25">
      <c r="A13" s="17" t="s">
        <v>32</v>
      </c>
      <c r="B13" s="9">
        <f t="shared" si="0"/>
        <v>12</v>
      </c>
      <c r="C13" s="6">
        <v>1</v>
      </c>
      <c r="D13" s="9">
        <f>Submetering!D13</f>
        <v>2023</v>
      </c>
      <c r="E13" s="20">
        <f>Submetering!E13</f>
        <v>0</v>
      </c>
      <c r="F13" s="16">
        <f t="shared" si="1"/>
        <v>0.13469999999999999</v>
      </c>
      <c r="G13" s="20">
        <f>Submetering!F13+Submetering!G13</f>
        <v>0</v>
      </c>
      <c r="H13" s="16">
        <f t="shared" si="2"/>
        <v>1.0742799999999999</v>
      </c>
      <c r="I13" s="20">
        <f>Submetering!J13+Submetering!I13+Submetering!H13</f>
        <v>0</v>
      </c>
      <c r="J13" s="16">
        <f t="shared" si="3"/>
        <v>3.86</v>
      </c>
      <c r="K13" s="20">
        <f>Submetering!K13</f>
        <v>0</v>
      </c>
      <c r="L13" s="20">
        <f>Submetering!L13</f>
        <v>0</v>
      </c>
    </row>
    <row r="14" spans="1:24" x14ac:dyDescent="0.25">
      <c r="A14" s="17" t="s">
        <v>32</v>
      </c>
      <c r="B14" s="9">
        <f t="shared" si="0"/>
        <v>13</v>
      </c>
      <c r="C14" s="6">
        <v>1</v>
      </c>
      <c r="D14" s="9">
        <f>Submetering!D14</f>
        <v>2023</v>
      </c>
      <c r="E14" s="20">
        <f>Submetering!E14</f>
        <v>0</v>
      </c>
      <c r="F14" s="16">
        <f t="shared" si="1"/>
        <v>0.13469999999999999</v>
      </c>
      <c r="G14" s="20">
        <f>Submetering!F14+Submetering!G14</f>
        <v>0</v>
      </c>
      <c r="H14" s="16">
        <f t="shared" si="2"/>
        <v>1.0742799999999999</v>
      </c>
      <c r="I14" s="20">
        <f>Submetering!J14+Submetering!I14+Submetering!H14</f>
        <v>0</v>
      </c>
      <c r="J14" s="16">
        <f t="shared" si="3"/>
        <v>3.86</v>
      </c>
      <c r="K14" s="20">
        <f>Submetering!K14</f>
        <v>0</v>
      </c>
      <c r="L14" s="20">
        <f>Submetering!L14</f>
        <v>0</v>
      </c>
    </row>
    <row r="15" spans="1:24" x14ac:dyDescent="0.25">
      <c r="A15" s="17" t="s">
        <v>32</v>
      </c>
      <c r="B15" s="9">
        <f t="shared" si="0"/>
        <v>14</v>
      </c>
      <c r="C15" s="6">
        <v>1</v>
      </c>
      <c r="D15" s="9">
        <f>Submetering!D15</f>
        <v>2023</v>
      </c>
      <c r="E15" s="20">
        <f>Submetering!E15</f>
        <v>0</v>
      </c>
      <c r="F15" s="16">
        <f t="shared" si="1"/>
        <v>0.13469999999999999</v>
      </c>
      <c r="G15" s="20">
        <f>Submetering!F15+Submetering!G15</f>
        <v>0</v>
      </c>
      <c r="H15" s="16">
        <f t="shared" si="2"/>
        <v>1.0742799999999999</v>
      </c>
      <c r="I15" s="20">
        <f>Submetering!J15+Submetering!I15+Submetering!H15</f>
        <v>0</v>
      </c>
      <c r="J15" s="16">
        <f t="shared" si="3"/>
        <v>3.86</v>
      </c>
      <c r="K15" s="20">
        <f>Submetering!K15</f>
        <v>0</v>
      </c>
      <c r="L15" s="20">
        <f>Submetering!L15</f>
        <v>0</v>
      </c>
    </row>
    <row r="16" spans="1:24" x14ac:dyDescent="0.25">
      <c r="A16" s="17" t="s">
        <v>32</v>
      </c>
      <c r="B16" s="9">
        <f t="shared" si="0"/>
        <v>15</v>
      </c>
      <c r="C16" s="6">
        <v>1</v>
      </c>
      <c r="D16" s="9">
        <f>Submetering!D16</f>
        <v>2023</v>
      </c>
      <c r="E16" s="20">
        <f>Submetering!E16</f>
        <v>0</v>
      </c>
      <c r="F16" s="16">
        <f t="shared" si="1"/>
        <v>0.13469999999999999</v>
      </c>
      <c r="G16" s="20">
        <f>Submetering!F16+Submetering!G16</f>
        <v>0</v>
      </c>
      <c r="H16" s="16">
        <f t="shared" si="2"/>
        <v>1.0742799999999999</v>
      </c>
      <c r="I16" s="20">
        <f>Submetering!J16+Submetering!I16+Submetering!H16</f>
        <v>0</v>
      </c>
      <c r="J16" s="16">
        <f t="shared" si="3"/>
        <v>3.86</v>
      </c>
      <c r="K16" s="20">
        <f>Submetering!K16</f>
        <v>0</v>
      </c>
      <c r="L16" s="20">
        <f>Submetering!L16</f>
        <v>0</v>
      </c>
    </row>
    <row r="17" spans="1:12" x14ac:dyDescent="0.25">
      <c r="A17" s="17" t="s">
        <v>32</v>
      </c>
      <c r="B17" s="9">
        <f t="shared" si="0"/>
        <v>16</v>
      </c>
      <c r="C17" s="6">
        <v>1</v>
      </c>
      <c r="D17" s="9">
        <f>Submetering!D17</f>
        <v>2023</v>
      </c>
      <c r="E17" s="20">
        <f>Submetering!E17</f>
        <v>0</v>
      </c>
      <c r="F17" s="16">
        <f t="shared" si="1"/>
        <v>0.13469999999999999</v>
      </c>
      <c r="G17" s="20">
        <f>Submetering!F17+Submetering!G17</f>
        <v>0</v>
      </c>
      <c r="H17" s="16">
        <f t="shared" si="2"/>
        <v>1.0742799999999999</v>
      </c>
      <c r="I17" s="20">
        <f>Submetering!J17+Submetering!I17+Submetering!H17</f>
        <v>0</v>
      </c>
      <c r="J17" s="16">
        <f t="shared" si="3"/>
        <v>3.86</v>
      </c>
      <c r="K17" s="20">
        <f>Submetering!K17</f>
        <v>0</v>
      </c>
      <c r="L17" s="20">
        <f>Submetering!L17</f>
        <v>0</v>
      </c>
    </row>
    <row r="18" spans="1:12" x14ac:dyDescent="0.25">
      <c r="A18" s="17" t="s">
        <v>32</v>
      </c>
      <c r="B18" s="9">
        <f t="shared" si="0"/>
        <v>17</v>
      </c>
      <c r="C18" s="6">
        <v>1</v>
      </c>
      <c r="D18" s="9">
        <f>Submetering!D18</f>
        <v>2023</v>
      </c>
      <c r="E18" s="20">
        <f>Submetering!E18</f>
        <v>0</v>
      </c>
      <c r="F18" s="16">
        <f t="shared" si="1"/>
        <v>0.13469999999999999</v>
      </c>
      <c r="G18" s="20">
        <f>Submetering!F18+Submetering!G18</f>
        <v>0</v>
      </c>
      <c r="H18" s="16">
        <f t="shared" si="2"/>
        <v>1.0742799999999999</v>
      </c>
      <c r="I18" s="20">
        <f>Submetering!J18+Submetering!I18+Submetering!H18</f>
        <v>0</v>
      </c>
      <c r="J18" s="16">
        <f t="shared" si="3"/>
        <v>3.86</v>
      </c>
      <c r="K18" s="20">
        <f>Submetering!K18</f>
        <v>0</v>
      </c>
      <c r="L18" s="20">
        <f>Submetering!L18</f>
        <v>0</v>
      </c>
    </row>
    <row r="19" spans="1:12" x14ac:dyDescent="0.25">
      <c r="A19" s="17" t="s">
        <v>32</v>
      </c>
      <c r="B19" s="9">
        <f t="shared" si="0"/>
        <v>18</v>
      </c>
      <c r="C19" s="6">
        <v>1</v>
      </c>
      <c r="D19" s="9">
        <f>Submetering!D19</f>
        <v>2023</v>
      </c>
      <c r="E19" s="20">
        <f>Submetering!E19</f>
        <v>0</v>
      </c>
      <c r="F19" s="16">
        <f t="shared" si="1"/>
        <v>0.13469999999999999</v>
      </c>
      <c r="G19" s="20">
        <f>Submetering!F19+Submetering!G19</f>
        <v>0</v>
      </c>
      <c r="H19" s="16">
        <f t="shared" si="2"/>
        <v>1.0742799999999999</v>
      </c>
      <c r="I19" s="20">
        <f>Submetering!J19+Submetering!I19+Submetering!H19</f>
        <v>0</v>
      </c>
      <c r="J19" s="16">
        <f t="shared" si="3"/>
        <v>3.86</v>
      </c>
      <c r="K19" s="20">
        <f>Submetering!K19</f>
        <v>0</v>
      </c>
      <c r="L19" s="20">
        <f>Submetering!L19</f>
        <v>0</v>
      </c>
    </row>
    <row r="20" spans="1:12" x14ac:dyDescent="0.25">
      <c r="A20" s="17" t="s">
        <v>32</v>
      </c>
      <c r="B20" s="9">
        <f t="shared" si="0"/>
        <v>19</v>
      </c>
      <c r="C20" s="6">
        <v>1</v>
      </c>
      <c r="D20" s="9">
        <f>Submetering!D20</f>
        <v>2023</v>
      </c>
      <c r="E20" s="20">
        <f>Submetering!E20</f>
        <v>0</v>
      </c>
      <c r="F20" s="16">
        <f t="shared" si="1"/>
        <v>0.13469999999999999</v>
      </c>
      <c r="G20" s="20">
        <f>Submetering!F20+Submetering!G20</f>
        <v>0</v>
      </c>
      <c r="H20" s="16">
        <f t="shared" si="2"/>
        <v>1.0742799999999999</v>
      </c>
      <c r="I20" s="20">
        <f>Submetering!J20+Submetering!I20+Submetering!H20</f>
        <v>0</v>
      </c>
      <c r="J20" s="16">
        <f t="shared" si="3"/>
        <v>3.86</v>
      </c>
      <c r="K20" s="20">
        <f>Submetering!K20</f>
        <v>0</v>
      </c>
      <c r="L20" s="20">
        <f>Submetering!L20</f>
        <v>0</v>
      </c>
    </row>
    <row r="21" spans="1:12" x14ac:dyDescent="0.25">
      <c r="A21" s="17" t="s">
        <v>32</v>
      </c>
      <c r="B21" s="9">
        <f t="shared" si="0"/>
        <v>20</v>
      </c>
      <c r="C21" s="6">
        <v>1</v>
      </c>
      <c r="D21" s="9">
        <f>Submetering!D21</f>
        <v>2023</v>
      </c>
      <c r="E21" s="20">
        <f>Submetering!E21</f>
        <v>0</v>
      </c>
      <c r="F21" s="16">
        <f t="shared" si="1"/>
        <v>0.13469999999999999</v>
      </c>
      <c r="G21" s="20">
        <f>Submetering!F21+Submetering!G21</f>
        <v>0</v>
      </c>
      <c r="H21" s="16">
        <f t="shared" si="2"/>
        <v>1.0742799999999999</v>
      </c>
      <c r="I21" s="20">
        <f>Submetering!J21+Submetering!I21+Submetering!H21</f>
        <v>0</v>
      </c>
      <c r="J21" s="16">
        <f t="shared" si="3"/>
        <v>3.86</v>
      </c>
      <c r="K21" s="20">
        <f>Submetering!K21</f>
        <v>0</v>
      </c>
      <c r="L21" s="20">
        <f>Submetering!L21</f>
        <v>0</v>
      </c>
    </row>
    <row r="22" spans="1:12" x14ac:dyDescent="0.25">
      <c r="A22" s="17" t="s">
        <v>32</v>
      </c>
      <c r="B22" s="9">
        <f t="shared" si="0"/>
        <v>21</v>
      </c>
      <c r="C22" s="6">
        <v>1</v>
      </c>
      <c r="D22" s="9">
        <f>Submetering!D22</f>
        <v>2023</v>
      </c>
      <c r="E22" s="20">
        <f>Submetering!E22</f>
        <v>0</v>
      </c>
      <c r="F22" s="16">
        <f t="shared" si="1"/>
        <v>0.13469999999999999</v>
      </c>
      <c r="G22" s="20">
        <f>Submetering!F22+Submetering!G22</f>
        <v>0</v>
      </c>
      <c r="H22" s="16">
        <f t="shared" si="2"/>
        <v>1.0742799999999999</v>
      </c>
      <c r="I22" s="20">
        <f>Submetering!J22+Submetering!I22+Submetering!H22</f>
        <v>0</v>
      </c>
      <c r="J22" s="16">
        <f t="shared" si="3"/>
        <v>3.86</v>
      </c>
      <c r="K22" s="20">
        <f>Submetering!K22</f>
        <v>0</v>
      </c>
      <c r="L22" s="20">
        <f>Submetering!L22</f>
        <v>0</v>
      </c>
    </row>
    <row r="23" spans="1:12" x14ac:dyDescent="0.25">
      <c r="A23" s="17" t="s">
        <v>32</v>
      </c>
      <c r="B23" s="9">
        <f t="shared" si="0"/>
        <v>22</v>
      </c>
      <c r="C23" s="6">
        <v>1</v>
      </c>
      <c r="D23" s="9">
        <f>Submetering!D23</f>
        <v>2023</v>
      </c>
      <c r="E23" s="20">
        <f>Submetering!E23</f>
        <v>0</v>
      </c>
      <c r="F23" s="16">
        <f t="shared" si="1"/>
        <v>0.13469999999999999</v>
      </c>
      <c r="G23" s="20">
        <f>Submetering!F23+Submetering!G23</f>
        <v>0</v>
      </c>
      <c r="H23" s="16">
        <f t="shared" si="2"/>
        <v>1.0742799999999999</v>
      </c>
      <c r="I23" s="20">
        <f>Submetering!J23+Submetering!I23+Submetering!H23</f>
        <v>0</v>
      </c>
      <c r="J23" s="16">
        <f t="shared" si="3"/>
        <v>3.86</v>
      </c>
      <c r="K23" s="20">
        <f>Submetering!K23</f>
        <v>0</v>
      </c>
      <c r="L23" s="20">
        <f>Submetering!L23</f>
        <v>0</v>
      </c>
    </row>
    <row r="24" spans="1:12" x14ac:dyDescent="0.25">
      <c r="A24" s="17" t="s">
        <v>32</v>
      </c>
      <c r="B24" s="9">
        <f t="shared" si="0"/>
        <v>23</v>
      </c>
      <c r="C24" s="6">
        <v>1</v>
      </c>
      <c r="D24" s="9">
        <f>Submetering!D24</f>
        <v>2023</v>
      </c>
      <c r="E24" s="20">
        <f>Submetering!E24</f>
        <v>0</v>
      </c>
      <c r="F24" s="16">
        <f t="shared" si="1"/>
        <v>0.13469999999999999</v>
      </c>
      <c r="G24" s="20">
        <f>Submetering!F24+Submetering!G24</f>
        <v>0</v>
      </c>
      <c r="H24" s="16">
        <f t="shared" si="2"/>
        <v>1.0742799999999999</v>
      </c>
      <c r="I24" s="20">
        <f>Submetering!J24+Submetering!I24+Submetering!H24</f>
        <v>0</v>
      </c>
      <c r="J24" s="16">
        <f t="shared" si="3"/>
        <v>3.86</v>
      </c>
      <c r="K24" s="20">
        <f>Submetering!K24</f>
        <v>0</v>
      </c>
      <c r="L24" s="20">
        <f>Submetering!L24</f>
        <v>0</v>
      </c>
    </row>
    <row r="25" spans="1:12" x14ac:dyDescent="0.25">
      <c r="A25" s="17" t="s">
        <v>32</v>
      </c>
      <c r="B25" s="9">
        <f t="shared" si="0"/>
        <v>24</v>
      </c>
      <c r="C25" s="6">
        <v>1</v>
      </c>
      <c r="D25" s="9">
        <f>Submetering!D25</f>
        <v>2023</v>
      </c>
      <c r="E25" s="20">
        <f>Submetering!E25</f>
        <v>0</v>
      </c>
      <c r="F25" s="16">
        <f t="shared" si="1"/>
        <v>0.13469999999999999</v>
      </c>
      <c r="G25" s="20">
        <f>Submetering!F25+Submetering!G25</f>
        <v>0</v>
      </c>
      <c r="H25" s="16">
        <f t="shared" si="2"/>
        <v>1.0742799999999999</v>
      </c>
      <c r="I25" s="20">
        <f>Submetering!J25+Submetering!I25+Submetering!H25</f>
        <v>0</v>
      </c>
      <c r="J25" s="16">
        <f t="shared" si="3"/>
        <v>3.86</v>
      </c>
      <c r="K25" s="20">
        <f>Submetering!K25</f>
        <v>0</v>
      </c>
      <c r="L25" s="20">
        <f>Submetering!L25</f>
        <v>0</v>
      </c>
    </row>
    <row r="26" spans="1:12" x14ac:dyDescent="0.25">
      <c r="A26" s="17" t="s">
        <v>32</v>
      </c>
      <c r="B26" s="9">
        <f>B25+1</f>
        <v>25</v>
      </c>
      <c r="C26" s="6">
        <v>1</v>
      </c>
      <c r="D26" s="9">
        <f>Submetering!D26</f>
        <v>2023</v>
      </c>
      <c r="E26" s="20">
        <f>Submetering!E26</f>
        <v>0</v>
      </c>
      <c r="F26" s="16">
        <f t="shared" si="1"/>
        <v>0.13469999999999999</v>
      </c>
      <c r="G26" s="20">
        <f>Submetering!F26+Submetering!G26</f>
        <v>0</v>
      </c>
      <c r="H26" s="16">
        <f t="shared" si="2"/>
        <v>1.0742799999999999</v>
      </c>
      <c r="I26" s="20">
        <f>Submetering!J26+Submetering!I26+Submetering!H26</f>
        <v>0</v>
      </c>
      <c r="J26" s="16">
        <f t="shared" si="3"/>
        <v>3.86</v>
      </c>
      <c r="K26" s="20">
        <f>Submetering!K26</f>
        <v>0</v>
      </c>
      <c r="L26" s="20">
        <f>Submetering!L26</f>
        <v>0</v>
      </c>
    </row>
    <row r="27" spans="1:12" x14ac:dyDescent="0.25">
      <c r="A27" s="17" t="s">
        <v>32</v>
      </c>
      <c r="B27" s="9">
        <f t="shared" si="0"/>
        <v>26</v>
      </c>
      <c r="C27" s="6">
        <v>1</v>
      </c>
      <c r="D27" s="9">
        <f>Submetering!D27</f>
        <v>2023</v>
      </c>
      <c r="E27" s="20">
        <f>Submetering!E27</f>
        <v>0</v>
      </c>
      <c r="F27" s="16">
        <f t="shared" si="1"/>
        <v>0.13469999999999999</v>
      </c>
      <c r="G27" s="20">
        <f>Submetering!F27+Submetering!G27</f>
        <v>0</v>
      </c>
      <c r="H27" s="16">
        <f t="shared" si="2"/>
        <v>1.0742799999999999</v>
      </c>
      <c r="I27" s="20">
        <f>Submetering!J27+Submetering!I27+Submetering!H27</f>
        <v>0</v>
      </c>
      <c r="J27" s="16">
        <f t="shared" si="3"/>
        <v>3.86</v>
      </c>
      <c r="K27" s="20">
        <f>Submetering!K27</f>
        <v>0</v>
      </c>
      <c r="L27" s="20">
        <f>Submetering!L27</f>
        <v>0</v>
      </c>
    </row>
    <row r="28" spans="1:12" x14ac:dyDescent="0.25">
      <c r="A28" s="17" t="s">
        <v>32</v>
      </c>
      <c r="B28" s="9">
        <f t="shared" si="0"/>
        <v>27</v>
      </c>
      <c r="C28" s="6">
        <v>1</v>
      </c>
      <c r="D28" s="9">
        <f>Submetering!D28</f>
        <v>2023</v>
      </c>
      <c r="E28" s="20">
        <f>Submetering!E28</f>
        <v>0</v>
      </c>
      <c r="F28" s="16">
        <f t="shared" si="1"/>
        <v>0.13469999999999999</v>
      </c>
      <c r="G28" s="20">
        <f>Submetering!F28+Submetering!G28</f>
        <v>0</v>
      </c>
      <c r="H28" s="16">
        <f t="shared" si="2"/>
        <v>1.0742799999999999</v>
      </c>
      <c r="I28" s="20">
        <f>Submetering!J28+Submetering!I28+Submetering!H28</f>
        <v>0</v>
      </c>
      <c r="J28" s="16">
        <f t="shared" si="3"/>
        <v>3.86</v>
      </c>
      <c r="K28" s="20">
        <f>Submetering!K28</f>
        <v>0</v>
      </c>
      <c r="L28" s="20">
        <f>Submetering!L28</f>
        <v>0</v>
      </c>
    </row>
    <row r="29" spans="1:12" x14ac:dyDescent="0.25">
      <c r="A29" s="17" t="s">
        <v>32</v>
      </c>
      <c r="B29" s="9">
        <f t="shared" si="0"/>
        <v>28</v>
      </c>
      <c r="C29" s="6">
        <v>1</v>
      </c>
      <c r="D29" s="9">
        <f>Submetering!D29</f>
        <v>2023</v>
      </c>
      <c r="E29" s="20">
        <f>Submetering!E29</f>
        <v>0</v>
      </c>
      <c r="F29" s="16">
        <f t="shared" si="1"/>
        <v>0.13469999999999999</v>
      </c>
      <c r="G29" s="20">
        <f>Submetering!F29+Submetering!G29</f>
        <v>0</v>
      </c>
      <c r="H29" s="16">
        <f t="shared" si="2"/>
        <v>1.0742799999999999</v>
      </c>
      <c r="I29" s="20">
        <f>Submetering!J29+Submetering!I29+Submetering!H29</f>
        <v>0</v>
      </c>
      <c r="J29" s="16">
        <f t="shared" si="3"/>
        <v>3.86</v>
      </c>
      <c r="K29" s="20">
        <f>Submetering!K29</f>
        <v>0</v>
      </c>
      <c r="L29" s="20">
        <f>Submetering!L29</f>
        <v>0</v>
      </c>
    </row>
    <row r="30" spans="1:12" x14ac:dyDescent="0.25">
      <c r="A30" s="17" t="s">
        <v>32</v>
      </c>
      <c r="B30" s="9">
        <f t="shared" si="0"/>
        <v>29</v>
      </c>
      <c r="C30" s="6">
        <v>1</v>
      </c>
      <c r="D30" s="9">
        <f>Submetering!D30</f>
        <v>2023</v>
      </c>
      <c r="E30" s="20">
        <f>Submetering!E30</f>
        <v>0</v>
      </c>
      <c r="F30" s="16">
        <f t="shared" si="1"/>
        <v>0.13469999999999999</v>
      </c>
      <c r="G30" s="20">
        <f>Submetering!F30+Submetering!G30</f>
        <v>0</v>
      </c>
      <c r="H30" s="16">
        <f t="shared" si="2"/>
        <v>1.0742799999999999</v>
      </c>
      <c r="I30" s="20">
        <f>Submetering!J30+Submetering!I30+Submetering!H30</f>
        <v>0</v>
      </c>
      <c r="J30" s="16">
        <f t="shared" si="3"/>
        <v>3.86</v>
      </c>
      <c r="K30" s="20">
        <f>Submetering!K30</f>
        <v>0</v>
      </c>
      <c r="L30" s="20">
        <f>Submetering!L30</f>
        <v>0</v>
      </c>
    </row>
    <row r="31" spans="1:12" x14ac:dyDescent="0.25">
      <c r="A31" s="17" t="s">
        <v>32</v>
      </c>
      <c r="B31" s="9">
        <f t="shared" si="0"/>
        <v>30</v>
      </c>
      <c r="C31" s="6">
        <v>1</v>
      </c>
      <c r="D31" s="9">
        <f>Submetering!D31</f>
        <v>2023</v>
      </c>
      <c r="E31" s="20">
        <f>Submetering!E31</f>
        <v>0</v>
      </c>
      <c r="F31" s="16">
        <f t="shared" si="1"/>
        <v>0.13469999999999999</v>
      </c>
      <c r="G31" s="20">
        <f>Submetering!F31+Submetering!G31</f>
        <v>0</v>
      </c>
      <c r="H31" s="16">
        <f t="shared" si="2"/>
        <v>1.0742799999999999</v>
      </c>
      <c r="I31" s="20">
        <f>Submetering!J31+Submetering!I31+Submetering!H31</f>
        <v>0</v>
      </c>
      <c r="J31" s="16">
        <f t="shared" si="3"/>
        <v>3.86</v>
      </c>
      <c r="K31" s="20">
        <f>Submetering!K31</f>
        <v>0</v>
      </c>
      <c r="L31" s="20">
        <f>Submetering!L31</f>
        <v>0</v>
      </c>
    </row>
    <row r="32" spans="1:12" x14ac:dyDescent="0.25">
      <c r="A32" s="17" t="s">
        <v>32</v>
      </c>
      <c r="B32" s="9">
        <f t="shared" si="0"/>
        <v>31</v>
      </c>
      <c r="C32" s="6">
        <v>1</v>
      </c>
      <c r="D32" s="9">
        <f>Submetering!D32</f>
        <v>2023</v>
      </c>
      <c r="E32" s="20">
        <f>Submetering!E32</f>
        <v>0</v>
      </c>
      <c r="F32" s="16">
        <f t="shared" si="1"/>
        <v>0.13469999999999999</v>
      </c>
      <c r="G32" s="20">
        <f>Submetering!F32+Submetering!G32</f>
        <v>0</v>
      </c>
      <c r="H32" s="16">
        <f t="shared" si="2"/>
        <v>1.0742799999999999</v>
      </c>
      <c r="I32" s="20">
        <f>Submetering!J32+Submetering!I32+Submetering!H32</f>
        <v>0</v>
      </c>
      <c r="J32" s="16">
        <f t="shared" si="3"/>
        <v>3.86</v>
      </c>
      <c r="K32" s="20">
        <f>Submetering!K32</f>
        <v>0</v>
      </c>
      <c r="L32" s="20">
        <f>Submetering!L32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70C0"/>
  </sheetPr>
  <dimension ref="A1:Q32"/>
  <sheetViews>
    <sheetView tabSelected="1"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G19" sqref="G19"/>
    </sheetView>
  </sheetViews>
  <sheetFormatPr defaultColWidth="11.5703125" defaultRowHeight="15" x14ac:dyDescent="0.25"/>
  <cols>
    <col min="1" max="1" width="9" style="17" customWidth="1"/>
    <col min="2" max="3" width="11.5703125" style="6" customWidth="1"/>
    <col min="4" max="4" width="13.42578125" style="6" customWidth="1"/>
    <col min="5" max="10" width="12.5703125" style="20" customWidth="1"/>
    <col min="11" max="11" width="11.5703125" style="32"/>
    <col min="12" max="12" width="11.5703125" style="20"/>
  </cols>
  <sheetData>
    <row r="1" spans="1:17" s="17" customFormat="1" ht="47.25" x14ac:dyDescent="0.25">
      <c r="A1" s="29" t="s">
        <v>4</v>
      </c>
      <c r="B1" s="29" t="s">
        <v>5</v>
      </c>
      <c r="C1" s="29" t="s">
        <v>6</v>
      </c>
      <c r="D1" s="39" t="s">
        <v>7</v>
      </c>
      <c r="E1" s="40" t="s">
        <v>22</v>
      </c>
      <c r="F1" s="40" t="s">
        <v>26</v>
      </c>
      <c r="G1" s="40" t="s">
        <v>25</v>
      </c>
      <c r="H1" s="40" t="s">
        <v>30</v>
      </c>
      <c r="I1" s="40" t="s">
        <v>31</v>
      </c>
      <c r="J1" s="40" t="s">
        <v>29</v>
      </c>
      <c r="K1" s="31" t="s">
        <v>12</v>
      </c>
      <c r="L1" s="30" t="s">
        <v>13</v>
      </c>
    </row>
    <row r="2" spans="1:17" x14ac:dyDescent="0.25">
      <c r="A2" s="17" t="s">
        <v>32</v>
      </c>
      <c r="B2" s="6">
        <v>1</v>
      </c>
      <c r="C2" s="6">
        <v>1</v>
      </c>
      <c r="D2" s="41">
        <v>2023</v>
      </c>
      <c r="E2" s="38">
        <v>7234.35</v>
      </c>
      <c r="F2" s="38">
        <v>411.11</v>
      </c>
      <c r="G2" s="38">
        <v>13.96</v>
      </c>
      <c r="H2" s="38">
        <v>1.98</v>
      </c>
      <c r="I2" s="38">
        <v>59.5</v>
      </c>
      <c r="J2" s="38">
        <v>26.5</v>
      </c>
      <c r="K2" s="6">
        <v>67</v>
      </c>
      <c r="P2" s="34"/>
      <c r="Q2" s="33"/>
    </row>
    <row r="3" spans="1:17" x14ac:dyDescent="0.25">
      <c r="A3" s="17" t="s">
        <v>32</v>
      </c>
      <c r="B3" s="6">
        <f>B2+1</f>
        <v>2</v>
      </c>
      <c r="C3" s="6">
        <v>1</v>
      </c>
      <c r="D3" s="41">
        <f>D2</f>
        <v>2023</v>
      </c>
      <c r="E3" s="38">
        <v>7132.61</v>
      </c>
      <c r="F3" s="38">
        <v>378.76</v>
      </c>
      <c r="G3" s="38">
        <v>13.96</v>
      </c>
      <c r="H3" s="38">
        <v>1.65</v>
      </c>
      <c r="I3" s="38">
        <v>49</v>
      </c>
      <c r="J3" s="38">
        <v>25.5</v>
      </c>
      <c r="K3" s="6">
        <v>59</v>
      </c>
      <c r="P3" s="35"/>
      <c r="Q3" s="34"/>
    </row>
    <row r="4" spans="1:17" x14ac:dyDescent="0.25">
      <c r="A4" s="17" t="s">
        <v>32</v>
      </c>
      <c r="B4" s="6">
        <f t="shared" ref="B4:B32" si="0">B3+1</f>
        <v>3</v>
      </c>
      <c r="C4" s="6">
        <v>1</v>
      </c>
      <c r="D4" s="41">
        <f t="shared" ref="D4:D32" si="1">D3</f>
        <v>2023</v>
      </c>
      <c r="E4" s="38">
        <v>7063.05</v>
      </c>
      <c r="F4" s="38">
        <v>433.45</v>
      </c>
      <c r="G4" s="38">
        <v>10.7</v>
      </c>
      <c r="H4" s="38">
        <v>1.52</v>
      </c>
      <c r="I4" s="38">
        <v>52</v>
      </c>
      <c r="J4" s="38">
        <v>25.5</v>
      </c>
      <c r="K4" s="6">
        <v>53</v>
      </c>
      <c r="P4" s="35"/>
      <c r="Q4" s="34"/>
    </row>
    <row r="5" spans="1:17" x14ac:dyDescent="0.25">
      <c r="A5" s="17" t="s">
        <v>32</v>
      </c>
      <c r="B5" s="6">
        <f t="shared" si="0"/>
        <v>4</v>
      </c>
      <c r="C5" s="6">
        <v>1</v>
      </c>
      <c r="D5" s="41">
        <f t="shared" si="1"/>
        <v>2023</v>
      </c>
      <c r="E5" s="38">
        <v>7260.79</v>
      </c>
      <c r="F5" s="38">
        <v>450.53</v>
      </c>
      <c r="G5" s="38">
        <v>12.95</v>
      </c>
      <c r="H5" s="38">
        <v>2.08</v>
      </c>
      <c r="I5" s="38">
        <v>54</v>
      </c>
      <c r="J5" s="38">
        <v>29.5</v>
      </c>
      <c r="K5" s="6">
        <v>59</v>
      </c>
      <c r="P5" s="35"/>
      <c r="Q5" s="34"/>
    </row>
    <row r="6" spans="1:17" x14ac:dyDescent="0.25">
      <c r="A6" s="17" t="s">
        <v>32</v>
      </c>
      <c r="B6" s="6">
        <f t="shared" si="0"/>
        <v>5</v>
      </c>
      <c r="C6" s="6">
        <v>1</v>
      </c>
      <c r="D6" s="41">
        <f t="shared" si="1"/>
        <v>2023</v>
      </c>
      <c r="E6" s="38">
        <v>7303.54</v>
      </c>
      <c r="F6" s="38">
        <v>444.56</v>
      </c>
      <c r="G6" s="38">
        <v>10.47</v>
      </c>
      <c r="H6" s="38">
        <v>1.61</v>
      </c>
      <c r="I6" s="38">
        <v>12.19</v>
      </c>
      <c r="J6" s="38">
        <v>25.5</v>
      </c>
      <c r="K6" s="41">
        <v>62</v>
      </c>
      <c r="P6" s="35"/>
      <c r="Q6" s="34"/>
    </row>
    <row r="7" spans="1:17" x14ac:dyDescent="0.25">
      <c r="A7" s="17" t="s">
        <v>32</v>
      </c>
      <c r="B7" s="6">
        <f t="shared" si="0"/>
        <v>6</v>
      </c>
      <c r="C7" s="6">
        <v>1</v>
      </c>
      <c r="D7" s="41">
        <f t="shared" si="1"/>
        <v>2023</v>
      </c>
      <c r="E7" s="38">
        <v>7614.53</v>
      </c>
      <c r="F7" s="38">
        <v>531.83000000000004</v>
      </c>
      <c r="G7" s="38">
        <v>13.96</v>
      </c>
      <c r="H7" s="38">
        <v>1.85</v>
      </c>
      <c r="I7" s="38">
        <v>56.81</v>
      </c>
      <c r="J7" s="38">
        <v>26.5</v>
      </c>
      <c r="K7" s="6">
        <v>73</v>
      </c>
      <c r="P7" s="35"/>
      <c r="Q7" s="34"/>
    </row>
    <row r="8" spans="1:17" x14ac:dyDescent="0.25">
      <c r="A8" s="17" t="s">
        <v>32</v>
      </c>
      <c r="B8" s="6">
        <f t="shared" si="0"/>
        <v>7</v>
      </c>
      <c r="C8" s="6">
        <v>1</v>
      </c>
      <c r="D8" s="41">
        <f t="shared" si="1"/>
        <v>2023</v>
      </c>
      <c r="E8" s="38">
        <v>7441.43</v>
      </c>
      <c r="F8" s="38">
        <v>490.17</v>
      </c>
      <c r="G8" s="38">
        <v>13.46</v>
      </c>
      <c r="H8" s="38">
        <v>2.12</v>
      </c>
      <c r="I8" s="38">
        <v>63</v>
      </c>
      <c r="J8" s="38">
        <v>27.5</v>
      </c>
      <c r="K8" s="6">
        <v>53</v>
      </c>
      <c r="P8" s="35"/>
      <c r="Q8" s="34"/>
    </row>
    <row r="9" spans="1:17" x14ac:dyDescent="0.25">
      <c r="A9" s="17" t="s">
        <v>32</v>
      </c>
      <c r="B9" s="6">
        <f t="shared" si="0"/>
        <v>8</v>
      </c>
      <c r="C9" s="6">
        <v>1</v>
      </c>
      <c r="D9" s="41">
        <f t="shared" si="1"/>
        <v>2023</v>
      </c>
      <c r="E9" s="38">
        <v>7103.63</v>
      </c>
      <c r="F9" s="38">
        <v>496.79</v>
      </c>
      <c r="G9" s="38">
        <v>12.96</v>
      </c>
      <c r="H9" s="38">
        <v>1.47</v>
      </c>
      <c r="I9" s="38">
        <v>51.5</v>
      </c>
      <c r="J9" s="38">
        <v>26</v>
      </c>
      <c r="K9" s="6">
        <v>73</v>
      </c>
      <c r="P9" s="35"/>
      <c r="Q9" s="34"/>
    </row>
    <row r="10" spans="1:17" x14ac:dyDescent="0.25">
      <c r="A10" s="17" t="s">
        <v>32</v>
      </c>
      <c r="B10" s="6">
        <f t="shared" si="0"/>
        <v>9</v>
      </c>
      <c r="C10" s="6">
        <v>1</v>
      </c>
      <c r="D10" s="41">
        <f t="shared" si="1"/>
        <v>2023</v>
      </c>
      <c r="E10" s="38">
        <v>7389.08</v>
      </c>
      <c r="F10" s="38">
        <v>558.19000000000005</v>
      </c>
      <c r="G10" s="38">
        <v>15.46</v>
      </c>
      <c r="H10" s="38"/>
      <c r="I10" s="38"/>
      <c r="J10" s="38">
        <v>25.5</v>
      </c>
      <c r="K10" s="38">
        <v>76</v>
      </c>
      <c r="P10" s="35"/>
      <c r="Q10" s="34"/>
    </row>
    <row r="11" spans="1:17" x14ac:dyDescent="0.25">
      <c r="A11" s="17" t="s">
        <v>32</v>
      </c>
      <c r="B11" s="6">
        <f t="shared" si="0"/>
        <v>10</v>
      </c>
      <c r="C11" s="6">
        <v>1</v>
      </c>
      <c r="D11" s="41">
        <f t="shared" si="1"/>
        <v>2023</v>
      </c>
      <c r="E11" s="38">
        <v>7525.58</v>
      </c>
      <c r="F11" s="38"/>
      <c r="G11" s="38"/>
      <c r="H11" s="38"/>
      <c r="I11" s="38"/>
      <c r="J11" s="38"/>
      <c r="K11" s="41">
        <v>63</v>
      </c>
      <c r="P11" s="35"/>
      <c r="Q11" s="34"/>
    </row>
    <row r="12" spans="1:17" x14ac:dyDescent="0.25">
      <c r="A12" s="17" t="s">
        <v>32</v>
      </c>
      <c r="B12" s="6">
        <f t="shared" si="0"/>
        <v>11</v>
      </c>
      <c r="C12" s="6">
        <v>1</v>
      </c>
      <c r="D12" s="41">
        <f t="shared" si="1"/>
        <v>2023</v>
      </c>
      <c r="E12" s="38"/>
      <c r="F12" s="38"/>
      <c r="G12" s="38"/>
      <c r="H12" s="38"/>
      <c r="I12" s="38"/>
      <c r="J12" s="38"/>
      <c r="K12" s="42"/>
      <c r="P12" s="35"/>
      <c r="Q12" s="34"/>
    </row>
    <row r="13" spans="1:17" x14ac:dyDescent="0.25">
      <c r="A13" s="17" t="s">
        <v>32</v>
      </c>
      <c r="B13" s="6">
        <f t="shared" si="0"/>
        <v>12</v>
      </c>
      <c r="C13" s="6">
        <v>1</v>
      </c>
      <c r="D13" s="41">
        <f t="shared" si="1"/>
        <v>2023</v>
      </c>
      <c r="E13" s="38"/>
      <c r="F13" s="38"/>
      <c r="G13" s="38"/>
      <c r="H13" s="38"/>
      <c r="I13" s="38"/>
      <c r="J13" s="38"/>
      <c r="K13" s="42"/>
      <c r="P13" s="35"/>
      <c r="Q13" s="34"/>
    </row>
    <row r="14" spans="1:17" x14ac:dyDescent="0.25">
      <c r="A14" s="17" t="s">
        <v>32</v>
      </c>
      <c r="B14" s="6">
        <f t="shared" si="0"/>
        <v>13</v>
      </c>
      <c r="C14" s="6">
        <v>1</v>
      </c>
      <c r="D14" s="41">
        <f t="shared" si="1"/>
        <v>2023</v>
      </c>
      <c r="E14" s="38"/>
      <c r="F14" s="38"/>
      <c r="G14" s="38"/>
      <c r="H14" s="38"/>
      <c r="I14" s="38"/>
      <c r="J14" s="38"/>
      <c r="K14" s="42"/>
    </row>
    <row r="15" spans="1:17" x14ac:dyDescent="0.25">
      <c r="A15" s="17" t="s">
        <v>32</v>
      </c>
      <c r="B15" s="6">
        <f t="shared" si="0"/>
        <v>14</v>
      </c>
      <c r="C15" s="6">
        <v>1</v>
      </c>
      <c r="D15" s="41">
        <f t="shared" si="1"/>
        <v>2023</v>
      </c>
      <c r="E15" s="38"/>
      <c r="F15" s="38"/>
      <c r="G15" s="38"/>
      <c r="H15" s="38"/>
      <c r="I15" s="38"/>
      <c r="J15" s="38"/>
      <c r="K15" s="42"/>
    </row>
    <row r="16" spans="1:17" x14ac:dyDescent="0.25">
      <c r="A16" s="17" t="s">
        <v>32</v>
      </c>
      <c r="B16" s="6">
        <f t="shared" si="0"/>
        <v>15</v>
      </c>
      <c r="C16" s="6">
        <v>1</v>
      </c>
      <c r="D16" s="41">
        <f t="shared" si="1"/>
        <v>2023</v>
      </c>
      <c r="E16" s="38"/>
      <c r="F16" s="38"/>
      <c r="G16" s="38"/>
      <c r="H16" s="38"/>
      <c r="I16" s="38"/>
      <c r="J16" s="38"/>
      <c r="K16" s="42"/>
    </row>
    <row r="17" spans="1:16" x14ac:dyDescent="0.25">
      <c r="A17" s="17" t="s">
        <v>32</v>
      </c>
      <c r="B17" s="6">
        <f t="shared" si="0"/>
        <v>16</v>
      </c>
      <c r="C17" s="6">
        <v>1</v>
      </c>
      <c r="D17" s="41">
        <f t="shared" si="1"/>
        <v>2023</v>
      </c>
      <c r="E17" s="38"/>
      <c r="F17" s="38"/>
      <c r="G17" s="38"/>
      <c r="H17" s="38"/>
      <c r="I17" s="38"/>
      <c r="J17" s="38"/>
      <c r="K17" s="42"/>
    </row>
    <row r="18" spans="1:16" x14ac:dyDescent="0.25">
      <c r="A18" s="17" t="s">
        <v>32</v>
      </c>
      <c r="B18" s="6">
        <f t="shared" si="0"/>
        <v>17</v>
      </c>
      <c r="C18" s="6">
        <v>1</v>
      </c>
      <c r="D18" s="41">
        <f t="shared" si="1"/>
        <v>2023</v>
      </c>
      <c r="E18" s="38"/>
      <c r="F18" s="38"/>
      <c r="G18" s="38"/>
      <c r="H18" s="38"/>
      <c r="I18" s="38"/>
      <c r="J18" s="38"/>
      <c r="K18" s="42"/>
    </row>
    <row r="19" spans="1:16" x14ac:dyDescent="0.25">
      <c r="A19" s="17" t="s">
        <v>32</v>
      </c>
      <c r="B19" s="6">
        <f t="shared" si="0"/>
        <v>18</v>
      </c>
      <c r="C19" s="6">
        <v>1</v>
      </c>
      <c r="D19" s="41">
        <f t="shared" si="1"/>
        <v>2023</v>
      </c>
      <c r="E19" s="38"/>
      <c r="F19" s="38"/>
      <c r="G19" s="38"/>
      <c r="H19" s="38"/>
      <c r="I19" s="38"/>
      <c r="J19" s="38"/>
      <c r="K19" s="42"/>
      <c r="L19" s="38"/>
      <c r="M19" s="43"/>
      <c r="N19" s="43"/>
      <c r="O19" s="43"/>
      <c r="P19" s="43"/>
    </row>
    <row r="20" spans="1:16" x14ac:dyDescent="0.25">
      <c r="A20" s="17" t="s">
        <v>32</v>
      </c>
      <c r="B20" s="6">
        <f t="shared" si="0"/>
        <v>19</v>
      </c>
      <c r="C20" s="6">
        <v>1</v>
      </c>
      <c r="D20" s="41">
        <f t="shared" si="1"/>
        <v>2023</v>
      </c>
      <c r="E20" s="38"/>
      <c r="F20" s="38"/>
      <c r="G20" s="38"/>
      <c r="H20" s="38"/>
      <c r="I20" s="38"/>
      <c r="J20" s="38"/>
      <c r="K20" s="44"/>
      <c r="L20" s="38"/>
      <c r="M20" s="43"/>
      <c r="N20" s="43"/>
      <c r="O20" s="43"/>
      <c r="P20" s="43"/>
    </row>
    <row r="21" spans="1:16" x14ac:dyDescent="0.25">
      <c r="A21" s="36" t="s">
        <v>32</v>
      </c>
      <c r="B21" s="37">
        <f t="shared" si="0"/>
        <v>20</v>
      </c>
      <c r="C21" s="37">
        <v>1</v>
      </c>
      <c r="D21" s="41">
        <f t="shared" si="1"/>
        <v>2023</v>
      </c>
      <c r="E21" s="38"/>
      <c r="F21" s="38"/>
      <c r="G21" s="38"/>
      <c r="H21" s="38"/>
      <c r="I21" s="38"/>
      <c r="J21" s="38"/>
      <c r="K21" s="43"/>
      <c r="L21" s="38"/>
      <c r="M21" s="41"/>
      <c r="N21" s="43"/>
      <c r="O21" s="43"/>
      <c r="P21" s="43"/>
    </row>
    <row r="22" spans="1:16" x14ac:dyDescent="0.25">
      <c r="A22" s="17" t="s">
        <v>32</v>
      </c>
      <c r="B22" s="6">
        <f t="shared" si="0"/>
        <v>21</v>
      </c>
      <c r="C22" s="6">
        <v>1</v>
      </c>
      <c r="D22" s="41">
        <f t="shared" si="1"/>
        <v>2023</v>
      </c>
      <c r="E22" s="38"/>
      <c r="F22" s="38"/>
      <c r="G22" s="38"/>
      <c r="H22" s="38"/>
      <c r="I22" s="38"/>
      <c r="J22" s="38"/>
      <c r="K22" s="44"/>
      <c r="L22" s="38"/>
      <c r="M22" s="43"/>
      <c r="N22" s="43"/>
      <c r="O22" s="43"/>
      <c r="P22" s="43"/>
    </row>
    <row r="23" spans="1:16" x14ac:dyDescent="0.25">
      <c r="A23" s="17" t="s">
        <v>32</v>
      </c>
      <c r="B23" s="6">
        <f t="shared" si="0"/>
        <v>22</v>
      </c>
      <c r="C23" s="6">
        <v>1</v>
      </c>
      <c r="D23" s="41">
        <f t="shared" si="1"/>
        <v>2023</v>
      </c>
      <c r="E23" s="38"/>
      <c r="F23" s="38"/>
      <c r="G23" s="38"/>
      <c r="H23" s="38"/>
      <c r="I23" s="38"/>
      <c r="J23" s="38"/>
      <c r="K23" s="43"/>
      <c r="L23" s="38"/>
      <c r="M23" s="43"/>
      <c r="N23" s="43"/>
      <c r="O23" s="43"/>
      <c r="P23" s="43"/>
    </row>
    <row r="24" spans="1:16" x14ac:dyDescent="0.25">
      <c r="A24" s="17" t="s">
        <v>32</v>
      </c>
      <c r="B24" s="6">
        <f t="shared" si="0"/>
        <v>23</v>
      </c>
      <c r="C24" s="6">
        <v>1</v>
      </c>
      <c r="D24" s="41">
        <f t="shared" si="1"/>
        <v>2023</v>
      </c>
      <c r="E24" s="38"/>
      <c r="F24" s="38"/>
      <c r="G24" s="38"/>
      <c r="H24" s="38"/>
      <c r="I24" s="38"/>
      <c r="J24" s="38"/>
      <c r="K24" s="43"/>
      <c r="L24" s="38"/>
      <c r="M24" s="43"/>
      <c r="N24" s="43"/>
      <c r="O24" s="43"/>
      <c r="P24" s="43"/>
    </row>
    <row r="25" spans="1:16" x14ac:dyDescent="0.25">
      <c r="A25" s="17" t="s">
        <v>32</v>
      </c>
      <c r="B25" s="6">
        <f t="shared" si="0"/>
        <v>24</v>
      </c>
      <c r="C25" s="6">
        <v>1</v>
      </c>
      <c r="D25" s="41">
        <f t="shared" si="1"/>
        <v>2023</v>
      </c>
      <c r="E25" s="38"/>
      <c r="F25" s="38"/>
      <c r="G25" s="38"/>
      <c r="H25" s="38"/>
      <c r="I25" s="38"/>
      <c r="J25" s="38"/>
      <c r="K25" s="43"/>
    </row>
    <row r="26" spans="1:16" x14ac:dyDescent="0.25">
      <c r="A26" s="17" t="s">
        <v>32</v>
      </c>
      <c r="B26" s="6">
        <f>B25+1</f>
        <v>25</v>
      </c>
      <c r="C26" s="6">
        <v>1</v>
      </c>
      <c r="D26" s="41">
        <f t="shared" si="1"/>
        <v>2023</v>
      </c>
      <c r="E26" s="38"/>
      <c r="F26" s="38"/>
      <c r="G26" s="38"/>
      <c r="H26" s="38"/>
      <c r="I26" s="38"/>
      <c r="J26" s="38"/>
      <c r="K26" s="43"/>
    </row>
    <row r="27" spans="1:16" ht="14.25" customHeight="1" x14ac:dyDescent="0.25">
      <c r="A27" s="17" t="s">
        <v>32</v>
      </c>
      <c r="B27" s="6">
        <f t="shared" si="0"/>
        <v>26</v>
      </c>
      <c r="C27" s="6">
        <v>1</v>
      </c>
      <c r="D27" s="6">
        <f t="shared" si="1"/>
        <v>2023</v>
      </c>
      <c r="E27" s="38"/>
      <c r="F27" s="38"/>
      <c r="G27" s="38"/>
      <c r="H27" s="38"/>
      <c r="I27" s="38"/>
      <c r="J27" s="38"/>
      <c r="K27" s="43"/>
    </row>
    <row r="28" spans="1:16" x14ac:dyDescent="0.25">
      <c r="A28" s="17" t="s">
        <v>32</v>
      </c>
      <c r="B28" s="6">
        <f t="shared" si="0"/>
        <v>27</v>
      </c>
      <c r="C28" s="6">
        <v>1</v>
      </c>
      <c r="D28" s="6">
        <f t="shared" si="1"/>
        <v>2023</v>
      </c>
      <c r="E28" s="38"/>
      <c r="F28" s="38"/>
      <c r="G28" s="38"/>
      <c r="H28" s="38"/>
      <c r="I28" s="38"/>
      <c r="J28" s="38"/>
      <c r="K28" s="43"/>
    </row>
    <row r="29" spans="1:16" x14ac:dyDescent="0.25">
      <c r="A29" s="17" t="s">
        <v>32</v>
      </c>
      <c r="B29" s="6">
        <f t="shared" si="0"/>
        <v>28</v>
      </c>
      <c r="C29" s="6">
        <v>1</v>
      </c>
      <c r="D29" s="6">
        <f t="shared" si="1"/>
        <v>2023</v>
      </c>
      <c r="E29" s="38"/>
      <c r="F29" s="38"/>
      <c r="G29" s="38"/>
      <c r="H29" s="38"/>
      <c r="I29" s="38"/>
      <c r="J29" s="38"/>
      <c r="K29" s="43"/>
    </row>
    <row r="30" spans="1:16" x14ac:dyDescent="0.25">
      <c r="A30" s="17" t="s">
        <v>32</v>
      </c>
      <c r="B30" s="6">
        <f t="shared" si="0"/>
        <v>29</v>
      </c>
      <c r="C30" s="6">
        <v>1</v>
      </c>
      <c r="D30" s="6">
        <f t="shared" si="1"/>
        <v>2023</v>
      </c>
      <c r="E30" s="38"/>
      <c r="F30" s="45"/>
      <c r="G30" s="45"/>
      <c r="H30" s="38"/>
      <c r="I30" s="38"/>
      <c r="J30" s="38"/>
      <c r="K30" s="43"/>
    </row>
    <row r="31" spans="1:16" x14ac:dyDescent="0.25">
      <c r="A31" s="17" t="s">
        <v>32</v>
      </c>
      <c r="B31" s="6">
        <f t="shared" si="0"/>
        <v>30</v>
      </c>
      <c r="C31" s="6">
        <v>1</v>
      </c>
      <c r="D31" s="6">
        <f t="shared" si="1"/>
        <v>2023</v>
      </c>
      <c r="E31" s="38"/>
      <c r="F31" s="45"/>
      <c r="G31" s="45"/>
      <c r="H31" s="38"/>
      <c r="I31" s="38"/>
      <c r="J31" s="38"/>
      <c r="K31" s="43"/>
    </row>
    <row r="32" spans="1:16" x14ac:dyDescent="0.25">
      <c r="A32" s="17" t="s">
        <v>32</v>
      </c>
      <c r="B32" s="6">
        <f t="shared" si="0"/>
        <v>31</v>
      </c>
      <c r="C32" s="6">
        <v>1</v>
      </c>
      <c r="D32" s="6">
        <f t="shared" si="1"/>
        <v>2023</v>
      </c>
      <c r="E32" s="38"/>
      <c r="F32" s="45"/>
      <c r="G32" s="45"/>
      <c r="H32" s="38"/>
      <c r="I32" s="38"/>
      <c r="J32" s="38"/>
      <c r="K32" s="43"/>
    </row>
  </sheetData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Q34"/>
  <sheetViews>
    <sheetView zoomScale="85" zoomScaleNormal="85" workbookViewId="0">
      <pane xSplit="1" topLeftCell="B1" activePane="topRight" state="frozen"/>
      <selection pane="topRight" activeCell="F4" sqref="F4:F11"/>
    </sheetView>
  </sheetViews>
  <sheetFormatPr defaultRowHeight="15" x14ac:dyDescent="0.25"/>
  <cols>
    <col min="1" max="1" width="14" customWidth="1"/>
    <col min="2" max="2" width="2" customWidth="1"/>
    <col min="3" max="3" width="11.85546875" style="6" customWidth="1"/>
    <col min="4" max="4" width="13.5703125" style="13" customWidth="1"/>
    <col min="5" max="5" width="13.85546875" customWidth="1"/>
    <col min="6" max="6" width="13.85546875" style="16" customWidth="1"/>
    <col min="7" max="7" width="14.85546875" customWidth="1"/>
    <col min="8" max="8" width="14.85546875" style="6" customWidth="1"/>
    <col min="9" max="9" width="2.140625" style="9" customWidth="1"/>
    <col min="10" max="10" width="10.42578125" style="6" customWidth="1"/>
    <col min="11" max="11" width="14.140625" customWidth="1"/>
    <col min="12" max="12" width="8.85546875" customWidth="1"/>
    <col min="13" max="13" width="13.85546875" customWidth="1"/>
    <col min="14" max="14" width="8.85546875" customWidth="1"/>
    <col min="15" max="15" width="12.5703125" customWidth="1"/>
    <col min="16" max="17" width="13" style="20" customWidth="1"/>
  </cols>
  <sheetData>
    <row r="1" spans="1:17" ht="10.5" customHeight="1" thickBot="1" x14ac:dyDescent="0.45">
      <c r="A1" s="1"/>
      <c r="B1" s="46"/>
      <c r="C1" s="1"/>
      <c r="D1" s="11"/>
      <c r="E1" s="1"/>
      <c r="F1" s="14"/>
      <c r="G1" s="1"/>
      <c r="H1" s="1"/>
      <c r="I1" s="47"/>
      <c r="J1" s="52"/>
      <c r="K1" s="53"/>
      <c r="L1" s="53"/>
      <c r="M1" s="53"/>
      <c r="N1" s="53"/>
      <c r="O1" s="53"/>
      <c r="P1" s="21"/>
      <c r="Q1" s="21"/>
    </row>
    <row r="2" spans="1:17" ht="35.25" customHeight="1" thickBot="1" x14ac:dyDescent="0.3">
      <c r="A2" s="19" t="s">
        <v>15</v>
      </c>
      <c r="B2" s="46"/>
      <c r="C2" s="56" t="s">
        <v>22</v>
      </c>
      <c r="D2" s="57"/>
      <c r="E2" s="50" t="s">
        <v>23</v>
      </c>
      <c r="F2" s="50"/>
      <c r="G2" s="50" t="s">
        <v>24</v>
      </c>
      <c r="H2" s="50"/>
      <c r="I2" s="48"/>
      <c r="J2" s="54" t="s">
        <v>27</v>
      </c>
      <c r="K2" s="55"/>
      <c r="L2" s="58" t="s">
        <v>28</v>
      </c>
      <c r="M2" s="58"/>
      <c r="N2" s="58" t="s">
        <v>29</v>
      </c>
      <c r="O2" s="58"/>
      <c r="P2" s="10"/>
      <c r="Q2" s="10"/>
    </row>
    <row r="3" spans="1:17" ht="44.25" customHeight="1" x14ac:dyDescent="0.25">
      <c r="A3" s="2" t="s">
        <v>0</v>
      </c>
      <c r="B3" s="46"/>
      <c r="C3" s="3" t="s">
        <v>1</v>
      </c>
      <c r="D3" s="12" t="s">
        <v>2</v>
      </c>
      <c r="E3" s="4" t="s">
        <v>3</v>
      </c>
      <c r="F3" s="15" t="s">
        <v>2</v>
      </c>
      <c r="G3" s="4" t="s">
        <v>3</v>
      </c>
      <c r="H3" s="4" t="s">
        <v>2</v>
      </c>
      <c r="I3" s="48"/>
      <c r="J3" s="4" t="s">
        <v>18</v>
      </c>
      <c r="K3" s="5" t="s">
        <v>17</v>
      </c>
      <c r="L3" s="4" t="s">
        <v>18</v>
      </c>
      <c r="M3" s="5" t="s">
        <v>16</v>
      </c>
      <c r="N3" s="4" t="s">
        <v>18</v>
      </c>
      <c r="O3" s="5" t="s">
        <v>17</v>
      </c>
      <c r="P3" s="22" t="s">
        <v>14</v>
      </c>
      <c r="Q3" s="22" t="s">
        <v>19</v>
      </c>
    </row>
    <row r="4" spans="1:17" ht="35.25" customHeight="1" x14ac:dyDescent="0.25">
      <c r="A4" s="7">
        <v>43555</v>
      </c>
      <c r="B4" s="46"/>
      <c r="C4" s="18">
        <v>22342913</v>
      </c>
      <c r="D4" s="51">
        <f>IF((C5-C4&lt;0), "",C5-C4)</f>
        <v>7975</v>
      </c>
      <c r="E4" s="18">
        <v>23837512</v>
      </c>
      <c r="F4" s="59">
        <f>IF((E5-E4&lt;0), "",E5-E4)</f>
        <v>5799</v>
      </c>
      <c r="G4" s="18">
        <v>9975816</v>
      </c>
      <c r="H4" s="51">
        <f>IF((G5-G4&lt;0), "",G5-G4)</f>
        <v>3477</v>
      </c>
      <c r="I4" s="48"/>
      <c r="J4" s="18"/>
      <c r="K4" s="51">
        <v>0</v>
      </c>
      <c r="L4" s="18"/>
      <c r="M4" s="51">
        <v>0</v>
      </c>
      <c r="N4" s="18">
        <v>75776</v>
      </c>
      <c r="O4" s="51">
        <f>IF((N5-N4&lt;0), "",N5-N4)</f>
        <v>33</v>
      </c>
      <c r="P4" s="23"/>
      <c r="Q4" s="23"/>
    </row>
    <row r="5" spans="1:17" ht="33" customHeight="1" x14ac:dyDescent="0.25">
      <c r="A5" s="7">
        <v>43556</v>
      </c>
      <c r="B5" s="46"/>
      <c r="C5" s="18">
        <v>22350888</v>
      </c>
      <c r="D5" s="51"/>
      <c r="E5" s="18">
        <v>23843311</v>
      </c>
      <c r="F5" s="60"/>
      <c r="G5" s="18">
        <v>9979293</v>
      </c>
      <c r="H5" s="51"/>
      <c r="I5" s="48"/>
      <c r="J5" s="18">
        <v>0</v>
      </c>
      <c r="K5" s="51"/>
      <c r="L5" s="18">
        <v>0</v>
      </c>
      <c r="M5" s="51"/>
      <c r="N5" s="18">
        <v>75809</v>
      </c>
      <c r="O5" s="51"/>
      <c r="P5" s="23"/>
      <c r="Q5" s="23"/>
    </row>
    <row r="6" spans="1:17" ht="45" customHeight="1" x14ac:dyDescent="0.3">
      <c r="A6" s="7">
        <v>43557</v>
      </c>
      <c r="B6" s="46"/>
      <c r="C6" s="18">
        <v>0</v>
      </c>
      <c r="D6" s="8" t="str">
        <f>IF((C6-C5&lt;0), "",C6-C5)</f>
        <v/>
      </c>
      <c r="E6" s="18"/>
      <c r="F6" s="8" t="str">
        <f t="shared" ref="F6:F32" si="0">IF((E6-E5&lt;0), "",E6-E5)</f>
        <v/>
      </c>
      <c r="G6" s="18"/>
      <c r="H6" s="8" t="str">
        <f>IF((G6-G5&lt;0), "",G6-G5)</f>
        <v/>
      </c>
      <c r="I6" s="49"/>
      <c r="J6" s="18">
        <v>0</v>
      </c>
      <c r="K6" s="8">
        <f t="shared" ref="K6:K32" si="1">IF((J6-J5&lt;0), "",J6-J5)</f>
        <v>0</v>
      </c>
      <c r="L6" s="18">
        <v>0</v>
      </c>
      <c r="M6" s="8">
        <f t="shared" ref="M6:M32" si="2">IF((L6-L5&lt;0), "",L6-L5)</f>
        <v>0</v>
      </c>
      <c r="N6" s="18"/>
      <c r="O6" s="8" t="str">
        <f t="shared" ref="O6:O32" si="3">IF((N6-N5&lt;0), "",N6-N5)</f>
        <v/>
      </c>
      <c r="P6" s="21"/>
      <c r="Q6" s="21"/>
    </row>
    <row r="7" spans="1:17" ht="45" customHeight="1" x14ac:dyDescent="0.3">
      <c r="A7" s="7">
        <v>43558</v>
      </c>
      <c r="B7" s="46"/>
      <c r="C7" s="18">
        <v>0</v>
      </c>
      <c r="D7" s="8">
        <f t="shared" ref="D7:D34" si="4">IF((C7-C6&lt;0), "",C7-C6)</f>
        <v>0</v>
      </c>
      <c r="E7" s="18"/>
      <c r="F7" s="8">
        <f t="shared" si="0"/>
        <v>0</v>
      </c>
      <c r="G7" s="18"/>
      <c r="H7" s="8">
        <f>IF((G7-G6&lt;0), "",G7-G6)</f>
        <v>0</v>
      </c>
      <c r="I7" s="48"/>
      <c r="J7" s="18">
        <v>0</v>
      </c>
      <c r="K7" s="8">
        <f t="shared" si="1"/>
        <v>0</v>
      </c>
      <c r="L7" s="18">
        <v>0</v>
      </c>
      <c r="M7" s="8">
        <f t="shared" si="2"/>
        <v>0</v>
      </c>
      <c r="N7" s="18"/>
      <c r="O7" s="8">
        <f t="shared" si="3"/>
        <v>0</v>
      </c>
      <c r="P7" s="21"/>
      <c r="Q7" s="21"/>
    </row>
    <row r="8" spans="1:17" ht="45" customHeight="1" x14ac:dyDescent="0.3">
      <c r="A8" s="7">
        <v>43559</v>
      </c>
      <c r="B8" s="46"/>
      <c r="C8" s="18"/>
      <c r="D8" s="8">
        <f t="shared" si="4"/>
        <v>0</v>
      </c>
      <c r="E8" s="18"/>
      <c r="F8" s="8">
        <f t="shared" si="0"/>
        <v>0</v>
      </c>
      <c r="G8" s="18"/>
      <c r="H8" s="8">
        <f t="shared" ref="H8:H32" si="5">IF((G8-G7&lt;0), "",G8-G7)</f>
        <v>0</v>
      </c>
      <c r="I8" s="48"/>
      <c r="J8" s="18">
        <v>0</v>
      </c>
      <c r="K8" s="8">
        <f t="shared" si="1"/>
        <v>0</v>
      </c>
      <c r="L8" s="18">
        <v>0</v>
      </c>
      <c r="M8" s="8">
        <f t="shared" si="2"/>
        <v>0</v>
      </c>
      <c r="N8" s="18"/>
      <c r="O8" s="8">
        <f t="shared" si="3"/>
        <v>0</v>
      </c>
      <c r="P8" s="21"/>
      <c r="Q8" s="21"/>
    </row>
    <row r="9" spans="1:17" ht="45" customHeight="1" x14ac:dyDescent="0.3">
      <c r="A9" s="7">
        <v>43560</v>
      </c>
      <c r="B9" s="46"/>
      <c r="C9" s="18">
        <v>0</v>
      </c>
      <c r="D9" s="8">
        <f t="shared" si="4"/>
        <v>0</v>
      </c>
      <c r="E9" s="18">
        <v>0</v>
      </c>
      <c r="F9" s="8">
        <f t="shared" si="0"/>
        <v>0</v>
      </c>
      <c r="G9" s="18">
        <v>0</v>
      </c>
      <c r="H9" s="8">
        <f t="shared" si="5"/>
        <v>0</v>
      </c>
      <c r="I9" s="48"/>
      <c r="J9" s="18">
        <v>0</v>
      </c>
      <c r="K9" s="8">
        <f t="shared" si="1"/>
        <v>0</v>
      </c>
      <c r="L9" s="18">
        <v>0</v>
      </c>
      <c r="M9" s="8">
        <f t="shared" si="2"/>
        <v>0</v>
      </c>
      <c r="N9" s="18">
        <v>0</v>
      </c>
      <c r="O9" s="8">
        <f t="shared" si="3"/>
        <v>0</v>
      </c>
      <c r="P9" s="21"/>
      <c r="Q9" s="21"/>
    </row>
    <row r="10" spans="1:17" ht="45" customHeight="1" x14ac:dyDescent="0.3">
      <c r="A10" s="7">
        <v>43561</v>
      </c>
      <c r="B10" s="46"/>
      <c r="C10" s="18">
        <v>0</v>
      </c>
      <c r="D10" s="8">
        <f t="shared" si="4"/>
        <v>0</v>
      </c>
      <c r="E10" s="18">
        <v>0</v>
      </c>
      <c r="F10" s="8">
        <f t="shared" si="0"/>
        <v>0</v>
      </c>
      <c r="G10" s="18">
        <v>0</v>
      </c>
      <c r="H10" s="8">
        <f t="shared" si="5"/>
        <v>0</v>
      </c>
      <c r="I10" s="48"/>
      <c r="J10" s="18">
        <v>0</v>
      </c>
      <c r="K10" s="8">
        <f t="shared" si="1"/>
        <v>0</v>
      </c>
      <c r="L10" s="18">
        <v>0</v>
      </c>
      <c r="M10" s="8">
        <f t="shared" si="2"/>
        <v>0</v>
      </c>
      <c r="N10" s="18">
        <v>0</v>
      </c>
      <c r="O10" s="8">
        <f t="shared" si="3"/>
        <v>0</v>
      </c>
      <c r="P10" s="21"/>
      <c r="Q10" s="21"/>
    </row>
    <row r="11" spans="1:17" ht="45" customHeight="1" x14ac:dyDescent="0.3">
      <c r="A11" s="7">
        <v>43562</v>
      </c>
      <c r="B11" s="46"/>
      <c r="C11" s="18">
        <v>0</v>
      </c>
      <c r="D11" s="8">
        <f t="shared" si="4"/>
        <v>0</v>
      </c>
      <c r="E11" s="18">
        <v>0</v>
      </c>
      <c r="F11" s="8">
        <f t="shared" si="0"/>
        <v>0</v>
      </c>
      <c r="G11" s="18">
        <v>0</v>
      </c>
      <c r="H11" s="8">
        <f t="shared" si="5"/>
        <v>0</v>
      </c>
      <c r="I11" s="48"/>
      <c r="J11" s="18">
        <v>0</v>
      </c>
      <c r="K11" s="8">
        <f t="shared" si="1"/>
        <v>0</v>
      </c>
      <c r="L11" s="18">
        <v>0</v>
      </c>
      <c r="M11" s="8">
        <f t="shared" si="2"/>
        <v>0</v>
      </c>
      <c r="N11" s="18">
        <v>0</v>
      </c>
      <c r="O11" s="8">
        <f t="shared" si="3"/>
        <v>0</v>
      </c>
      <c r="P11" s="21"/>
      <c r="Q11" s="21"/>
    </row>
    <row r="12" spans="1:17" ht="45" customHeight="1" x14ac:dyDescent="0.3">
      <c r="A12" s="7">
        <v>43563</v>
      </c>
      <c r="B12" s="46"/>
      <c r="C12" s="18">
        <v>0</v>
      </c>
      <c r="D12" s="8">
        <f t="shared" si="4"/>
        <v>0</v>
      </c>
      <c r="E12" s="18">
        <v>0</v>
      </c>
      <c r="F12" s="8">
        <f t="shared" si="0"/>
        <v>0</v>
      </c>
      <c r="G12" s="18">
        <v>0</v>
      </c>
      <c r="H12" s="8">
        <f t="shared" si="5"/>
        <v>0</v>
      </c>
      <c r="I12" s="48"/>
      <c r="J12" s="18">
        <v>0</v>
      </c>
      <c r="K12" s="8">
        <f t="shared" si="1"/>
        <v>0</v>
      </c>
      <c r="L12" s="18">
        <v>0</v>
      </c>
      <c r="M12" s="8">
        <f t="shared" si="2"/>
        <v>0</v>
      </c>
      <c r="N12" s="18">
        <v>0</v>
      </c>
      <c r="O12" s="8">
        <f t="shared" si="3"/>
        <v>0</v>
      </c>
      <c r="P12" s="21"/>
      <c r="Q12" s="21"/>
    </row>
    <row r="13" spans="1:17" ht="45" customHeight="1" x14ac:dyDescent="0.3">
      <c r="A13" s="7">
        <v>43564</v>
      </c>
      <c r="B13" s="46"/>
      <c r="C13" s="18">
        <v>0</v>
      </c>
      <c r="D13" s="8">
        <f t="shared" si="4"/>
        <v>0</v>
      </c>
      <c r="E13" s="18">
        <v>0</v>
      </c>
      <c r="F13" s="8">
        <f t="shared" si="0"/>
        <v>0</v>
      </c>
      <c r="G13" s="18">
        <v>0</v>
      </c>
      <c r="H13" s="8">
        <f t="shared" si="5"/>
        <v>0</v>
      </c>
      <c r="I13" s="48"/>
      <c r="J13" s="18">
        <v>0</v>
      </c>
      <c r="K13" s="8">
        <f t="shared" si="1"/>
        <v>0</v>
      </c>
      <c r="L13" s="18">
        <v>0</v>
      </c>
      <c r="M13" s="8">
        <f t="shared" si="2"/>
        <v>0</v>
      </c>
      <c r="N13" s="18">
        <v>0</v>
      </c>
      <c r="O13" s="8">
        <f t="shared" si="3"/>
        <v>0</v>
      </c>
      <c r="P13" s="21"/>
      <c r="Q13" s="21"/>
    </row>
    <row r="14" spans="1:17" ht="45" customHeight="1" x14ac:dyDescent="0.3">
      <c r="A14" s="7">
        <v>43565</v>
      </c>
      <c r="B14" s="46"/>
      <c r="C14" s="18">
        <v>0</v>
      </c>
      <c r="D14" s="8">
        <f t="shared" si="4"/>
        <v>0</v>
      </c>
      <c r="E14" s="18">
        <v>0</v>
      </c>
      <c r="F14" s="8">
        <f t="shared" si="0"/>
        <v>0</v>
      </c>
      <c r="G14" s="18">
        <v>0</v>
      </c>
      <c r="H14" s="8">
        <f t="shared" si="5"/>
        <v>0</v>
      </c>
      <c r="I14" s="48"/>
      <c r="J14" s="18">
        <v>0</v>
      </c>
      <c r="K14" s="8">
        <f t="shared" si="1"/>
        <v>0</v>
      </c>
      <c r="L14" s="18">
        <v>0</v>
      </c>
      <c r="M14" s="8">
        <f t="shared" si="2"/>
        <v>0</v>
      </c>
      <c r="N14" s="18">
        <v>0</v>
      </c>
      <c r="O14" s="8">
        <f t="shared" si="3"/>
        <v>0</v>
      </c>
      <c r="P14" s="21"/>
      <c r="Q14" s="21"/>
    </row>
    <row r="15" spans="1:17" ht="45" customHeight="1" x14ac:dyDescent="0.3">
      <c r="A15" s="7">
        <v>43566</v>
      </c>
      <c r="B15" s="46"/>
      <c r="C15" s="18">
        <v>0</v>
      </c>
      <c r="D15" s="8">
        <f t="shared" si="4"/>
        <v>0</v>
      </c>
      <c r="E15" s="18">
        <v>0</v>
      </c>
      <c r="F15" s="8">
        <f t="shared" si="0"/>
        <v>0</v>
      </c>
      <c r="G15" s="18">
        <v>0</v>
      </c>
      <c r="H15" s="8"/>
      <c r="I15" s="48"/>
      <c r="J15" s="18">
        <v>0</v>
      </c>
      <c r="K15" s="8"/>
      <c r="L15" s="18">
        <v>0</v>
      </c>
      <c r="M15" s="8"/>
      <c r="N15" s="18">
        <v>0</v>
      </c>
      <c r="O15" s="8"/>
      <c r="P15" s="21"/>
      <c r="Q15" s="21"/>
    </row>
    <row r="16" spans="1:17" ht="45" customHeight="1" x14ac:dyDescent="0.3">
      <c r="A16" s="7">
        <v>43567</v>
      </c>
      <c r="B16" s="46"/>
      <c r="C16" s="18">
        <v>0</v>
      </c>
      <c r="D16" s="8">
        <f t="shared" si="4"/>
        <v>0</v>
      </c>
      <c r="E16" s="18">
        <v>0</v>
      </c>
      <c r="F16" s="8">
        <f t="shared" si="0"/>
        <v>0</v>
      </c>
      <c r="G16" s="18">
        <v>0</v>
      </c>
      <c r="H16" s="8">
        <f t="shared" si="5"/>
        <v>0</v>
      </c>
      <c r="I16" s="48"/>
      <c r="J16" s="18">
        <v>0</v>
      </c>
      <c r="K16" s="8">
        <f t="shared" si="1"/>
        <v>0</v>
      </c>
      <c r="L16" s="18">
        <v>0</v>
      </c>
      <c r="M16" s="8">
        <f t="shared" si="2"/>
        <v>0</v>
      </c>
      <c r="N16" s="18">
        <v>0</v>
      </c>
      <c r="O16" s="8">
        <f t="shared" si="3"/>
        <v>0</v>
      </c>
      <c r="P16" s="21"/>
      <c r="Q16" s="21"/>
    </row>
    <row r="17" spans="1:17" ht="45" customHeight="1" x14ac:dyDescent="0.3">
      <c r="A17" s="7">
        <v>43568</v>
      </c>
      <c r="B17" s="46"/>
      <c r="C17" s="18">
        <v>0</v>
      </c>
      <c r="D17" s="8">
        <f t="shared" si="4"/>
        <v>0</v>
      </c>
      <c r="E17" s="18">
        <v>0</v>
      </c>
      <c r="F17" s="8">
        <f t="shared" si="0"/>
        <v>0</v>
      </c>
      <c r="G17" s="18">
        <v>0</v>
      </c>
      <c r="H17" s="8">
        <f t="shared" si="5"/>
        <v>0</v>
      </c>
      <c r="I17" s="48"/>
      <c r="J17" s="18">
        <v>0</v>
      </c>
      <c r="K17" s="8">
        <f t="shared" si="1"/>
        <v>0</v>
      </c>
      <c r="L17" s="18">
        <v>0</v>
      </c>
      <c r="M17" s="8">
        <f t="shared" si="2"/>
        <v>0</v>
      </c>
      <c r="N17" s="18">
        <v>0</v>
      </c>
      <c r="O17" s="8">
        <f t="shared" si="3"/>
        <v>0</v>
      </c>
      <c r="P17" s="21"/>
      <c r="Q17" s="21"/>
    </row>
    <row r="18" spans="1:17" ht="45" customHeight="1" x14ac:dyDescent="0.3">
      <c r="A18" s="7">
        <v>43569</v>
      </c>
      <c r="B18" s="46"/>
      <c r="C18" s="18">
        <v>0</v>
      </c>
      <c r="D18" s="8">
        <f t="shared" si="4"/>
        <v>0</v>
      </c>
      <c r="E18" s="18">
        <v>0</v>
      </c>
      <c r="F18" s="8">
        <f t="shared" si="0"/>
        <v>0</v>
      </c>
      <c r="G18" s="18">
        <v>0</v>
      </c>
      <c r="H18" s="8">
        <f t="shared" si="5"/>
        <v>0</v>
      </c>
      <c r="I18" s="48"/>
      <c r="J18" s="18">
        <v>0</v>
      </c>
      <c r="K18" s="8">
        <f t="shared" si="1"/>
        <v>0</v>
      </c>
      <c r="L18" s="18">
        <v>0</v>
      </c>
      <c r="M18" s="8">
        <f t="shared" si="2"/>
        <v>0</v>
      </c>
      <c r="N18" s="18">
        <v>0</v>
      </c>
      <c r="O18" s="8">
        <f t="shared" si="3"/>
        <v>0</v>
      </c>
      <c r="P18" s="21"/>
      <c r="Q18" s="21"/>
    </row>
    <row r="19" spans="1:17" ht="45" customHeight="1" x14ac:dyDescent="0.3">
      <c r="A19" s="7">
        <v>43570</v>
      </c>
      <c r="B19" s="46"/>
      <c r="C19" s="18">
        <v>0</v>
      </c>
      <c r="D19" s="8">
        <f t="shared" si="4"/>
        <v>0</v>
      </c>
      <c r="E19" s="18">
        <v>0</v>
      </c>
      <c r="F19" s="8">
        <f t="shared" si="0"/>
        <v>0</v>
      </c>
      <c r="G19" s="18">
        <v>0</v>
      </c>
      <c r="H19" s="8">
        <f t="shared" si="5"/>
        <v>0</v>
      </c>
      <c r="I19" s="48"/>
      <c r="J19" s="18">
        <v>0</v>
      </c>
      <c r="K19" s="8">
        <f t="shared" si="1"/>
        <v>0</v>
      </c>
      <c r="L19" s="18">
        <v>0</v>
      </c>
      <c r="M19" s="8">
        <f t="shared" si="2"/>
        <v>0</v>
      </c>
      <c r="N19" s="18">
        <v>0</v>
      </c>
      <c r="O19" s="8">
        <f t="shared" si="3"/>
        <v>0</v>
      </c>
      <c r="P19" s="21"/>
      <c r="Q19" s="21"/>
    </row>
    <row r="20" spans="1:17" ht="45" customHeight="1" x14ac:dyDescent="0.3">
      <c r="A20" s="7">
        <v>43571</v>
      </c>
      <c r="B20" s="46"/>
      <c r="C20" s="18">
        <v>0</v>
      </c>
      <c r="D20" s="8">
        <f t="shared" si="4"/>
        <v>0</v>
      </c>
      <c r="E20" s="18">
        <v>0</v>
      </c>
      <c r="F20" s="8">
        <f t="shared" si="0"/>
        <v>0</v>
      </c>
      <c r="G20" s="18">
        <v>0</v>
      </c>
      <c r="H20" s="8">
        <f t="shared" si="5"/>
        <v>0</v>
      </c>
      <c r="I20" s="48"/>
      <c r="J20" s="18">
        <v>0</v>
      </c>
      <c r="K20" s="8">
        <f t="shared" si="1"/>
        <v>0</v>
      </c>
      <c r="L20" s="18">
        <v>0</v>
      </c>
      <c r="M20" s="8">
        <f t="shared" si="2"/>
        <v>0</v>
      </c>
      <c r="N20" s="18">
        <v>0</v>
      </c>
      <c r="O20" s="8">
        <f t="shared" si="3"/>
        <v>0</v>
      </c>
      <c r="P20" s="21"/>
      <c r="Q20" s="21"/>
    </row>
    <row r="21" spans="1:17" ht="45" customHeight="1" x14ac:dyDescent="0.3">
      <c r="A21" s="7">
        <v>43572</v>
      </c>
      <c r="B21" s="46"/>
      <c r="C21" s="18">
        <v>0</v>
      </c>
      <c r="D21" s="8">
        <f t="shared" si="4"/>
        <v>0</v>
      </c>
      <c r="E21" s="18">
        <v>0</v>
      </c>
      <c r="F21" s="8">
        <f t="shared" si="0"/>
        <v>0</v>
      </c>
      <c r="G21" s="18">
        <v>0</v>
      </c>
      <c r="H21" s="8">
        <f t="shared" si="5"/>
        <v>0</v>
      </c>
      <c r="I21" s="48"/>
      <c r="J21" s="18">
        <v>0</v>
      </c>
      <c r="K21" s="8">
        <f t="shared" si="1"/>
        <v>0</v>
      </c>
      <c r="L21" s="18">
        <v>0</v>
      </c>
      <c r="M21" s="8">
        <f t="shared" si="2"/>
        <v>0</v>
      </c>
      <c r="N21" s="18">
        <v>0</v>
      </c>
      <c r="O21" s="8">
        <f t="shared" si="3"/>
        <v>0</v>
      </c>
      <c r="P21" s="21"/>
      <c r="Q21" s="21"/>
    </row>
    <row r="22" spans="1:17" ht="45" customHeight="1" x14ac:dyDescent="0.3">
      <c r="A22" s="7">
        <v>43573</v>
      </c>
      <c r="B22" s="46"/>
      <c r="C22" s="18">
        <v>0</v>
      </c>
      <c r="D22" s="8">
        <f t="shared" si="4"/>
        <v>0</v>
      </c>
      <c r="E22" s="18">
        <v>0</v>
      </c>
      <c r="F22" s="8">
        <f t="shared" si="0"/>
        <v>0</v>
      </c>
      <c r="G22" s="18">
        <v>0</v>
      </c>
      <c r="H22" s="8">
        <f t="shared" si="5"/>
        <v>0</v>
      </c>
      <c r="I22" s="48"/>
      <c r="J22" s="18">
        <v>0</v>
      </c>
      <c r="K22" s="8">
        <f t="shared" si="1"/>
        <v>0</v>
      </c>
      <c r="L22" s="18">
        <v>0</v>
      </c>
      <c r="M22" s="8">
        <f t="shared" si="2"/>
        <v>0</v>
      </c>
      <c r="N22" s="18">
        <v>0</v>
      </c>
      <c r="O22" s="8">
        <f t="shared" si="3"/>
        <v>0</v>
      </c>
      <c r="P22" s="21"/>
      <c r="Q22" s="21"/>
    </row>
    <row r="23" spans="1:17" ht="45" customHeight="1" x14ac:dyDescent="0.3">
      <c r="A23" s="7">
        <v>43574</v>
      </c>
      <c r="B23" s="46"/>
      <c r="C23" s="18">
        <v>0</v>
      </c>
      <c r="D23" s="8">
        <f t="shared" si="4"/>
        <v>0</v>
      </c>
      <c r="E23" s="18">
        <v>0</v>
      </c>
      <c r="F23" s="8">
        <f t="shared" si="0"/>
        <v>0</v>
      </c>
      <c r="G23" s="18">
        <v>0</v>
      </c>
      <c r="H23" s="8">
        <f t="shared" si="5"/>
        <v>0</v>
      </c>
      <c r="I23" s="48"/>
      <c r="J23" s="18">
        <v>0</v>
      </c>
      <c r="K23" s="8">
        <f t="shared" si="1"/>
        <v>0</v>
      </c>
      <c r="L23" s="18">
        <v>0</v>
      </c>
      <c r="M23" s="8">
        <f t="shared" si="2"/>
        <v>0</v>
      </c>
      <c r="N23" s="18">
        <v>0</v>
      </c>
      <c r="O23" s="8">
        <f t="shared" si="3"/>
        <v>0</v>
      </c>
      <c r="P23" s="21"/>
      <c r="Q23" s="21"/>
    </row>
    <row r="24" spans="1:17" ht="45" customHeight="1" x14ac:dyDescent="0.3">
      <c r="A24" s="7">
        <v>43575</v>
      </c>
      <c r="B24" s="46"/>
      <c r="C24" s="18">
        <v>0</v>
      </c>
      <c r="D24" s="8">
        <f t="shared" si="4"/>
        <v>0</v>
      </c>
      <c r="E24" s="18">
        <v>0</v>
      </c>
      <c r="F24" s="8">
        <f t="shared" si="0"/>
        <v>0</v>
      </c>
      <c r="G24" s="18">
        <v>0</v>
      </c>
      <c r="H24" s="8">
        <f t="shared" si="5"/>
        <v>0</v>
      </c>
      <c r="I24" s="48"/>
      <c r="J24" s="18">
        <v>0</v>
      </c>
      <c r="K24" s="28">
        <f t="shared" si="1"/>
        <v>0</v>
      </c>
      <c r="L24" s="18">
        <v>0</v>
      </c>
      <c r="M24" s="28">
        <f t="shared" si="2"/>
        <v>0</v>
      </c>
      <c r="N24" s="18">
        <v>0</v>
      </c>
      <c r="O24" s="8">
        <f t="shared" si="3"/>
        <v>0</v>
      </c>
      <c r="P24" s="21"/>
      <c r="Q24" s="21"/>
    </row>
    <row r="25" spans="1:17" ht="45" customHeight="1" x14ac:dyDescent="0.3">
      <c r="A25" s="7">
        <v>43576</v>
      </c>
      <c r="B25" s="46"/>
      <c r="C25" s="18">
        <v>0</v>
      </c>
      <c r="D25" s="8">
        <f t="shared" si="4"/>
        <v>0</v>
      </c>
      <c r="E25" s="18">
        <v>0</v>
      </c>
      <c r="F25" s="8">
        <f t="shared" si="0"/>
        <v>0</v>
      </c>
      <c r="G25" s="18">
        <v>0</v>
      </c>
      <c r="H25" s="8">
        <f t="shared" si="5"/>
        <v>0</v>
      </c>
      <c r="I25" s="48"/>
      <c r="J25" s="18">
        <v>0</v>
      </c>
      <c r="K25" s="8">
        <f t="shared" si="1"/>
        <v>0</v>
      </c>
      <c r="L25" s="18">
        <v>0</v>
      </c>
      <c r="M25" s="8">
        <f t="shared" si="2"/>
        <v>0</v>
      </c>
      <c r="N25" s="18">
        <v>0</v>
      </c>
      <c r="O25" s="8">
        <f t="shared" si="3"/>
        <v>0</v>
      </c>
      <c r="P25" s="21"/>
      <c r="Q25" s="21"/>
    </row>
    <row r="26" spans="1:17" ht="45" customHeight="1" x14ac:dyDescent="0.3">
      <c r="A26" s="7">
        <v>43577</v>
      </c>
      <c r="B26" s="46"/>
      <c r="C26" s="18">
        <v>0</v>
      </c>
      <c r="D26" s="8">
        <f t="shared" si="4"/>
        <v>0</v>
      </c>
      <c r="E26" s="18">
        <v>0</v>
      </c>
      <c r="F26" s="8">
        <f t="shared" si="0"/>
        <v>0</v>
      </c>
      <c r="G26" s="18">
        <v>0</v>
      </c>
      <c r="H26" s="8">
        <f t="shared" si="5"/>
        <v>0</v>
      </c>
      <c r="I26" s="48"/>
      <c r="J26" s="18">
        <v>0</v>
      </c>
      <c r="K26" s="8">
        <f t="shared" si="1"/>
        <v>0</v>
      </c>
      <c r="L26" s="18">
        <v>0</v>
      </c>
      <c r="M26" s="8">
        <f t="shared" si="2"/>
        <v>0</v>
      </c>
      <c r="N26" s="18">
        <v>0</v>
      </c>
      <c r="O26" s="8">
        <f t="shared" si="3"/>
        <v>0</v>
      </c>
      <c r="P26" s="21"/>
      <c r="Q26" s="21"/>
    </row>
    <row r="27" spans="1:17" ht="45" customHeight="1" x14ac:dyDescent="0.3">
      <c r="A27" s="7">
        <v>43578</v>
      </c>
      <c r="B27" s="46"/>
      <c r="C27" s="18">
        <v>0</v>
      </c>
      <c r="D27" s="8">
        <f t="shared" si="4"/>
        <v>0</v>
      </c>
      <c r="E27" s="18">
        <v>0</v>
      </c>
      <c r="F27" s="8">
        <f t="shared" si="0"/>
        <v>0</v>
      </c>
      <c r="G27" s="18">
        <v>0</v>
      </c>
      <c r="H27" s="8">
        <f t="shared" si="5"/>
        <v>0</v>
      </c>
      <c r="I27" s="48"/>
      <c r="J27" s="18">
        <v>0</v>
      </c>
      <c r="K27" s="8">
        <f t="shared" si="1"/>
        <v>0</v>
      </c>
      <c r="L27" s="18">
        <v>0</v>
      </c>
      <c r="M27" s="8">
        <f t="shared" si="2"/>
        <v>0</v>
      </c>
      <c r="N27" s="18">
        <v>0</v>
      </c>
      <c r="O27" s="8">
        <f t="shared" si="3"/>
        <v>0</v>
      </c>
      <c r="P27" s="21"/>
      <c r="Q27" s="21"/>
    </row>
    <row r="28" spans="1:17" ht="45" customHeight="1" x14ac:dyDescent="0.3">
      <c r="A28" s="7">
        <v>43579</v>
      </c>
      <c r="B28" s="46"/>
      <c r="C28" s="18">
        <v>0</v>
      </c>
      <c r="D28" s="8">
        <f t="shared" si="4"/>
        <v>0</v>
      </c>
      <c r="E28" s="18">
        <v>0</v>
      </c>
      <c r="F28" s="8">
        <f t="shared" si="0"/>
        <v>0</v>
      </c>
      <c r="G28" s="18">
        <v>0</v>
      </c>
      <c r="H28" s="8">
        <f t="shared" si="5"/>
        <v>0</v>
      </c>
      <c r="I28" s="48"/>
      <c r="J28" s="18">
        <v>0</v>
      </c>
      <c r="K28" s="8">
        <f t="shared" si="1"/>
        <v>0</v>
      </c>
      <c r="L28" s="18">
        <v>0</v>
      </c>
      <c r="M28" s="8">
        <f t="shared" si="2"/>
        <v>0</v>
      </c>
      <c r="N28" s="18">
        <v>0</v>
      </c>
      <c r="O28" s="8">
        <f t="shared" si="3"/>
        <v>0</v>
      </c>
      <c r="P28" s="21"/>
      <c r="Q28" s="21"/>
    </row>
    <row r="29" spans="1:17" ht="45" customHeight="1" x14ac:dyDescent="0.3">
      <c r="A29" s="7">
        <v>43580</v>
      </c>
      <c r="B29" s="46"/>
      <c r="C29" s="18">
        <v>0</v>
      </c>
      <c r="D29" s="8">
        <f t="shared" si="4"/>
        <v>0</v>
      </c>
      <c r="E29" s="18">
        <v>0</v>
      </c>
      <c r="F29" s="8">
        <f t="shared" si="0"/>
        <v>0</v>
      </c>
      <c r="G29" s="18">
        <v>0</v>
      </c>
      <c r="H29" s="8">
        <f t="shared" si="5"/>
        <v>0</v>
      </c>
      <c r="I29" s="48"/>
      <c r="J29" s="18">
        <v>0</v>
      </c>
      <c r="K29" s="8">
        <f t="shared" si="1"/>
        <v>0</v>
      </c>
      <c r="L29" s="18">
        <v>0</v>
      </c>
      <c r="M29" s="8">
        <f t="shared" si="2"/>
        <v>0</v>
      </c>
      <c r="N29" s="18">
        <v>0</v>
      </c>
      <c r="O29" s="8">
        <f t="shared" si="3"/>
        <v>0</v>
      </c>
      <c r="P29" s="21"/>
      <c r="Q29" s="21"/>
    </row>
    <row r="30" spans="1:17" ht="45" customHeight="1" x14ac:dyDescent="0.3">
      <c r="A30" s="7">
        <v>43581</v>
      </c>
      <c r="B30" s="46"/>
      <c r="C30" s="18">
        <v>0</v>
      </c>
      <c r="D30" s="8">
        <f t="shared" si="4"/>
        <v>0</v>
      </c>
      <c r="E30" s="18">
        <v>0</v>
      </c>
      <c r="F30" s="8">
        <f t="shared" si="0"/>
        <v>0</v>
      </c>
      <c r="G30" s="18">
        <v>0</v>
      </c>
      <c r="H30" s="8">
        <f t="shared" si="5"/>
        <v>0</v>
      </c>
      <c r="I30" s="49"/>
      <c r="J30" s="18">
        <v>0</v>
      </c>
      <c r="K30" s="8">
        <f t="shared" si="1"/>
        <v>0</v>
      </c>
      <c r="L30" s="18">
        <v>0</v>
      </c>
      <c r="M30" s="8">
        <f t="shared" si="2"/>
        <v>0</v>
      </c>
      <c r="N30" s="18">
        <v>0</v>
      </c>
      <c r="O30" s="8">
        <f t="shared" si="3"/>
        <v>0</v>
      </c>
      <c r="P30" s="21"/>
      <c r="Q30" s="21"/>
    </row>
    <row r="31" spans="1:17" ht="45" customHeight="1" x14ac:dyDescent="0.3">
      <c r="A31" s="7">
        <v>43582</v>
      </c>
      <c r="B31" s="46"/>
      <c r="C31" s="18">
        <v>0</v>
      </c>
      <c r="D31" s="8">
        <f t="shared" si="4"/>
        <v>0</v>
      </c>
      <c r="E31" s="18">
        <v>0</v>
      </c>
      <c r="F31" s="8">
        <f t="shared" si="0"/>
        <v>0</v>
      </c>
      <c r="G31" s="18">
        <v>0</v>
      </c>
      <c r="H31" s="8">
        <f t="shared" si="5"/>
        <v>0</v>
      </c>
      <c r="I31" s="49"/>
      <c r="J31" s="18">
        <v>0</v>
      </c>
      <c r="K31" s="8">
        <f t="shared" si="1"/>
        <v>0</v>
      </c>
      <c r="L31" s="18">
        <v>0</v>
      </c>
      <c r="M31" s="8">
        <f t="shared" si="2"/>
        <v>0</v>
      </c>
      <c r="N31" s="18">
        <v>0</v>
      </c>
      <c r="O31" s="8">
        <f t="shared" si="3"/>
        <v>0</v>
      </c>
      <c r="P31" s="21"/>
      <c r="Q31" s="21"/>
    </row>
    <row r="32" spans="1:17" ht="45" customHeight="1" x14ac:dyDescent="0.3">
      <c r="A32" s="7">
        <v>43583</v>
      </c>
      <c r="B32" s="46"/>
      <c r="C32" s="18">
        <v>0</v>
      </c>
      <c r="D32" s="8">
        <f t="shared" si="4"/>
        <v>0</v>
      </c>
      <c r="E32" s="18">
        <v>0</v>
      </c>
      <c r="F32" s="8">
        <f t="shared" si="0"/>
        <v>0</v>
      </c>
      <c r="G32" s="18">
        <v>0</v>
      </c>
      <c r="H32" s="8">
        <f t="shared" si="5"/>
        <v>0</v>
      </c>
      <c r="I32" s="49"/>
      <c r="J32" s="18">
        <v>0</v>
      </c>
      <c r="K32" s="8">
        <f t="shared" si="1"/>
        <v>0</v>
      </c>
      <c r="L32" s="18">
        <v>0</v>
      </c>
      <c r="M32" s="8">
        <f t="shared" si="2"/>
        <v>0</v>
      </c>
      <c r="N32" s="18">
        <v>0</v>
      </c>
      <c r="O32" s="8">
        <f t="shared" si="3"/>
        <v>0</v>
      </c>
      <c r="P32" s="21"/>
      <c r="Q32" s="21"/>
    </row>
    <row r="33" spans="1:17" ht="36" customHeight="1" x14ac:dyDescent="0.3">
      <c r="A33" s="7">
        <v>43584</v>
      </c>
      <c r="C33" s="18">
        <v>0</v>
      </c>
      <c r="D33" s="8">
        <f t="shared" si="4"/>
        <v>0</v>
      </c>
      <c r="E33" s="18">
        <v>0</v>
      </c>
      <c r="F33" s="8">
        <f>IF((E33-E32&lt;0), "",E33-E32)</f>
        <v>0</v>
      </c>
      <c r="G33" s="18">
        <v>0</v>
      </c>
      <c r="H33" s="8">
        <f>IF((G33-G32&lt;0), "",G33-G32)</f>
        <v>0</v>
      </c>
      <c r="J33" s="18">
        <v>0</v>
      </c>
      <c r="K33" s="8">
        <f>IF((J33-J32&lt;0), "",J33-J32)</f>
        <v>0</v>
      </c>
      <c r="L33" s="18">
        <v>0</v>
      </c>
      <c r="M33" s="8">
        <f>IF((L33-L32&lt;0), "",L33-L32)</f>
        <v>0</v>
      </c>
      <c r="N33" s="18">
        <v>0</v>
      </c>
      <c r="O33" s="8">
        <f>IF((N33-N32&lt;0), "",N33-N32)</f>
        <v>0</v>
      </c>
      <c r="P33" s="21"/>
      <c r="Q33" s="21"/>
    </row>
    <row r="34" spans="1:17" ht="45.6" customHeight="1" x14ac:dyDescent="0.3">
      <c r="A34" s="7">
        <v>43585</v>
      </c>
      <c r="C34" s="18">
        <v>0</v>
      </c>
      <c r="D34" s="8">
        <f t="shared" si="4"/>
        <v>0</v>
      </c>
      <c r="E34" s="18">
        <v>0</v>
      </c>
      <c r="F34" s="8">
        <f>IF((E34-E33&lt;0), "",E34-E33)</f>
        <v>0</v>
      </c>
      <c r="G34" s="18">
        <v>0</v>
      </c>
      <c r="H34" s="8">
        <f>IF((G34-G33&lt;0), "",G34-G33)</f>
        <v>0</v>
      </c>
      <c r="J34" s="18">
        <v>0</v>
      </c>
      <c r="K34" s="8">
        <f>IF((J34-J33&lt;0), "",J34-J33)</f>
        <v>0</v>
      </c>
      <c r="L34" s="18">
        <v>0</v>
      </c>
      <c r="M34" s="8">
        <f>IF((L34-L33&lt;0), "",L34-L33)</f>
        <v>0</v>
      </c>
      <c r="N34" s="18">
        <v>0</v>
      </c>
      <c r="O34" s="8">
        <f>IF((N34-N33&lt;0), "",N34-N33)</f>
        <v>0</v>
      </c>
      <c r="P34" s="21"/>
      <c r="Q34" s="21"/>
    </row>
  </sheetData>
  <mergeCells count="15">
    <mergeCell ref="J1:O1"/>
    <mergeCell ref="J2:K2"/>
    <mergeCell ref="C2:D2"/>
    <mergeCell ref="N2:O2"/>
    <mergeCell ref="K4:K5"/>
    <mergeCell ref="M4:M5"/>
    <mergeCell ref="F4:F5"/>
    <mergeCell ref="O4:O5"/>
    <mergeCell ref="H4:H5"/>
    <mergeCell ref="L2:M2"/>
    <mergeCell ref="B1:B32"/>
    <mergeCell ref="I1:I32"/>
    <mergeCell ref="E2:F2"/>
    <mergeCell ref="G2:H2"/>
    <mergeCell ref="D4:D5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TOTAL</vt:lpstr>
      <vt:lpstr>Submetering</vt:lpstr>
      <vt:lpstr>Geneva Daily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Ronald Diab</dc:creator>
  <cp:lastModifiedBy>Cedric Brocard</cp:lastModifiedBy>
  <dcterms:created xsi:type="dcterms:W3CDTF">2017-05-03T09:23:30Z</dcterms:created>
  <dcterms:modified xsi:type="dcterms:W3CDTF">2023-01-11T16:34:14Z</dcterms:modified>
</cp:coreProperties>
</file>