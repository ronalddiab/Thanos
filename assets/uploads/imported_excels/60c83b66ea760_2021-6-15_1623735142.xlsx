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90" windowWidth="13605" windowHeight="12345" tabRatio="581" firstSheet="2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18" l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8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18" i="2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8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18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18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4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L18" i="2" l="1"/>
  <c r="AM17"/>
  <c r="AN17" s="1"/>
  <c r="E17" s="1"/>
  <c r="H15" i="82" s="1"/>
  <c r="B14" i="7"/>
  <c r="AL19" i="2" l="1"/>
  <c r="AM18"/>
  <c r="AN18" s="1"/>
  <c r="E18" s="1"/>
  <c r="H16" i="82" s="1"/>
  <c r="B15" i="7"/>
  <c r="AL20" i="2" l="1"/>
  <c r="AM19"/>
  <c r="AN19" s="1"/>
  <c r="E19" s="1"/>
  <c r="H17" i="82" s="1"/>
  <c r="B16" i="7"/>
  <c r="AT36"/>
  <c r="AT37" s="1"/>
  <c r="W16" i="76"/>
  <c r="W15"/>
  <c r="AL21" i="2" l="1"/>
  <c r="AM20"/>
  <c r="AN20" s="1"/>
  <c r="E20" s="1"/>
  <c r="H18" i="82" s="1"/>
  <c r="B17" i="7"/>
  <c r="E6" i="3"/>
  <c r="AL22" i="2" l="1"/>
  <c r="AM21"/>
  <c r="AN21" s="1"/>
  <c r="E21" s="1"/>
  <c r="H19" i="82" s="1"/>
  <c r="B18" i="7"/>
  <c r="AL23" i="2" l="1"/>
  <c r="AM22"/>
  <c r="AN22" s="1"/>
  <c r="E22" s="1"/>
  <c r="H20" i="82" s="1"/>
  <c r="B19" i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</authors>
  <commentList>
    <comment ref="R16" authorId="0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EDL reading was taken at 3:00 Am /MDB at 12:00 AM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taken at 3:00am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<sst xmlns="http://schemas.openxmlformats.org/spreadsheetml/2006/main" count="665" uniqueCount="422">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</sst>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8441344"/>
        <c:axId val="128582400"/>
      </c:lineChart>
      <c:catAx>
        <c:axId val="1284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82400"/>
        <c:crosses val="autoZero"/>
        <c:auto val="1"/>
        <c:lblAlgn val="ctr"/>
        <c:lblOffset val="100"/>
      </c:catAx>
      <c:valAx>
        <c:axId val="128582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4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8607360"/>
        <c:axId val="128608896"/>
      </c:lineChart>
      <c:catAx>
        <c:axId val="1286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8896"/>
        <c:crosses val="autoZero"/>
        <c:auto val="1"/>
        <c:lblAlgn val="ctr"/>
        <c:lblOffset val="100"/>
      </c:catAx>
      <c:valAx>
        <c:axId val="12860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88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8625280"/>
        <c:axId val="128635264"/>
      </c:lineChart>
      <c:catAx>
        <c:axId val="12862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35264"/>
        <c:crosses val="autoZero"/>
        <c:auto val="1"/>
        <c:lblAlgn val="ctr"/>
        <c:lblOffset val="100"/>
      </c:catAx>
      <c:valAx>
        <c:axId val="1286352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2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644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0244992"/>
        <c:axId val="130246528"/>
      </c:lineChart>
      <c:catAx>
        <c:axId val="13024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46528"/>
        <c:crosses val="autoZero"/>
        <c:auto val="1"/>
        <c:lblAlgn val="ctr"/>
        <c:lblOffset val="100"/>
      </c:catAx>
      <c:valAx>
        <c:axId val="130246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4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4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0279296"/>
        <c:axId val="130280832"/>
      </c:lineChart>
      <c:catAx>
        <c:axId val="1302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0832"/>
        <c:crosses val="autoZero"/>
        <c:auto val="1"/>
        <c:lblAlgn val="ctr"/>
        <c:lblOffset val="100"/>
      </c:catAx>
      <c:valAx>
        <c:axId val="130280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7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0887680"/>
        <c:axId val="130889216"/>
      </c:lineChart>
      <c:catAx>
        <c:axId val="1308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9216"/>
        <c:crosses val="autoZero"/>
        <c:auto val="1"/>
        <c:lblAlgn val="ctr"/>
        <c:lblOffset val="100"/>
      </c:catAx>
      <c:valAx>
        <c:axId val="13088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0926080"/>
        <c:axId val="130927616"/>
      </c:lineChart>
      <c:catAx>
        <c:axId val="13092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7616"/>
        <c:crosses val="autoZero"/>
        <c:auto val="1"/>
        <c:lblAlgn val="ctr"/>
        <c:lblOffset val="100"/>
      </c:catAx>
      <c:valAx>
        <c:axId val="13092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2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7494784"/>
        <c:axId val="127504768"/>
      </c:lineChart>
      <c:catAx>
        <c:axId val="12749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04768"/>
        <c:crosses val="autoZero"/>
        <c:auto val="1"/>
        <c:lblAlgn val="ctr"/>
        <c:lblOffset val="100"/>
      </c:catAx>
      <c:valAx>
        <c:axId val="12750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0748800"/>
        <c:axId val="130750336"/>
      </c:lineChart>
      <c:catAx>
        <c:axId val="13074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50336"/>
        <c:crosses val="autoZero"/>
        <c:auto val="1"/>
        <c:lblAlgn val="ctr"/>
        <c:lblOffset val="100"/>
      </c:catAx>
      <c:valAx>
        <c:axId val="13075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514"/>
          <c:w val="0.1272403315177475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762624"/>
        <c:axId val="130764160"/>
      </c:lineChart>
      <c:catAx>
        <c:axId val="13076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4160"/>
        <c:crosses val="autoZero"/>
        <c:auto val="1"/>
        <c:lblAlgn val="ctr"/>
        <c:lblOffset val="100"/>
      </c:catAx>
      <c:valAx>
        <c:axId val="13076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0866560"/>
        <c:axId val="131007616"/>
      </c:lineChart>
      <c:catAx>
        <c:axId val="13086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7616"/>
        <c:crosses val="autoZero"/>
        <c:auto val="1"/>
        <c:lblAlgn val="ctr"/>
        <c:lblOffset val="100"/>
      </c:catAx>
      <c:valAx>
        <c:axId val="131007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6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1474944"/>
        <c:axId val="131476480"/>
      </c:lineChart>
      <c:catAx>
        <c:axId val="13147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76480"/>
        <c:crosses val="autoZero"/>
        <c:auto val="1"/>
        <c:lblAlgn val="ctr"/>
        <c:lblOffset val="100"/>
      </c:catAx>
      <c:valAx>
        <c:axId val="13147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7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41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1513728"/>
        <c:axId val="131523712"/>
      </c:lineChart>
      <c:catAx>
        <c:axId val="1315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23712"/>
        <c:crosses val="autoZero"/>
        <c:auto val="1"/>
        <c:lblAlgn val="ctr"/>
        <c:lblOffset val="100"/>
      </c:catAx>
      <c:valAx>
        <c:axId val="13152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514"/>
          <c:w val="0.135416885389362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3915776"/>
        <c:axId val="133917312"/>
      </c:lineChart>
      <c:catAx>
        <c:axId val="1339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7312"/>
        <c:crosses val="autoZero"/>
        <c:auto val="1"/>
        <c:lblAlgn val="ctr"/>
        <c:lblOffset val="100"/>
      </c:catAx>
      <c:valAx>
        <c:axId val="133917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51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3925888"/>
        <c:axId val="133952256"/>
      </c:lineChart>
      <c:catAx>
        <c:axId val="13392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52256"/>
        <c:crosses val="autoZero"/>
        <c:auto val="1"/>
        <c:lblAlgn val="ctr"/>
        <c:lblOffset val="100"/>
      </c:catAx>
      <c:valAx>
        <c:axId val="133952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2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3989120"/>
        <c:axId val="133990656"/>
      </c:lineChart>
      <c:catAx>
        <c:axId val="1339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90656"/>
        <c:crosses val="autoZero"/>
        <c:auto val="1"/>
        <c:lblAlgn val="ctr"/>
        <c:lblOffset val="100"/>
      </c:catAx>
      <c:valAx>
        <c:axId val="13399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9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514"/>
          <c:w val="0.135416885389362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4007040"/>
        <c:axId val="134025216"/>
      </c:lineChart>
      <c:catAx>
        <c:axId val="1340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25216"/>
        <c:crosses val="autoZero"/>
        <c:auto val="1"/>
        <c:lblAlgn val="ctr"/>
        <c:lblOffset val="100"/>
      </c:catAx>
      <c:valAx>
        <c:axId val="134025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95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4070272"/>
        <c:axId val="134071808"/>
      </c:lineChart>
      <c:catAx>
        <c:axId val="13407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71808"/>
        <c:crosses val="autoZero"/>
        <c:auto val="1"/>
        <c:lblAlgn val="ctr"/>
        <c:lblOffset val="100"/>
      </c:catAx>
      <c:valAx>
        <c:axId val="134071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7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4100864"/>
        <c:axId val="134102400"/>
      </c:lineChart>
      <c:catAx>
        <c:axId val="1341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02400"/>
        <c:crosses val="autoZero"/>
        <c:auto val="1"/>
        <c:lblAlgn val="ctr"/>
        <c:lblOffset val="100"/>
      </c:catAx>
      <c:valAx>
        <c:axId val="13410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24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4122880"/>
        <c:axId val="134124672"/>
      </c:lineChart>
      <c:catAx>
        <c:axId val="13412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24672"/>
        <c:crosses val="autoZero"/>
        <c:auto val="1"/>
        <c:lblAlgn val="ctr"/>
        <c:lblOffset val="100"/>
      </c:catAx>
      <c:valAx>
        <c:axId val="134124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2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51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4231168"/>
        <c:axId val="134232704"/>
      </c:lineChart>
      <c:catAx>
        <c:axId val="13423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32704"/>
        <c:crosses val="autoZero"/>
        <c:auto val="1"/>
        <c:lblAlgn val="ctr"/>
        <c:lblOffset val="100"/>
      </c:catAx>
      <c:valAx>
        <c:axId val="134232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4257280"/>
        <c:axId val="134275456"/>
      </c:lineChart>
      <c:catAx>
        <c:axId val="13425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75456"/>
        <c:crosses val="autoZero"/>
        <c:auto val="1"/>
        <c:lblAlgn val="ctr"/>
        <c:lblOffset val="100"/>
      </c:catAx>
      <c:valAx>
        <c:axId val="1342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5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67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4181248"/>
        <c:axId val="134182784"/>
      </c:lineChart>
      <c:catAx>
        <c:axId val="13418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82784"/>
        <c:crosses val="autoZero"/>
        <c:auto val="1"/>
        <c:lblAlgn val="ctr"/>
        <c:lblOffset val="100"/>
      </c:catAx>
      <c:valAx>
        <c:axId val="13418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8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51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4289280"/>
        <c:axId val="134290816"/>
      </c:lineChart>
      <c:catAx>
        <c:axId val="1342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90816"/>
        <c:crosses val="autoZero"/>
        <c:auto val="1"/>
        <c:lblAlgn val="ctr"/>
        <c:lblOffset val="100"/>
      </c:catAx>
      <c:valAx>
        <c:axId val="13429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427"/>
          <c:w val="0.123431181980935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4316800"/>
        <c:axId val="134318336"/>
      </c:lineChart>
      <c:catAx>
        <c:axId val="1343168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18336"/>
        <c:crosses val="autoZero"/>
        <c:auto val="1"/>
        <c:lblAlgn val="ctr"/>
        <c:lblOffset val="100"/>
      </c:catAx>
      <c:valAx>
        <c:axId val="1343183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1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219"/>
          <c:w val="0.1569039853282286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4363008"/>
        <c:axId val="134364544"/>
      </c:lineChart>
      <c:catAx>
        <c:axId val="13436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64544"/>
        <c:crosses val="autoZero"/>
        <c:auto val="1"/>
        <c:lblAlgn val="ctr"/>
        <c:lblOffset val="100"/>
      </c:catAx>
      <c:valAx>
        <c:axId val="134364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6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90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4459392"/>
        <c:axId val="134460928"/>
      </c:lineChart>
      <c:catAx>
        <c:axId val="13445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60928"/>
        <c:crosses val="autoZero"/>
        <c:auto val="1"/>
        <c:lblAlgn val="ctr"/>
        <c:lblOffset val="100"/>
      </c:catAx>
      <c:valAx>
        <c:axId val="13446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5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25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0616320"/>
        <c:axId val="130630400"/>
      </c:lineChart>
      <c:catAx>
        <c:axId val="130616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0400"/>
        <c:crosses val="autoZero"/>
        <c:auto val="1"/>
        <c:lblAlgn val="ctr"/>
        <c:lblOffset val="100"/>
      </c:catAx>
      <c:valAx>
        <c:axId val="130630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2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12390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0.44349593048708086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0.19668160257619091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0.14554831107849628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0.1981106439014502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0.44435601217738141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0.34768595218878234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0.15940799704755301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0.31625886820270682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0.36441569571315491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0.10902869076192262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0.35577613010412157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0.2576978464702977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0.37963538989267426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0.32301031387713131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8">
        <f>SUM('EDl log'!T18)</f>
        <v>0</v>
      </c>
      <c r="G16" s="203">
        <f>-tanks!AW20</f>
        <v>0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8">
        <f>SUM('EDl log'!T19)</f>
        <v>0</v>
      </c>
      <c r="G17" s="203">
        <f>-tanks!AW21</f>
        <v>0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0</v>
      </c>
      <c r="L17" s="329">
        <f>SUM(WATER!J21)</f>
        <v>0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8">
        <f>SUM('EDl log'!T20)</f>
        <v>0</v>
      </c>
      <c r="G18" s="203">
        <f>-tanks!AW22</f>
        <v>0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1.05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1.05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1.05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1.05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1.05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1.05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1.05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1.05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1.05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1.05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1.05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1.05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V1" zoomScale="90" zoomScaleNormal="90" zoomScaleSheetLayoutView="100" workbookViewId="0">
      <pane ySplit="2" topLeftCell="A3" activePane="bottomLeft" state="frozen"/>
      <selection activeCell="C1" sqref="C1"/>
      <selection pane="bottomLeft" activeCell="AM17" sqref="AM17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7" t="s">
        <v>418</v>
      </c>
      <c r="AL1" s="647"/>
      <c r="AM1" s="647"/>
      <c r="AN1" s="648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10" t="s">
        <v>417</v>
      </c>
      <c r="AL2" s="611" t="s">
        <v>416</v>
      </c>
      <c r="AM2" s="611" t="s">
        <v>391</v>
      </c>
      <c r="AN2" s="628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2">
        <v>44347</v>
      </c>
      <c r="AK3" s="634">
        <v>333631</v>
      </c>
      <c r="AL3" s="634">
        <v>431020</v>
      </c>
      <c r="AM3" s="635">
        <f>AK3+AL3</f>
        <v>764651</v>
      </c>
      <c r="AN3" s="635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8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7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2">
        <v>44348</v>
      </c>
      <c r="AK4" s="462">
        <v>335894</v>
      </c>
      <c r="AL4" s="635">
        <v>431712</v>
      </c>
      <c r="AM4" s="635">
        <f>AK4+AL4</f>
        <v>767606</v>
      </c>
      <c r="AN4" s="635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8">
        <v>4032752.4</v>
      </c>
      <c r="G5" s="310">
        <f>F5-F4</f>
        <v>826.79999999981374</v>
      </c>
      <c r="H5" s="639">
        <v>17886168</v>
      </c>
      <c r="I5" s="310">
        <f>H5-H4</f>
        <v>1106</v>
      </c>
      <c r="J5" s="640">
        <v>29134362</v>
      </c>
      <c r="K5" s="310">
        <f>J5-J4</f>
        <v>5676</v>
      </c>
      <c r="L5" s="639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1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9">
        <v>32576</v>
      </c>
      <c r="X5" s="446">
        <f t="shared" si="3"/>
        <v>14</v>
      </c>
      <c r="Y5" s="640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2">
        <v>44349</v>
      </c>
      <c r="AK5" s="462">
        <v>338482</v>
      </c>
      <c r="AL5" s="635">
        <v>431719</v>
      </c>
      <c r="AM5" s="635">
        <f t="shared" ref="AM5:AM33" si="13">AK5+AL5</f>
        <v>770201</v>
      </c>
      <c r="AN5" s="635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2">
        <v>44350</v>
      </c>
      <c r="AK6" s="462">
        <v>342095</v>
      </c>
      <c r="AL6" s="636">
        <v>431919</v>
      </c>
      <c r="AM6" s="635">
        <f t="shared" si="13"/>
        <v>774014</v>
      </c>
      <c r="AN6" s="635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2">
        <v>44351</v>
      </c>
      <c r="AK7" s="462">
        <v>345431</v>
      </c>
      <c r="AL7" s="636">
        <v>432394</v>
      </c>
      <c r="AM7" s="635">
        <f t="shared" si="13"/>
        <v>777825</v>
      </c>
      <c r="AN7" s="635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2">
        <v>44352</v>
      </c>
      <c r="AK8" s="462">
        <v>348088</v>
      </c>
      <c r="AL8" s="636">
        <v>432341</v>
      </c>
      <c r="AM8" s="635">
        <f t="shared" si="13"/>
        <v>780429</v>
      </c>
      <c r="AN8" s="635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2">
        <v>44353</v>
      </c>
      <c r="AK9" s="462">
        <v>350597</v>
      </c>
      <c r="AL9" s="636">
        <v>432717</v>
      </c>
      <c r="AM9" s="635">
        <f t="shared" si="13"/>
        <v>783314</v>
      </c>
      <c r="AN9" s="635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2">
        <v>44354</v>
      </c>
      <c r="AK10" s="462">
        <v>354127</v>
      </c>
      <c r="AL10" s="636">
        <v>432929</v>
      </c>
      <c r="AM10" s="635">
        <f t="shared" si="13"/>
        <v>787056</v>
      </c>
      <c r="AN10" s="635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2">
        <v>44355</v>
      </c>
      <c r="AK11" s="462">
        <v>356725</v>
      </c>
      <c r="AL11" s="636">
        <v>433345</v>
      </c>
      <c r="AM11" s="635">
        <f t="shared" si="13"/>
        <v>790070</v>
      </c>
      <c r="AN11" s="635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4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2">
        <v>44356</v>
      </c>
      <c r="AK12" s="462">
        <v>359901</v>
      </c>
      <c r="AL12" s="636">
        <v>433515</v>
      </c>
      <c r="AM12" s="635">
        <f t="shared" si="13"/>
        <v>793416</v>
      </c>
      <c r="AN12" s="635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4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2">
        <v>44357</v>
      </c>
      <c r="AK13" s="462">
        <v>365855</v>
      </c>
      <c r="AL13" s="636">
        <v>433805</v>
      </c>
      <c r="AM13" s="635">
        <f t="shared" si="13"/>
        <v>799660</v>
      </c>
      <c r="AN13" s="635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4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2">
        <v>44358</v>
      </c>
      <c r="AK14" s="462">
        <v>373315</v>
      </c>
      <c r="AL14" s="636">
        <v>433992</v>
      </c>
      <c r="AM14" s="635">
        <f t="shared" si="13"/>
        <v>807307</v>
      </c>
      <c r="AN14" s="635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4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2">
        <v>44359</v>
      </c>
      <c r="AK15" s="462">
        <v>379256</v>
      </c>
      <c r="AL15" s="636">
        <v>434243</v>
      </c>
      <c r="AM15" s="635">
        <f t="shared" si="13"/>
        <v>813499</v>
      </c>
      <c r="AN15" s="635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4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2">
        <v>44360</v>
      </c>
      <c r="AK16" s="462">
        <v>385143</v>
      </c>
      <c r="AL16" s="636">
        <v>434485</v>
      </c>
      <c r="AM16" s="635">
        <f t="shared" si="13"/>
        <v>819628</v>
      </c>
      <c r="AN16" s="635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4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2">
        <v>44361</v>
      </c>
      <c r="AK17" s="462">
        <v>390620</v>
      </c>
      <c r="AL17" s="636">
        <v>434842</v>
      </c>
      <c r="AM17" s="635">
        <f t="shared" si="13"/>
        <v>825462</v>
      </c>
      <c r="AN17" s="635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0</v>
      </c>
      <c r="F18" s="442">
        <f t="shared" ref="F17:F33" si="33">F17</f>
        <v>4041248</v>
      </c>
      <c r="G18" s="310">
        <f t="shared" si="15"/>
        <v>0</v>
      </c>
      <c r="H18" s="442">
        <f t="shared" ref="H17:H33" si="34">H17</f>
        <v>17897710</v>
      </c>
      <c r="I18" s="310">
        <f t="shared" si="16"/>
        <v>0</v>
      </c>
      <c r="J18" s="442">
        <f t="shared" ref="J17:J33" si="35">J17</f>
        <v>29193802</v>
      </c>
      <c r="K18" s="310">
        <f t="shared" si="17"/>
        <v>0</v>
      </c>
      <c r="L18" s="442">
        <f t="shared" ref="L17:L33" si="36">L17</f>
        <v>24267546</v>
      </c>
      <c r="M18" s="310">
        <f t="shared" si="18"/>
        <v>0</v>
      </c>
      <c r="N18" s="309">
        <f t="shared" si="19"/>
        <v>0</v>
      </c>
      <c r="O18" s="463">
        <f t="shared" si="27"/>
        <v>0</v>
      </c>
      <c r="P18" s="584">
        <f t="shared" ref="P17:P33" si="37">P17</f>
        <v>17379.304</v>
      </c>
      <c r="Q18" s="446">
        <f t="shared" si="31"/>
        <v>0</v>
      </c>
      <c r="R18" s="446">
        <f t="shared" si="32"/>
        <v>0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442">
        <f t="shared" si="29"/>
        <v>32691</v>
      </c>
      <c r="X18" s="446">
        <f t="shared" si="26"/>
        <v>0</v>
      </c>
      <c r="Y18" s="442">
        <f t="shared" si="30"/>
        <v>801841</v>
      </c>
      <c r="Z18" s="446">
        <f t="shared" si="25"/>
        <v>0</v>
      </c>
      <c r="AA18" s="442">
        <f t="shared" si="10"/>
        <v>36014</v>
      </c>
      <c r="AB18" s="446">
        <f t="shared" si="21"/>
        <v>0</v>
      </c>
      <c r="AC18" s="442">
        <f t="shared" si="11"/>
        <v>977695</v>
      </c>
      <c r="AD18" s="446">
        <f t="shared" ref="AD18:AD31" si="38">AC18-AC17</f>
        <v>0</v>
      </c>
      <c r="AE18" s="468">
        <f t="shared" si="12"/>
        <v>0</v>
      </c>
      <c r="AF18" s="469">
        <f t="shared" si="4"/>
        <v>0</v>
      </c>
      <c r="AG18" s="461">
        <f t="shared" si="28"/>
        <v>0</v>
      </c>
      <c r="AI18" s="462">
        <f>R18-'EDl log'!B18</f>
        <v>-1067003</v>
      </c>
      <c r="AJ18" s="612">
        <v>44362</v>
      </c>
      <c r="AK18" s="462">
        <f t="shared" ref="AK17:AK33" si="39">AK17</f>
        <v>390620</v>
      </c>
      <c r="AL18" s="636">
        <f t="shared" ref="AL17:AL33" si="40">AL17</f>
        <v>434842</v>
      </c>
      <c r="AM18" s="635">
        <f t="shared" si="13"/>
        <v>825462</v>
      </c>
      <c r="AN18" s="635">
        <f t="shared" si="23"/>
        <v>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0</v>
      </c>
      <c r="F19" s="442">
        <f t="shared" si="33"/>
        <v>4041248</v>
      </c>
      <c r="G19" s="310">
        <f t="shared" si="15"/>
        <v>0</v>
      </c>
      <c r="H19" s="442">
        <f t="shared" si="34"/>
        <v>17897710</v>
      </c>
      <c r="I19" s="310">
        <f t="shared" si="16"/>
        <v>0</v>
      </c>
      <c r="J19" s="442">
        <f t="shared" si="35"/>
        <v>29193802</v>
      </c>
      <c r="K19" s="310">
        <f t="shared" si="17"/>
        <v>0</v>
      </c>
      <c r="L19" s="442">
        <f t="shared" si="36"/>
        <v>24267546</v>
      </c>
      <c r="M19" s="310">
        <f t="shared" si="18"/>
        <v>0</v>
      </c>
      <c r="N19" s="309">
        <f t="shared" si="19"/>
        <v>0</v>
      </c>
      <c r="O19" s="463">
        <f t="shared" si="27"/>
        <v>0</v>
      </c>
      <c r="P19" s="584">
        <f t="shared" si="37"/>
        <v>17379.304</v>
      </c>
      <c r="Q19" s="446">
        <f t="shared" si="31"/>
        <v>0</v>
      </c>
      <c r="R19" s="446">
        <f t="shared" si="32"/>
        <v>0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f t="shared" si="29"/>
        <v>32691</v>
      </c>
      <c r="X19" s="446">
        <f t="shared" si="26"/>
        <v>0</v>
      </c>
      <c r="Y19" s="442">
        <f t="shared" si="30"/>
        <v>801841</v>
      </c>
      <c r="Z19" s="446">
        <f t="shared" si="25"/>
        <v>0</v>
      </c>
      <c r="AA19" s="442">
        <f t="shared" si="10"/>
        <v>36014</v>
      </c>
      <c r="AB19" s="446">
        <f t="shared" si="21"/>
        <v>0</v>
      </c>
      <c r="AC19" s="442">
        <f t="shared" si="11"/>
        <v>977695</v>
      </c>
      <c r="AD19" s="446">
        <f t="shared" si="38"/>
        <v>0</v>
      </c>
      <c r="AE19" s="468">
        <f t="shared" si="12"/>
        <v>0</v>
      </c>
      <c r="AF19" s="469">
        <f t="shared" si="4"/>
        <v>0</v>
      </c>
      <c r="AG19" s="461">
        <f t="shared" si="28"/>
        <v>0</v>
      </c>
      <c r="AI19" s="462">
        <f>R19-'EDl log'!B19</f>
        <v>-1067003</v>
      </c>
      <c r="AJ19" s="612">
        <v>44363</v>
      </c>
      <c r="AK19" s="462">
        <f t="shared" si="39"/>
        <v>390620</v>
      </c>
      <c r="AL19" s="636">
        <f t="shared" si="40"/>
        <v>434842</v>
      </c>
      <c r="AM19" s="635">
        <f t="shared" si="13"/>
        <v>825462</v>
      </c>
      <c r="AN19" s="635">
        <f t="shared" si="23"/>
        <v>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0</v>
      </c>
      <c r="F20" s="442">
        <f t="shared" si="33"/>
        <v>4041248</v>
      </c>
      <c r="G20" s="310">
        <f t="shared" si="15"/>
        <v>0</v>
      </c>
      <c r="H20" s="442">
        <f t="shared" si="34"/>
        <v>17897710</v>
      </c>
      <c r="I20" s="310">
        <f t="shared" si="16"/>
        <v>0</v>
      </c>
      <c r="J20" s="442">
        <f t="shared" si="35"/>
        <v>29193802</v>
      </c>
      <c r="K20" s="310">
        <f t="shared" si="17"/>
        <v>0</v>
      </c>
      <c r="L20" s="442">
        <f t="shared" si="36"/>
        <v>24267546</v>
      </c>
      <c r="M20" s="310">
        <f t="shared" si="18"/>
        <v>0</v>
      </c>
      <c r="N20" s="309">
        <f t="shared" si="19"/>
        <v>0</v>
      </c>
      <c r="O20" s="463">
        <f t="shared" si="27"/>
        <v>0</v>
      </c>
      <c r="P20" s="584">
        <f t="shared" si="37"/>
        <v>17379.304</v>
      </c>
      <c r="Q20" s="446">
        <f t="shared" si="31"/>
        <v>0</v>
      </c>
      <c r="R20" s="446">
        <f t="shared" si="32"/>
        <v>0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f t="shared" si="29"/>
        <v>32691</v>
      </c>
      <c r="X20" s="446">
        <f t="shared" si="26"/>
        <v>0</v>
      </c>
      <c r="Y20" s="442">
        <f t="shared" si="30"/>
        <v>801841</v>
      </c>
      <c r="Z20" s="446">
        <f t="shared" si="25"/>
        <v>0</v>
      </c>
      <c r="AA20" s="442">
        <f t="shared" si="10"/>
        <v>36014</v>
      </c>
      <c r="AB20" s="446">
        <f t="shared" si="21"/>
        <v>0</v>
      </c>
      <c r="AC20" s="442">
        <f t="shared" si="11"/>
        <v>977695</v>
      </c>
      <c r="AD20" s="446">
        <f t="shared" si="38"/>
        <v>0</v>
      </c>
      <c r="AE20" s="468">
        <f t="shared" si="12"/>
        <v>0</v>
      </c>
      <c r="AF20" s="469">
        <f t="shared" si="4"/>
        <v>0</v>
      </c>
      <c r="AG20" s="461">
        <f t="shared" si="28"/>
        <v>0</v>
      </c>
      <c r="AI20" s="462">
        <f>R20-'EDl log'!B20</f>
        <v>-1067003</v>
      </c>
      <c r="AJ20" s="612">
        <v>44364</v>
      </c>
      <c r="AK20" s="462">
        <f t="shared" si="39"/>
        <v>390620</v>
      </c>
      <c r="AL20" s="636">
        <f t="shared" si="40"/>
        <v>434842</v>
      </c>
      <c r="AM20" s="635">
        <f t="shared" si="13"/>
        <v>825462</v>
      </c>
      <c r="AN20" s="635">
        <f t="shared" si="23"/>
        <v>0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si="33"/>
        <v>4041248</v>
      </c>
      <c r="G21" s="310">
        <f t="shared" si="15"/>
        <v>0</v>
      </c>
      <c r="H21" s="442">
        <f t="shared" si="34"/>
        <v>17897710</v>
      </c>
      <c r="I21" s="310">
        <f t="shared" si="16"/>
        <v>0</v>
      </c>
      <c r="J21" s="442">
        <f t="shared" si="35"/>
        <v>29193802</v>
      </c>
      <c r="K21" s="310">
        <f t="shared" si="17"/>
        <v>0</v>
      </c>
      <c r="L21" s="442">
        <f t="shared" si="36"/>
        <v>24267546</v>
      </c>
      <c r="M21" s="310">
        <f t="shared" si="18"/>
        <v>0</v>
      </c>
      <c r="N21" s="309">
        <f t="shared" si="19"/>
        <v>0</v>
      </c>
      <c r="O21" s="463">
        <f t="shared" si="27"/>
        <v>0</v>
      </c>
      <c r="P21" s="584">
        <f t="shared" si="37"/>
        <v>17379.304</v>
      </c>
      <c r="Q21" s="446">
        <f>(P21-P20)*1000</f>
        <v>0</v>
      </c>
      <c r="R21" s="446">
        <f t="shared" si="32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29"/>
        <v>32691</v>
      </c>
      <c r="X21" s="446">
        <f t="shared" si="26"/>
        <v>0</v>
      </c>
      <c r="Y21" s="442">
        <f t="shared" si="30"/>
        <v>801841</v>
      </c>
      <c r="Z21" s="446">
        <f t="shared" si="25"/>
        <v>0</v>
      </c>
      <c r="AA21" s="442">
        <f t="shared" si="10"/>
        <v>36014</v>
      </c>
      <c r="AB21" s="446">
        <f t="shared" si="21"/>
        <v>0</v>
      </c>
      <c r="AC21" s="442">
        <f t="shared" si="11"/>
        <v>977695</v>
      </c>
      <c r="AD21" s="446">
        <f t="shared" si="38"/>
        <v>0</v>
      </c>
      <c r="AE21" s="468">
        <f t="shared" si="12"/>
        <v>0</v>
      </c>
      <c r="AF21" s="469">
        <f t="shared" si="4"/>
        <v>0</v>
      </c>
      <c r="AG21" s="461">
        <f t="shared" si="28"/>
        <v>0</v>
      </c>
      <c r="AI21" s="462">
        <f>R21-'EDl log'!B21</f>
        <v>-1067003</v>
      </c>
      <c r="AJ21" s="612">
        <v>44365</v>
      </c>
      <c r="AK21" s="462">
        <f t="shared" si="39"/>
        <v>390620</v>
      </c>
      <c r="AL21" s="636">
        <f t="shared" si="40"/>
        <v>434842</v>
      </c>
      <c r="AM21" s="635">
        <f t="shared" si="13"/>
        <v>825462</v>
      </c>
      <c r="AN21" s="635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33"/>
        <v>4041248</v>
      </c>
      <c r="G22" s="310">
        <f t="shared" si="15"/>
        <v>0</v>
      </c>
      <c r="H22" s="442">
        <f t="shared" si="34"/>
        <v>17897710</v>
      </c>
      <c r="I22" s="310">
        <f t="shared" si="16"/>
        <v>0</v>
      </c>
      <c r="J22" s="442">
        <f t="shared" si="35"/>
        <v>29193802</v>
      </c>
      <c r="K22" s="310">
        <f t="shared" si="17"/>
        <v>0</v>
      </c>
      <c r="L22" s="442">
        <f t="shared" si="36"/>
        <v>24267546</v>
      </c>
      <c r="M22" s="310">
        <f t="shared" si="18"/>
        <v>0</v>
      </c>
      <c r="N22" s="309">
        <f t="shared" si="19"/>
        <v>0</v>
      </c>
      <c r="O22" s="463">
        <f t="shared" si="27"/>
        <v>0</v>
      </c>
      <c r="P22" s="584">
        <f t="shared" si="37"/>
        <v>17379.304</v>
      </c>
      <c r="Q22" s="446">
        <f t="shared" si="31"/>
        <v>0</v>
      </c>
      <c r="R22" s="446">
        <f t="shared" si="32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29"/>
        <v>32691</v>
      </c>
      <c r="X22" s="446">
        <f t="shared" si="26"/>
        <v>0</v>
      </c>
      <c r="Y22" s="442">
        <f t="shared" si="30"/>
        <v>801841</v>
      </c>
      <c r="Z22" s="446">
        <f t="shared" si="25"/>
        <v>0</v>
      </c>
      <c r="AA22" s="442">
        <f t="shared" si="10"/>
        <v>36014</v>
      </c>
      <c r="AB22" s="446">
        <f t="shared" si="21"/>
        <v>0</v>
      </c>
      <c r="AC22" s="442">
        <f t="shared" si="11"/>
        <v>977695</v>
      </c>
      <c r="AD22" s="446">
        <f t="shared" si="38"/>
        <v>0</v>
      </c>
      <c r="AE22" s="468">
        <f t="shared" si="12"/>
        <v>0</v>
      </c>
      <c r="AF22" s="469">
        <f t="shared" si="4"/>
        <v>0</v>
      </c>
      <c r="AG22" s="461">
        <f t="shared" si="28"/>
        <v>0</v>
      </c>
      <c r="AI22" s="462">
        <f>R22-'EDl log'!B22</f>
        <v>-1067003</v>
      </c>
      <c r="AJ22" s="612">
        <v>44366</v>
      </c>
      <c r="AK22" s="462">
        <f t="shared" si="39"/>
        <v>390620</v>
      </c>
      <c r="AL22" s="636">
        <f t="shared" si="40"/>
        <v>434842</v>
      </c>
      <c r="AM22" s="635">
        <f t="shared" si="13"/>
        <v>825462</v>
      </c>
      <c r="AN22" s="635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33"/>
        <v>4041248</v>
      </c>
      <c r="G23" s="310">
        <f t="shared" si="15"/>
        <v>0</v>
      </c>
      <c r="H23" s="442">
        <f t="shared" si="34"/>
        <v>17897710</v>
      </c>
      <c r="I23" s="310">
        <f t="shared" si="16"/>
        <v>0</v>
      </c>
      <c r="J23" s="442">
        <f t="shared" si="35"/>
        <v>29193802</v>
      </c>
      <c r="K23" s="310">
        <f t="shared" si="17"/>
        <v>0</v>
      </c>
      <c r="L23" s="442">
        <f t="shared" si="36"/>
        <v>24267546</v>
      </c>
      <c r="M23" s="310">
        <f t="shared" si="18"/>
        <v>0</v>
      </c>
      <c r="N23" s="309">
        <f t="shared" si="19"/>
        <v>0</v>
      </c>
      <c r="O23" s="463">
        <f t="shared" si="27"/>
        <v>0</v>
      </c>
      <c r="P23" s="584">
        <f t="shared" si="37"/>
        <v>17379.304</v>
      </c>
      <c r="Q23" s="446">
        <f t="shared" si="31"/>
        <v>0</v>
      </c>
      <c r="R23" s="446">
        <f t="shared" si="32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29"/>
        <v>32691</v>
      </c>
      <c r="X23" s="446">
        <f t="shared" si="26"/>
        <v>0</v>
      </c>
      <c r="Y23" s="442">
        <f t="shared" si="30"/>
        <v>801841</v>
      </c>
      <c r="Z23" s="446">
        <f t="shared" si="25"/>
        <v>0</v>
      </c>
      <c r="AA23" s="442">
        <f t="shared" si="10"/>
        <v>36014</v>
      </c>
      <c r="AB23" s="446">
        <f t="shared" si="21"/>
        <v>0</v>
      </c>
      <c r="AC23" s="442">
        <f t="shared" si="11"/>
        <v>977695</v>
      </c>
      <c r="AD23" s="446">
        <f t="shared" si="38"/>
        <v>0</v>
      </c>
      <c r="AE23" s="468">
        <f t="shared" si="12"/>
        <v>0</v>
      </c>
      <c r="AF23" s="469">
        <f t="shared" si="4"/>
        <v>0</v>
      </c>
      <c r="AG23" s="461">
        <f t="shared" si="28"/>
        <v>0</v>
      </c>
      <c r="AI23" s="462">
        <f>R23-'EDl log'!B23</f>
        <v>-1067003</v>
      </c>
      <c r="AJ23" s="612">
        <v>44367</v>
      </c>
      <c r="AK23" s="462">
        <f t="shared" si="39"/>
        <v>390620</v>
      </c>
      <c r="AL23" s="636">
        <f t="shared" si="40"/>
        <v>434842</v>
      </c>
      <c r="AM23" s="635">
        <f t="shared" si="13"/>
        <v>825462</v>
      </c>
      <c r="AN23" s="635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33"/>
        <v>4041248</v>
      </c>
      <c r="G24" s="310">
        <f t="shared" si="15"/>
        <v>0</v>
      </c>
      <c r="H24" s="442">
        <f t="shared" si="34"/>
        <v>17897710</v>
      </c>
      <c r="I24" s="435">
        <f t="shared" si="16"/>
        <v>0</v>
      </c>
      <c r="J24" s="442">
        <f t="shared" si="35"/>
        <v>29193802</v>
      </c>
      <c r="K24" s="310">
        <f t="shared" si="17"/>
        <v>0</v>
      </c>
      <c r="L24" s="442">
        <f t="shared" si="36"/>
        <v>24267546</v>
      </c>
      <c r="M24" s="310">
        <f t="shared" si="18"/>
        <v>0</v>
      </c>
      <c r="N24" s="309">
        <f t="shared" si="19"/>
        <v>0</v>
      </c>
      <c r="O24" s="463">
        <f t="shared" si="27"/>
        <v>0</v>
      </c>
      <c r="P24" s="584">
        <f t="shared" si="37"/>
        <v>17379.304</v>
      </c>
      <c r="Q24" s="446">
        <f t="shared" si="31"/>
        <v>0</v>
      </c>
      <c r="R24" s="446">
        <f t="shared" si="32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32691</v>
      </c>
      <c r="X24" s="446">
        <f t="shared" si="26"/>
        <v>0</v>
      </c>
      <c r="Y24" s="442">
        <f t="shared" si="30"/>
        <v>801841</v>
      </c>
      <c r="Z24" s="446">
        <f t="shared" si="25"/>
        <v>0</v>
      </c>
      <c r="AA24" s="442">
        <f t="shared" si="10"/>
        <v>36014</v>
      </c>
      <c r="AB24" s="446">
        <f t="shared" si="21"/>
        <v>0</v>
      </c>
      <c r="AC24" s="442">
        <f t="shared" si="11"/>
        <v>977695</v>
      </c>
      <c r="AD24" s="446">
        <f t="shared" si="38"/>
        <v>0</v>
      </c>
      <c r="AE24" s="468">
        <f t="shared" si="12"/>
        <v>0</v>
      </c>
      <c r="AF24" s="469">
        <f t="shared" si="4"/>
        <v>0</v>
      </c>
      <c r="AG24" s="461">
        <f t="shared" si="28"/>
        <v>0</v>
      </c>
      <c r="AI24" s="462">
        <f>R24-'EDl log'!B24</f>
        <v>-1067003</v>
      </c>
      <c r="AJ24" s="612">
        <v>44368</v>
      </c>
      <c r="AK24" s="462">
        <f t="shared" si="39"/>
        <v>390620</v>
      </c>
      <c r="AL24" s="636">
        <f t="shared" si="40"/>
        <v>434842</v>
      </c>
      <c r="AM24" s="635">
        <f t="shared" si="13"/>
        <v>825462</v>
      </c>
      <c r="AN24" s="635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33"/>
        <v>4041248</v>
      </c>
      <c r="G25" s="310">
        <f t="shared" si="15"/>
        <v>0</v>
      </c>
      <c r="H25" s="442">
        <f t="shared" si="34"/>
        <v>17897710</v>
      </c>
      <c r="I25" s="310">
        <f t="shared" si="16"/>
        <v>0</v>
      </c>
      <c r="J25" s="442">
        <f t="shared" si="35"/>
        <v>29193802</v>
      </c>
      <c r="K25" s="310">
        <f t="shared" si="17"/>
        <v>0</v>
      </c>
      <c r="L25" s="442">
        <f t="shared" si="36"/>
        <v>24267546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si="37"/>
        <v>17379.304</v>
      </c>
      <c r="Q25" s="446">
        <f t="shared" si="31"/>
        <v>0</v>
      </c>
      <c r="R25" s="446">
        <f t="shared" si="32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29"/>
        <v>32691</v>
      </c>
      <c r="X25" s="446">
        <f t="shared" si="26"/>
        <v>0</v>
      </c>
      <c r="Y25" s="442">
        <f t="shared" si="30"/>
        <v>801841</v>
      </c>
      <c r="Z25" s="446">
        <f t="shared" si="25"/>
        <v>0</v>
      </c>
      <c r="AA25" s="442">
        <f t="shared" si="10"/>
        <v>36014</v>
      </c>
      <c r="AB25" s="446">
        <f t="shared" si="21"/>
        <v>0</v>
      </c>
      <c r="AC25" s="442">
        <f t="shared" si="11"/>
        <v>977695</v>
      </c>
      <c r="AD25" s="446">
        <f t="shared" si="38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-1067003</v>
      </c>
      <c r="AJ25" s="612">
        <v>44369</v>
      </c>
      <c r="AK25" s="462">
        <f t="shared" si="39"/>
        <v>390620</v>
      </c>
      <c r="AL25" s="636">
        <f t="shared" si="40"/>
        <v>434842</v>
      </c>
      <c r="AM25" s="635">
        <f t="shared" si="13"/>
        <v>825462</v>
      </c>
      <c r="AN25" s="635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33"/>
        <v>4041248</v>
      </c>
      <c r="G26" s="310">
        <f t="shared" si="15"/>
        <v>0</v>
      </c>
      <c r="H26" s="442">
        <f t="shared" si="34"/>
        <v>17897710</v>
      </c>
      <c r="I26" s="310">
        <f t="shared" si="16"/>
        <v>0</v>
      </c>
      <c r="J26" s="442">
        <f t="shared" si="35"/>
        <v>29193802</v>
      </c>
      <c r="K26" s="310">
        <f t="shared" si="17"/>
        <v>0</v>
      </c>
      <c r="L26" s="442">
        <f t="shared" si="36"/>
        <v>24267546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7"/>
        <v>17379.304</v>
      </c>
      <c r="Q26" s="446">
        <f t="shared" si="31"/>
        <v>0</v>
      </c>
      <c r="R26" s="446">
        <f t="shared" si="32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29"/>
        <v>32691</v>
      </c>
      <c r="X26" s="446">
        <f t="shared" si="26"/>
        <v>0</v>
      </c>
      <c r="Y26" s="442">
        <f t="shared" si="30"/>
        <v>801841</v>
      </c>
      <c r="Z26" s="446">
        <f t="shared" si="25"/>
        <v>0</v>
      </c>
      <c r="AA26" s="442">
        <f t="shared" si="10"/>
        <v>36014</v>
      </c>
      <c r="AB26" s="446">
        <f t="shared" si="21"/>
        <v>0</v>
      </c>
      <c r="AC26" s="442">
        <f t="shared" si="11"/>
        <v>977695</v>
      </c>
      <c r="AD26" s="446">
        <f t="shared" si="38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-1067003</v>
      </c>
      <c r="AJ26" s="612">
        <v>44370</v>
      </c>
      <c r="AK26" s="462">
        <f t="shared" si="39"/>
        <v>390620</v>
      </c>
      <c r="AL26" s="636">
        <f t="shared" si="40"/>
        <v>434842</v>
      </c>
      <c r="AM26" s="635">
        <f t="shared" si="13"/>
        <v>825462</v>
      </c>
      <c r="AN26" s="635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33"/>
        <v>4041248</v>
      </c>
      <c r="G27" s="310">
        <f t="shared" si="15"/>
        <v>0</v>
      </c>
      <c r="H27" s="442">
        <f t="shared" si="34"/>
        <v>17897710</v>
      </c>
      <c r="I27" s="310">
        <f t="shared" si="16"/>
        <v>0</v>
      </c>
      <c r="J27" s="442">
        <f t="shared" si="35"/>
        <v>29193802</v>
      </c>
      <c r="K27" s="310">
        <f t="shared" si="17"/>
        <v>0</v>
      </c>
      <c r="L27" s="442">
        <f t="shared" si="36"/>
        <v>24267546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7"/>
        <v>17379.304</v>
      </c>
      <c r="Q27" s="446">
        <f t="shared" si="31"/>
        <v>0</v>
      </c>
      <c r="R27" s="446">
        <f t="shared" si="32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29"/>
        <v>32691</v>
      </c>
      <c r="X27" s="446">
        <f t="shared" si="26"/>
        <v>0</v>
      </c>
      <c r="Y27" s="442">
        <f t="shared" si="30"/>
        <v>801841</v>
      </c>
      <c r="Z27" s="446">
        <f t="shared" si="25"/>
        <v>0</v>
      </c>
      <c r="AA27" s="442">
        <f t="shared" si="10"/>
        <v>36014</v>
      </c>
      <c r="AB27" s="446">
        <f t="shared" si="21"/>
        <v>0</v>
      </c>
      <c r="AC27" s="442">
        <f t="shared" si="11"/>
        <v>977695</v>
      </c>
      <c r="AD27" s="446">
        <f t="shared" si="38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-1067003</v>
      </c>
      <c r="AJ27" s="612">
        <v>44371</v>
      </c>
      <c r="AK27" s="462">
        <f t="shared" si="39"/>
        <v>390620</v>
      </c>
      <c r="AL27" s="636">
        <f t="shared" si="40"/>
        <v>434842</v>
      </c>
      <c r="AM27" s="635">
        <f t="shared" si="13"/>
        <v>825462</v>
      </c>
      <c r="AN27" s="635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33"/>
        <v>4041248</v>
      </c>
      <c r="G28" s="310">
        <f>F28-F27</f>
        <v>0</v>
      </c>
      <c r="H28" s="442">
        <f t="shared" si="34"/>
        <v>17897710</v>
      </c>
      <c r="I28" s="310">
        <f t="shared" si="16"/>
        <v>0</v>
      </c>
      <c r="J28" s="442">
        <f t="shared" si="35"/>
        <v>29193802</v>
      </c>
      <c r="K28" s="310">
        <f t="shared" si="17"/>
        <v>0</v>
      </c>
      <c r="L28" s="442">
        <f t="shared" si="36"/>
        <v>24267546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7"/>
        <v>17379.304</v>
      </c>
      <c r="Q28" s="446">
        <f t="shared" si="31"/>
        <v>0</v>
      </c>
      <c r="R28" s="446">
        <f t="shared" si="32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29"/>
        <v>32691</v>
      </c>
      <c r="X28" s="446">
        <f t="shared" si="26"/>
        <v>0</v>
      </c>
      <c r="Y28" s="442">
        <f t="shared" si="30"/>
        <v>801841</v>
      </c>
      <c r="Z28" s="446">
        <f t="shared" si="25"/>
        <v>0</v>
      </c>
      <c r="AA28" s="442">
        <f t="shared" si="10"/>
        <v>36014</v>
      </c>
      <c r="AB28" s="446">
        <f t="shared" si="21"/>
        <v>0</v>
      </c>
      <c r="AC28" s="442">
        <f t="shared" si="11"/>
        <v>977695</v>
      </c>
      <c r="AD28" s="446">
        <f t="shared" si="38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-1067003</v>
      </c>
      <c r="AJ28" s="612">
        <v>44372</v>
      </c>
      <c r="AK28" s="462">
        <f t="shared" si="39"/>
        <v>390620</v>
      </c>
      <c r="AL28" s="636">
        <f t="shared" si="40"/>
        <v>434842</v>
      </c>
      <c r="AM28" s="635">
        <f t="shared" si="13"/>
        <v>825462</v>
      </c>
      <c r="AN28" s="635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33"/>
        <v>4041248</v>
      </c>
      <c r="G29" s="310">
        <f t="shared" si="15"/>
        <v>0</v>
      </c>
      <c r="H29" s="442">
        <f t="shared" si="34"/>
        <v>17897710</v>
      </c>
      <c r="I29" s="310">
        <f t="shared" si="16"/>
        <v>0</v>
      </c>
      <c r="J29" s="442">
        <f t="shared" si="35"/>
        <v>29193802</v>
      </c>
      <c r="K29" s="310">
        <f t="shared" si="17"/>
        <v>0</v>
      </c>
      <c r="L29" s="442">
        <f t="shared" si="36"/>
        <v>24267546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7"/>
        <v>17379.304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32691</v>
      </c>
      <c r="X29" s="446">
        <f t="shared" si="26"/>
        <v>0</v>
      </c>
      <c r="Y29" s="442">
        <f t="shared" si="30"/>
        <v>801841</v>
      </c>
      <c r="Z29" s="446">
        <f t="shared" si="25"/>
        <v>0</v>
      </c>
      <c r="AA29" s="442">
        <f t="shared" si="10"/>
        <v>36014</v>
      </c>
      <c r="AB29" s="446">
        <f t="shared" si="21"/>
        <v>0</v>
      </c>
      <c r="AC29" s="442">
        <f t="shared" si="11"/>
        <v>977695</v>
      </c>
      <c r="AD29" s="446">
        <f t="shared" si="38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-1067003</v>
      </c>
      <c r="AJ29" s="612">
        <v>44373</v>
      </c>
      <c r="AK29" s="462">
        <f t="shared" si="39"/>
        <v>390620</v>
      </c>
      <c r="AL29" s="636">
        <f t="shared" si="40"/>
        <v>434842</v>
      </c>
      <c r="AM29" s="635">
        <f t="shared" si="13"/>
        <v>825462</v>
      </c>
      <c r="AN29" s="635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3"/>
        <v>4041248</v>
      </c>
      <c r="G30" s="310">
        <f t="shared" si="15"/>
        <v>0</v>
      </c>
      <c r="H30" s="442">
        <f t="shared" si="34"/>
        <v>17897710</v>
      </c>
      <c r="I30" s="310">
        <f t="shared" si="16"/>
        <v>0</v>
      </c>
      <c r="J30" s="442">
        <f t="shared" si="35"/>
        <v>29193802</v>
      </c>
      <c r="K30" s="310">
        <f t="shared" si="17"/>
        <v>0</v>
      </c>
      <c r="L30" s="442">
        <f t="shared" si="36"/>
        <v>24267546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7"/>
        <v>17379.304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32691</v>
      </c>
      <c r="X30" s="446">
        <f t="shared" si="26"/>
        <v>0</v>
      </c>
      <c r="Y30" s="442">
        <f t="shared" si="30"/>
        <v>801841</v>
      </c>
      <c r="Z30" s="446">
        <f t="shared" si="25"/>
        <v>0</v>
      </c>
      <c r="AA30" s="442">
        <f t="shared" si="10"/>
        <v>36014</v>
      </c>
      <c r="AB30" s="446">
        <f t="shared" si="21"/>
        <v>0</v>
      </c>
      <c r="AC30" s="442">
        <f t="shared" si="11"/>
        <v>977695</v>
      </c>
      <c r="AD30" s="446">
        <f t="shared" si="38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-1067003</v>
      </c>
      <c r="AJ30" s="612">
        <v>44374</v>
      </c>
      <c r="AK30" s="462">
        <f t="shared" si="39"/>
        <v>390620</v>
      </c>
      <c r="AL30" s="636">
        <f t="shared" si="40"/>
        <v>434842</v>
      </c>
      <c r="AM30" s="635">
        <f t="shared" si="13"/>
        <v>825462</v>
      </c>
      <c r="AN30" s="635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3"/>
        <v>4041248</v>
      </c>
      <c r="G31" s="310">
        <f t="shared" si="15"/>
        <v>0</v>
      </c>
      <c r="H31" s="442">
        <f t="shared" si="34"/>
        <v>17897710</v>
      </c>
      <c r="I31" s="310">
        <f t="shared" si="16"/>
        <v>0</v>
      </c>
      <c r="J31" s="442">
        <f t="shared" si="35"/>
        <v>29193802</v>
      </c>
      <c r="K31" s="310">
        <f t="shared" si="17"/>
        <v>0</v>
      </c>
      <c r="L31" s="442">
        <f t="shared" si="36"/>
        <v>24267546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7"/>
        <v>17379.304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32691</v>
      </c>
      <c r="X31" s="466">
        <f t="shared" si="26"/>
        <v>0</v>
      </c>
      <c r="Y31" s="442">
        <f t="shared" si="30"/>
        <v>801841</v>
      </c>
      <c r="Z31" s="446">
        <f t="shared" si="25"/>
        <v>0</v>
      </c>
      <c r="AA31" s="442">
        <f t="shared" si="10"/>
        <v>36014</v>
      </c>
      <c r="AB31" s="446">
        <f t="shared" si="21"/>
        <v>0</v>
      </c>
      <c r="AC31" s="442">
        <f t="shared" si="11"/>
        <v>977695</v>
      </c>
      <c r="AD31" s="446">
        <f t="shared" si="38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-1067003</v>
      </c>
      <c r="AJ31" s="612">
        <v>44375</v>
      </c>
      <c r="AK31" s="462">
        <f t="shared" si="39"/>
        <v>390620</v>
      </c>
      <c r="AL31" s="636">
        <f t="shared" si="40"/>
        <v>434842</v>
      </c>
      <c r="AM31" s="635">
        <f t="shared" si="13"/>
        <v>825462</v>
      </c>
      <c r="AN31" s="635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3"/>
        <v>4041248</v>
      </c>
      <c r="G32" s="310">
        <f t="shared" si="15"/>
        <v>0</v>
      </c>
      <c r="H32" s="442">
        <f t="shared" si="34"/>
        <v>17897710</v>
      </c>
      <c r="I32" s="310">
        <f t="shared" si="16"/>
        <v>0</v>
      </c>
      <c r="J32" s="442">
        <f t="shared" si="35"/>
        <v>29193802</v>
      </c>
      <c r="K32" s="310">
        <f t="shared" si="17"/>
        <v>0</v>
      </c>
      <c r="L32" s="442">
        <f t="shared" si="36"/>
        <v>24267546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7"/>
        <v>17379.304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32691</v>
      </c>
      <c r="X32" s="466">
        <f>W32-W31</f>
        <v>0</v>
      </c>
      <c r="Y32" s="442">
        <f t="shared" si="30"/>
        <v>801841</v>
      </c>
      <c r="Z32" s="446">
        <f>Y32-Y31</f>
        <v>0</v>
      </c>
      <c r="AA32" s="442">
        <f t="shared" si="10"/>
        <v>36014</v>
      </c>
      <c r="AB32" s="446">
        <f>AA32-AA31</f>
        <v>0</v>
      </c>
      <c r="AC32" s="442">
        <f t="shared" si="11"/>
        <v>977695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-1067003</v>
      </c>
      <c r="AJ32" s="612">
        <v>44376</v>
      </c>
      <c r="AK32" s="462">
        <f t="shared" si="39"/>
        <v>390620</v>
      </c>
      <c r="AL32" s="636">
        <f t="shared" si="40"/>
        <v>434842</v>
      </c>
      <c r="AM32" s="635">
        <f t="shared" si="13"/>
        <v>825462</v>
      </c>
      <c r="AN32" s="635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3"/>
        <v>4041248</v>
      </c>
      <c r="G33" s="310">
        <f t="shared" si="15"/>
        <v>0</v>
      </c>
      <c r="H33" s="442">
        <f t="shared" si="34"/>
        <v>17897710</v>
      </c>
      <c r="I33" s="310">
        <f t="shared" si="16"/>
        <v>0</v>
      </c>
      <c r="J33" s="442">
        <f t="shared" si="35"/>
        <v>29193802</v>
      </c>
      <c r="K33" s="310">
        <f t="shared" si="17"/>
        <v>0</v>
      </c>
      <c r="L33" s="442">
        <f t="shared" si="36"/>
        <v>24267546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7"/>
        <v>17379.304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32691</v>
      </c>
      <c r="X33" s="466">
        <f>W33-W32</f>
        <v>0</v>
      </c>
      <c r="Y33" s="442">
        <f t="shared" si="30"/>
        <v>801841</v>
      </c>
      <c r="Z33" s="446">
        <f>Y33-Y32</f>
        <v>0</v>
      </c>
      <c r="AA33" s="442">
        <f t="shared" si="10"/>
        <v>36014</v>
      </c>
      <c r="AB33" s="446">
        <f>AA33-AA32</f>
        <v>0</v>
      </c>
      <c r="AC33" s="442">
        <f t="shared" si="11"/>
        <v>977695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-1067003</v>
      </c>
      <c r="AJ33" s="612">
        <v>44377</v>
      </c>
      <c r="AK33" s="462">
        <f t="shared" si="39"/>
        <v>390620</v>
      </c>
      <c r="AL33" s="636">
        <f t="shared" si="40"/>
        <v>434842</v>
      </c>
      <c r="AM33" s="635">
        <f t="shared" si="13"/>
        <v>825462</v>
      </c>
      <c r="AN33" s="635">
        <f t="shared" si="23"/>
        <v>0</v>
      </c>
    </row>
    <row r="34" spans="1:40">
      <c r="AK34" s="613"/>
      <c r="AL34" s="614"/>
      <c r="AM34" s="614"/>
      <c r="AN34" s="614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2" activePane="bottomLeft" state="frozen"/>
      <selection activeCell="K1" sqref="K1"/>
      <selection pane="bottomLeft" activeCell="K18" sqref="K1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7" t="s">
        <v>2</v>
      </c>
      <c r="G1" s="658"/>
      <c r="H1" s="658"/>
      <c r="I1" s="659"/>
      <c r="J1" s="281">
        <f>J35</f>
        <v>65.375</v>
      </c>
      <c r="K1" s="660" t="s">
        <v>4</v>
      </c>
      <c r="L1" s="661"/>
      <c r="M1" s="661"/>
      <c r="N1" s="661"/>
      <c r="O1" s="662"/>
      <c r="P1" s="651" t="s">
        <v>6</v>
      </c>
      <c r="Q1" s="652"/>
      <c r="R1" s="652"/>
      <c r="S1" s="652"/>
      <c r="T1" s="653"/>
      <c r="U1" s="395"/>
      <c r="V1" s="27" t="s">
        <v>104</v>
      </c>
      <c r="W1" s="396"/>
      <c r="X1" s="651" t="s">
        <v>8</v>
      </c>
      <c r="Y1" s="652"/>
      <c r="Z1" s="652"/>
      <c r="AA1" s="652"/>
      <c r="AB1" s="652"/>
      <c r="AC1" s="654" t="s">
        <v>10</v>
      </c>
      <c r="AD1" s="655"/>
      <c r="AE1" s="655"/>
      <c r="AF1" s="656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9"/>
      <c r="R2" s="650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f t="shared" ref="B18:B34" si="46">B18</f>
        <v>193</v>
      </c>
      <c r="C19" s="577">
        <f t="shared" ref="C18:C34" si="47">C18</f>
        <v>199</v>
      </c>
      <c r="D19" s="45">
        <f t="shared" si="32"/>
        <v>0</v>
      </c>
      <c r="E19" s="45">
        <f t="shared" si="13"/>
        <v>0</v>
      </c>
      <c r="F19" s="577">
        <f t="shared" si="42"/>
        <v>1848</v>
      </c>
      <c r="G19" s="52">
        <f t="shared" si="0"/>
        <v>0</v>
      </c>
      <c r="H19" s="577">
        <f t="shared" si="43"/>
        <v>13976</v>
      </c>
      <c r="I19" s="394">
        <f t="shared" si="1"/>
        <v>0</v>
      </c>
      <c r="J19" s="66">
        <f t="shared" si="14"/>
        <v>0</v>
      </c>
      <c r="K19" s="577">
        <f t="shared" si="15"/>
        <v>2336</v>
      </c>
      <c r="L19" s="52">
        <f t="shared" si="16"/>
        <v>0</v>
      </c>
      <c r="M19" s="577">
        <f t="shared" si="17"/>
        <v>172287</v>
      </c>
      <c r="N19" s="394">
        <f t="shared" si="2"/>
        <v>0</v>
      </c>
      <c r="O19" s="64">
        <f t="shared" ref="O19:O34" si="48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0</v>
      </c>
      <c r="V19" s="62">
        <f t="shared" si="19"/>
        <v>0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0</v>
      </c>
      <c r="AJ19" s="316">
        <f>-tanks!AW20</f>
        <v>0</v>
      </c>
      <c r="AK19" s="316">
        <f t="shared" si="27"/>
        <v>0</v>
      </c>
      <c r="AL19" s="316">
        <f t="shared" si="9"/>
        <v>0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f t="shared" si="46"/>
        <v>193</v>
      </c>
      <c r="C20" s="577">
        <f t="shared" si="47"/>
        <v>199</v>
      </c>
      <c r="D20" s="45">
        <f>C19-C20</f>
        <v>0</v>
      </c>
      <c r="E20" s="45">
        <f t="shared" si="13"/>
        <v>0</v>
      </c>
      <c r="F20" s="577">
        <f t="shared" si="42"/>
        <v>1848</v>
      </c>
      <c r="G20" s="52">
        <f t="shared" si="0"/>
        <v>0</v>
      </c>
      <c r="H20" s="577">
        <f t="shared" si="43"/>
        <v>13976</v>
      </c>
      <c r="I20" s="394">
        <f t="shared" si="1"/>
        <v>0</v>
      </c>
      <c r="J20" s="66">
        <f t="shared" si="14"/>
        <v>0</v>
      </c>
      <c r="K20" s="577">
        <f t="shared" si="15"/>
        <v>2336</v>
      </c>
      <c r="L20" s="52">
        <f t="shared" si="16"/>
        <v>0</v>
      </c>
      <c r="M20" s="577">
        <f t="shared" si="17"/>
        <v>172287</v>
      </c>
      <c r="N20" s="394">
        <f t="shared" si="2"/>
        <v>0</v>
      </c>
      <c r="O20" s="64">
        <f t="shared" si="48"/>
        <v>1869</v>
      </c>
      <c r="P20" s="577">
        <f t="shared" si="33"/>
        <v>2103</v>
      </c>
      <c r="Q20" s="577">
        <f t="shared" si="34"/>
        <v>176756</v>
      </c>
      <c r="R20" s="393">
        <f t="shared" si="44"/>
        <v>0</v>
      </c>
      <c r="S20" s="52">
        <f t="shared" si="5"/>
        <v>0</v>
      </c>
      <c r="T20" s="67">
        <f t="shared" si="35"/>
        <v>0</v>
      </c>
      <c r="U20" s="400">
        <f t="shared" si="18"/>
        <v>0</v>
      </c>
      <c r="V20" s="62">
        <f t="shared" si="19"/>
        <v>0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0</v>
      </c>
      <c r="AJ20" s="316">
        <f>-tanks!AW21</f>
        <v>0</v>
      </c>
      <c r="AK20" s="316">
        <f t="shared" si="27"/>
        <v>0</v>
      </c>
      <c r="AL20" s="316">
        <f t="shared" si="9"/>
        <v>0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f t="shared" si="46"/>
        <v>193</v>
      </c>
      <c r="C21" s="577">
        <f t="shared" si="47"/>
        <v>199</v>
      </c>
      <c r="D21" s="45">
        <f t="shared" ref="D21:D32" si="49">C20-C21</f>
        <v>0</v>
      </c>
      <c r="E21" s="45">
        <f t="shared" si="13"/>
        <v>0</v>
      </c>
      <c r="F21" s="577">
        <f t="shared" si="42"/>
        <v>1848</v>
      </c>
      <c r="G21" s="52">
        <f t="shared" si="0"/>
        <v>0</v>
      </c>
      <c r="H21" s="577">
        <f t="shared" si="43"/>
        <v>13976</v>
      </c>
      <c r="I21" s="394">
        <f t="shared" si="1"/>
        <v>0</v>
      </c>
      <c r="J21" s="66">
        <f t="shared" si="14"/>
        <v>0</v>
      </c>
      <c r="K21" s="577">
        <f t="shared" si="15"/>
        <v>2336</v>
      </c>
      <c r="L21" s="52">
        <f t="shared" si="16"/>
        <v>0</v>
      </c>
      <c r="M21" s="577">
        <f t="shared" si="17"/>
        <v>172287</v>
      </c>
      <c r="N21" s="394">
        <f t="shared" si="2"/>
        <v>0</v>
      </c>
      <c r="O21" s="64">
        <f t="shared" si="48"/>
        <v>1869</v>
      </c>
      <c r="P21" s="577">
        <f t="shared" si="33"/>
        <v>2103</v>
      </c>
      <c r="Q21" s="577">
        <f t="shared" si="34"/>
        <v>176756</v>
      </c>
      <c r="R21" s="393">
        <f t="shared" si="44"/>
        <v>0</v>
      </c>
      <c r="S21" s="52">
        <f t="shared" si="5"/>
        <v>0</v>
      </c>
      <c r="T21" s="67">
        <f t="shared" si="35"/>
        <v>0</v>
      </c>
      <c r="U21" s="400">
        <f t="shared" si="18"/>
        <v>0</v>
      </c>
      <c r="V21" s="62">
        <f t="shared" si="19"/>
        <v>0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0</v>
      </c>
      <c r="AJ21" s="316">
        <f>-tanks!AW22</f>
        <v>0</v>
      </c>
      <c r="AK21" s="316">
        <f t="shared" si="27"/>
        <v>0</v>
      </c>
      <c r="AL21" s="316">
        <f t="shared" si="9"/>
        <v>0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si="46"/>
        <v>193</v>
      </c>
      <c r="C22" s="577">
        <f t="shared" si="47"/>
        <v>199</v>
      </c>
      <c r="D22" s="45">
        <f t="shared" si="49"/>
        <v>0</v>
      </c>
      <c r="E22" s="45">
        <f t="shared" si="13"/>
        <v>0</v>
      </c>
      <c r="F22" s="577">
        <f t="shared" si="42"/>
        <v>1848</v>
      </c>
      <c r="G22" s="52">
        <f t="shared" si="0"/>
        <v>0</v>
      </c>
      <c r="H22" s="577">
        <f t="shared" si="43"/>
        <v>13976</v>
      </c>
      <c r="I22" s="394">
        <f t="shared" si="1"/>
        <v>0</v>
      </c>
      <c r="J22" s="66">
        <f t="shared" si="14"/>
        <v>0</v>
      </c>
      <c r="K22" s="577">
        <f t="shared" si="15"/>
        <v>2336</v>
      </c>
      <c r="L22" s="52">
        <f t="shared" si="16"/>
        <v>0</v>
      </c>
      <c r="M22" s="577">
        <f t="shared" si="17"/>
        <v>172287</v>
      </c>
      <c r="N22" s="394">
        <f t="shared" si="2"/>
        <v>0</v>
      </c>
      <c r="O22" s="64">
        <f t="shared" si="48"/>
        <v>1869</v>
      </c>
      <c r="P22" s="577">
        <f t="shared" si="33"/>
        <v>2103</v>
      </c>
      <c r="Q22" s="577">
        <f t="shared" si="34"/>
        <v>176756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6"/>
        <v>193</v>
      </c>
      <c r="C23" s="577">
        <f t="shared" si="47"/>
        <v>199</v>
      </c>
      <c r="D23" s="45">
        <f t="shared" si="49"/>
        <v>0</v>
      </c>
      <c r="E23" s="45">
        <f t="shared" si="13"/>
        <v>0</v>
      </c>
      <c r="F23" s="577">
        <f t="shared" si="42"/>
        <v>1848</v>
      </c>
      <c r="G23" s="52">
        <f t="shared" si="0"/>
        <v>0</v>
      </c>
      <c r="H23" s="577">
        <f t="shared" si="43"/>
        <v>13976</v>
      </c>
      <c r="I23" s="394">
        <f t="shared" si="1"/>
        <v>0</v>
      </c>
      <c r="J23" s="66">
        <f t="shared" si="14"/>
        <v>0</v>
      </c>
      <c r="K23" s="577">
        <f t="shared" si="15"/>
        <v>2336</v>
      </c>
      <c r="L23" s="52">
        <f t="shared" si="16"/>
        <v>0</v>
      </c>
      <c r="M23" s="577">
        <f t="shared" si="17"/>
        <v>172287</v>
      </c>
      <c r="N23" s="394">
        <f t="shared" si="2"/>
        <v>0</v>
      </c>
      <c r="O23" s="64">
        <f t="shared" si="48"/>
        <v>1869</v>
      </c>
      <c r="P23" s="577">
        <f t="shared" si="33"/>
        <v>2103</v>
      </c>
      <c r="Q23" s="577">
        <f t="shared" si="34"/>
        <v>176756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6"/>
        <v>193</v>
      </c>
      <c r="C24" s="577">
        <f t="shared" si="47"/>
        <v>199</v>
      </c>
      <c r="D24" s="45">
        <f t="shared" si="49"/>
        <v>0</v>
      </c>
      <c r="E24" s="45">
        <f t="shared" si="13"/>
        <v>0</v>
      </c>
      <c r="F24" s="577">
        <f t="shared" si="42"/>
        <v>1848</v>
      </c>
      <c r="G24" s="52">
        <f t="shared" si="0"/>
        <v>0</v>
      </c>
      <c r="H24" s="577">
        <f t="shared" si="43"/>
        <v>13976</v>
      </c>
      <c r="I24" s="394">
        <f t="shared" si="1"/>
        <v>0</v>
      </c>
      <c r="J24" s="66">
        <f t="shared" si="14"/>
        <v>0</v>
      </c>
      <c r="K24" s="577">
        <f t="shared" si="15"/>
        <v>2336</v>
      </c>
      <c r="L24" s="52">
        <f t="shared" si="16"/>
        <v>0</v>
      </c>
      <c r="M24" s="577">
        <f t="shared" si="17"/>
        <v>172287</v>
      </c>
      <c r="N24" s="394">
        <f t="shared" si="2"/>
        <v>0</v>
      </c>
      <c r="O24" s="64">
        <f t="shared" si="48"/>
        <v>1869</v>
      </c>
      <c r="P24" s="577">
        <f t="shared" si="33"/>
        <v>2103</v>
      </c>
      <c r="Q24" s="577">
        <f t="shared" si="34"/>
        <v>176756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6"/>
        <v>193</v>
      </c>
      <c r="C25" s="577">
        <f t="shared" si="47"/>
        <v>199</v>
      </c>
      <c r="D25" s="45">
        <f t="shared" si="49"/>
        <v>0</v>
      </c>
      <c r="E25" s="45">
        <f t="shared" si="13"/>
        <v>0</v>
      </c>
      <c r="F25" s="577">
        <f t="shared" si="42"/>
        <v>1848</v>
      </c>
      <c r="G25" s="52">
        <f t="shared" si="0"/>
        <v>0</v>
      </c>
      <c r="H25" s="577">
        <f t="shared" si="43"/>
        <v>13976</v>
      </c>
      <c r="I25" s="394">
        <f t="shared" si="1"/>
        <v>0</v>
      </c>
      <c r="J25" s="66">
        <f t="shared" si="14"/>
        <v>0</v>
      </c>
      <c r="K25" s="577">
        <f t="shared" si="15"/>
        <v>2336</v>
      </c>
      <c r="L25" s="52">
        <f t="shared" si="16"/>
        <v>0</v>
      </c>
      <c r="M25" s="577">
        <f t="shared" si="17"/>
        <v>172287</v>
      </c>
      <c r="N25" s="394">
        <f t="shared" si="2"/>
        <v>0</v>
      </c>
      <c r="O25" s="64">
        <f t="shared" si="48"/>
        <v>1869</v>
      </c>
      <c r="P25" s="577">
        <f t="shared" si="33"/>
        <v>2103</v>
      </c>
      <c r="Q25" s="577">
        <f t="shared" si="34"/>
        <v>176756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6"/>
        <v>193</v>
      </c>
      <c r="C26" s="577">
        <f t="shared" si="47"/>
        <v>199</v>
      </c>
      <c r="D26" s="45">
        <f t="shared" si="49"/>
        <v>0</v>
      </c>
      <c r="E26" s="45">
        <f t="shared" si="13"/>
        <v>0</v>
      </c>
      <c r="F26" s="577">
        <f t="shared" si="42"/>
        <v>1848</v>
      </c>
      <c r="G26" s="52">
        <f t="shared" si="0"/>
        <v>0</v>
      </c>
      <c r="H26" s="577">
        <f t="shared" si="43"/>
        <v>13976</v>
      </c>
      <c r="I26" s="394">
        <f t="shared" si="1"/>
        <v>0</v>
      </c>
      <c r="J26" s="66">
        <f t="shared" si="14"/>
        <v>0</v>
      </c>
      <c r="K26" s="577">
        <f t="shared" si="15"/>
        <v>2336</v>
      </c>
      <c r="L26" s="52">
        <f t="shared" si="16"/>
        <v>0</v>
      </c>
      <c r="M26" s="577">
        <f t="shared" si="17"/>
        <v>172287</v>
      </c>
      <c r="N26" s="394">
        <f t="shared" si="2"/>
        <v>0</v>
      </c>
      <c r="O26" s="64">
        <f t="shared" si="48"/>
        <v>1869</v>
      </c>
      <c r="P26" s="577">
        <f t="shared" si="33"/>
        <v>2103</v>
      </c>
      <c r="Q26" s="577">
        <f t="shared" si="34"/>
        <v>176756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6"/>
        <v>193</v>
      </c>
      <c r="C27" s="577">
        <f t="shared" si="47"/>
        <v>199</v>
      </c>
      <c r="D27" s="45">
        <f t="shared" si="49"/>
        <v>0</v>
      </c>
      <c r="E27" s="45">
        <f t="shared" si="13"/>
        <v>0</v>
      </c>
      <c r="F27" s="577">
        <f t="shared" si="42"/>
        <v>1848</v>
      </c>
      <c r="G27" s="52">
        <f t="shared" si="0"/>
        <v>0</v>
      </c>
      <c r="H27" s="577">
        <f t="shared" si="43"/>
        <v>13976</v>
      </c>
      <c r="I27" s="394">
        <f t="shared" si="1"/>
        <v>0</v>
      </c>
      <c r="J27" s="66">
        <f t="shared" si="14"/>
        <v>0</v>
      </c>
      <c r="K27" s="577">
        <f t="shared" si="15"/>
        <v>2336</v>
      </c>
      <c r="L27" s="52">
        <f t="shared" si="16"/>
        <v>0</v>
      </c>
      <c r="M27" s="577">
        <f t="shared" si="17"/>
        <v>172287</v>
      </c>
      <c r="N27" s="394">
        <f t="shared" si="2"/>
        <v>0</v>
      </c>
      <c r="O27" s="64">
        <f t="shared" si="48"/>
        <v>1869</v>
      </c>
      <c r="P27" s="577">
        <f t="shared" si="33"/>
        <v>2103</v>
      </c>
      <c r="Q27" s="577">
        <f t="shared" si="34"/>
        <v>176756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6"/>
        <v>193</v>
      </c>
      <c r="C28" s="577">
        <f t="shared" si="47"/>
        <v>199</v>
      </c>
      <c r="D28" s="45">
        <f t="shared" si="49"/>
        <v>0</v>
      </c>
      <c r="E28" s="45">
        <f t="shared" si="13"/>
        <v>0</v>
      </c>
      <c r="F28" s="577">
        <f t="shared" si="42"/>
        <v>1848</v>
      </c>
      <c r="G28" s="52">
        <f t="shared" si="0"/>
        <v>0</v>
      </c>
      <c r="H28" s="577">
        <f t="shared" si="43"/>
        <v>13976</v>
      </c>
      <c r="I28" s="394">
        <f t="shared" si="1"/>
        <v>0</v>
      </c>
      <c r="J28" s="66">
        <f t="shared" si="14"/>
        <v>0</v>
      </c>
      <c r="K28" s="577">
        <f t="shared" si="15"/>
        <v>2336</v>
      </c>
      <c r="L28" s="52">
        <f t="shared" si="16"/>
        <v>0</v>
      </c>
      <c r="M28" s="577">
        <f t="shared" si="17"/>
        <v>172287</v>
      </c>
      <c r="N28" s="394">
        <f t="shared" si="2"/>
        <v>0</v>
      </c>
      <c r="O28" s="64">
        <f t="shared" si="48"/>
        <v>1869</v>
      </c>
      <c r="P28" s="577">
        <f t="shared" si="33"/>
        <v>2103</v>
      </c>
      <c r="Q28" s="577">
        <f t="shared" si="34"/>
        <v>176756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365755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6"/>
        <v>193</v>
      </c>
      <c r="C29" s="577">
        <f t="shared" si="47"/>
        <v>199</v>
      </c>
      <c r="D29" s="45">
        <f t="shared" si="49"/>
        <v>0</v>
      </c>
      <c r="E29" s="45">
        <f t="shared" si="13"/>
        <v>0</v>
      </c>
      <c r="F29" s="577">
        <f t="shared" si="42"/>
        <v>1848</v>
      </c>
      <c r="G29" s="52">
        <f t="shared" si="0"/>
        <v>0</v>
      </c>
      <c r="H29" s="577">
        <f t="shared" si="43"/>
        <v>13976</v>
      </c>
      <c r="I29" s="394">
        <f t="shared" si="1"/>
        <v>0</v>
      </c>
      <c r="J29" s="66">
        <f t="shared" si="14"/>
        <v>0</v>
      </c>
      <c r="K29" s="577">
        <f t="shared" si="15"/>
        <v>2336</v>
      </c>
      <c r="L29" s="52">
        <f t="shared" si="16"/>
        <v>0</v>
      </c>
      <c r="M29" s="577">
        <f t="shared" si="17"/>
        <v>172287</v>
      </c>
      <c r="N29" s="394">
        <f t="shared" si="2"/>
        <v>0</v>
      </c>
      <c r="O29" s="64">
        <f t="shared" si="48"/>
        <v>1869</v>
      </c>
      <c r="P29" s="577">
        <f t="shared" si="33"/>
        <v>2103</v>
      </c>
      <c r="Q29" s="577">
        <f t="shared" si="34"/>
        <v>176756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365755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6"/>
        <v>193</v>
      </c>
      <c r="C30" s="577">
        <f t="shared" si="47"/>
        <v>199</v>
      </c>
      <c r="D30" s="45">
        <f t="shared" si="49"/>
        <v>0</v>
      </c>
      <c r="E30" s="45">
        <f t="shared" si="13"/>
        <v>0</v>
      </c>
      <c r="F30" s="577">
        <f t="shared" si="42"/>
        <v>1848</v>
      </c>
      <c r="G30" s="52">
        <f t="shared" si="0"/>
        <v>0</v>
      </c>
      <c r="H30" s="577">
        <f t="shared" si="43"/>
        <v>13976</v>
      </c>
      <c r="I30" s="394">
        <f t="shared" si="1"/>
        <v>0</v>
      </c>
      <c r="J30" s="66">
        <f t="shared" si="14"/>
        <v>0</v>
      </c>
      <c r="K30" s="577">
        <f t="shared" si="15"/>
        <v>2336</v>
      </c>
      <c r="L30" s="52">
        <f t="shared" si="16"/>
        <v>0</v>
      </c>
      <c r="M30" s="577">
        <f t="shared" si="17"/>
        <v>172287</v>
      </c>
      <c r="N30" s="394">
        <f t="shared" si="2"/>
        <v>0</v>
      </c>
      <c r="O30" s="64">
        <f t="shared" si="48"/>
        <v>1869</v>
      </c>
      <c r="P30" s="577">
        <f t="shared" si="33"/>
        <v>2103</v>
      </c>
      <c r="Q30" s="577">
        <f t="shared" si="34"/>
        <v>176756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365755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6"/>
        <v>193</v>
      </c>
      <c r="C31" s="577">
        <f t="shared" si="47"/>
        <v>199</v>
      </c>
      <c r="D31" s="45">
        <f t="shared" si="49"/>
        <v>0</v>
      </c>
      <c r="E31" s="45">
        <f t="shared" si="13"/>
        <v>0</v>
      </c>
      <c r="F31" s="577">
        <f t="shared" si="42"/>
        <v>1848</v>
      </c>
      <c r="G31" s="52">
        <f t="shared" si="0"/>
        <v>0</v>
      </c>
      <c r="H31" s="577">
        <f t="shared" si="43"/>
        <v>13976</v>
      </c>
      <c r="I31" s="394">
        <f t="shared" si="1"/>
        <v>0</v>
      </c>
      <c r="J31" s="66">
        <f t="shared" si="14"/>
        <v>0</v>
      </c>
      <c r="K31" s="577">
        <f t="shared" si="15"/>
        <v>2336</v>
      </c>
      <c r="L31" s="52">
        <f t="shared" si="16"/>
        <v>0</v>
      </c>
      <c r="M31" s="577">
        <f t="shared" si="17"/>
        <v>172287</v>
      </c>
      <c r="N31" s="394">
        <f t="shared" si="2"/>
        <v>0</v>
      </c>
      <c r="O31" s="64">
        <f t="shared" si="48"/>
        <v>1869</v>
      </c>
      <c r="P31" s="577">
        <f t="shared" si="33"/>
        <v>2103</v>
      </c>
      <c r="Q31" s="577">
        <f t="shared" si="34"/>
        <v>176756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365755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6"/>
        <v>193</v>
      </c>
      <c r="C32" s="577">
        <f t="shared" si="47"/>
        <v>199</v>
      </c>
      <c r="D32" s="45">
        <f t="shared" si="49"/>
        <v>0</v>
      </c>
      <c r="E32" s="45">
        <f t="shared" si="13"/>
        <v>0</v>
      </c>
      <c r="F32" s="577">
        <f t="shared" si="42"/>
        <v>1848</v>
      </c>
      <c r="G32" s="52">
        <f t="shared" si="0"/>
        <v>0</v>
      </c>
      <c r="H32" s="577">
        <f t="shared" si="43"/>
        <v>13976</v>
      </c>
      <c r="I32" s="394">
        <f t="shared" si="1"/>
        <v>0</v>
      </c>
      <c r="J32" s="66">
        <f t="shared" si="14"/>
        <v>0</v>
      </c>
      <c r="K32" s="577">
        <f t="shared" si="15"/>
        <v>2336</v>
      </c>
      <c r="L32" s="52">
        <f t="shared" si="16"/>
        <v>0</v>
      </c>
      <c r="M32" s="577">
        <f t="shared" si="17"/>
        <v>172287</v>
      </c>
      <c r="N32" s="394">
        <f t="shared" si="2"/>
        <v>0</v>
      </c>
      <c r="O32" s="64">
        <f t="shared" si="48"/>
        <v>1869</v>
      </c>
      <c r="P32" s="577">
        <f t="shared" si="33"/>
        <v>2103</v>
      </c>
      <c r="Q32" s="577">
        <f t="shared" si="34"/>
        <v>176756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365755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6"/>
        <v>193</v>
      </c>
      <c r="C33" s="577">
        <f t="shared" si="47"/>
        <v>199</v>
      </c>
      <c r="D33" s="45">
        <f>C32-C33</f>
        <v>0</v>
      </c>
      <c r="E33" s="45">
        <f>D33*8.38</f>
        <v>0</v>
      </c>
      <c r="F33" s="577">
        <f t="shared" si="42"/>
        <v>1848</v>
      </c>
      <c r="G33" s="52">
        <f>F33-F32</f>
        <v>0</v>
      </c>
      <c r="H33" s="577">
        <f t="shared" si="43"/>
        <v>13976</v>
      </c>
      <c r="I33" s="394">
        <f>SUM(H33-H32)</f>
        <v>0</v>
      </c>
      <c r="J33" s="66">
        <f>IF(G33&gt;0,I33/G33,0)</f>
        <v>0</v>
      </c>
      <c r="K33" s="577">
        <f t="shared" si="15"/>
        <v>2336</v>
      </c>
      <c r="L33" s="52">
        <f>K33-K32</f>
        <v>0</v>
      </c>
      <c r="M33" s="577">
        <f t="shared" si="17"/>
        <v>172287</v>
      </c>
      <c r="N33" s="394">
        <f>M33-M32</f>
        <v>0</v>
      </c>
      <c r="O33" s="64">
        <f t="shared" si="48"/>
        <v>1869</v>
      </c>
      <c r="P33" s="577">
        <f t="shared" si="33"/>
        <v>2103</v>
      </c>
      <c r="Q33" s="577">
        <f t="shared" si="34"/>
        <v>176756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365755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6"/>
        <v>193</v>
      </c>
      <c r="C34" s="577">
        <f t="shared" si="47"/>
        <v>199</v>
      </c>
      <c r="D34" s="45">
        <f>C33-C34</f>
        <v>0</v>
      </c>
      <c r="E34" s="45">
        <f>D34*8.38</f>
        <v>0</v>
      </c>
      <c r="F34" s="577">
        <f t="shared" si="42"/>
        <v>1848</v>
      </c>
      <c r="G34" s="52">
        <f>F34-F33</f>
        <v>0</v>
      </c>
      <c r="H34" s="577">
        <f t="shared" si="43"/>
        <v>13976</v>
      </c>
      <c r="I34" s="394">
        <f>SUM(H34-H33)</f>
        <v>0</v>
      </c>
      <c r="J34" s="66">
        <f>IF(G34&gt;0,I34/G34,0)</f>
        <v>0</v>
      </c>
      <c r="K34" s="577">
        <f t="shared" si="15"/>
        <v>2336</v>
      </c>
      <c r="L34" s="52">
        <f>K34-K33</f>
        <v>0</v>
      </c>
      <c r="M34" s="577">
        <f t="shared" si="17"/>
        <v>172287</v>
      </c>
      <c r="N34" s="394">
        <f>M34-M33</f>
        <v>0</v>
      </c>
      <c r="O34" s="64">
        <f t="shared" si="48"/>
        <v>1869</v>
      </c>
      <c r="P34" s="577">
        <f t="shared" si="33"/>
        <v>2103</v>
      </c>
      <c r="Q34" s="577">
        <f t="shared" si="34"/>
        <v>176756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365755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65.375</v>
      </c>
      <c r="V35" s="62">
        <f>SUM(V5:V34)</f>
        <v>1507</v>
      </c>
      <c r="AE35" s="71" t="s">
        <v>383</v>
      </c>
      <c r="AG35" s="342"/>
      <c r="AH35" s="62">
        <f>SUM(AH5:AH34)</f>
        <v>255</v>
      </c>
      <c r="AL35" s="62">
        <f>SUM(AL5:AL34)</f>
        <v>19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1762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C1" zoomScale="90" zoomScaleNormal="90" workbookViewId="0">
      <pane ySplit="3" topLeftCell="A4" activePane="bottomLeft" state="frozen"/>
      <selection pane="bottomLeft" activeCell="AV19" sqref="AV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8066890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6" t="s">
        <v>95</v>
      </c>
      <c r="AS2" s="667"/>
      <c r="AT2" s="667"/>
      <c r="AU2" s="667"/>
      <c r="AV2" s="668"/>
      <c r="AW2" s="666" t="s">
        <v>96</v>
      </c>
      <c r="AX2" s="667"/>
      <c r="AY2" s="668"/>
      <c r="AZ2" s="666" t="s">
        <v>98</v>
      </c>
      <c r="BA2" s="667"/>
      <c r="BB2" s="668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3" t="s">
        <v>126</v>
      </c>
      <c r="AO3" s="664"/>
      <c r="AP3" s="665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7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6782</v>
      </c>
      <c r="L19" s="83">
        <f t="shared" si="39"/>
        <v>0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0</v>
      </c>
      <c r="AL19" s="325">
        <f t="shared" si="29"/>
        <v>0</v>
      </c>
      <c r="AM19" s="32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6782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f t="shared" si="18"/>
        <v>152036</v>
      </c>
      <c r="Y20" s="322">
        <f t="shared" si="40"/>
        <v>0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0</v>
      </c>
      <c r="AL20" s="325">
        <f t="shared" si="29"/>
        <v>0</v>
      </c>
      <c r="AM20" s="32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f t="shared" si="4"/>
        <v>152</v>
      </c>
      <c r="AU20" s="423">
        <f t="shared" si="41"/>
        <v>1.1000000000000001</v>
      </c>
      <c r="AV20" s="201">
        <f t="shared" si="42"/>
        <v>114</v>
      </c>
      <c r="AW20" s="5">
        <v>2.9</v>
      </c>
      <c r="AX20" s="201">
        <f t="shared" si="43"/>
        <v>29</v>
      </c>
      <c r="AY20" s="424">
        <f>AS20*AT20</f>
        <v>136.80000000000001</v>
      </c>
      <c r="AZ20" s="424">
        <f>AU20*AV20</f>
        <v>125.4</v>
      </c>
      <c r="BA20" s="424">
        <f>AW20*AX20</f>
        <v>84.1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2">
        <f t="shared" si="0"/>
        <v>0</v>
      </c>
      <c r="K21" s="5">
        <f>'Swimming Pool quality check '!H21</f>
        <v>6782</v>
      </c>
      <c r="L21" s="83">
        <f t="shared" si="39"/>
        <v>0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152036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0</v>
      </c>
      <c r="AL21" s="325">
        <f t="shared" si="29"/>
        <v>0</v>
      </c>
      <c r="AM21" s="32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f t="shared" si="4"/>
        <v>152</v>
      </c>
      <c r="AU21" s="423">
        <f t="shared" si="41"/>
        <v>1.1000000000000001</v>
      </c>
      <c r="AV21" s="201">
        <f t="shared" si="42"/>
        <v>114</v>
      </c>
      <c r="AW21" s="5">
        <v>2.9</v>
      </c>
      <c r="AX21" s="201">
        <f t="shared" si="43"/>
        <v>29</v>
      </c>
      <c r="AY21" s="424">
        <f>AS21*AT21</f>
        <v>136.80000000000001</v>
      </c>
      <c r="AZ21" s="424">
        <f>AU21*AV21</f>
        <v>125.4</v>
      </c>
      <c r="BA21" s="424">
        <f>AW21*AX21</f>
        <v>84.1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6782</v>
      </c>
      <c r="L22" s="83">
        <f t="shared" si="39"/>
        <v>0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f t="shared" si="18"/>
        <v>152036</v>
      </c>
      <c r="Y22" s="322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f t="shared" si="25"/>
        <v>2206.58</v>
      </c>
      <c r="AH22" s="83">
        <f t="shared" si="26"/>
        <v>0</v>
      </c>
      <c r="AI22" s="83">
        <f t="shared" si="27"/>
        <v>0</v>
      </c>
      <c r="AJ22" s="324">
        <f t="shared" si="28"/>
        <v>0</v>
      </c>
      <c r="AK22" s="325">
        <f t="shared" si="38"/>
        <v>0</v>
      </c>
      <c r="AL22" s="325">
        <f t="shared" si="29"/>
        <v>0</v>
      </c>
      <c r="AM22" s="32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f t="shared" si="48"/>
        <v>152</v>
      </c>
      <c r="AU22" s="423">
        <f t="shared" si="41"/>
        <v>1.1000000000000001</v>
      </c>
      <c r="AV22" s="201">
        <f t="shared" si="42"/>
        <v>114</v>
      </c>
      <c r="AW22" s="5">
        <v>2.9</v>
      </c>
      <c r="AX22" s="201">
        <f t="shared" si="43"/>
        <v>29</v>
      </c>
      <c r="AY22" s="424">
        <f t="shared" si="5"/>
        <v>136.80000000000001</v>
      </c>
      <c r="AZ22" s="424">
        <f t="shared" si="31"/>
        <v>125.4</v>
      </c>
      <c r="BA22" s="424">
        <f t="shared" si="32"/>
        <v>84.1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6782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152036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2206.58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152</v>
      </c>
      <c r="AU23" s="423">
        <f t="shared" si="41"/>
        <v>1.1000000000000001</v>
      </c>
      <c r="AV23" s="201">
        <f t="shared" si="42"/>
        <v>114</v>
      </c>
      <c r="AW23" s="5">
        <v>2.9</v>
      </c>
      <c r="AX23" s="201">
        <f t="shared" si="43"/>
        <v>29</v>
      </c>
      <c r="AY23" s="424">
        <f t="shared" si="5"/>
        <v>136.80000000000001</v>
      </c>
      <c r="AZ23" s="424">
        <f t="shared" si="31"/>
        <v>125.4</v>
      </c>
      <c r="BA23" s="424">
        <f t="shared" si="32"/>
        <v>84.1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6782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152036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2206.58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152</v>
      </c>
      <c r="AU24" s="423">
        <f t="shared" si="41"/>
        <v>1.1000000000000001</v>
      </c>
      <c r="AV24" s="201">
        <f t="shared" si="42"/>
        <v>114</v>
      </c>
      <c r="AW24" s="5">
        <v>2.9</v>
      </c>
      <c r="AX24" s="201">
        <f t="shared" si="43"/>
        <v>29</v>
      </c>
      <c r="AY24" s="424">
        <f t="shared" si="5"/>
        <v>136.80000000000001</v>
      </c>
      <c r="AZ24" s="424">
        <f t="shared" si="31"/>
        <v>125.4</v>
      </c>
      <c r="BA24" s="424">
        <f t="shared" si="32"/>
        <v>84.1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6782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152036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2206.58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152</v>
      </c>
      <c r="AU25" s="423">
        <f t="shared" si="41"/>
        <v>1.1000000000000001</v>
      </c>
      <c r="AV25" s="201">
        <f t="shared" si="42"/>
        <v>114</v>
      </c>
      <c r="AW25" s="5">
        <v>2.9</v>
      </c>
      <c r="AX25" s="201">
        <f t="shared" si="43"/>
        <v>29</v>
      </c>
      <c r="AY25" s="424">
        <f t="shared" si="5"/>
        <v>136.80000000000001</v>
      </c>
      <c r="AZ25" s="424">
        <f t="shared" si="31"/>
        <v>125.4</v>
      </c>
      <c r="BA25" s="424">
        <f t="shared" si="32"/>
        <v>84.1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620530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6782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152036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2206.58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152</v>
      </c>
      <c r="AU26" s="423">
        <f t="shared" si="41"/>
        <v>1.1000000000000001</v>
      </c>
      <c r="AV26" s="201">
        <f t="shared" si="42"/>
        <v>114</v>
      </c>
      <c r="AW26" s="5">
        <v>2.9</v>
      </c>
      <c r="AX26" s="201">
        <f t="shared" si="43"/>
        <v>29</v>
      </c>
      <c r="AY26" s="424">
        <f t="shared" si="5"/>
        <v>136.80000000000001</v>
      </c>
      <c r="AZ26" s="424">
        <f t="shared" si="31"/>
        <v>125.4</v>
      </c>
      <c r="BA26" s="424">
        <f t="shared" si="32"/>
        <v>84.1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6782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152036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2206.58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152</v>
      </c>
      <c r="AU27" s="423">
        <f t="shared" si="41"/>
        <v>1.1000000000000001</v>
      </c>
      <c r="AV27" s="201">
        <f t="shared" si="42"/>
        <v>114</v>
      </c>
      <c r="AW27" s="5">
        <v>2.9</v>
      </c>
      <c r="AX27" s="201">
        <f t="shared" si="43"/>
        <v>29</v>
      </c>
      <c r="AY27" s="424">
        <f t="shared" si="5"/>
        <v>136.80000000000001</v>
      </c>
      <c r="AZ27" s="424">
        <f t="shared" si="31"/>
        <v>125.4</v>
      </c>
      <c r="BA27" s="424">
        <f t="shared" si="32"/>
        <v>84.1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6782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152036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2206.58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152</v>
      </c>
      <c r="AU28" s="423">
        <f t="shared" si="41"/>
        <v>1.1000000000000001</v>
      </c>
      <c r="AV28" s="201">
        <f t="shared" si="42"/>
        <v>114</v>
      </c>
      <c r="AW28" s="5">
        <v>2.9</v>
      </c>
      <c r="AX28" s="201">
        <f t="shared" si="43"/>
        <v>29</v>
      </c>
      <c r="AY28" s="424">
        <f t="shared" si="5"/>
        <v>136.80000000000001</v>
      </c>
      <c r="AZ28" s="424">
        <f t="shared" si="31"/>
        <v>125.4</v>
      </c>
      <c r="BA28" s="424">
        <f t="shared" si="32"/>
        <v>84.1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6782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152036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2206.58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152</v>
      </c>
      <c r="AU29" s="423">
        <f t="shared" si="41"/>
        <v>1.1000000000000001</v>
      </c>
      <c r="AV29" s="201">
        <f t="shared" si="42"/>
        <v>114</v>
      </c>
      <c r="AW29" s="5">
        <v>2.9</v>
      </c>
      <c r="AX29" s="201">
        <f t="shared" si="43"/>
        <v>29</v>
      </c>
      <c r="AY29" s="424">
        <f t="shared" si="5"/>
        <v>136.80000000000001</v>
      </c>
      <c r="AZ29" s="424">
        <f t="shared" si="31"/>
        <v>125.4</v>
      </c>
      <c r="BA29" s="424">
        <f t="shared" si="32"/>
        <v>84.1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6782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152036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2206.58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152</v>
      </c>
      <c r="AU30" s="423">
        <f t="shared" si="41"/>
        <v>1.1000000000000001</v>
      </c>
      <c r="AV30" s="201">
        <f t="shared" si="42"/>
        <v>114</v>
      </c>
      <c r="AW30" s="5">
        <v>2.9</v>
      </c>
      <c r="AX30" s="201">
        <f t="shared" si="43"/>
        <v>29</v>
      </c>
      <c r="AY30" s="424">
        <f t="shared" si="5"/>
        <v>136.80000000000001</v>
      </c>
      <c r="AZ30" s="424">
        <f t="shared" si="31"/>
        <v>125.4</v>
      </c>
      <c r="BA30" s="424">
        <f t="shared" si="32"/>
        <v>84.1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6782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152036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2206.58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152</v>
      </c>
      <c r="AU31" s="423">
        <f t="shared" si="41"/>
        <v>1.1000000000000001</v>
      </c>
      <c r="AV31" s="201">
        <f t="shared" si="42"/>
        <v>114</v>
      </c>
      <c r="AW31" s="5">
        <v>2.9</v>
      </c>
      <c r="AX31" s="201">
        <f t="shared" si="43"/>
        <v>29</v>
      </c>
      <c r="AY31" s="424">
        <f t="shared" si="5"/>
        <v>136.80000000000001</v>
      </c>
      <c r="AZ31" s="424">
        <f t="shared" si="31"/>
        <v>125.4</v>
      </c>
      <c r="BA31" s="424">
        <f t="shared" si="32"/>
        <v>84.1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6782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152036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2206.58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152</v>
      </c>
      <c r="AU32" s="423">
        <f t="shared" si="41"/>
        <v>1.1000000000000001</v>
      </c>
      <c r="AV32" s="201">
        <f t="shared" si="42"/>
        <v>114</v>
      </c>
      <c r="AW32" s="5">
        <v>2.9</v>
      </c>
      <c r="AX32" s="201">
        <f t="shared" si="43"/>
        <v>29</v>
      </c>
      <c r="AY32" s="424">
        <f t="shared" si="5"/>
        <v>136.80000000000001</v>
      </c>
      <c r="AZ32" s="424">
        <f t="shared" si="31"/>
        <v>125.4</v>
      </c>
      <c r="BA32" s="424">
        <f t="shared" si="32"/>
        <v>84.1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6782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152036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2206.58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152</v>
      </c>
      <c r="AU33" s="423">
        <f t="shared" si="41"/>
        <v>1.1000000000000001</v>
      </c>
      <c r="AV33" s="201">
        <f t="shared" si="42"/>
        <v>114</v>
      </c>
      <c r="AW33" s="5">
        <v>2.9</v>
      </c>
      <c r="AX33" s="201">
        <f t="shared" si="43"/>
        <v>29</v>
      </c>
      <c r="AY33" s="424">
        <f t="shared" si="5"/>
        <v>136.80000000000001</v>
      </c>
      <c r="AZ33" s="424">
        <f t="shared" si="31"/>
        <v>125.4</v>
      </c>
      <c r="BA33" s="424">
        <f t="shared" si="32"/>
        <v>84.1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620530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6782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152036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2206.58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152</v>
      </c>
      <c r="AU34" s="423">
        <f>AU33</f>
        <v>1.1000000000000001</v>
      </c>
      <c r="AV34" s="201">
        <f t="shared" si="42"/>
        <v>114</v>
      </c>
      <c r="AW34" s="5">
        <v>2.9</v>
      </c>
      <c r="AX34" s="201">
        <f t="shared" si="43"/>
        <v>29</v>
      </c>
      <c r="AY34" s="424">
        <f t="shared" si="5"/>
        <v>136.80000000000001</v>
      </c>
      <c r="AZ34" s="424">
        <f>AU34*AV34</f>
        <v>125.4</v>
      </c>
      <c r="BA34" s="424">
        <f>AW34*AX34</f>
        <v>84.1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620530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6782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152036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2206.58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152</v>
      </c>
      <c r="AU35" s="423">
        <f>AU34</f>
        <v>1.1000000000000001</v>
      </c>
      <c r="AV35" s="201">
        <f t="shared" si="42"/>
        <v>114</v>
      </c>
      <c r="AW35" s="5">
        <v>2.9</v>
      </c>
      <c r="AX35" s="201">
        <f t="shared" si="43"/>
        <v>29</v>
      </c>
      <c r="AY35" s="424">
        <f t="shared" si="5"/>
        <v>136.80000000000001</v>
      </c>
      <c r="AZ35" s="424">
        <f>AU35*AV35</f>
        <v>125.4</v>
      </c>
      <c r="BA35" s="424">
        <f>AW35*AX35</f>
        <v>84.1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109</v>
      </c>
      <c r="I36" s="410">
        <f>SUM(I6:I35)</f>
        <v>109</v>
      </c>
      <c r="L36" s="268">
        <f>SUM(L7:L35)</f>
        <v>7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B1" zoomScale="110" zoomScaleNormal="110" workbookViewId="0">
      <pane ySplit="1" topLeftCell="A2" activePane="bottomLeft" state="frozen"/>
      <selection pane="bottomLeft" activeCell="U16" sqref="U16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12390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12390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12390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12390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12390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12390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12390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12390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12390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12390</v>
      </c>
      <c r="Y11" s="286" t="str">
        <f t="shared" si="30"/>
        <v>ok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12390</v>
      </c>
      <c r="Y12" s="286" t="str">
        <f t="shared" si="30"/>
        <v>ok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12390</v>
      </c>
      <c r="Y13" s="286" t="str">
        <f t="shared" si="30"/>
        <v>ok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12390</v>
      </c>
      <c r="Y14" s="286" t="str">
        <f t="shared" si="30"/>
        <v>ok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12390</v>
      </c>
      <c r="Y15" s="286" t="str">
        <f t="shared" si="30"/>
        <v>ok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12390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f t="shared" si="28"/>
        <v>10237</v>
      </c>
      <c r="C17" s="286">
        <f t="shared" si="9"/>
        <v>0</v>
      </c>
      <c r="D17" s="531">
        <f t="shared" si="29"/>
        <v>432006</v>
      </c>
      <c r="E17" s="286">
        <f t="shared" si="10"/>
        <v>0</v>
      </c>
      <c r="F17" s="286">
        <f t="shared" si="0"/>
        <v>0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531">
        <f t="shared" ref="R16:R32" si="31">R16</f>
        <v>12392</v>
      </c>
      <c r="S17" s="286">
        <f t="shared" si="4"/>
        <v>0</v>
      </c>
      <c r="T17" s="531">
        <f t="shared" si="27"/>
        <v>373342</v>
      </c>
      <c r="U17" s="286">
        <f t="shared" si="17"/>
        <v>0</v>
      </c>
      <c r="V17" s="286">
        <v>250</v>
      </c>
      <c r="W17" s="336"/>
      <c r="X17" s="287">
        <f t="shared" si="18"/>
        <v>12390</v>
      </c>
      <c r="Y17" s="286" t="str">
        <f t="shared" si="30"/>
        <v>oil change</v>
      </c>
      <c r="Z17" s="286">
        <f t="shared" si="6"/>
        <v>0</v>
      </c>
      <c r="AA17" s="286">
        <f t="shared" si="19"/>
        <v>0</v>
      </c>
      <c r="AB17" s="286">
        <f t="shared" si="20"/>
        <v>250</v>
      </c>
      <c r="AC17" s="286">
        <f t="shared" si="21"/>
        <v>0</v>
      </c>
      <c r="AD17" s="73">
        <f>ELEC!Q18</f>
        <v>0</v>
      </c>
      <c r="AE17" s="73" t="e">
        <f t="shared" si="23"/>
        <v>#DIV/0!</v>
      </c>
      <c r="AF17" s="401" t="e">
        <f t="shared" si="24"/>
        <v>#DIV/0!</v>
      </c>
      <c r="AG17" s="402" t="e">
        <f t="shared" si="25"/>
        <v>#DIV/0!</v>
      </c>
      <c r="AH17" s="402" t="e">
        <f t="shared" si="22"/>
        <v>#DIV/0!</v>
      </c>
      <c r="AI17" s="73">
        <f t="shared" si="26"/>
        <v>0</v>
      </c>
      <c r="AJ17" s="288">
        <f t="shared" si="7"/>
        <v>0.25738396624472576</v>
      </c>
      <c r="AK17" s="288" t="e">
        <f t="shared" si="8"/>
        <v>#DIV/0!</v>
      </c>
    </row>
    <row r="18" spans="1:37" ht="15.75" thickBot="1">
      <c r="A18" s="4">
        <f>ELEC!C19</f>
        <v>44363</v>
      </c>
      <c r="B18" s="530">
        <f t="shared" si="28"/>
        <v>10237</v>
      </c>
      <c r="C18" s="286">
        <f t="shared" si="9"/>
        <v>0</v>
      </c>
      <c r="D18" s="531">
        <f t="shared" si="29"/>
        <v>432006</v>
      </c>
      <c r="E18" s="286">
        <f t="shared" si="10"/>
        <v>0</v>
      </c>
      <c r="F18" s="286">
        <f t="shared" si="0"/>
        <v>0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f t="shared" si="31"/>
        <v>12392</v>
      </c>
      <c r="S18" s="286">
        <f t="shared" si="4"/>
        <v>0</v>
      </c>
      <c r="T18" s="531">
        <f t="shared" si="27"/>
        <v>373342</v>
      </c>
      <c r="U18" s="286">
        <f t="shared" si="17"/>
        <v>0</v>
      </c>
      <c r="V18" s="286">
        <v>250</v>
      </c>
      <c r="W18" s="336"/>
      <c r="X18" s="287">
        <f t="shared" si="18"/>
        <v>12390</v>
      </c>
      <c r="Y18" s="286" t="str">
        <f t="shared" si="30"/>
        <v>oil change</v>
      </c>
      <c r="Z18" s="286">
        <f t="shared" si="6"/>
        <v>0</v>
      </c>
      <c r="AA18" s="286">
        <f t="shared" si="19"/>
        <v>0</v>
      </c>
      <c r="AB18" s="286">
        <f t="shared" si="20"/>
        <v>250</v>
      </c>
      <c r="AC18" s="286">
        <f t="shared" si="21"/>
        <v>0</v>
      </c>
      <c r="AD18" s="73">
        <f>ELEC!Q19</f>
        <v>0</v>
      </c>
      <c r="AE18" s="73" t="e">
        <f t="shared" si="23"/>
        <v>#DIV/0!</v>
      </c>
      <c r="AF18" s="401" t="e">
        <f t="shared" si="24"/>
        <v>#DIV/0!</v>
      </c>
      <c r="AG18" s="402" t="e">
        <f t="shared" si="25"/>
        <v>#DIV/0!</v>
      </c>
      <c r="AH18" s="402" t="e">
        <f t="shared" si="22"/>
        <v>#DIV/0!</v>
      </c>
      <c r="AI18" s="73">
        <f t="shared" si="26"/>
        <v>0</v>
      </c>
      <c r="AJ18" s="288">
        <f t="shared" si="7"/>
        <v>0.25738396624472576</v>
      </c>
      <c r="AK18" s="288" t="e">
        <f t="shared" si="8"/>
        <v>#DIV/0!</v>
      </c>
    </row>
    <row r="19" spans="1:37" ht="15.75" thickBot="1">
      <c r="A19" s="4">
        <f>ELEC!C20</f>
        <v>44364</v>
      </c>
      <c r="B19" s="530">
        <f t="shared" si="28"/>
        <v>10237</v>
      </c>
      <c r="C19" s="286">
        <f t="shared" si="9"/>
        <v>0</v>
      </c>
      <c r="D19" s="531">
        <f t="shared" si="29"/>
        <v>432006</v>
      </c>
      <c r="E19" s="286">
        <f t="shared" si="10"/>
        <v>0</v>
      </c>
      <c r="F19" s="286">
        <f t="shared" si="0"/>
        <v>0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2">IF(J19-P19&lt;=0,"ok","oil change")</f>
        <v>ok</v>
      </c>
      <c r="R19" s="531">
        <f t="shared" si="31"/>
        <v>12392</v>
      </c>
      <c r="S19" s="286">
        <f t="shared" si="4"/>
        <v>0</v>
      </c>
      <c r="T19" s="531">
        <f t="shared" si="27"/>
        <v>373342</v>
      </c>
      <c r="U19" s="286">
        <f t="shared" si="17"/>
        <v>0</v>
      </c>
      <c r="V19" s="286">
        <v>250</v>
      </c>
      <c r="W19" s="336"/>
      <c r="X19" s="287">
        <f t="shared" si="18"/>
        <v>12390</v>
      </c>
      <c r="Y19" s="286" t="str">
        <f t="shared" si="30"/>
        <v>oil change</v>
      </c>
      <c r="Z19" s="286">
        <f t="shared" si="6"/>
        <v>0</v>
      </c>
      <c r="AA19" s="286">
        <f t="shared" si="19"/>
        <v>0</v>
      </c>
      <c r="AB19" s="286">
        <f t="shared" si="20"/>
        <v>250</v>
      </c>
      <c r="AC19" s="286">
        <f t="shared" si="21"/>
        <v>0</v>
      </c>
      <c r="AD19" s="73">
        <f>ELEC!Q20</f>
        <v>0</v>
      </c>
      <c r="AE19" s="73" t="e">
        <f t="shared" si="23"/>
        <v>#DIV/0!</v>
      </c>
      <c r="AF19" s="401" t="e">
        <f t="shared" si="24"/>
        <v>#DIV/0!</v>
      </c>
      <c r="AG19" s="402" t="e">
        <f t="shared" si="25"/>
        <v>#DIV/0!</v>
      </c>
      <c r="AH19" s="402" t="e">
        <f t="shared" si="22"/>
        <v>#DIV/0!</v>
      </c>
      <c r="AI19" s="73">
        <f t="shared" si="26"/>
        <v>0</v>
      </c>
      <c r="AJ19" s="288">
        <f t="shared" si="7"/>
        <v>0.25738396624472576</v>
      </c>
      <c r="AK19" s="288" t="e">
        <f t="shared" si="8"/>
        <v>#DIV/0!</v>
      </c>
    </row>
    <row r="20" spans="1:37" ht="15.75" thickBot="1">
      <c r="A20" s="4">
        <f>ELEC!C21</f>
        <v>44365</v>
      </c>
      <c r="B20" s="530">
        <f t="shared" si="28"/>
        <v>10237</v>
      </c>
      <c r="C20" s="286">
        <f>B20-B19</f>
        <v>0</v>
      </c>
      <c r="D20" s="531">
        <f t="shared" si="29"/>
        <v>432006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2"/>
        <v>ok</v>
      </c>
      <c r="R20" s="531">
        <f t="shared" si="31"/>
        <v>12392</v>
      </c>
      <c r="S20" s="286">
        <f t="shared" si="4"/>
        <v>0</v>
      </c>
      <c r="T20" s="531">
        <f t="shared" si="27"/>
        <v>373342</v>
      </c>
      <c r="U20" s="286">
        <f t="shared" si="17"/>
        <v>0</v>
      </c>
      <c r="V20" s="286">
        <v>250</v>
      </c>
      <c r="W20" s="336"/>
      <c r="X20" s="287">
        <f t="shared" si="18"/>
        <v>12390</v>
      </c>
      <c r="Y20" s="286" t="str">
        <f t="shared" si="30"/>
        <v>oil change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.75" thickBot="1">
      <c r="A21" s="4">
        <f>ELEC!C22</f>
        <v>44366</v>
      </c>
      <c r="B21" s="530">
        <f t="shared" si="28"/>
        <v>10237</v>
      </c>
      <c r="C21" s="286">
        <f>B21-B20</f>
        <v>0</v>
      </c>
      <c r="D21" s="531">
        <f t="shared" si="29"/>
        <v>432006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2"/>
        <v>ok</v>
      </c>
      <c r="R21" s="531">
        <f t="shared" si="31"/>
        <v>12392</v>
      </c>
      <c r="S21" s="286">
        <f t="shared" si="4"/>
        <v>0</v>
      </c>
      <c r="T21" s="531">
        <f t="shared" si="27"/>
        <v>373342</v>
      </c>
      <c r="U21" s="286">
        <f t="shared" si="17"/>
        <v>0</v>
      </c>
      <c r="V21" s="286">
        <v>250</v>
      </c>
      <c r="W21" s="196"/>
      <c r="X21" s="287">
        <f t="shared" si="18"/>
        <v>12390</v>
      </c>
      <c r="Y21" s="286" t="str">
        <f>Y20</f>
        <v>oil change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10237</v>
      </c>
      <c r="C22" s="286">
        <f t="shared" si="9"/>
        <v>0</v>
      </c>
      <c r="D22" s="531">
        <f t="shared" si="29"/>
        <v>432006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2"/>
        <v>ok</v>
      </c>
      <c r="R22" s="531">
        <f t="shared" si="31"/>
        <v>12392</v>
      </c>
      <c r="S22" s="286">
        <f t="shared" si="4"/>
        <v>0</v>
      </c>
      <c r="T22" s="531">
        <f t="shared" si="27"/>
        <v>373342</v>
      </c>
      <c r="U22" s="286">
        <f t="shared" si="17"/>
        <v>0</v>
      </c>
      <c r="V22" s="286">
        <v>250</v>
      </c>
      <c r="W22" s="196"/>
      <c r="X22" s="287">
        <f t="shared" si="18"/>
        <v>12390</v>
      </c>
      <c r="Y22" s="286" t="str">
        <f t="shared" ref="Y22:Y30" si="33">IF(R22-X22&lt;=0,"ok","oil change")</f>
        <v>oil change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10237</v>
      </c>
      <c r="C23" s="286">
        <f t="shared" si="9"/>
        <v>0</v>
      </c>
      <c r="D23" s="531">
        <f t="shared" si="29"/>
        <v>432006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2"/>
        <v>ok</v>
      </c>
      <c r="R23" s="531">
        <f t="shared" si="31"/>
        <v>12392</v>
      </c>
      <c r="S23" s="286">
        <f>R23-R22</f>
        <v>0</v>
      </c>
      <c r="T23" s="531">
        <f t="shared" si="27"/>
        <v>373342</v>
      </c>
      <c r="U23" s="286">
        <f t="shared" si="17"/>
        <v>0</v>
      </c>
      <c r="V23" s="286">
        <v>250</v>
      </c>
      <c r="W23" s="196"/>
      <c r="X23" s="287">
        <f t="shared" si="18"/>
        <v>12390</v>
      </c>
      <c r="Y23" s="286" t="str">
        <f t="shared" si="33"/>
        <v>oil change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10237</v>
      </c>
      <c r="C24" s="286">
        <f t="shared" si="9"/>
        <v>0</v>
      </c>
      <c r="D24" s="531">
        <f t="shared" si="29"/>
        <v>432006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2"/>
        <v>ok</v>
      </c>
      <c r="R24" s="531">
        <f t="shared" si="31"/>
        <v>12392</v>
      </c>
      <c r="S24" s="286">
        <f t="shared" si="4"/>
        <v>0</v>
      </c>
      <c r="T24" s="531">
        <f t="shared" si="27"/>
        <v>373342</v>
      </c>
      <c r="U24" s="286">
        <f t="shared" si="17"/>
        <v>0</v>
      </c>
      <c r="V24" s="286">
        <v>250</v>
      </c>
      <c r="W24" s="196"/>
      <c r="X24" s="287">
        <f t="shared" si="18"/>
        <v>12390</v>
      </c>
      <c r="Y24" s="286" t="str">
        <f t="shared" si="33"/>
        <v>oil change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10237</v>
      </c>
      <c r="C25" s="286">
        <f t="shared" si="9"/>
        <v>0</v>
      </c>
      <c r="D25" s="531">
        <f t="shared" si="29"/>
        <v>432006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2"/>
        <v>ok</v>
      </c>
      <c r="R25" s="531">
        <f t="shared" si="31"/>
        <v>12392</v>
      </c>
      <c r="S25" s="286">
        <f t="shared" si="4"/>
        <v>0</v>
      </c>
      <c r="T25" s="531">
        <f t="shared" si="27"/>
        <v>373342</v>
      </c>
      <c r="U25" s="286">
        <f t="shared" si="17"/>
        <v>0</v>
      </c>
      <c r="V25" s="286">
        <v>250</v>
      </c>
      <c r="W25" s="196"/>
      <c r="X25" s="287">
        <f t="shared" si="18"/>
        <v>12390</v>
      </c>
      <c r="Y25" s="286" t="str">
        <f t="shared" si="33"/>
        <v>oil change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10237</v>
      </c>
      <c r="C26" s="286">
        <f t="shared" si="9"/>
        <v>0</v>
      </c>
      <c r="D26" s="531">
        <f t="shared" si="29"/>
        <v>432006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2"/>
        <v>ok</v>
      </c>
      <c r="R26" s="531">
        <f t="shared" si="31"/>
        <v>12392</v>
      </c>
      <c r="S26" s="286">
        <f t="shared" si="4"/>
        <v>0</v>
      </c>
      <c r="T26" s="531">
        <f t="shared" si="27"/>
        <v>373342</v>
      </c>
      <c r="U26" s="286">
        <f t="shared" si="17"/>
        <v>0</v>
      </c>
      <c r="V26" s="286">
        <v>250</v>
      </c>
      <c r="W26" s="196"/>
      <c r="X26" s="287">
        <f t="shared" si="18"/>
        <v>12390</v>
      </c>
      <c r="Y26" s="286" t="str">
        <f t="shared" si="33"/>
        <v>oil change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10237</v>
      </c>
      <c r="C27" s="286">
        <f t="shared" si="9"/>
        <v>0</v>
      </c>
      <c r="D27" s="531">
        <f t="shared" si="29"/>
        <v>432006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2"/>
        <v>ok</v>
      </c>
      <c r="R27" s="531">
        <f t="shared" si="31"/>
        <v>12392</v>
      </c>
      <c r="S27" s="286">
        <f t="shared" si="4"/>
        <v>0</v>
      </c>
      <c r="T27" s="531">
        <f t="shared" si="27"/>
        <v>373342</v>
      </c>
      <c r="U27" s="286">
        <f t="shared" si="17"/>
        <v>0</v>
      </c>
      <c r="V27" s="286">
        <v>250</v>
      </c>
      <c r="W27" s="196"/>
      <c r="X27" s="287">
        <f t="shared" si="18"/>
        <v>12390</v>
      </c>
      <c r="Y27" s="286" t="str">
        <f t="shared" si="33"/>
        <v>oil change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10237</v>
      </c>
      <c r="C28" s="286">
        <f t="shared" si="9"/>
        <v>0</v>
      </c>
      <c r="D28" s="531">
        <f t="shared" si="29"/>
        <v>432006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2"/>
        <v>ok</v>
      </c>
      <c r="R28" s="531">
        <f t="shared" si="31"/>
        <v>12392</v>
      </c>
      <c r="S28" s="286">
        <f t="shared" si="4"/>
        <v>0</v>
      </c>
      <c r="T28" s="531">
        <f t="shared" si="27"/>
        <v>373342</v>
      </c>
      <c r="U28" s="286">
        <f t="shared" si="17"/>
        <v>0</v>
      </c>
      <c r="V28" s="286">
        <v>250</v>
      </c>
      <c r="W28" s="196"/>
      <c r="X28" s="287">
        <f t="shared" si="18"/>
        <v>12390</v>
      </c>
      <c r="Y28" s="286" t="str">
        <f t="shared" si="33"/>
        <v>oil change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10237</v>
      </c>
      <c r="C29" s="286">
        <f t="shared" si="9"/>
        <v>0</v>
      </c>
      <c r="D29" s="531">
        <f t="shared" si="29"/>
        <v>432006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2"/>
        <v>ok</v>
      </c>
      <c r="R29" s="531">
        <f t="shared" si="31"/>
        <v>12392</v>
      </c>
      <c r="S29" s="286">
        <f t="shared" si="4"/>
        <v>0</v>
      </c>
      <c r="T29" s="531">
        <f t="shared" si="27"/>
        <v>373342</v>
      </c>
      <c r="U29" s="286">
        <f t="shared" si="17"/>
        <v>0</v>
      </c>
      <c r="V29" s="286">
        <v>250</v>
      </c>
      <c r="W29" s="196"/>
      <c r="X29" s="287">
        <f t="shared" si="18"/>
        <v>12390</v>
      </c>
      <c r="Y29" s="286" t="str">
        <f t="shared" si="33"/>
        <v>oil change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10237</v>
      </c>
      <c r="C30" s="286">
        <f t="shared" si="9"/>
        <v>0</v>
      </c>
      <c r="D30" s="531">
        <f t="shared" si="29"/>
        <v>432006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2"/>
        <v>ok</v>
      </c>
      <c r="R30" s="531">
        <f t="shared" si="31"/>
        <v>12392</v>
      </c>
      <c r="S30" s="286">
        <f t="shared" si="4"/>
        <v>0</v>
      </c>
      <c r="T30" s="531">
        <f t="shared" si="27"/>
        <v>373342</v>
      </c>
      <c r="U30" s="286">
        <f t="shared" si="17"/>
        <v>0</v>
      </c>
      <c r="V30" s="286">
        <v>250</v>
      </c>
      <c r="W30" s="284"/>
      <c r="X30" s="287">
        <f t="shared" si="18"/>
        <v>12390</v>
      </c>
      <c r="Y30" s="286" t="str">
        <f t="shared" si="33"/>
        <v>oil change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10237</v>
      </c>
      <c r="C31" s="286">
        <f>B31-B30</f>
        <v>0</v>
      </c>
      <c r="D31" s="531">
        <f t="shared" si="29"/>
        <v>432006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1"/>
        <v>12392</v>
      </c>
      <c r="S31" s="286">
        <f>R31-R30</f>
        <v>0</v>
      </c>
      <c r="T31" s="531">
        <f t="shared" si="27"/>
        <v>373342</v>
      </c>
      <c r="U31" s="286">
        <f t="shared" si="17"/>
        <v>0</v>
      </c>
      <c r="V31" s="286">
        <v>250</v>
      </c>
      <c r="W31" s="336"/>
      <c r="X31" s="287">
        <f t="shared" si="18"/>
        <v>12390</v>
      </c>
      <c r="Y31" s="286" t="str">
        <f>IF(R31-X31&lt;=0,"ok","oil change")</f>
        <v>oil change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10237</v>
      </c>
      <c r="C32" s="286">
        <f>B32-B31</f>
        <v>0</v>
      </c>
      <c r="D32" s="531">
        <f t="shared" si="29"/>
        <v>432006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1"/>
        <v>12392</v>
      </c>
      <c r="S32" s="286">
        <f>R32-R31</f>
        <v>0</v>
      </c>
      <c r="T32" s="531">
        <f t="shared" si="27"/>
        <v>373342</v>
      </c>
      <c r="U32" s="286">
        <f t="shared" si="17"/>
        <v>0</v>
      </c>
      <c r="V32" s="286">
        <v>250</v>
      </c>
      <c r="W32" s="336"/>
      <c r="X32" s="287">
        <f t="shared" si="18"/>
        <v>12390</v>
      </c>
      <c r="Y32" s="286" t="str">
        <f>IF(R32-X32&lt;=0,"ok","oil change")</f>
        <v>oil change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247</v>
      </c>
      <c r="V33" s="40"/>
      <c r="X33">
        <v>341</v>
      </c>
      <c r="Z33" s="419">
        <f>SUM(Z3:Z32)</f>
        <v>247</v>
      </c>
    </row>
    <row r="34" spans="3:26">
      <c r="C34" s="40">
        <f>SUM(C3:C32)</f>
        <v>114</v>
      </c>
      <c r="K34" s="40">
        <f>SUM(K3:K32)</f>
        <v>0</v>
      </c>
      <c r="S34" s="40">
        <f>SUM(S3:S32)</f>
        <v>133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B1" activePane="topRight" state="frozen"/>
      <selection pane="topRight" activeCell="AW16" sqref="AW16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1.57031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1" t="s">
        <v>108</v>
      </c>
      <c r="AS3" s="671" t="s">
        <v>233</v>
      </c>
      <c r="AT3" s="669" t="s">
        <v>301</v>
      </c>
      <c r="AU3" s="670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2"/>
      <c r="AS4" s="672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35" si="18">SUM(AR6-AR5-AT6)</f>
        <v>-4486.8387096774313</v>
      </c>
      <c r="AT6" s="353"/>
      <c r="AU6" s="642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2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35" si="42">Y8+AO8</f>
        <v>70412.451612903242</v>
      </c>
      <c r="AS8" s="197">
        <f t="shared" si="18"/>
        <v>-2097.8709677419174</v>
      </c>
      <c r="AT8" s="353">
        <v>15285</v>
      </c>
      <c r="AU8" s="642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2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2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2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2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2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2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2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4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2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2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2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0</v>
      </c>
      <c r="BB19" s="392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193</v>
      </c>
      <c r="C20" s="203">
        <f t="shared" si="20"/>
        <v>4152.6129032258068</v>
      </c>
      <c r="D20">
        <f t="shared" si="21"/>
        <v>193</v>
      </c>
      <c r="E20" s="203">
        <f t="shared" si="20"/>
        <v>4152.6129032258068</v>
      </c>
      <c r="F20">
        <f t="shared" si="22"/>
        <v>193</v>
      </c>
      <c r="G20" s="203">
        <f t="shared" si="1"/>
        <v>4152.6129032258068</v>
      </c>
      <c r="H20" s="203">
        <f t="shared" si="23"/>
        <v>193</v>
      </c>
      <c r="I20" s="203">
        <f t="shared" si="2"/>
        <v>4152.6129032258068</v>
      </c>
      <c r="J20" s="203">
        <f t="shared" si="24"/>
        <v>193</v>
      </c>
      <c r="K20" s="203">
        <f t="shared" si="3"/>
        <v>4152.6129032258068</v>
      </c>
      <c r="L20" s="203">
        <f t="shared" si="25"/>
        <v>193</v>
      </c>
      <c r="M20" s="203">
        <f t="shared" si="4"/>
        <v>4152.6129032258068</v>
      </c>
      <c r="N20" s="203">
        <f t="shared" si="26"/>
        <v>193</v>
      </c>
      <c r="O20" s="203">
        <f t="shared" si="5"/>
        <v>4152.6129032258068</v>
      </c>
      <c r="P20" s="203">
        <f t="shared" si="27"/>
        <v>193</v>
      </c>
      <c r="Q20" s="203">
        <f t="shared" si="6"/>
        <v>4152.6129032258068</v>
      </c>
      <c r="R20" s="203">
        <f t="shared" si="28"/>
        <v>193</v>
      </c>
      <c r="S20" s="203">
        <f t="shared" si="7"/>
        <v>4152.6129032258068</v>
      </c>
      <c r="T20" s="203">
        <f t="shared" si="29"/>
        <v>193</v>
      </c>
      <c r="U20" s="203">
        <f t="shared" si="8"/>
        <v>4152.6129032258068</v>
      </c>
      <c r="V20" s="203">
        <f t="shared" si="30"/>
        <v>193</v>
      </c>
      <c r="W20" s="203">
        <f t="shared" si="9"/>
        <v>4152.6129032258068</v>
      </c>
      <c r="X20" s="35">
        <f t="shared" si="10"/>
        <v>0.62258064516129019</v>
      </c>
      <c r="Y20" s="36">
        <f t="shared" si="31"/>
        <v>45678.741935483864</v>
      </c>
      <c r="Z20" s="203">
        <f>'B5'!C19</f>
        <v>199</v>
      </c>
      <c r="AA20" s="203">
        <f t="shared" si="32"/>
        <v>1990</v>
      </c>
      <c r="AB20" s="203">
        <f t="shared" si="33"/>
        <v>199</v>
      </c>
      <c r="AC20" s="203">
        <f t="shared" si="32"/>
        <v>1990</v>
      </c>
      <c r="AD20" s="203">
        <f t="shared" si="34"/>
        <v>199</v>
      </c>
      <c r="AE20" s="203">
        <f t="shared" si="11"/>
        <v>1990</v>
      </c>
      <c r="AF20" s="203">
        <f t="shared" si="35"/>
        <v>199</v>
      </c>
      <c r="AG20" s="203">
        <f t="shared" si="12"/>
        <v>1990</v>
      </c>
      <c r="AH20" s="203">
        <f t="shared" si="36"/>
        <v>199</v>
      </c>
      <c r="AI20" s="203">
        <f t="shared" si="13"/>
        <v>1990</v>
      </c>
      <c r="AJ20" s="203">
        <f t="shared" si="37"/>
        <v>199</v>
      </c>
      <c r="AK20" s="203">
        <f t="shared" si="14"/>
        <v>1990</v>
      </c>
      <c r="AL20" s="203">
        <f t="shared" si="38"/>
        <v>199</v>
      </c>
      <c r="AM20" s="203">
        <f t="shared" si="15"/>
        <v>1990</v>
      </c>
      <c r="AN20" s="35">
        <f t="shared" si="16"/>
        <v>0.71071428571428574</v>
      </c>
      <c r="AO20" s="36">
        <f t="shared" si="17"/>
        <v>13930</v>
      </c>
      <c r="AQ20" s="223">
        <f t="shared" si="39"/>
        <v>0.64116104050213896</v>
      </c>
      <c r="AR20" s="38">
        <f t="shared" si="42"/>
        <v>59608.741935483864</v>
      </c>
      <c r="AS20" s="197">
        <f t="shared" si="18"/>
        <v>0</v>
      </c>
      <c r="AT20" s="353"/>
      <c r="AU20" s="642"/>
      <c r="AV20" s="511">
        <f t="shared" si="43"/>
        <v>1.05</v>
      </c>
      <c r="AW20" s="289">
        <f>-SUM('B5'!AI19)</f>
        <v>0</v>
      </c>
      <c r="AX20" s="289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2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193</v>
      </c>
      <c r="C21" s="203">
        <f t="shared" si="20"/>
        <v>4152.6129032258068</v>
      </c>
      <c r="D21">
        <f t="shared" si="21"/>
        <v>193</v>
      </c>
      <c r="E21" s="203">
        <f t="shared" si="20"/>
        <v>4152.6129032258068</v>
      </c>
      <c r="F21">
        <f t="shared" si="22"/>
        <v>193</v>
      </c>
      <c r="G21" s="203">
        <f t="shared" si="1"/>
        <v>4152.6129032258068</v>
      </c>
      <c r="H21" s="203">
        <f t="shared" si="23"/>
        <v>193</v>
      </c>
      <c r="I21" s="203">
        <f t="shared" si="2"/>
        <v>4152.6129032258068</v>
      </c>
      <c r="J21" s="203">
        <f t="shared" si="24"/>
        <v>193</v>
      </c>
      <c r="K21" s="203">
        <f t="shared" si="3"/>
        <v>4152.6129032258068</v>
      </c>
      <c r="L21" s="203">
        <f t="shared" si="25"/>
        <v>193</v>
      </c>
      <c r="M21" s="203">
        <f t="shared" si="4"/>
        <v>4152.6129032258068</v>
      </c>
      <c r="N21" s="203">
        <f t="shared" si="26"/>
        <v>193</v>
      </c>
      <c r="O21" s="203">
        <f t="shared" si="5"/>
        <v>4152.6129032258068</v>
      </c>
      <c r="P21" s="203">
        <f t="shared" si="27"/>
        <v>193</v>
      </c>
      <c r="Q21" s="203">
        <f t="shared" si="6"/>
        <v>4152.6129032258068</v>
      </c>
      <c r="R21" s="203">
        <f t="shared" si="28"/>
        <v>193</v>
      </c>
      <c r="S21" s="203">
        <f t="shared" si="7"/>
        <v>4152.6129032258068</v>
      </c>
      <c r="T21" s="203">
        <f t="shared" si="29"/>
        <v>193</v>
      </c>
      <c r="U21" s="203">
        <f t="shared" si="8"/>
        <v>4152.6129032258068</v>
      </c>
      <c r="V21" s="203">
        <f t="shared" si="30"/>
        <v>193</v>
      </c>
      <c r="W21" s="203">
        <f t="shared" si="9"/>
        <v>4152.6129032258068</v>
      </c>
      <c r="X21" s="35">
        <f t="shared" si="10"/>
        <v>0.62258064516129019</v>
      </c>
      <c r="Y21" s="36">
        <f t="shared" si="31"/>
        <v>45678.741935483864</v>
      </c>
      <c r="Z21" s="203">
        <f>'B5'!C20</f>
        <v>199</v>
      </c>
      <c r="AA21" s="203">
        <f t="shared" si="32"/>
        <v>1990</v>
      </c>
      <c r="AB21" s="203">
        <f t="shared" si="33"/>
        <v>199</v>
      </c>
      <c r="AC21" s="203">
        <f t="shared" si="32"/>
        <v>1990</v>
      </c>
      <c r="AD21" s="203">
        <f t="shared" si="34"/>
        <v>199</v>
      </c>
      <c r="AE21" s="203">
        <f t="shared" si="11"/>
        <v>1990</v>
      </c>
      <c r="AF21" s="203">
        <f t="shared" si="35"/>
        <v>199</v>
      </c>
      <c r="AG21" s="203">
        <f t="shared" si="12"/>
        <v>1990</v>
      </c>
      <c r="AH21" s="203">
        <f t="shared" si="36"/>
        <v>199</v>
      </c>
      <c r="AI21" s="203">
        <f t="shared" si="13"/>
        <v>1990</v>
      </c>
      <c r="AJ21" s="203">
        <f t="shared" si="37"/>
        <v>199</v>
      </c>
      <c r="AK21" s="203">
        <f t="shared" si="14"/>
        <v>1990</v>
      </c>
      <c r="AL21" s="203">
        <f t="shared" si="38"/>
        <v>199</v>
      </c>
      <c r="AM21" s="203">
        <f t="shared" si="15"/>
        <v>1990</v>
      </c>
      <c r="AN21" s="35">
        <f t="shared" si="16"/>
        <v>0.71071428571428574</v>
      </c>
      <c r="AO21" s="36">
        <f t="shared" si="17"/>
        <v>13930</v>
      </c>
      <c r="AQ21" s="223">
        <f t="shared" si="39"/>
        <v>0.64116104050213896</v>
      </c>
      <c r="AR21" s="38">
        <f t="shared" si="42"/>
        <v>59608.741935483864</v>
      </c>
      <c r="AS21" s="197">
        <f t="shared" si="18"/>
        <v>0</v>
      </c>
      <c r="AT21" s="353"/>
      <c r="AU21" s="642"/>
      <c r="AV21" s="511">
        <f t="shared" si="43"/>
        <v>1.05</v>
      </c>
      <c r="AW21" s="289">
        <f>-SUM('B5'!AI20)</f>
        <v>0</v>
      </c>
      <c r="AX21" s="289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2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193</v>
      </c>
      <c r="C22" s="203">
        <f t="shared" si="20"/>
        <v>4152.6129032258068</v>
      </c>
      <c r="D22">
        <f t="shared" si="21"/>
        <v>193</v>
      </c>
      <c r="E22" s="203">
        <f t="shared" si="20"/>
        <v>4152.6129032258068</v>
      </c>
      <c r="F22">
        <f t="shared" si="22"/>
        <v>193</v>
      </c>
      <c r="G22" s="203">
        <f t="shared" si="1"/>
        <v>4152.6129032258068</v>
      </c>
      <c r="H22" s="203">
        <f t="shared" si="23"/>
        <v>193</v>
      </c>
      <c r="I22" s="203">
        <f t="shared" si="2"/>
        <v>4152.6129032258068</v>
      </c>
      <c r="J22" s="203">
        <f t="shared" si="24"/>
        <v>193</v>
      </c>
      <c r="K22" s="203">
        <f t="shared" si="3"/>
        <v>4152.6129032258068</v>
      </c>
      <c r="L22" s="203">
        <f t="shared" si="25"/>
        <v>193</v>
      </c>
      <c r="M22" s="203">
        <f t="shared" si="4"/>
        <v>4152.6129032258068</v>
      </c>
      <c r="N22" s="203">
        <f t="shared" si="26"/>
        <v>193</v>
      </c>
      <c r="O22" s="203">
        <f t="shared" si="5"/>
        <v>4152.6129032258068</v>
      </c>
      <c r="P22" s="203">
        <f t="shared" si="27"/>
        <v>193</v>
      </c>
      <c r="Q22" s="203">
        <f t="shared" si="6"/>
        <v>4152.6129032258068</v>
      </c>
      <c r="R22" s="203">
        <f t="shared" si="28"/>
        <v>193</v>
      </c>
      <c r="S22" s="203">
        <f t="shared" si="7"/>
        <v>4152.6129032258068</v>
      </c>
      <c r="T22" s="203">
        <f t="shared" si="29"/>
        <v>193</v>
      </c>
      <c r="U22" s="203">
        <f t="shared" si="8"/>
        <v>4152.6129032258068</v>
      </c>
      <c r="V22" s="203">
        <f t="shared" si="30"/>
        <v>193</v>
      </c>
      <c r="W22" s="203">
        <f t="shared" si="9"/>
        <v>4152.6129032258068</v>
      </c>
      <c r="X22" s="35">
        <f t="shared" si="10"/>
        <v>0.62258064516129019</v>
      </c>
      <c r="Y22" s="36">
        <f t="shared" si="31"/>
        <v>45678.741935483864</v>
      </c>
      <c r="Z22" s="203">
        <f>'B5'!C21</f>
        <v>199</v>
      </c>
      <c r="AA22" s="203">
        <f t="shared" si="32"/>
        <v>1990</v>
      </c>
      <c r="AB22" s="203">
        <f t="shared" si="33"/>
        <v>199</v>
      </c>
      <c r="AC22" s="203">
        <f t="shared" si="32"/>
        <v>1990</v>
      </c>
      <c r="AD22" s="203">
        <f t="shared" si="34"/>
        <v>199</v>
      </c>
      <c r="AE22" s="203">
        <f t="shared" si="11"/>
        <v>1990</v>
      </c>
      <c r="AF22" s="203">
        <f t="shared" si="35"/>
        <v>199</v>
      </c>
      <c r="AG22" s="203">
        <f t="shared" si="12"/>
        <v>1990</v>
      </c>
      <c r="AH22" s="203">
        <f t="shared" si="36"/>
        <v>199</v>
      </c>
      <c r="AI22" s="203">
        <f t="shared" si="13"/>
        <v>1990</v>
      </c>
      <c r="AJ22" s="203">
        <f t="shared" si="37"/>
        <v>199</v>
      </c>
      <c r="AK22" s="203">
        <f t="shared" si="14"/>
        <v>1990</v>
      </c>
      <c r="AL22" s="203">
        <f t="shared" si="38"/>
        <v>199</v>
      </c>
      <c r="AM22" s="203">
        <f t="shared" si="15"/>
        <v>1990</v>
      </c>
      <c r="AN22" s="35">
        <f t="shared" si="16"/>
        <v>0.71071428571428574</v>
      </c>
      <c r="AO22" s="36">
        <f t="shared" si="17"/>
        <v>13930</v>
      </c>
      <c r="AQ22" s="223">
        <f t="shared" si="39"/>
        <v>0.64116104050213896</v>
      </c>
      <c r="AR22" s="38">
        <f t="shared" si="42"/>
        <v>59608.741935483864</v>
      </c>
      <c r="AS22" s="197">
        <f t="shared" si="18"/>
        <v>0</v>
      </c>
      <c r="AT22" s="353"/>
      <c r="AU22" s="642"/>
      <c r="AV22" s="511">
        <f t="shared" si="43"/>
        <v>1.05</v>
      </c>
      <c r="AW22" s="289">
        <f>-SUM('B5'!AI21)</f>
        <v>0</v>
      </c>
      <c r="AX22" s="289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2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193</v>
      </c>
      <c r="C23" s="203">
        <f t="shared" si="20"/>
        <v>4152.6129032258068</v>
      </c>
      <c r="D23">
        <f t="shared" si="21"/>
        <v>193</v>
      </c>
      <c r="E23" s="203">
        <f t="shared" si="20"/>
        <v>4152.6129032258068</v>
      </c>
      <c r="F23">
        <f t="shared" si="22"/>
        <v>193</v>
      </c>
      <c r="G23" s="203">
        <f t="shared" si="1"/>
        <v>4152.6129032258068</v>
      </c>
      <c r="H23" s="203">
        <f t="shared" si="23"/>
        <v>193</v>
      </c>
      <c r="I23" s="203">
        <f t="shared" si="2"/>
        <v>4152.6129032258068</v>
      </c>
      <c r="J23" s="203">
        <f t="shared" si="24"/>
        <v>193</v>
      </c>
      <c r="K23" s="203">
        <f t="shared" si="3"/>
        <v>4152.6129032258068</v>
      </c>
      <c r="L23" s="203">
        <f t="shared" si="25"/>
        <v>193</v>
      </c>
      <c r="M23" s="203">
        <f t="shared" si="4"/>
        <v>4152.6129032258068</v>
      </c>
      <c r="N23" s="203">
        <f t="shared" si="26"/>
        <v>193</v>
      </c>
      <c r="O23" s="203">
        <f t="shared" si="5"/>
        <v>4152.6129032258068</v>
      </c>
      <c r="P23" s="203">
        <f t="shared" si="27"/>
        <v>193</v>
      </c>
      <c r="Q23" s="203">
        <f t="shared" si="6"/>
        <v>4152.6129032258068</v>
      </c>
      <c r="R23" s="203">
        <f t="shared" si="28"/>
        <v>193</v>
      </c>
      <c r="S23" s="203">
        <f t="shared" si="7"/>
        <v>4152.6129032258068</v>
      </c>
      <c r="T23" s="203">
        <f t="shared" si="29"/>
        <v>193</v>
      </c>
      <c r="U23" s="203">
        <f t="shared" si="8"/>
        <v>4152.6129032258068</v>
      </c>
      <c r="V23" s="203">
        <f t="shared" si="30"/>
        <v>193</v>
      </c>
      <c r="W23" s="203">
        <f t="shared" si="9"/>
        <v>4152.6129032258068</v>
      </c>
      <c r="X23" s="35">
        <f t="shared" si="10"/>
        <v>0.62258064516129019</v>
      </c>
      <c r="Y23" s="36">
        <f t="shared" si="31"/>
        <v>45678.741935483864</v>
      </c>
      <c r="Z23" s="203">
        <f>'B5'!C22</f>
        <v>199</v>
      </c>
      <c r="AA23" s="203">
        <f t="shared" si="32"/>
        <v>1990</v>
      </c>
      <c r="AB23" s="203">
        <f t="shared" si="33"/>
        <v>199</v>
      </c>
      <c r="AC23" s="203">
        <f t="shared" si="32"/>
        <v>1990</v>
      </c>
      <c r="AD23" s="203">
        <f t="shared" si="34"/>
        <v>199</v>
      </c>
      <c r="AE23" s="203">
        <f t="shared" si="11"/>
        <v>1990</v>
      </c>
      <c r="AF23" s="203">
        <f t="shared" si="35"/>
        <v>199</v>
      </c>
      <c r="AG23" s="203">
        <f t="shared" si="12"/>
        <v>1990</v>
      </c>
      <c r="AH23" s="203">
        <f t="shared" si="36"/>
        <v>199</v>
      </c>
      <c r="AI23" s="203">
        <f t="shared" si="13"/>
        <v>1990</v>
      </c>
      <c r="AJ23" s="203">
        <f t="shared" si="37"/>
        <v>199</v>
      </c>
      <c r="AK23" s="203">
        <f t="shared" si="14"/>
        <v>1990</v>
      </c>
      <c r="AL23" s="203">
        <f t="shared" si="38"/>
        <v>199</v>
      </c>
      <c r="AM23" s="203">
        <f t="shared" si="15"/>
        <v>1990</v>
      </c>
      <c r="AN23" s="35">
        <f t="shared" si="16"/>
        <v>0.71071428571428574</v>
      </c>
      <c r="AO23" s="36">
        <f t="shared" si="17"/>
        <v>13930</v>
      </c>
      <c r="AQ23" s="223">
        <f t="shared" si="39"/>
        <v>0.64116104050213896</v>
      </c>
      <c r="AR23" s="38">
        <f t="shared" si="42"/>
        <v>59608.741935483864</v>
      </c>
      <c r="AS23" s="197">
        <f t="shared" si="18"/>
        <v>0</v>
      </c>
      <c r="AT23" s="353"/>
      <c r="AU23" s="642"/>
      <c r="AV23" s="511">
        <f t="shared" si="43"/>
        <v>1.05</v>
      </c>
      <c r="AW23" s="289">
        <f>-SUM('B5'!AI22)</f>
        <v>0</v>
      </c>
      <c r="AX23" s="289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193</v>
      </c>
      <c r="C24" s="203">
        <f t="shared" si="20"/>
        <v>4152.6129032258068</v>
      </c>
      <c r="D24">
        <f t="shared" si="21"/>
        <v>193</v>
      </c>
      <c r="E24" s="203">
        <f t="shared" si="20"/>
        <v>4152.6129032258068</v>
      </c>
      <c r="F24">
        <f t="shared" si="22"/>
        <v>193</v>
      </c>
      <c r="G24" s="203">
        <f t="shared" si="1"/>
        <v>4152.6129032258068</v>
      </c>
      <c r="H24" s="203">
        <f t="shared" si="23"/>
        <v>193</v>
      </c>
      <c r="I24" s="203">
        <f t="shared" si="2"/>
        <v>4152.6129032258068</v>
      </c>
      <c r="J24" s="203">
        <f t="shared" si="24"/>
        <v>193</v>
      </c>
      <c r="K24" s="203">
        <f t="shared" si="3"/>
        <v>4152.6129032258068</v>
      </c>
      <c r="L24" s="203">
        <f t="shared" si="25"/>
        <v>193</v>
      </c>
      <c r="M24" s="203">
        <f t="shared" si="4"/>
        <v>4152.6129032258068</v>
      </c>
      <c r="N24" s="203">
        <f t="shared" si="26"/>
        <v>193</v>
      </c>
      <c r="O24" s="203">
        <f t="shared" si="5"/>
        <v>4152.6129032258068</v>
      </c>
      <c r="P24" s="203">
        <f t="shared" si="27"/>
        <v>193</v>
      </c>
      <c r="Q24" s="203">
        <f t="shared" si="6"/>
        <v>4152.6129032258068</v>
      </c>
      <c r="R24" s="203">
        <f t="shared" si="28"/>
        <v>193</v>
      </c>
      <c r="S24" s="203">
        <f t="shared" si="7"/>
        <v>4152.6129032258068</v>
      </c>
      <c r="T24" s="203">
        <f t="shared" si="29"/>
        <v>193</v>
      </c>
      <c r="U24" s="203">
        <f t="shared" si="8"/>
        <v>4152.6129032258068</v>
      </c>
      <c r="V24" s="203">
        <f t="shared" si="30"/>
        <v>193</v>
      </c>
      <c r="W24" s="203">
        <f t="shared" si="9"/>
        <v>4152.6129032258068</v>
      </c>
      <c r="X24" s="35">
        <f t="shared" si="10"/>
        <v>0.62258064516129019</v>
      </c>
      <c r="Y24" s="36">
        <f t="shared" si="31"/>
        <v>45678.741935483864</v>
      </c>
      <c r="Z24" s="203">
        <f>'B5'!C23</f>
        <v>199</v>
      </c>
      <c r="AA24" s="203">
        <f t="shared" si="32"/>
        <v>1990</v>
      </c>
      <c r="AB24" s="203">
        <f t="shared" si="33"/>
        <v>199</v>
      </c>
      <c r="AC24" s="203">
        <f t="shared" si="32"/>
        <v>1990</v>
      </c>
      <c r="AD24" s="203">
        <f t="shared" si="34"/>
        <v>199</v>
      </c>
      <c r="AE24" s="203">
        <f t="shared" si="11"/>
        <v>1990</v>
      </c>
      <c r="AF24" s="203">
        <f t="shared" si="35"/>
        <v>199</v>
      </c>
      <c r="AG24" s="203">
        <f t="shared" si="12"/>
        <v>1990</v>
      </c>
      <c r="AH24" s="203">
        <f t="shared" si="36"/>
        <v>199</v>
      </c>
      <c r="AI24" s="203">
        <f t="shared" si="13"/>
        <v>1990</v>
      </c>
      <c r="AJ24" s="203">
        <f t="shared" si="37"/>
        <v>199</v>
      </c>
      <c r="AK24" s="203">
        <f t="shared" si="14"/>
        <v>1990</v>
      </c>
      <c r="AL24" s="203">
        <f t="shared" si="38"/>
        <v>199</v>
      </c>
      <c r="AM24" s="203">
        <f t="shared" si="15"/>
        <v>1990</v>
      </c>
      <c r="AN24" s="35">
        <f t="shared" si="16"/>
        <v>0.71071428571428574</v>
      </c>
      <c r="AO24" s="36">
        <f t="shared" si="17"/>
        <v>13930</v>
      </c>
      <c r="AQ24" s="223">
        <f t="shared" si="39"/>
        <v>0.64116104050213896</v>
      </c>
      <c r="AR24" s="38">
        <f t="shared" si="42"/>
        <v>59608.741935483864</v>
      </c>
      <c r="AS24" s="197">
        <f t="shared" si="18"/>
        <v>0</v>
      </c>
      <c r="AT24" s="353"/>
      <c r="AU24" s="642"/>
      <c r="AV24" s="511">
        <f t="shared" si="43"/>
        <v>1.05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193</v>
      </c>
      <c r="C25" s="203">
        <f t="shared" si="20"/>
        <v>4152.6129032258068</v>
      </c>
      <c r="D25">
        <f t="shared" si="21"/>
        <v>193</v>
      </c>
      <c r="E25" s="203">
        <f t="shared" si="20"/>
        <v>4152.6129032258068</v>
      </c>
      <c r="F25">
        <f t="shared" si="22"/>
        <v>193</v>
      </c>
      <c r="G25" s="203">
        <f t="shared" si="1"/>
        <v>4152.6129032258068</v>
      </c>
      <c r="H25" s="203">
        <f t="shared" si="23"/>
        <v>193</v>
      </c>
      <c r="I25" s="203">
        <f t="shared" si="2"/>
        <v>4152.6129032258068</v>
      </c>
      <c r="J25" s="203">
        <f t="shared" si="24"/>
        <v>193</v>
      </c>
      <c r="K25" s="203">
        <f t="shared" si="3"/>
        <v>4152.6129032258068</v>
      </c>
      <c r="L25" s="203">
        <f t="shared" si="25"/>
        <v>193</v>
      </c>
      <c r="M25" s="203">
        <f t="shared" si="4"/>
        <v>4152.6129032258068</v>
      </c>
      <c r="N25" s="203">
        <f t="shared" si="26"/>
        <v>193</v>
      </c>
      <c r="O25" s="203">
        <f t="shared" si="5"/>
        <v>4152.6129032258068</v>
      </c>
      <c r="P25" s="203">
        <f t="shared" si="27"/>
        <v>193</v>
      </c>
      <c r="Q25" s="203">
        <f t="shared" si="6"/>
        <v>4152.6129032258068</v>
      </c>
      <c r="R25" s="203">
        <f t="shared" si="28"/>
        <v>193</v>
      </c>
      <c r="S25" s="203">
        <f t="shared" si="7"/>
        <v>4152.6129032258068</v>
      </c>
      <c r="T25" s="203">
        <f t="shared" si="29"/>
        <v>193</v>
      </c>
      <c r="U25" s="203">
        <f t="shared" si="8"/>
        <v>4152.6129032258068</v>
      </c>
      <c r="V25" s="203">
        <f t="shared" si="30"/>
        <v>193</v>
      </c>
      <c r="W25" s="203">
        <f t="shared" si="9"/>
        <v>4152.6129032258068</v>
      </c>
      <c r="X25" s="35">
        <f t="shared" si="10"/>
        <v>0.62258064516129019</v>
      </c>
      <c r="Y25" s="36">
        <f t="shared" si="31"/>
        <v>45678.741935483864</v>
      </c>
      <c r="Z25" s="203">
        <f>'B5'!C24</f>
        <v>199</v>
      </c>
      <c r="AA25" s="203">
        <f t="shared" si="32"/>
        <v>1990</v>
      </c>
      <c r="AB25" s="203">
        <f t="shared" si="33"/>
        <v>199</v>
      </c>
      <c r="AC25" s="203">
        <f t="shared" si="32"/>
        <v>1990</v>
      </c>
      <c r="AD25" s="203">
        <f t="shared" si="34"/>
        <v>199</v>
      </c>
      <c r="AE25" s="203">
        <f t="shared" si="11"/>
        <v>1990</v>
      </c>
      <c r="AF25" s="203">
        <f t="shared" si="35"/>
        <v>199</v>
      </c>
      <c r="AG25" s="203">
        <f t="shared" si="12"/>
        <v>1990</v>
      </c>
      <c r="AH25" s="203">
        <f t="shared" si="36"/>
        <v>199</v>
      </c>
      <c r="AI25" s="203">
        <f t="shared" si="13"/>
        <v>1990</v>
      </c>
      <c r="AJ25" s="203">
        <f t="shared" si="37"/>
        <v>199</v>
      </c>
      <c r="AK25" s="203">
        <f t="shared" si="14"/>
        <v>1990</v>
      </c>
      <c r="AL25" s="203">
        <f t="shared" si="38"/>
        <v>199</v>
      </c>
      <c r="AM25" s="203">
        <f t="shared" si="15"/>
        <v>1990</v>
      </c>
      <c r="AN25" s="35">
        <f t="shared" si="16"/>
        <v>0.71071428571428574</v>
      </c>
      <c r="AO25" s="36">
        <f t="shared" si="17"/>
        <v>13930</v>
      </c>
      <c r="AQ25" s="223">
        <f t="shared" si="39"/>
        <v>0.64116104050213896</v>
      </c>
      <c r="AR25" s="38">
        <f t="shared" si="42"/>
        <v>59608.741935483864</v>
      </c>
      <c r="AS25" s="197">
        <f t="shared" si="18"/>
        <v>0</v>
      </c>
      <c r="AT25" s="353"/>
      <c r="AU25" s="644"/>
      <c r="AV25" s="511">
        <f t="shared" si="43"/>
        <v>1.05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193</v>
      </c>
      <c r="C26" s="203">
        <f t="shared" si="20"/>
        <v>4152.6129032258068</v>
      </c>
      <c r="D26">
        <f t="shared" si="21"/>
        <v>193</v>
      </c>
      <c r="E26" s="203">
        <f t="shared" si="20"/>
        <v>4152.6129032258068</v>
      </c>
      <c r="F26">
        <f t="shared" si="22"/>
        <v>193</v>
      </c>
      <c r="G26" s="203">
        <f t="shared" si="1"/>
        <v>4152.6129032258068</v>
      </c>
      <c r="H26" s="203">
        <f t="shared" si="23"/>
        <v>193</v>
      </c>
      <c r="I26" s="203">
        <f t="shared" si="2"/>
        <v>4152.6129032258068</v>
      </c>
      <c r="J26" s="203">
        <f t="shared" si="24"/>
        <v>193</v>
      </c>
      <c r="K26" s="203">
        <f t="shared" si="3"/>
        <v>4152.6129032258068</v>
      </c>
      <c r="L26" s="203">
        <f t="shared" si="25"/>
        <v>193</v>
      </c>
      <c r="M26" s="203">
        <f t="shared" si="4"/>
        <v>4152.6129032258068</v>
      </c>
      <c r="N26" s="203">
        <f t="shared" si="26"/>
        <v>193</v>
      </c>
      <c r="O26" s="203">
        <f t="shared" si="5"/>
        <v>4152.6129032258068</v>
      </c>
      <c r="P26" s="203">
        <f t="shared" si="27"/>
        <v>193</v>
      </c>
      <c r="Q26" s="203">
        <f t="shared" si="6"/>
        <v>4152.6129032258068</v>
      </c>
      <c r="R26" s="203">
        <f t="shared" si="28"/>
        <v>193</v>
      </c>
      <c r="S26" s="203">
        <f t="shared" si="7"/>
        <v>4152.6129032258068</v>
      </c>
      <c r="T26" s="203">
        <f t="shared" si="29"/>
        <v>193</v>
      </c>
      <c r="U26" s="203">
        <f t="shared" si="8"/>
        <v>4152.6129032258068</v>
      </c>
      <c r="V26" s="203">
        <f t="shared" si="30"/>
        <v>193</v>
      </c>
      <c r="W26" s="203">
        <f t="shared" si="9"/>
        <v>4152.6129032258068</v>
      </c>
      <c r="X26" s="35">
        <f t="shared" si="10"/>
        <v>0.62258064516129019</v>
      </c>
      <c r="Y26" s="36">
        <f t="shared" si="31"/>
        <v>45678.741935483864</v>
      </c>
      <c r="Z26" s="203">
        <f>'B5'!C25</f>
        <v>199</v>
      </c>
      <c r="AA26" s="203">
        <f t="shared" si="32"/>
        <v>1990</v>
      </c>
      <c r="AB26" s="203">
        <f t="shared" si="33"/>
        <v>199</v>
      </c>
      <c r="AC26" s="203">
        <f t="shared" si="32"/>
        <v>1990</v>
      </c>
      <c r="AD26" s="203">
        <f t="shared" si="34"/>
        <v>199</v>
      </c>
      <c r="AE26" s="203">
        <f t="shared" si="11"/>
        <v>1990</v>
      </c>
      <c r="AF26" s="203">
        <f t="shared" si="35"/>
        <v>199</v>
      </c>
      <c r="AG26" s="203">
        <f t="shared" si="12"/>
        <v>1990</v>
      </c>
      <c r="AH26" s="203">
        <f t="shared" si="36"/>
        <v>199</v>
      </c>
      <c r="AI26" s="203">
        <f t="shared" si="13"/>
        <v>1990</v>
      </c>
      <c r="AJ26" s="203">
        <f t="shared" si="37"/>
        <v>199</v>
      </c>
      <c r="AK26" s="203">
        <f t="shared" si="14"/>
        <v>1990</v>
      </c>
      <c r="AL26" s="203">
        <f t="shared" si="38"/>
        <v>199</v>
      </c>
      <c r="AM26" s="203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3">
        <f t="shared" si="39"/>
        <v>0.64116104050213896</v>
      </c>
      <c r="AR26" s="38">
        <f t="shared" si="42"/>
        <v>59608.741935483864</v>
      </c>
      <c r="AS26" s="197">
        <f t="shared" si="18"/>
        <v>0</v>
      </c>
      <c r="AT26" s="353"/>
      <c r="AU26" s="642"/>
      <c r="AV26" s="511">
        <f t="shared" si="43"/>
        <v>1.05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193</v>
      </c>
      <c r="C27" s="203">
        <f t="shared" si="20"/>
        <v>4152.6129032258068</v>
      </c>
      <c r="D27">
        <f t="shared" si="21"/>
        <v>193</v>
      </c>
      <c r="E27" s="203">
        <f t="shared" si="20"/>
        <v>4152.6129032258068</v>
      </c>
      <c r="F27">
        <f t="shared" si="22"/>
        <v>193</v>
      </c>
      <c r="G27" s="203">
        <f t="shared" si="1"/>
        <v>4152.6129032258068</v>
      </c>
      <c r="H27" s="203">
        <f t="shared" si="23"/>
        <v>193</v>
      </c>
      <c r="I27" s="203">
        <f t="shared" si="2"/>
        <v>4152.6129032258068</v>
      </c>
      <c r="J27" s="203">
        <f t="shared" si="24"/>
        <v>193</v>
      </c>
      <c r="K27" s="203">
        <f t="shared" si="3"/>
        <v>4152.6129032258068</v>
      </c>
      <c r="L27" s="203">
        <f t="shared" si="25"/>
        <v>193</v>
      </c>
      <c r="M27" s="203">
        <f t="shared" si="4"/>
        <v>4152.6129032258068</v>
      </c>
      <c r="N27" s="203">
        <f t="shared" si="26"/>
        <v>193</v>
      </c>
      <c r="O27" s="203">
        <f t="shared" si="5"/>
        <v>4152.6129032258068</v>
      </c>
      <c r="P27" s="203">
        <f t="shared" si="27"/>
        <v>193</v>
      </c>
      <c r="Q27" s="203">
        <f t="shared" si="6"/>
        <v>4152.6129032258068</v>
      </c>
      <c r="R27" s="203">
        <f t="shared" si="28"/>
        <v>193</v>
      </c>
      <c r="S27" s="203">
        <f t="shared" si="7"/>
        <v>4152.6129032258068</v>
      </c>
      <c r="T27" s="203">
        <f t="shared" si="29"/>
        <v>193</v>
      </c>
      <c r="U27" s="203">
        <f t="shared" si="8"/>
        <v>4152.6129032258068</v>
      </c>
      <c r="V27" s="203">
        <f t="shared" si="30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31"/>
        <v>45678.741935483864</v>
      </c>
      <c r="Z27" s="203">
        <f>'B5'!C26</f>
        <v>199</v>
      </c>
      <c r="AA27" s="203">
        <f t="shared" si="32"/>
        <v>1990</v>
      </c>
      <c r="AB27" s="203">
        <f t="shared" si="33"/>
        <v>199</v>
      </c>
      <c r="AC27" s="203">
        <f t="shared" si="32"/>
        <v>1990</v>
      </c>
      <c r="AD27" s="203">
        <f t="shared" si="34"/>
        <v>199</v>
      </c>
      <c r="AE27" s="203">
        <f t="shared" si="11"/>
        <v>1990</v>
      </c>
      <c r="AF27" s="203">
        <f t="shared" si="35"/>
        <v>199</v>
      </c>
      <c r="AG27" s="203">
        <f t="shared" si="12"/>
        <v>1990</v>
      </c>
      <c r="AH27" s="203">
        <f t="shared" si="36"/>
        <v>199</v>
      </c>
      <c r="AI27" s="203">
        <f t="shared" si="13"/>
        <v>1990</v>
      </c>
      <c r="AJ27" s="203">
        <f t="shared" si="37"/>
        <v>199</v>
      </c>
      <c r="AK27" s="203">
        <f t="shared" si="14"/>
        <v>1990</v>
      </c>
      <c r="AL27" s="203">
        <f t="shared" si="38"/>
        <v>199</v>
      </c>
      <c r="AM27" s="203">
        <f t="shared" si="15"/>
        <v>1990</v>
      </c>
      <c r="AN27" s="35">
        <f t="shared" si="16"/>
        <v>0.71071428571428574</v>
      </c>
      <c r="AO27" s="36">
        <f t="shared" si="17"/>
        <v>13930</v>
      </c>
      <c r="AQ27" s="223">
        <f t="shared" si="39"/>
        <v>0.64116104050213896</v>
      </c>
      <c r="AR27" s="38">
        <f t="shared" si="42"/>
        <v>59608.741935483864</v>
      </c>
      <c r="AS27" s="197">
        <f t="shared" si="18"/>
        <v>0</v>
      </c>
      <c r="AT27" s="353"/>
      <c r="AU27" s="642"/>
      <c r="AV27" s="511">
        <f t="shared" si="43"/>
        <v>1.05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193</v>
      </c>
      <c r="C28" s="203">
        <f t="shared" si="20"/>
        <v>4152.6129032258068</v>
      </c>
      <c r="D28">
        <f t="shared" si="21"/>
        <v>193</v>
      </c>
      <c r="E28" s="203">
        <f t="shared" si="20"/>
        <v>4152.6129032258068</v>
      </c>
      <c r="F28">
        <f t="shared" si="22"/>
        <v>193</v>
      </c>
      <c r="G28" s="203">
        <f t="shared" si="1"/>
        <v>4152.6129032258068</v>
      </c>
      <c r="H28" s="203">
        <f t="shared" si="23"/>
        <v>193</v>
      </c>
      <c r="I28" s="203">
        <f t="shared" si="2"/>
        <v>4152.6129032258068</v>
      </c>
      <c r="J28" s="203">
        <f t="shared" si="24"/>
        <v>193</v>
      </c>
      <c r="K28" s="203">
        <f t="shared" si="3"/>
        <v>4152.6129032258068</v>
      </c>
      <c r="L28" s="203">
        <f t="shared" si="25"/>
        <v>193</v>
      </c>
      <c r="M28" s="203">
        <f t="shared" si="4"/>
        <v>4152.6129032258068</v>
      </c>
      <c r="N28" s="203">
        <f t="shared" si="26"/>
        <v>193</v>
      </c>
      <c r="O28" s="203">
        <f t="shared" si="5"/>
        <v>4152.6129032258068</v>
      </c>
      <c r="P28" s="203">
        <f t="shared" si="27"/>
        <v>193</v>
      </c>
      <c r="Q28" s="203">
        <f t="shared" si="6"/>
        <v>4152.6129032258068</v>
      </c>
      <c r="R28" s="203">
        <f t="shared" si="28"/>
        <v>193</v>
      </c>
      <c r="S28" s="203">
        <f t="shared" si="7"/>
        <v>4152.6129032258068</v>
      </c>
      <c r="T28" s="203">
        <f t="shared" si="29"/>
        <v>193</v>
      </c>
      <c r="U28" s="203">
        <f t="shared" si="8"/>
        <v>4152.6129032258068</v>
      </c>
      <c r="V28" s="203">
        <f t="shared" si="30"/>
        <v>193</v>
      </c>
      <c r="W28" s="203">
        <f t="shared" si="9"/>
        <v>4152.6129032258068</v>
      </c>
      <c r="X28" s="35">
        <f t="shared" si="10"/>
        <v>0.62258064516129019</v>
      </c>
      <c r="Y28" s="36">
        <f t="shared" si="31"/>
        <v>45678.741935483864</v>
      </c>
      <c r="Z28" s="203">
        <f>'B5'!C27</f>
        <v>199</v>
      </c>
      <c r="AA28" s="203">
        <f t="shared" si="32"/>
        <v>1990</v>
      </c>
      <c r="AB28" s="203">
        <f t="shared" si="33"/>
        <v>199</v>
      </c>
      <c r="AC28" s="203">
        <f t="shared" si="32"/>
        <v>1990</v>
      </c>
      <c r="AD28" s="203">
        <f t="shared" si="34"/>
        <v>199</v>
      </c>
      <c r="AE28" s="203">
        <f t="shared" si="11"/>
        <v>1990</v>
      </c>
      <c r="AF28" s="203">
        <f t="shared" si="35"/>
        <v>199</v>
      </c>
      <c r="AG28" s="203">
        <f t="shared" si="12"/>
        <v>1990</v>
      </c>
      <c r="AH28" s="203">
        <f t="shared" si="36"/>
        <v>199</v>
      </c>
      <c r="AI28" s="203">
        <f t="shared" si="13"/>
        <v>1990</v>
      </c>
      <c r="AJ28" s="203">
        <f t="shared" si="37"/>
        <v>199</v>
      </c>
      <c r="AK28" s="203">
        <f t="shared" si="14"/>
        <v>1990</v>
      </c>
      <c r="AL28" s="203">
        <f t="shared" si="38"/>
        <v>199</v>
      </c>
      <c r="AM28" s="203">
        <f t="shared" si="15"/>
        <v>1990</v>
      </c>
      <c r="AN28" s="35">
        <f t="shared" si="16"/>
        <v>0.71071428571428574</v>
      </c>
      <c r="AO28" s="36">
        <f t="shared" si="17"/>
        <v>13930</v>
      </c>
      <c r="AQ28" s="223">
        <f t="shared" si="39"/>
        <v>0.64116104050213896</v>
      </c>
      <c r="AR28" s="38">
        <f t="shared" si="42"/>
        <v>59608.741935483864</v>
      </c>
      <c r="AS28" s="197">
        <f t="shared" si="18"/>
        <v>0</v>
      </c>
      <c r="AT28" s="353"/>
      <c r="AU28" s="644"/>
      <c r="AV28" s="511">
        <f t="shared" si="43"/>
        <v>1.05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193</v>
      </c>
      <c r="C29" s="203">
        <f t="shared" si="20"/>
        <v>4152.6129032258068</v>
      </c>
      <c r="D29">
        <f t="shared" si="21"/>
        <v>193</v>
      </c>
      <c r="E29" s="203">
        <f t="shared" si="20"/>
        <v>4152.6129032258068</v>
      </c>
      <c r="F29">
        <f t="shared" si="22"/>
        <v>193</v>
      </c>
      <c r="G29" s="203">
        <f t="shared" si="1"/>
        <v>4152.6129032258068</v>
      </c>
      <c r="H29" s="203">
        <f t="shared" si="23"/>
        <v>193</v>
      </c>
      <c r="I29" s="203">
        <f t="shared" si="2"/>
        <v>4152.6129032258068</v>
      </c>
      <c r="J29" s="203">
        <f t="shared" si="24"/>
        <v>193</v>
      </c>
      <c r="K29" s="203">
        <f t="shared" si="3"/>
        <v>4152.6129032258068</v>
      </c>
      <c r="L29" s="203">
        <f t="shared" si="25"/>
        <v>193</v>
      </c>
      <c r="M29" s="203">
        <f t="shared" si="4"/>
        <v>4152.6129032258068</v>
      </c>
      <c r="N29" s="203">
        <f t="shared" si="26"/>
        <v>193</v>
      </c>
      <c r="O29" s="203">
        <f t="shared" si="5"/>
        <v>4152.6129032258068</v>
      </c>
      <c r="P29" s="203">
        <f t="shared" si="27"/>
        <v>193</v>
      </c>
      <c r="Q29" s="203">
        <f t="shared" si="6"/>
        <v>4152.6129032258068</v>
      </c>
      <c r="R29" s="203">
        <f t="shared" si="28"/>
        <v>193</v>
      </c>
      <c r="S29" s="203">
        <f t="shared" si="7"/>
        <v>4152.6129032258068</v>
      </c>
      <c r="T29" s="203">
        <f t="shared" si="29"/>
        <v>193</v>
      </c>
      <c r="U29" s="203">
        <f t="shared" si="8"/>
        <v>4152.6129032258068</v>
      </c>
      <c r="V29" s="203">
        <f t="shared" si="30"/>
        <v>193</v>
      </c>
      <c r="W29" s="203">
        <f t="shared" si="9"/>
        <v>4152.6129032258068</v>
      </c>
      <c r="X29" s="35">
        <f t="shared" si="10"/>
        <v>0.62258064516129019</v>
      </c>
      <c r="Y29" s="36">
        <f t="shared" si="31"/>
        <v>45678.741935483864</v>
      </c>
      <c r="Z29" s="203">
        <f>'B5'!C28</f>
        <v>199</v>
      </c>
      <c r="AA29" s="203">
        <f t="shared" si="32"/>
        <v>1990</v>
      </c>
      <c r="AB29" s="203">
        <f t="shared" si="33"/>
        <v>199</v>
      </c>
      <c r="AC29" s="203">
        <f t="shared" si="32"/>
        <v>1990</v>
      </c>
      <c r="AD29" s="203">
        <f t="shared" si="34"/>
        <v>199</v>
      </c>
      <c r="AE29" s="203">
        <f t="shared" si="11"/>
        <v>1990</v>
      </c>
      <c r="AF29" s="203">
        <f t="shared" si="35"/>
        <v>199</v>
      </c>
      <c r="AG29" s="203">
        <f t="shared" si="12"/>
        <v>1990</v>
      </c>
      <c r="AH29" s="203">
        <f t="shared" si="36"/>
        <v>199</v>
      </c>
      <c r="AI29" s="203">
        <f t="shared" si="13"/>
        <v>1990</v>
      </c>
      <c r="AJ29" s="203">
        <f t="shared" si="37"/>
        <v>199</v>
      </c>
      <c r="AK29" s="203">
        <f t="shared" si="14"/>
        <v>1990</v>
      </c>
      <c r="AL29" s="203">
        <f t="shared" si="38"/>
        <v>199</v>
      </c>
      <c r="AM29" s="203">
        <f t="shared" si="15"/>
        <v>1990</v>
      </c>
      <c r="AN29" s="35">
        <f t="shared" si="16"/>
        <v>0.71071428571428574</v>
      </c>
      <c r="AO29" s="36">
        <f t="shared" si="17"/>
        <v>13930</v>
      </c>
      <c r="AQ29" s="223">
        <f t="shared" si="39"/>
        <v>0.64116104050213896</v>
      </c>
      <c r="AR29" s="38">
        <f t="shared" si="42"/>
        <v>59608.741935483864</v>
      </c>
      <c r="AS29" s="197">
        <f t="shared" si="18"/>
        <v>0</v>
      </c>
      <c r="AT29" s="353"/>
      <c r="AU29" s="644"/>
      <c r="AV29" s="511">
        <f t="shared" si="43"/>
        <v>1.05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193</v>
      </c>
      <c r="C30" s="203">
        <f t="shared" si="20"/>
        <v>4152.6129032258068</v>
      </c>
      <c r="D30">
        <f t="shared" ref="D30:D35" si="45">SUM(B30)</f>
        <v>193</v>
      </c>
      <c r="E30" s="203">
        <f t="shared" si="20"/>
        <v>4152.6129032258068</v>
      </c>
      <c r="F30">
        <f t="shared" ref="F30:F35" si="46">SUM(D30)</f>
        <v>193</v>
      </c>
      <c r="G30" s="203">
        <f t="shared" si="1"/>
        <v>4152.6129032258068</v>
      </c>
      <c r="H30" s="203">
        <f t="shared" ref="H30:H35" si="47">SUM(F30)</f>
        <v>193</v>
      </c>
      <c r="I30" s="203">
        <f t="shared" si="2"/>
        <v>4152.6129032258068</v>
      </c>
      <c r="J30" s="203">
        <f t="shared" ref="J30:J35" si="48">SUM(H30)</f>
        <v>193</v>
      </c>
      <c r="K30" s="203">
        <f t="shared" si="3"/>
        <v>4152.6129032258068</v>
      </c>
      <c r="L30" s="203">
        <f t="shared" ref="L30:L35" si="49">SUM(J30)</f>
        <v>193</v>
      </c>
      <c r="M30" s="203">
        <f t="shared" si="4"/>
        <v>4152.6129032258068</v>
      </c>
      <c r="N30" s="203">
        <f t="shared" ref="N30:N35" si="50">SUM(L30)</f>
        <v>193</v>
      </c>
      <c r="O30" s="203">
        <f t="shared" si="5"/>
        <v>4152.6129032258068</v>
      </c>
      <c r="P30" s="203">
        <f t="shared" ref="P30:P35" si="51">SUM(N30)</f>
        <v>193</v>
      </c>
      <c r="Q30" s="203">
        <f t="shared" si="6"/>
        <v>4152.6129032258068</v>
      </c>
      <c r="R30" s="203">
        <f t="shared" ref="R30:R35" si="52">SUM(P30)</f>
        <v>193</v>
      </c>
      <c r="S30" s="203">
        <f t="shared" si="7"/>
        <v>4152.6129032258068</v>
      </c>
      <c r="T30" s="203">
        <f t="shared" ref="T30:T35" si="53">SUM(R30)</f>
        <v>193</v>
      </c>
      <c r="U30" s="203">
        <f t="shared" si="8"/>
        <v>4152.6129032258068</v>
      </c>
      <c r="V30" s="203">
        <f t="shared" ref="V30:V35" si="54">SUM(T30)</f>
        <v>193</v>
      </c>
      <c r="W30" s="203">
        <f t="shared" si="9"/>
        <v>4152.6129032258068</v>
      </c>
      <c r="X30" s="35">
        <f t="shared" ref="X30:X35" si="55">SUM(Y30/73370)</f>
        <v>0.62258064516129019</v>
      </c>
      <c r="Y30" s="36">
        <f t="shared" ref="Y30:Y35" si="56">SUM(C30+E30+G30+I30+K30+M30+O30+Q30+S30+U30+W30)</f>
        <v>45678.741935483864</v>
      </c>
      <c r="Z30" s="203">
        <f>'B5'!C29</f>
        <v>199</v>
      </c>
      <c r="AA30" s="203">
        <f t="shared" si="32"/>
        <v>1990</v>
      </c>
      <c r="AB30" s="203">
        <f t="shared" ref="AB30:AB35" si="57">SUM(Z30)</f>
        <v>199</v>
      </c>
      <c r="AC30" s="203">
        <f t="shared" si="32"/>
        <v>1990</v>
      </c>
      <c r="AD30" s="203">
        <f t="shared" ref="AD30:AD35" si="58">SUM(AB30)</f>
        <v>199</v>
      </c>
      <c r="AE30" s="203">
        <f t="shared" si="11"/>
        <v>1990</v>
      </c>
      <c r="AF30" s="203">
        <f t="shared" ref="AF30:AF35" si="59">SUM(AD30)</f>
        <v>199</v>
      </c>
      <c r="AG30" s="203">
        <f t="shared" si="12"/>
        <v>1990</v>
      </c>
      <c r="AH30" s="203">
        <f t="shared" ref="AH30:AH35" si="60">SUM(AF30)</f>
        <v>199</v>
      </c>
      <c r="AI30" s="203">
        <f t="shared" si="13"/>
        <v>1990</v>
      </c>
      <c r="AJ30" s="203">
        <f t="shared" ref="AJ30:AJ35" si="61">SUM(AH30)</f>
        <v>199</v>
      </c>
      <c r="AK30" s="203">
        <f t="shared" si="14"/>
        <v>1990</v>
      </c>
      <c r="AL30" s="203">
        <f t="shared" ref="AL30:AL35" si="62">SUM(AJ30)</f>
        <v>199</v>
      </c>
      <c r="AM30" s="203">
        <f t="shared" si="15"/>
        <v>1990</v>
      </c>
      <c r="AN30" s="35">
        <f t="shared" ref="AN30:AN35" si="63">SUM(AO30/19600)</f>
        <v>0.71071428571428574</v>
      </c>
      <c r="AO30" s="36">
        <f t="shared" ref="AO30:AO35" si="64">SUM(AA30+AC30+AE30+AG30+AI30+AK30+AM30)</f>
        <v>13930</v>
      </c>
      <c r="AQ30" s="223">
        <f t="shared" si="39"/>
        <v>0.64116104050213896</v>
      </c>
      <c r="AR30" s="38">
        <f t="shared" si="42"/>
        <v>59608.741935483864</v>
      </c>
      <c r="AS30" s="197">
        <f t="shared" si="18"/>
        <v>0</v>
      </c>
      <c r="AT30" s="353"/>
      <c r="AU30" s="642"/>
      <c r="AV30" s="511">
        <f t="shared" si="43"/>
        <v>1.05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193</v>
      </c>
      <c r="C31" s="203">
        <f t="shared" si="20"/>
        <v>4152.6129032258068</v>
      </c>
      <c r="D31">
        <f t="shared" si="45"/>
        <v>193</v>
      </c>
      <c r="E31" s="203">
        <f t="shared" si="20"/>
        <v>4152.6129032258068</v>
      </c>
      <c r="F31">
        <f t="shared" si="46"/>
        <v>193</v>
      </c>
      <c r="G31" s="203">
        <f t="shared" si="1"/>
        <v>4152.6129032258068</v>
      </c>
      <c r="H31" s="203">
        <f t="shared" si="47"/>
        <v>193</v>
      </c>
      <c r="I31" s="203">
        <f t="shared" si="2"/>
        <v>4152.6129032258068</v>
      </c>
      <c r="J31" s="203">
        <f t="shared" si="48"/>
        <v>193</v>
      </c>
      <c r="K31" s="203">
        <f t="shared" si="3"/>
        <v>4152.6129032258068</v>
      </c>
      <c r="L31" s="203">
        <f t="shared" si="49"/>
        <v>193</v>
      </c>
      <c r="M31" s="203">
        <f t="shared" si="4"/>
        <v>4152.6129032258068</v>
      </c>
      <c r="N31" s="203">
        <f t="shared" si="50"/>
        <v>193</v>
      </c>
      <c r="O31" s="203">
        <f t="shared" si="5"/>
        <v>4152.6129032258068</v>
      </c>
      <c r="P31" s="203">
        <f t="shared" si="51"/>
        <v>193</v>
      </c>
      <c r="Q31" s="203">
        <f t="shared" si="6"/>
        <v>4152.6129032258068</v>
      </c>
      <c r="R31" s="203">
        <f t="shared" si="52"/>
        <v>193</v>
      </c>
      <c r="S31" s="203">
        <f t="shared" si="7"/>
        <v>4152.6129032258068</v>
      </c>
      <c r="T31" s="203">
        <f t="shared" si="53"/>
        <v>193</v>
      </c>
      <c r="U31" s="203">
        <f t="shared" si="8"/>
        <v>4152.6129032258068</v>
      </c>
      <c r="V31" s="203">
        <f t="shared" si="54"/>
        <v>193</v>
      </c>
      <c r="W31" s="203">
        <f t="shared" si="9"/>
        <v>4152.6129032258068</v>
      </c>
      <c r="X31" s="35">
        <f t="shared" si="55"/>
        <v>0.62258064516129019</v>
      </c>
      <c r="Y31" s="36">
        <f t="shared" si="56"/>
        <v>45678.741935483864</v>
      </c>
      <c r="Z31" s="203">
        <f>'B5'!C30</f>
        <v>199</v>
      </c>
      <c r="AA31" s="203">
        <f t="shared" si="32"/>
        <v>1990</v>
      </c>
      <c r="AB31" s="203">
        <f t="shared" si="57"/>
        <v>199</v>
      </c>
      <c r="AC31" s="203">
        <f t="shared" si="32"/>
        <v>1990</v>
      </c>
      <c r="AD31" s="203">
        <f t="shared" si="58"/>
        <v>199</v>
      </c>
      <c r="AE31" s="203">
        <f t="shared" si="11"/>
        <v>1990</v>
      </c>
      <c r="AF31" s="203">
        <f t="shared" si="59"/>
        <v>199</v>
      </c>
      <c r="AG31" s="203">
        <f t="shared" si="12"/>
        <v>1990</v>
      </c>
      <c r="AH31" s="203">
        <f t="shared" si="60"/>
        <v>199</v>
      </c>
      <c r="AI31" s="203">
        <f t="shared" si="13"/>
        <v>1990</v>
      </c>
      <c r="AJ31" s="203">
        <f t="shared" si="61"/>
        <v>199</v>
      </c>
      <c r="AK31" s="203">
        <f t="shared" si="14"/>
        <v>1990</v>
      </c>
      <c r="AL31" s="203">
        <f t="shared" si="62"/>
        <v>199</v>
      </c>
      <c r="AM31" s="203">
        <f t="shared" si="15"/>
        <v>1990</v>
      </c>
      <c r="AN31" s="35">
        <f t="shared" si="63"/>
        <v>0.71071428571428574</v>
      </c>
      <c r="AO31" s="36">
        <f t="shared" si="64"/>
        <v>13930</v>
      </c>
      <c r="AQ31" s="223">
        <f t="shared" si="39"/>
        <v>0.64116104050213896</v>
      </c>
      <c r="AR31" s="38">
        <f t="shared" si="42"/>
        <v>59608.741935483864</v>
      </c>
      <c r="AS31" s="197">
        <f t="shared" si="18"/>
        <v>0</v>
      </c>
      <c r="AT31" s="353"/>
      <c r="AU31" s="642"/>
      <c r="AV31" s="511">
        <f t="shared" si="43"/>
        <v>1.05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193</v>
      </c>
      <c r="C32" s="203">
        <f t="shared" si="20"/>
        <v>4152.6129032258068</v>
      </c>
      <c r="D32">
        <f t="shared" si="45"/>
        <v>193</v>
      </c>
      <c r="E32" s="203">
        <f t="shared" si="20"/>
        <v>4152.6129032258068</v>
      </c>
      <c r="F32">
        <f t="shared" si="46"/>
        <v>193</v>
      </c>
      <c r="G32" s="203">
        <f t="shared" si="1"/>
        <v>4152.6129032258068</v>
      </c>
      <c r="H32" s="203">
        <f t="shared" si="47"/>
        <v>193</v>
      </c>
      <c r="I32" s="203">
        <f t="shared" si="2"/>
        <v>4152.6129032258068</v>
      </c>
      <c r="J32" s="203">
        <f t="shared" si="48"/>
        <v>193</v>
      </c>
      <c r="K32" s="203">
        <f t="shared" si="3"/>
        <v>4152.6129032258068</v>
      </c>
      <c r="L32" s="203">
        <f t="shared" si="49"/>
        <v>193</v>
      </c>
      <c r="M32" s="203">
        <f t="shared" si="4"/>
        <v>4152.6129032258068</v>
      </c>
      <c r="N32" s="203">
        <f t="shared" si="50"/>
        <v>193</v>
      </c>
      <c r="O32" s="203">
        <f t="shared" si="5"/>
        <v>4152.6129032258068</v>
      </c>
      <c r="P32" s="203">
        <f t="shared" si="51"/>
        <v>193</v>
      </c>
      <c r="Q32" s="203">
        <f t="shared" si="6"/>
        <v>4152.6129032258068</v>
      </c>
      <c r="R32" s="203">
        <f t="shared" si="52"/>
        <v>193</v>
      </c>
      <c r="S32" s="203">
        <f t="shared" si="7"/>
        <v>4152.6129032258068</v>
      </c>
      <c r="T32" s="203">
        <f t="shared" si="53"/>
        <v>193</v>
      </c>
      <c r="U32" s="203">
        <f t="shared" si="8"/>
        <v>4152.6129032258068</v>
      </c>
      <c r="V32" s="203">
        <f t="shared" si="54"/>
        <v>193</v>
      </c>
      <c r="W32" s="203">
        <f t="shared" si="9"/>
        <v>4152.6129032258068</v>
      </c>
      <c r="X32" s="35">
        <f t="shared" si="55"/>
        <v>0.62258064516129019</v>
      </c>
      <c r="Y32" s="36">
        <f t="shared" si="56"/>
        <v>45678.741935483864</v>
      </c>
      <c r="Z32" s="203">
        <f>'B5'!C31</f>
        <v>199</v>
      </c>
      <c r="AA32" s="203">
        <f t="shared" si="32"/>
        <v>1990</v>
      </c>
      <c r="AB32" s="203">
        <f t="shared" si="57"/>
        <v>199</v>
      </c>
      <c r="AC32" s="203">
        <f t="shared" si="32"/>
        <v>1990</v>
      </c>
      <c r="AD32" s="203">
        <f t="shared" si="58"/>
        <v>199</v>
      </c>
      <c r="AE32" s="203">
        <f t="shared" si="11"/>
        <v>1990</v>
      </c>
      <c r="AF32" s="203">
        <f t="shared" si="59"/>
        <v>199</v>
      </c>
      <c r="AG32" s="203">
        <f t="shared" si="12"/>
        <v>1990</v>
      </c>
      <c r="AH32" s="203">
        <f t="shared" si="60"/>
        <v>199</v>
      </c>
      <c r="AI32" s="203">
        <f t="shared" si="13"/>
        <v>1990</v>
      </c>
      <c r="AJ32" s="203">
        <f t="shared" si="61"/>
        <v>199</v>
      </c>
      <c r="AK32" s="203">
        <f t="shared" si="14"/>
        <v>1990</v>
      </c>
      <c r="AL32" s="203">
        <f t="shared" si="62"/>
        <v>199</v>
      </c>
      <c r="AM32" s="203">
        <f t="shared" si="15"/>
        <v>1990</v>
      </c>
      <c r="AN32" s="35">
        <f t="shared" si="63"/>
        <v>0.71071428571428574</v>
      </c>
      <c r="AO32" s="36">
        <f t="shared" si="64"/>
        <v>13930</v>
      </c>
      <c r="AQ32" s="223">
        <f t="shared" si="39"/>
        <v>0.64116104050213896</v>
      </c>
      <c r="AR32" s="38">
        <f t="shared" si="42"/>
        <v>59608.741935483864</v>
      </c>
      <c r="AS32" s="197">
        <f t="shared" si="18"/>
        <v>0</v>
      </c>
      <c r="AT32" s="353"/>
      <c r="AU32" s="642"/>
      <c r="AV32" s="511">
        <f>IF(AT32&gt;0,AU32,AV31)</f>
        <v>1.05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193</v>
      </c>
      <c r="C33" s="203">
        <f t="shared" si="20"/>
        <v>4152.6129032258068</v>
      </c>
      <c r="D33">
        <f t="shared" si="45"/>
        <v>193</v>
      </c>
      <c r="E33" s="203">
        <f t="shared" si="20"/>
        <v>4152.6129032258068</v>
      </c>
      <c r="F33">
        <f t="shared" si="46"/>
        <v>193</v>
      </c>
      <c r="G33" s="203">
        <f t="shared" si="1"/>
        <v>4152.6129032258068</v>
      </c>
      <c r="H33" s="203">
        <f t="shared" si="47"/>
        <v>193</v>
      </c>
      <c r="I33" s="203">
        <f t="shared" si="2"/>
        <v>4152.6129032258068</v>
      </c>
      <c r="J33" s="203">
        <f t="shared" si="48"/>
        <v>193</v>
      </c>
      <c r="K33" s="203">
        <f t="shared" si="3"/>
        <v>4152.6129032258068</v>
      </c>
      <c r="L33" s="203">
        <f t="shared" si="49"/>
        <v>193</v>
      </c>
      <c r="M33" s="203">
        <f t="shared" si="4"/>
        <v>4152.6129032258068</v>
      </c>
      <c r="N33" s="203">
        <f t="shared" si="50"/>
        <v>193</v>
      </c>
      <c r="O33" s="203">
        <f t="shared" si="5"/>
        <v>4152.6129032258068</v>
      </c>
      <c r="P33" s="203">
        <f t="shared" si="51"/>
        <v>193</v>
      </c>
      <c r="Q33" s="203">
        <f t="shared" si="6"/>
        <v>4152.6129032258068</v>
      </c>
      <c r="R33" s="203">
        <f t="shared" si="52"/>
        <v>193</v>
      </c>
      <c r="S33" s="203">
        <f t="shared" si="7"/>
        <v>4152.6129032258068</v>
      </c>
      <c r="T33" s="203">
        <f t="shared" si="53"/>
        <v>193</v>
      </c>
      <c r="U33" s="203">
        <f t="shared" si="8"/>
        <v>4152.6129032258068</v>
      </c>
      <c r="V33" s="203">
        <f t="shared" si="54"/>
        <v>193</v>
      </c>
      <c r="W33" s="203">
        <f t="shared" si="9"/>
        <v>4152.6129032258068</v>
      </c>
      <c r="X33" s="35">
        <f t="shared" si="55"/>
        <v>0.62258064516129019</v>
      </c>
      <c r="Y33" s="36">
        <f t="shared" si="56"/>
        <v>45678.741935483864</v>
      </c>
      <c r="Z33" s="203">
        <f>'B5'!C32</f>
        <v>199</v>
      </c>
      <c r="AA33" s="203">
        <f t="shared" si="32"/>
        <v>1990</v>
      </c>
      <c r="AB33" s="203">
        <f t="shared" si="57"/>
        <v>199</v>
      </c>
      <c r="AC33" s="203">
        <f t="shared" si="32"/>
        <v>1990</v>
      </c>
      <c r="AD33" s="203">
        <f t="shared" si="58"/>
        <v>199</v>
      </c>
      <c r="AE33" s="203">
        <f t="shared" si="11"/>
        <v>1990</v>
      </c>
      <c r="AF33" s="203">
        <f t="shared" si="59"/>
        <v>199</v>
      </c>
      <c r="AG33" s="203">
        <f t="shared" si="12"/>
        <v>1990</v>
      </c>
      <c r="AH33" s="203">
        <f t="shared" si="60"/>
        <v>199</v>
      </c>
      <c r="AI33" s="203">
        <f t="shared" si="13"/>
        <v>1990</v>
      </c>
      <c r="AJ33" s="203">
        <f t="shared" si="61"/>
        <v>199</v>
      </c>
      <c r="AK33" s="203">
        <f t="shared" si="14"/>
        <v>1990</v>
      </c>
      <c r="AL33" s="203">
        <f t="shared" si="62"/>
        <v>199</v>
      </c>
      <c r="AM33" s="203">
        <f t="shared" si="15"/>
        <v>1990</v>
      </c>
      <c r="AN33" s="35">
        <f t="shared" si="63"/>
        <v>0.71071428571428574</v>
      </c>
      <c r="AO33" s="36">
        <f t="shared" si="64"/>
        <v>13930</v>
      </c>
      <c r="AQ33" s="223">
        <f t="shared" si="39"/>
        <v>0.64116104050213896</v>
      </c>
      <c r="AR33" s="38">
        <f t="shared" si="42"/>
        <v>59608.741935483864</v>
      </c>
      <c r="AS33" s="197">
        <f t="shared" si="18"/>
        <v>0</v>
      </c>
      <c r="AT33" s="353"/>
      <c r="AU33" s="642"/>
      <c r="AV33" s="511">
        <f>IF(AT33&gt;0,AU33,AV32)</f>
        <v>1.05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193</v>
      </c>
      <c r="C34" s="203">
        <f>B34*$B$4</f>
        <v>4152.6129032258068</v>
      </c>
      <c r="D34">
        <f t="shared" si="45"/>
        <v>193</v>
      </c>
      <c r="E34" s="203">
        <f>D34*$B$4</f>
        <v>4152.6129032258068</v>
      </c>
      <c r="F34">
        <f t="shared" si="46"/>
        <v>193</v>
      </c>
      <c r="G34" s="203">
        <f>F34*$B$4</f>
        <v>4152.6129032258068</v>
      </c>
      <c r="H34" s="203">
        <f t="shared" si="47"/>
        <v>193</v>
      </c>
      <c r="I34" s="203">
        <f>H34*$B$4</f>
        <v>4152.6129032258068</v>
      </c>
      <c r="J34" s="203">
        <f t="shared" si="48"/>
        <v>193</v>
      </c>
      <c r="K34" s="203">
        <f>J34*$B$4</f>
        <v>4152.6129032258068</v>
      </c>
      <c r="L34" s="203">
        <f t="shared" si="49"/>
        <v>193</v>
      </c>
      <c r="M34" s="203">
        <f>L34*$B$4</f>
        <v>4152.6129032258068</v>
      </c>
      <c r="N34" s="203">
        <f t="shared" si="50"/>
        <v>193</v>
      </c>
      <c r="O34" s="203">
        <f>N34*$B$4</f>
        <v>4152.6129032258068</v>
      </c>
      <c r="P34" s="203">
        <f t="shared" si="51"/>
        <v>193</v>
      </c>
      <c r="Q34" s="203">
        <f>P34*$B$4</f>
        <v>4152.6129032258068</v>
      </c>
      <c r="R34" s="203">
        <f t="shared" si="52"/>
        <v>193</v>
      </c>
      <c r="S34" s="203">
        <f>R34*$B$4</f>
        <v>4152.6129032258068</v>
      </c>
      <c r="T34" s="203">
        <f t="shared" si="53"/>
        <v>193</v>
      </c>
      <c r="U34" s="203">
        <f>T34*$B$4</f>
        <v>4152.6129032258068</v>
      </c>
      <c r="V34" s="203">
        <f t="shared" si="54"/>
        <v>193</v>
      </c>
      <c r="W34" s="203">
        <f>V34*$B$4</f>
        <v>4152.6129032258068</v>
      </c>
      <c r="X34" s="35">
        <f t="shared" si="55"/>
        <v>0.62258064516129019</v>
      </c>
      <c r="Y34" s="36">
        <f t="shared" si="56"/>
        <v>45678.741935483864</v>
      </c>
      <c r="Z34" s="203">
        <f>'B5'!C33</f>
        <v>199</v>
      </c>
      <c r="AA34" s="203">
        <f>SUM(Z34*$Z$4)</f>
        <v>1990</v>
      </c>
      <c r="AB34" s="203">
        <f t="shared" si="57"/>
        <v>199</v>
      </c>
      <c r="AC34" s="203">
        <f>SUM(AB34*$Z$4)</f>
        <v>1990</v>
      </c>
      <c r="AD34" s="203">
        <f t="shared" si="58"/>
        <v>199</v>
      </c>
      <c r="AE34" s="203">
        <f>SUM(AD34*$Z$4)</f>
        <v>1990</v>
      </c>
      <c r="AF34" s="203">
        <f t="shared" si="59"/>
        <v>199</v>
      </c>
      <c r="AG34" s="203">
        <f>SUM(AF34*$Z$4)</f>
        <v>1990</v>
      </c>
      <c r="AH34" s="203">
        <f t="shared" si="60"/>
        <v>199</v>
      </c>
      <c r="AI34" s="203">
        <f>SUM(AH34*$Z$4)</f>
        <v>1990</v>
      </c>
      <c r="AJ34" s="203">
        <f t="shared" si="61"/>
        <v>199</v>
      </c>
      <c r="AK34" s="203">
        <f>SUM(AJ34*$Z$4)</f>
        <v>1990</v>
      </c>
      <c r="AL34" s="203">
        <f t="shared" si="62"/>
        <v>199</v>
      </c>
      <c r="AM34" s="203">
        <f>SUM(AL34*$Z$4)</f>
        <v>1990</v>
      </c>
      <c r="AN34" s="35">
        <f t="shared" si="63"/>
        <v>0.71071428571428574</v>
      </c>
      <c r="AO34" s="36">
        <f t="shared" si="64"/>
        <v>13930</v>
      </c>
      <c r="AQ34" s="223">
        <f>SUM(AR34/92970)</f>
        <v>0.64116104050213896</v>
      </c>
      <c r="AR34" s="38">
        <f t="shared" si="42"/>
        <v>59608.741935483864</v>
      </c>
      <c r="AS34" s="197">
        <f t="shared" si="18"/>
        <v>0</v>
      </c>
      <c r="AT34" s="353"/>
      <c r="AU34" s="642"/>
      <c r="AV34" s="511">
        <f>IF(AT34&gt;0,AU34,AV33)</f>
        <v>1.05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193</v>
      </c>
      <c r="C35" s="203">
        <f>B35*$B$4</f>
        <v>4152.6129032258068</v>
      </c>
      <c r="D35">
        <f t="shared" si="45"/>
        <v>193</v>
      </c>
      <c r="E35" s="203">
        <f>D35*$B$4</f>
        <v>4152.6129032258068</v>
      </c>
      <c r="F35">
        <f t="shared" si="46"/>
        <v>193</v>
      </c>
      <c r="G35" s="203">
        <f>F35*$B$4</f>
        <v>4152.6129032258068</v>
      </c>
      <c r="H35" s="203">
        <f t="shared" si="47"/>
        <v>193</v>
      </c>
      <c r="I35" s="203">
        <f>H35*$B$4</f>
        <v>4152.6129032258068</v>
      </c>
      <c r="J35" s="203">
        <f t="shared" si="48"/>
        <v>193</v>
      </c>
      <c r="K35" s="203">
        <f>J35*$B$4</f>
        <v>4152.6129032258068</v>
      </c>
      <c r="L35" s="203">
        <f t="shared" si="49"/>
        <v>193</v>
      </c>
      <c r="M35" s="203">
        <f>L35*$B$4</f>
        <v>4152.6129032258068</v>
      </c>
      <c r="N35" s="203">
        <f t="shared" si="50"/>
        <v>193</v>
      </c>
      <c r="O35" s="203">
        <f>N35*$B$4</f>
        <v>4152.6129032258068</v>
      </c>
      <c r="P35" s="203">
        <f t="shared" si="51"/>
        <v>193</v>
      </c>
      <c r="Q35" s="203">
        <f>P35*$B$4</f>
        <v>4152.6129032258068</v>
      </c>
      <c r="R35" s="203">
        <f t="shared" si="52"/>
        <v>193</v>
      </c>
      <c r="S35" s="203">
        <f>R35*$B$4</f>
        <v>4152.6129032258068</v>
      </c>
      <c r="T35" s="203">
        <f t="shared" si="53"/>
        <v>193</v>
      </c>
      <c r="U35" s="203">
        <f>T35*$B$4</f>
        <v>4152.6129032258068</v>
      </c>
      <c r="V35" s="203">
        <f t="shared" si="54"/>
        <v>193</v>
      </c>
      <c r="W35" s="203">
        <f>V35*$B$4</f>
        <v>4152.6129032258068</v>
      </c>
      <c r="X35" s="35">
        <f t="shared" si="55"/>
        <v>0.62258064516129019</v>
      </c>
      <c r="Y35" s="36">
        <f t="shared" si="56"/>
        <v>45678.741935483864</v>
      </c>
      <c r="Z35" s="203">
        <f>'B5'!C34</f>
        <v>199</v>
      </c>
      <c r="AA35" s="203">
        <f>SUM(Z35*$Z$4)</f>
        <v>1990</v>
      </c>
      <c r="AB35" s="203">
        <f t="shared" si="57"/>
        <v>199</v>
      </c>
      <c r="AC35" s="203">
        <f>SUM(AB35*$Z$4)</f>
        <v>1990</v>
      </c>
      <c r="AD35" s="203">
        <f t="shared" si="58"/>
        <v>199</v>
      </c>
      <c r="AE35" s="203">
        <f>SUM(AD35*$Z$4)</f>
        <v>1990</v>
      </c>
      <c r="AF35" s="203">
        <f t="shared" si="59"/>
        <v>199</v>
      </c>
      <c r="AG35" s="203">
        <f>SUM(AF35*$Z$4)</f>
        <v>1990</v>
      </c>
      <c r="AH35" s="203">
        <f t="shared" si="60"/>
        <v>199</v>
      </c>
      <c r="AI35" s="203">
        <f>SUM(AH35*$Z$4)</f>
        <v>1990</v>
      </c>
      <c r="AJ35" s="203">
        <f t="shared" si="61"/>
        <v>199</v>
      </c>
      <c r="AK35" s="203">
        <f>SUM(AJ35*$Z$4)</f>
        <v>1990</v>
      </c>
      <c r="AL35" s="203">
        <f t="shared" si="62"/>
        <v>199</v>
      </c>
      <c r="AM35" s="203">
        <f>SUM(AL35*$Z$4)</f>
        <v>1990</v>
      </c>
      <c r="AN35" s="35">
        <f t="shared" si="63"/>
        <v>0.71071428571428574</v>
      </c>
      <c r="AO35" s="36">
        <f t="shared" si="64"/>
        <v>13930</v>
      </c>
      <c r="AQ35" s="223">
        <f>SUM(AR35/92970)</f>
        <v>0.64116104050213896</v>
      </c>
      <c r="AR35" s="38">
        <f t="shared" si="42"/>
        <v>59608.741935483864</v>
      </c>
      <c r="AS35" s="197">
        <f t="shared" si="18"/>
        <v>0</v>
      </c>
      <c r="AT35" s="353"/>
      <c r="AU35" s="642"/>
      <c r="AV35" s="580">
        <f>IF(AT35&gt;0,AU35,AV34)</f>
        <v>1.05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3</v>
      </c>
      <c r="AT36" s="203">
        <f>SUM(AT6:AT35)</f>
        <v>45275</v>
      </c>
      <c r="AU36" s="629">
        <f>SUM(AU6:AU35)/AS36</f>
        <v>1.0186666666666666</v>
      </c>
      <c r="AX36" s="203">
        <f>SUM(AX6:AX35)</f>
        <v>-47876.483870967742</v>
      </c>
      <c r="AY36" s="203">
        <f>SUM(AY6:AY35)</f>
        <v>-49638.483870967742</v>
      </c>
    </row>
    <row r="37" spans="1:60">
      <c r="AS37" s="206"/>
      <c r="AT37" s="82">
        <f>+AT36*AU36</f>
        <v>46120.133333333331</v>
      </c>
    </row>
    <row r="39" spans="1:60">
      <c r="AS39" s="165">
        <f>SUM(AS6:AS35)/'EDl log'!A35</f>
        <v>-3818.3449131513648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-1.1054626953050808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17" sqref="F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4461.5956989247434</v>
      </c>
      <c r="R4" s="296">
        <f>SUM(P4:Q4)</f>
        <v>4648.1034490629409</v>
      </c>
      <c r="S4" s="298">
        <f>SUM(ELEC!N4)</f>
        <v>10480.600000000093</v>
      </c>
      <c r="T4" s="334">
        <f>IF(S4&gt;0,R4/S4,0)</f>
        <v>0.44349593048708086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3"/>
      <c r="AC4" s="684"/>
    </row>
    <row r="5" spans="1:32" ht="20.100000000000001" customHeight="1">
      <c r="A5" s="163">
        <f>ELEC!C5</f>
        <v>44349</v>
      </c>
      <c r="B5" s="626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6">
        <v>156260</v>
      </c>
      <c r="G5" s="160">
        <f t="shared" si="1"/>
        <v>173</v>
      </c>
      <c r="H5" s="626">
        <v>516289</v>
      </c>
      <c r="I5" s="161">
        <f t="shared" si="2"/>
        <v>444</v>
      </c>
      <c r="J5" s="626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2171.863053763424</v>
      </c>
      <c r="R5" s="296">
        <f t="shared" ref="R5:R30" si="10">SUM(P5:Q5)</f>
        <v>2431.7319979314725</v>
      </c>
      <c r="S5" s="298">
        <f>SUM(ELEC!N5)</f>
        <v>12363.799999999814</v>
      </c>
      <c r="T5" s="334">
        <f>IF(S5&gt;0,R5/S5,0)</f>
        <v>0.19668160257619091</v>
      </c>
      <c r="U5" s="250"/>
      <c r="V5" s="677"/>
      <c r="W5" s="678"/>
      <c r="X5" s="678"/>
      <c r="Y5" s="679"/>
      <c r="Z5" s="26" t="s">
        <v>203</v>
      </c>
      <c r="AA5" s="264">
        <f>'[7]EDl log'!AA22</f>
        <v>5000</v>
      </c>
      <c r="AB5" s="685"/>
      <c r="AC5" s="686"/>
    </row>
    <row r="6" spans="1:32" ht="20.100000000000001" customHeight="1">
      <c r="A6" s="163">
        <f>ELEC!C6</f>
        <v>44350</v>
      </c>
      <c r="B6" s="626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6">
        <v>156260</v>
      </c>
      <c r="G6" s="160">
        <f t="shared" si="1"/>
        <v>0</v>
      </c>
      <c r="H6" s="626">
        <v>516513</v>
      </c>
      <c r="I6" s="161">
        <f t="shared" si="2"/>
        <v>224</v>
      </c>
      <c r="J6" s="626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2009.6978924730997</v>
      </c>
      <c r="R6" s="296">
        <f t="shared" si="10"/>
        <v>2197.9250455963725</v>
      </c>
      <c r="S6" s="298">
        <f>SUM(ELEC!N6)</f>
        <v>15101</v>
      </c>
      <c r="T6" s="334">
        <f t="shared" ref="T6:T30" si="12">IF(S6&gt;0,R6/S6,0)</f>
        <v>0.14554831107849628</v>
      </c>
      <c r="V6" s="680"/>
      <c r="W6" s="681"/>
      <c r="X6" s="681"/>
      <c r="Y6" s="682"/>
      <c r="Z6" s="3"/>
      <c r="AA6" s="3"/>
      <c r="AB6" s="685"/>
      <c r="AC6" s="686"/>
    </row>
    <row r="7" spans="1:32" ht="20.100000000000001" customHeight="1">
      <c r="A7" s="163">
        <f>ELEC!C7</f>
        <v>44351</v>
      </c>
      <c r="B7" s="626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6">
        <v>156260</v>
      </c>
      <c r="G7" s="160">
        <f t="shared" si="1"/>
        <v>0</v>
      </c>
      <c r="H7" s="626">
        <v>516513</v>
      </c>
      <c r="I7" s="161">
        <f t="shared" si="2"/>
        <v>0</v>
      </c>
      <c r="J7" s="626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3031.321978494645</v>
      </c>
      <c r="R7" s="296">
        <f t="shared" si="10"/>
        <v>3191.2851183509192</v>
      </c>
      <c r="S7" s="298">
        <f>SUM(ELEC!N7)</f>
        <v>16108.600000000093</v>
      </c>
      <c r="T7" s="334">
        <f t="shared" si="12"/>
        <v>0.1981106439014502</v>
      </c>
      <c r="V7" s="673" t="s">
        <v>204</v>
      </c>
      <c r="W7" s="674"/>
      <c r="X7" s="675" t="s">
        <v>205</v>
      </c>
      <c r="Y7" s="676"/>
      <c r="Z7" s="674"/>
      <c r="AA7" s="26"/>
      <c r="AB7" s="687"/>
      <c r="AC7" s="688"/>
    </row>
    <row r="8" spans="1:32" ht="20.100000000000001" customHeight="1">
      <c r="A8" s="163">
        <f>ELEC!C8</f>
        <v>44352</v>
      </c>
      <c r="B8" s="626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6">
        <v>156467</v>
      </c>
      <c r="G8" s="160">
        <f t="shared" si="1"/>
        <v>207</v>
      </c>
      <c r="H8" s="626">
        <v>517307</v>
      </c>
      <c r="I8" s="161">
        <f t="shared" si="2"/>
        <v>794</v>
      </c>
      <c r="J8" s="626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5064.3177634408521</v>
      </c>
      <c r="R8" s="296">
        <f t="shared" si="10"/>
        <v>5361.599642932284</v>
      </c>
      <c r="S8" s="298">
        <f>SUM(ELEC!N8)</f>
        <v>12066</v>
      </c>
      <c r="T8" s="334">
        <f>IF(S8&gt;0,R8/S8,0)</f>
        <v>0.44435601217738141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6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6">
        <v>156555</v>
      </c>
      <c r="G9" s="160">
        <f t="shared" si="1"/>
        <v>88</v>
      </c>
      <c r="H9" s="626">
        <v>517596</v>
      </c>
      <c r="I9" s="161">
        <f t="shared" si="2"/>
        <v>289</v>
      </c>
      <c r="J9" s="626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3936.9495053763494</v>
      </c>
      <c r="R9" s="296">
        <f>SUM(P9:Q9)</f>
        <v>4144.0688641380966</v>
      </c>
      <c r="S9" s="298">
        <f>SUM(ELEC!N9)</f>
        <v>11919</v>
      </c>
      <c r="T9" s="334">
        <f t="shared" si="12"/>
        <v>0.34768595218878234</v>
      </c>
      <c r="V9" s="254">
        <f>'[3]EDl log'!V26</f>
        <v>365756</v>
      </c>
      <c r="W9" s="254">
        <f>'[3]EDl log'!W26</f>
        <v>386167</v>
      </c>
      <c r="X9" s="254" t="s">
        <v>199</v>
      </c>
      <c r="Y9" s="616">
        <f>'[3]EDl log'!Y26</f>
        <v>80</v>
      </c>
      <c r="Z9" s="254">
        <v>1</v>
      </c>
      <c r="AA9" s="601">
        <f>'[3]EDl log'!AA26</f>
        <v>20411</v>
      </c>
      <c r="AB9" s="601">
        <f>'[3]EDl log'!AB26</f>
        <v>1632880</v>
      </c>
      <c r="AC9" s="601">
        <f>'[3]EDl log'!AC26</f>
        <v>1033333</v>
      </c>
      <c r="AD9" s="599">
        <f>'[3]EDl log'!AD26</f>
        <v>0.41575933035433316</v>
      </c>
    </row>
    <row r="10" spans="1:32" ht="20.100000000000001" customHeight="1">
      <c r="A10" s="163">
        <f>ELEC!C10</f>
        <v>44354</v>
      </c>
      <c r="B10" s="626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6">
        <v>156555</v>
      </c>
      <c r="G10" s="160">
        <f t="shared" si="1"/>
        <v>0</v>
      </c>
      <c r="H10" s="626">
        <v>517860</v>
      </c>
      <c r="I10" s="161">
        <f t="shared" si="2"/>
        <v>264</v>
      </c>
      <c r="J10" s="626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2321.4427526881527</v>
      </c>
      <c r="R10" s="296">
        <f t="shared" si="10"/>
        <v>2512.4294414664832</v>
      </c>
      <c r="S10" s="298">
        <f>SUM(ELEC!N10)</f>
        <v>15761</v>
      </c>
      <c r="T10" s="334">
        <f t="shared" si="12"/>
        <v>0.15940799704755301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6">
        <f>'[3]EDl log'!Y27</f>
        <v>112</v>
      </c>
      <c r="Z10" s="254">
        <v>1</v>
      </c>
      <c r="AA10" s="601">
        <f>'[3]EDl log'!AA27</f>
        <v>23142</v>
      </c>
      <c r="AB10" s="601">
        <f>'[3]EDl log'!AB27</f>
        <v>2591904</v>
      </c>
      <c r="AC10" s="601">
        <f>'[3]EDl log'!AC27</f>
        <v>6200000</v>
      </c>
      <c r="AD10" s="599">
        <f>'[3]EDl log'!AD27</f>
        <v>0.4739337487150439</v>
      </c>
    </row>
    <row r="11" spans="1:32" ht="20.100000000000001" customHeight="1">
      <c r="A11" s="163">
        <f>ELEC!C11</f>
        <v>44355</v>
      </c>
      <c r="B11" s="626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6">
        <v>156748</v>
      </c>
      <c r="G11" s="160">
        <f t="shared" si="1"/>
        <v>193</v>
      </c>
      <c r="H11" s="626">
        <v>518049</v>
      </c>
      <c r="I11" s="161">
        <f t="shared" si="2"/>
        <v>189</v>
      </c>
      <c r="J11" s="626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3516.568774193574</v>
      </c>
      <c r="R11" s="296">
        <f t="shared" si="10"/>
        <v>3762.2154961394003</v>
      </c>
      <c r="S11" s="298">
        <f>SUM(ELEC!N11)</f>
        <v>11896</v>
      </c>
      <c r="T11" s="334">
        <f t="shared" si="12"/>
        <v>0.31625886820270682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6">
        <f>'[3]EDl log'!Y28</f>
        <v>320</v>
      </c>
      <c r="Z11" s="254">
        <v>1</v>
      </c>
      <c r="AA11" s="601">
        <f>'[3]EDl log'!AA28</f>
        <v>5434</v>
      </c>
      <c r="AB11" s="601">
        <f>'[3]EDl log'!AB28</f>
        <v>1738880</v>
      </c>
      <c r="AC11" s="601">
        <f>'[3]EDl log'!AC28</f>
        <v>1000</v>
      </c>
      <c r="AD11" s="599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6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6">
        <v>156748</v>
      </c>
      <c r="G12" s="160">
        <f t="shared" si="1"/>
        <v>0</v>
      </c>
      <c r="H12" s="626">
        <v>518433</v>
      </c>
      <c r="I12" s="161">
        <f t="shared" si="2"/>
        <v>384</v>
      </c>
      <c r="J12" s="626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4815.0730322580539</v>
      </c>
      <c r="R12" s="296">
        <f t="shared" si="10"/>
        <v>5004.5207492287564</v>
      </c>
      <c r="S12" s="298">
        <f>SUM(ELEC!N12)</f>
        <v>13733</v>
      </c>
      <c r="T12" s="334">
        <f t="shared" si="12"/>
        <v>0.36441569571315491</v>
      </c>
      <c r="V12" s="557"/>
      <c r="W12" s="264"/>
      <c r="X12" s="3"/>
      <c r="Y12" s="264"/>
      <c r="Z12" s="555"/>
      <c r="AA12" s="601">
        <f>'[3]EDl log'!AA29</f>
        <v>48987</v>
      </c>
      <c r="AB12" s="601">
        <f>'[3]EDl log'!AB29</f>
        <v>0</v>
      </c>
      <c r="AC12" s="601">
        <f>'[3]EDl log'!AC29</f>
        <v>7234333</v>
      </c>
      <c r="AD12" s="601"/>
    </row>
    <row r="13" spans="1:32" ht="20.100000000000001" customHeight="1">
      <c r="A13" s="163">
        <f>ELEC!C13</f>
        <v>44357</v>
      </c>
      <c r="B13" s="626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6">
        <v>156857</v>
      </c>
      <c r="G13" s="160">
        <f t="shared" si="1"/>
        <v>109</v>
      </c>
      <c r="H13" s="626">
        <v>518721</v>
      </c>
      <c r="I13" s="161">
        <f t="shared" si="2"/>
        <v>288</v>
      </c>
      <c r="J13" s="626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1403.5583655913877</v>
      </c>
      <c r="R13" s="296">
        <f t="shared" si="10"/>
        <v>1623.7642915173135</v>
      </c>
      <c r="S13" s="298">
        <f>SUM(ELEC!N13)</f>
        <v>14893</v>
      </c>
      <c r="T13" s="334">
        <f>IF(S13&gt;0,R13/S13,0)</f>
        <v>0.10902869076192262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1">
        <f>'[3]EDl log'!AB30</f>
        <v>5963664</v>
      </c>
      <c r="AC13" s="601">
        <f>'[3]EDl log'!AC30</f>
        <v>0</v>
      </c>
    </row>
    <row r="14" spans="1:32" ht="20.100000000000001" customHeight="1">
      <c r="A14" s="163">
        <f>ELEC!C14</f>
        <v>44358</v>
      </c>
      <c r="B14" s="626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6">
        <v>156857</v>
      </c>
      <c r="G14" s="160">
        <f t="shared" si="1"/>
        <v>0</v>
      </c>
      <c r="H14" s="626">
        <v>518944</v>
      </c>
      <c r="I14" s="161">
        <f t="shared" si="2"/>
        <v>223</v>
      </c>
      <c r="J14" s="626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5030.7017634408594</v>
      </c>
      <c r="R14" s="296">
        <f>SUM(P14:Q14)</f>
        <v>5220.6589331478799</v>
      </c>
      <c r="S14" s="298">
        <f>SUM(ELEC!N14)</f>
        <v>14674</v>
      </c>
      <c r="T14" s="334">
        <f>IF(S14&gt;0,R14/S14,0)</f>
        <v>0.35577613010412157</v>
      </c>
      <c r="V14" s="557" t="str">
        <f>'[7]EDl log'!V31</f>
        <v>Gen RH</v>
      </c>
      <c r="W14" s="583">
        <f>'[3]EDl log'!$W$33</f>
        <v>339</v>
      </c>
      <c r="X14" s="630">
        <f>'[3]EDl log'!$X$33</f>
        <v>10.935483870967742</v>
      </c>
      <c r="Y14" s="617">
        <f>'[3]EDl log'!$Y$33</f>
        <v>10.935483870967742</v>
      </c>
      <c r="Z14" s="264"/>
      <c r="AA14" s="3"/>
      <c r="AB14" s="601">
        <f>'[3]EDl log'!AB31</f>
        <v>0</v>
      </c>
      <c r="AC14" s="601">
        <f>'[3]EDl log'!AC31</f>
        <v>0</v>
      </c>
    </row>
    <row r="15" spans="1:32" ht="20.100000000000001" customHeight="1">
      <c r="A15" s="163">
        <f>ELEC!C15</f>
        <v>44359</v>
      </c>
      <c r="B15" s="626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6">
        <v>157009</v>
      </c>
      <c r="G15" s="160">
        <f t="shared" si="1"/>
        <v>152</v>
      </c>
      <c r="H15" s="626">
        <v>519237</v>
      </c>
      <c r="I15" s="161">
        <f t="shared" si="2"/>
        <v>293</v>
      </c>
      <c r="J15" s="626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2991.5939784946449</v>
      </c>
      <c r="R15" s="296">
        <f>SUM(P15:Q15)</f>
        <v>3220.4499873393106</v>
      </c>
      <c r="S15" s="298">
        <f>SUM(ELEC!N15)</f>
        <v>12497</v>
      </c>
      <c r="T15" s="334">
        <f>IF(S15&gt;0,R15/S15,0)</f>
        <v>0.2576978464702977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1">
        <f>'[3]EDl log'!AB32</f>
        <v>0</v>
      </c>
      <c r="AC15" s="601">
        <f>'[3]EDl log'!AC32</f>
        <v>0</v>
      </c>
    </row>
    <row r="16" spans="1:32" ht="20.100000000000001" customHeight="1">
      <c r="A16" s="163">
        <f>ELEC!C16</f>
        <v>44360</v>
      </c>
      <c r="B16" s="626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6">
        <f t="shared" ref="F16:F33" si="14">F15</f>
        <v>157009</v>
      </c>
      <c r="G16" s="160">
        <f t="shared" si="1"/>
        <v>0</v>
      </c>
      <c r="H16" s="626">
        <v>519666</v>
      </c>
      <c r="I16" s="161">
        <f t="shared" si="2"/>
        <v>429</v>
      </c>
      <c r="J16" s="626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4565.8283010752639</v>
      </c>
      <c r="R16" s="296">
        <f>SUM(P16:Q16)</f>
        <v>4765.9426847126324</v>
      </c>
      <c r="S16" s="298">
        <f>SUM(ELEC!N16)</f>
        <v>12554</v>
      </c>
      <c r="T16" s="334">
        <f>IF(S16&gt;0,R16/S16,0)</f>
        <v>0.37963538989267426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1">
        <f>'[3]EDl log'!AB33</f>
        <v>13197997</v>
      </c>
      <c r="AC16" s="601">
        <f>'[3]EDl log'!AC33</f>
        <v>7234333</v>
      </c>
    </row>
    <row r="17" spans="1:32" ht="20.100000000000001" customHeight="1">
      <c r="A17" s="163">
        <f>ELEC!C17</f>
        <v>44361</v>
      </c>
      <c r="B17" s="626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6">
        <v>157142</v>
      </c>
      <c r="G17" s="160">
        <f t="shared" si="1"/>
        <v>133</v>
      </c>
      <c r="H17" s="626">
        <v>519976</v>
      </c>
      <c r="I17" s="161">
        <f t="shared" si="2"/>
        <v>310</v>
      </c>
      <c r="J17" s="626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3449.6653763440872</v>
      </c>
      <c r="R17" s="296">
        <f>SUM(P17:Q17)</f>
        <v>3675.8573719217543</v>
      </c>
      <c r="S17" s="298">
        <f>SUM(ELEC!N17)</f>
        <v>11380</v>
      </c>
      <c r="T17" s="334">
        <f>IF(S17&gt;0,R17/S17,0)</f>
        <v>0.32301031387713131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1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26">
        <f t="shared" ref="B16:B33" si="15">B17</f>
        <v>1067003</v>
      </c>
      <c r="C18" s="264">
        <f t="shared" si="0"/>
        <v>0</v>
      </c>
      <c r="D18" s="307">
        <f t="shared" si="7"/>
        <v>0</v>
      </c>
      <c r="E18" s="307">
        <f t="shared" si="11"/>
        <v>1067003</v>
      </c>
      <c r="F18" s="626">
        <f t="shared" si="14"/>
        <v>157142</v>
      </c>
      <c r="G18" s="160">
        <f t="shared" si="1"/>
        <v>0</v>
      </c>
      <c r="H18" s="626">
        <f t="shared" ref="H16:H33" si="16">H17</f>
        <v>519976</v>
      </c>
      <c r="I18" s="161">
        <f t="shared" si="2"/>
        <v>0</v>
      </c>
      <c r="J18" s="626">
        <f t="shared" si="13"/>
        <v>389889</v>
      </c>
      <c r="K18" s="162">
        <f t="shared" si="3"/>
        <v>0</v>
      </c>
      <c r="L18" s="295">
        <f t="shared" ref="L18:L30" si="17">SUM(G18*$Y$28)/1507.5</f>
        <v>0</v>
      </c>
      <c r="M18" s="295">
        <f t="shared" ref="M18:M30" si="18">SUM(I18*$Y$27)/1507.5</f>
        <v>0</v>
      </c>
      <c r="N18" s="295">
        <f t="shared" ref="N18:N30" si="19">SUM(K18*$Y$26)/1507.5</f>
        <v>0</v>
      </c>
      <c r="O18" s="295">
        <f t="shared" si="8"/>
        <v>159.96313985627418</v>
      </c>
      <c r="P18" s="296">
        <f t="shared" si="9"/>
        <v>159.96313985627418</v>
      </c>
      <c r="Q18" s="296">
        <f>SUM(-tanks!AX20*tanks!$AU$36)</f>
        <v>0</v>
      </c>
      <c r="R18" s="296">
        <f t="shared" si="10"/>
        <v>159.96313985627418</v>
      </c>
      <c r="S18" s="298">
        <f>SUM(ELEC!N18)</f>
        <v>0</v>
      </c>
      <c r="T18" s="334">
        <f t="shared" si="12"/>
        <v>0</v>
      </c>
      <c r="V18" s="228"/>
      <c r="W18" s="229"/>
      <c r="X18" s="229"/>
      <c r="Y18" s="428"/>
      <c r="Z18" s="499"/>
      <c r="AA18" s="573"/>
      <c r="AB18" s="601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6">
        <f t="shared" si="15"/>
        <v>1067003</v>
      </c>
      <c r="C19" s="264">
        <f t="shared" si="0"/>
        <v>0</v>
      </c>
      <c r="D19" s="307">
        <f t="shared" si="7"/>
        <v>0</v>
      </c>
      <c r="E19" s="307">
        <f t="shared" si="11"/>
        <v>1067003</v>
      </c>
      <c r="F19" s="626">
        <f t="shared" si="14"/>
        <v>157142</v>
      </c>
      <c r="G19" s="160">
        <f t="shared" si="1"/>
        <v>0</v>
      </c>
      <c r="H19" s="626">
        <f t="shared" si="16"/>
        <v>519976</v>
      </c>
      <c r="I19" s="161">
        <f t="shared" si="2"/>
        <v>0</v>
      </c>
      <c r="J19" s="626">
        <f t="shared" si="13"/>
        <v>389889</v>
      </c>
      <c r="K19" s="162">
        <f t="shared" si="3"/>
        <v>0</v>
      </c>
      <c r="L19" s="295">
        <f t="shared" si="17"/>
        <v>0</v>
      </c>
      <c r="M19" s="295">
        <f t="shared" si="18"/>
        <v>0</v>
      </c>
      <c r="N19" s="295">
        <f t="shared" si="19"/>
        <v>0</v>
      </c>
      <c r="O19" s="295">
        <f t="shared" si="8"/>
        <v>159.96313985627418</v>
      </c>
      <c r="P19" s="296">
        <f t="shared" si="9"/>
        <v>159.96313985627418</v>
      </c>
      <c r="Q19" s="296">
        <f>SUM(-tanks!AX21*tanks!$AU$36)</f>
        <v>0</v>
      </c>
      <c r="R19" s="296">
        <f t="shared" si="10"/>
        <v>159.96313985627418</v>
      </c>
      <c r="S19" s="298">
        <f>SUM(ELEC!N19)</f>
        <v>0</v>
      </c>
      <c r="T19" s="334">
        <f t="shared" si="12"/>
        <v>0</v>
      </c>
      <c r="V19" s="228"/>
      <c r="W19" s="229"/>
      <c r="X19" s="229"/>
      <c r="Y19" s="558"/>
      <c r="Z19" s="558"/>
      <c r="AA19" s="573"/>
      <c r="AB19" s="631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6">
        <f t="shared" si="15"/>
        <v>1067003</v>
      </c>
      <c r="C20" s="264">
        <f t="shared" si="0"/>
        <v>0</v>
      </c>
      <c r="D20" s="307">
        <f t="shared" si="7"/>
        <v>0</v>
      </c>
      <c r="E20" s="307">
        <f t="shared" si="11"/>
        <v>1067003</v>
      </c>
      <c r="F20" s="626">
        <f t="shared" si="14"/>
        <v>157142</v>
      </c>
      <c r="G20" s="160">
        <f t="shared" si="1"/>
        <v>0</v>
      </c>
      <c r="H20" s="626">
        <f t="shared" si="16"/>
        <v>519976</v>
      </c>
      <c r="I20" s="161">
        <f t="shared" si="2"/>
        <v>0</v>
      </c>
      <c r="J20" s="626">
        <f t="shared" si="13"/>
        <v>389889</v>
      </c>
      <c r="K20" s="162">
        <f t="shared" si="3"/>
        <v>0</v>
      </c>
      <c r="L20" s="295">
        <f t="shared" si="17"/>
        <v>0</v>
      </c>
      <c r="M20" s="295">
        <f t="shared" si="18"/>
        <v>0</v>
      </c>
      <c r="N20" s="295">
        <f t="shared" si="19"/>
        <v>0</v>
      </c>
      <c r="O20" s="295">
        <f t="shared" si="8"/>
        <v>159.96313985627418</v>
      </c>
      <c r="P20" s="296">
        <f t="shared" si="9"/>
        <v>159.96313985627418</v>
      </c>
      <c r="Q20" s="296">
        <f>SUM(-tanks!AX22*tanks!$AU$36)</f>
        <v>0</v>
      </c>
      <c r="R20" s="296">
        <f t="shared" si="10"/>
        <v>159.96313985627418</v>
      </c>
      <c r="S20" s="298">
        <f>SUM(ELEC!N20)</f>
        <v>0</v>
      </c>
      <c r="T20" s="334">
        <f t="shared" si="12"/>
        <v>0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6">
        <f t="shared" si="15"/>
        <v>1067003</v>
      </c>
      <c r="C21" s="264">
        <f t="shared" si="0"/>
        <v>0</v>
      </c>
      <c r="D21" s="307">
        <f t="shared" si="7"/>
        <v>0</v>
      </c>
      <c r="E21" s="307">
        <f t="shared" si="11"/>
        <v>1067003</v>
      </c>
      <c r="F21" s="626">
        <f t="shared" si="14"/>
        <v>157142</v>
      </c>
      <c r="G21" s="160">
        <f t="shared" si="1"/>
        <v>0</v>
      </c>
      <c r="H21" s="626">
        <f t="shared" si="16"/>
        <v>519976</v>
      </c>
      <c r="I21" s="161">
        <f t="shared" si="2"/>
        <v>0</v>
      </c>
      <c r="J21" s="626">
        <f t="shared" si="13"/>
        <v>389889</v>
      </c>
      <c r="K21" s="162">
        <f t="shared" si="3"/>
        <v>0</v>
      </c>
      <c r="L21" s="295">
        <f t="shared" si="17"/>
        <v>0</v>
      </c>
      <c r="M21" s="295">
        <f t="shared" si="18"/>
        <v>0</v>
      </c>
      <c r="N21" s="295">
        <f t="shared" si="19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3"/>
      <c r="AC21" s="684"/>
    </row>
    <row r="22" spans="1:32" ht="20.100000000000001" customHeight="1">
      <c r="A22" s="163">
        <f>ELEC!C22</f>
        <v>44366</v>
      </c>
      <c r="B22" s="626">
        <f t="shared" si="15"/>
        <v>1067003</v>
      </c>
      <c r="C22" s="264">
        <f t="shared" si="0"/>
        <v>0</v>
      </c>
      <c r="D22" s="307">
        <f t="shared" si="7"/>
        <v>0</v>
      </c>
      <c r="E22" s="307">
        <f t="shared" si="11"/>
        <v>1067003</v>
      </c>
      <c r="F22" s="626">
        <f t="shared" si="14"/>
        <v>157142</v>
      </c>
      <c r="G22" s="160">
        <f t="shared" si="1"/>
        <v>0</v>
      </c>
      <c r="H22" s="626">
        <f t="shared" si="16"/>
        <v>519976</v>
      </c>
      <c r="I22" s="161">
        <f t="shared" si="2"/>
        <v>0</v>
      </c>
      <c r="J22" s="626">
        <f t="shared" si="13"/>
        <v>389889</v>
      </c>
      <c r="K22" s="162">
        <f t="shared" si="3"/>
        <v>0</v>
      </c>
      <c r="L22" s="295">
        <f t="shared" si="17"/>
        <v>0</v>
      </c>
      <c r="M22" s="295">
        <f t="shared" si="18"/>
        <v>0</v>
      </c>
      <c r="N22" s="295">
        <f t="shared" si="19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89"/>
      <c r="W22" s="690"/>
      <c r="X22" s="690"/>
      <c r="Y22" s="691"/>
      <c r="Z22" s="26" t="s">
        <v>203</v>
      </c>
      <c r="AA22" s="26">
        <v>5000</v>
      </c>
      <c r="AB22" s="685"/>
      <c r="AC22" s="686"/>
    </row>
    <row r="23" spans="1:32" ht="20.100000000000001" customHeight="1">
      <c r="A23" s="163">
        <f>ELEC!C23</f>
        <v>44367</v>
      </c>
      <c r="B23" s="626">
        <f t="shared" si="15"/>
        <v>1067003</v>
      </c>
      <c r="C23" s="264">
        <f t="shared" si="0"/>
        <v>0</v>
      </c>
      <c r="D23" s="307">
        <f t="shared" si="7"/>
        <v>0</v>
      </c>
      <c r="E23" s="307">
        <f t="shared" si="11"/>
        <v>1067003</v>
      </c>
      <c r="F23" s="626">
        <f t="shared" si="14"/>
        <v>157142</v>
      </c>
      <c r="G23" s="160">
        <f t="shared" si="1"/>
        <v>0</v>
      </c>
      <c r="H23" s="626">
        <f t="shared" si="16"/>
        <v>519976</v>
      </c>
      <c r="I23" s="161">
        <f t="shared" si="2"/>
        <v>0</v>
      </c>
      <c r="J23" s="626">
        <f t="shared" si="13"/>
        <v>389889</v>
      </c>
      <c r="K23" s="162">
        <f t="shared" si="3"/>
        <v>0</v>
      </c>
      <c r="L23" s="295">
        <f t="shared" si="17"/>
        <v>0</v>
      </c>
      <c r="M23" s="295">
        <f t="shared" si="18"/>
        <v>0</v>
      </c>
      <c r="N23" s="295">
        <f t="shared" si="19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2"/>
      <c r="W23" s="693"/>
      <c r="X23" s="693"/>
      <c r="Y23" s="694"/>
      <c r="Z23" s="695"/>
      <c r="AA23" s="696"/>
      <c r="AB23" s="685"/>
      <c r="AC23" s="686"/>
    </row>
    <row r="24" spans="1:32" ht="20.100000000000001" customHeight="1">
      <c r="A24" s="163">
        <f>ELEC!C24</f>
        <v>44368</v>
      </c>
      <c r="B24" s="626">
        <f t="shared" si="15"/>
        <v>1067003</v>
      </c>
      <c r="C24" s="264">
        <f t="shared" si="0"/>
        <v>0</v>
      </c>
      <c r="D24" s="307">
        <f t="shared" si="7"/>
        <v>0</v>
      </c>
      <c r="E24" s="307">
        <f t="shared" si="11"/>
        <v>1067003</v>
      </c>
      <c r="F24" s="626">
        <f t="shared" si="14"/>
        <v>157142</v>
      </c>
      <c r="G24" s="160">
        <f t="shared" si="1"/>
        <v>0</v>
      </c>
      <c r="H24" s="626">
        <f t="shared" si="16"/>
        <v>519976</v>
      </c>
      <c r="I24" s="161">
        <f t="shared" si="2"/>
        <v>0</v>
      </c>
      <c r="J24" s="626">
        <f t="shared" si="13"/>
        <v>389889</v>
      </c>
      <c r="K24" s="162">
        <f t="shared" si="3"/>
        <v>0</v>
      </c>
      <c r="L24" s="295">
        <f t="shared" si="17"/>
        <v>0</v>
      </c>
      <c r="M24" s="295">
        <f t="shared" si="18"/>
        <v>0</v>
      </c>
      <c r="N24" s="295">
        <f t="shared" si="19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697" t="s">
        <v>204</v>
      </c>
      <c r="W24" s="698"/>
      <c r="X24" s="699" t="s">
        <v>205</v>
      </c>
      <c r="Y24" s="700"/>
      <c r="Z24" s="701"/>
      <c r="AA24" s="170"/>
      <c r="AB24" s="687"/>
      <c r="AC24" s="688"/>
    </row>
    <row r="25" spans="1:32" ht="20.100000000000001" customHeight="1">
      <c r="A25" s="163">
        <f>ELEC!C25</f>
        <v>44369</v>
      </c>
      <c r="B25" s="626">
        <f t="shared" si="15"/>
        <v>1067003</v>
      </c>
      <c r="C25" s="264">
        <f t="shared" si="0"/>
        <v>0</v>
      </c>
      <c r="D25" s="307">
        <f t="shared" si="7"/>
        <v>0</v>
      </c>
      <c r="E25" s="307">
        <f t="shared" si="11"/>
        <v>1067003</v>
      </c>
      <c r="F25" s="626">
        <f t="shared" si="14"/>
        <v>157142</v>
      </c>
      <c r="G25" s="160">
        <f t="shared" si="1"/>
        <v>0</v>
      </c>
      <c r="H25" s="626">
        <f t="shared" si="16"/>
        <v>519976</v>
      </c>
      <c r="I25" s="161">
        <f t="shared" si="2"/>
        <v>0</v>
      </c>
      <c r="J25" s="626">
        <f t="shared" si="13"/>
        <v>389889</v>
      </c>
      <c r="K25" s="162">
        <f t="shared" si="3"/>
        <v>0</v>
      </c>
      <c r="L25" s="295">
        <f t="shared" si="17"/>
        <v>0</v>
      </c>
      <c r="M25" s="295">
        <f t="shared" si="18"/>
        <v>0</v>
      </c>
      <c r="N25" s="295">
        <f t="shared" si="19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6">
        <f t="shared" si="15"/>
        <v>1067003</v>
      </c>
      <c r="C26" s="264">
        <f t="shared" si="0"/>
        <v>0</v>
      </c>
      <c r="D26" s="307">
        <f t="shared" si="7"/>
        <v>0</v>
      </c>
      <c r="E26" s="307">
        <f t="shared" si="11"/>
        <v>1067003</v>
      </c>
      <c r="F26" s="626">
        <f t="shared" si="14"/>
        <v>157142</v>
      </c>
      <c r="G26" s="160">
        <f t="shared" si="1"/>
        <v>0</v>
      </c>
      <c r="H26" s="626">
        <f t="shared" si="16"/>
        <v>519976</v>
      </c>
      <c r="I26" s="161">
        <f t="shared" si="2"/>
        <v>0</v>
      </c>
      <c r="J26" s="626">
        <f t="shared" si="13"/>
        <v>389889</v>
      </c>
      <c r="K26" s="162">
        <f t="shared" si="3"/>
        <v>0</v>
      </c>
      <c r="L26" s="295">
        <f t="shared" si="17"/>
        <v>0</v>
      </c>
      <c r="M26" s="295">
        <f t="shared" si="18"/>
        <v>0</v>
      </c>
      <c r="N26" s="295">
        <f t="shared" si="19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389889</v>
      </c>
      <c r="X26" s="172" t="s">
        <v>199</v>
      </c>
      <c r="Y26" s="172">
        <v>80</v>
      </c>
      <c r="Z26" s="172">
        <v>1</v>
      </c>
      <c r="AA26" s="336">
        <f>(W26-V26)*Z26</f>
        <v>3722</v>
      </c>
      <c r="AB26" s="336">
        <f>AA26*Y26</f>
        <v>297760</v>
      </c>
      <c r="AC26" s="249">
        <f>AC9</f>
        <v>1033333</v>
      </c>
      <c r="AD26" s="498">
        <f>SUM(K36)</f>
        <v>0.40425763006408166</v>
      </c>
    </row>
    <row r="27" spans="1:32" ht="20.100000000000001" customHeight="1">
      <c r="A27" s="163">
        <f>ELEC!C27</f>
        <v>44371</v>
      </c>
      <c r="B27" s="626">
        <f t="shared" si="15"/>
        <v>1067003</v>
      </c>
      <c r="C27" s="264">
        <f t="shared" si="0"/>
        <v>0</v>
      </c>
      <c r="D27" s="307">
        <f t="shared" si="7"/>
        <v>0</v>
      </c>
      <c r="E27" s="307">
        <f t="shared" si="11"/>
        <v>1067003</v>
      </c>
      <c r="F27" s="626">
        <f t="shared" si="14"/>
        <v>157142</v>
      </c>
      <c r="G27" s="160">
        <f t="shared" si="1"/>
        <v>0</v>
      </c>
      <c r="H27" s="626">
        <f t="shared" si="16"/>
        <v>519976</v>
      </c>
      <c r="I27" s="161">
        <f t="shared" si="2"/>
        <v>0</v>
      </c>
      <c r="J27" s="626">
        <f t="shared" si="13"/>
        <v>389889</v>
      </c>
      <c r="K27" s="162">
        <f t="shared" si="3"/>
        <v>0</v>
      </c>
      <c r="L27" s="295">
        <f t="shared" si="17"/>
        <v>0</v>
      </c>
      <c r="M27" s="295">
        <f t="shared" si="18"/>
        <v>0</v>
      </c>
      <c r="N27" s="295">
        <f t="shared" si="19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519976</v>
      </c>
      <c r="X27" s="172" t="s">
        <v>213</v>
      </c>
      <c r="Y27" s="172">
        <v>112</v>
      </c>
      <c r="Z27" s="172">
        <v>1</v>
      </c>
      <c r="AA27" s="336">
        <f>(W27-V27)*Z27</f>
        <v>4434</v>
      </c>
      <c r="AB27" s="336">
        <f>SUM(AA27*Y27)</f>
        <v>496608</v>
      </c>
      <c r="AC27" s="249">
        <f>AC10</f>
        <v>6200000</v>
      </c>
      <c r="AD27" s="498">
        <f>SUM(I36)</f>
        <v>0.4815900944933203</v>
      </c>
    </row>
    <row r="28" spans="1:32" ht="20.100000000000001" customHeight="1">
      <c r="A28" s="163">
        <f>ELEC!C28</f>
        <v>44372</v>
      </c>
      <c r="B28" s="626">
        <f t="shared" si="15"/>
        <v>1067003</v>
      </c>
      <c r="C28" s="264">
        <f t="shared" si="0"/>
        <v>0</v>
      </c>
      <c r="D28" s="307">
        <f t="shared" si="7"/>
        <v>0</v>
      </c>
      <c r="E28" s="307">
        <f t="shared" si="11"/>
        <v>1067003</v>
      </c>
      <c r="F28" s="626">
        <f t="shared" si="14"/>
        <v>157142</v>
      </c>
      <c r="G28" s="160">
        <f t="shared" si="1"/>
        <v>0</v>
      </c>
      <c r="H28" s="626">
        <f t="shared" si="16"/>
        <v>519976</v>
      </c>
      <c r="I28" s="161">
        <f t="shared" si="2"/>
        <v>0</v>
      </c>
      <c r="J28" s="626">
        <f t="shared" si="13"/>
        <v>389889</v>
      </c>
      <c r="K28" s="162">
        <f t="shared" si="3"/>
        <v>0</v>
      </c>
      <c r="L28" s="295">
        <f t="shared" si="17"/>
        <v>0</v>
      </c>
      <c r="M28" s="295">
        <f t="shared" si="18"/>
        <v>0</v>
      </c>
      <c r="N28" s="295">
        <f t="shared" si="19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157142</v>
      </c>
      <c r="X28" s="172" t="s">
        <v>197</v>
      </c>
      <c r="Y28" s="172">
        <v>320</v>
      </c>
      <c r="Z28" s="172">
        <v>1</v>
      </c>
      <c r="AA28" s="336">
        <f>(W28-V28)*Z28</f>
        <v>1055</v>
      </c>
      <c r="AB28" s="336">
        <f>SUM(AA28*Y28)</f>
        <v>337600</v>
      </c>
      <c r="AC28" s="249">
        <f>AC11</f>
        <v>1000</v>
      </c>
      <c r="AD28" s="498">
        <f>SUM(G36)</f>
        <v>0.1145867274899533</v>
      </c>
      <c r="AE28" s="40">
        <f>SUM(AB28*5%)</f>
        <v>16880</v>
      </c>
      <c r="AF28" s="82">
        <f>SUM(AE28/7)*31</f>
        <v>74754.285714285725</v>
      </c>
    </row>
    <row r="29" spans="1:32" ht="20.100000000000001" customHeight="1">
      <c r="A29" s="163">
        <f>ELEC!C29</f>
        <v>44373</v>
      </c>
      <c r="B29" s="626">
        <f t="shared" si="15"/>
        <v>1067003</v>
      </c>
      <c r="C29" s="264">
        <f t="shared" si="0"/>
        <v>0</v>
      </c>
      <c r="D29" s="307">
        <f t="shared" si="7"/>
        <v>0</v>
      </c>
      <c r="E29" s="307">
        <f t="shared" si="11"/>
        <v>1067003</v>
      </c>
      <c r="F29" s="626">
        <f t="shared" si="14"/>
        <v>157142</v>
      </c>
      <c r="G29" s="160">
        <f t="shared" si="1"/>
        <v>0</v>
      </c>
      <c r="H29" s="626">
        <f t="shared" si="16"/>
        <v>519976</v>
      </c>
      <c r="I29" s="161">
        <f t="shared" si="2"/>
        <v>0</v>
      </c>
      <c r="J29" s="626">
        <f t="shared" si="13"/>
        <v>389889</v>
      </c>
      <c r="K29" s="162">
        <f t="shared" si="3"/>
        <v>0</v>
      </c>
      <c r="L29" s="295">
        <f t="shared" si="17"/>
        <v>0</v>
      </c>
      <c r="M29" s="295">
        <f t="shared" si="18"/>
        <v>0</v>
      </c>
      <c r="N29" s="295">
        <f t="shared" si="19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9211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6">
        <f t="shared" si="15"/>
        <v>1067003</v>
      </c>
      <c r="C30" s="264">
        <f t="shared" si="0"/>
        <v>0</v>
      </c>
      <c r="D30" s="307">
        <f t="shared" si="7"/>
        <v>0</v>
      </c>
      <c r="E30" s="307">
        <f t="shared" si="11"/>
        <v>1067003</v>
      </c>
      <c r="F30" s="626">
        <f t="shared" si="14"/>
        <v>157142</v>
      </c>
      <c r="G30" s="160">
        <f t="shared" si="1"/>
        <v>0</v>
      </c>
      <c r="H30" s="626">
        <f t="shared" si="16"/>
        <v>519976</v>
      </c>
      <c r="I30" s="161">
        <f t="shared" si="2"/>
        <v>0</v>
      </c>
      <c r="J30" s="626">
        <f t="shared" si="13"/>
        <v>389889</v>
      </c>
      <c r="K30" s="162">
        <f t="shared" si="3"/>
        <v>0</v>
      </c>
      <c r="L30" s="295">
        <f t="shared" si="17"/>
        <v>0</v>
      </c>
      <c r="M30" s="295">
        <f t="shared" si="18"/>
        <v>0</v>
      </c>
      <c r="N30" s="295">
        <f t="shared" si="19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1131968</v>
      </c>
      <c r="AC30" s="249"/>
    </row>
    <row r="31" spans="1:32" ht="20.100000000000001" customHeight="1">
      <c r="A31" s="163">
        <f>ELEC!C31</f>
        <v>44375</v>
      </c>
      <c r="B31" s="626">
        <f t="shared" si="15"/>
        <v>1067003</v>
      </c>
      <c r="C31" s="264">
        <f>SUM(B31-B30)</f>
        <v>0</v>
      </c>
      <c r="D31" s="307">
        <f t="shared" si="7"/>
        <v>0</v>
      </c>
      <c r="E31" s="307">
        <f>B30+D31</f>
        <v>1067003</v>
      </c>
      <c r="F31" s="626">
        <f t="shared" si="14"/>
        <v>157142</v>
      </c>
      <c r="G31" s="160">
        <f>F31-F30</f>
        <v>0</v>
      </c>
      <c r="H31" s="626">
        <f t="shared" si="16"/>
        <v>519976</v>
      </c>
      <c r="I31" s="161">
        <f>H31-H30</f>
        <v>0</v>
      </c>
      <c r="J31" s="626">
        <f t="shared" si="13"/>
        <v>389889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6">
        <f t="shared" si="15"/>
        <v>1067003</v>
      </c>
      <c r="C32" s="264">
        <f>SUM(B32-B31)</f>
        <v>0</v>
      </c>
      <c r="D32" s="307">
        <f t="shared" si="7"/>
        <v>0</v>
      </c>
      <c r="E32" s="307">
        <f>B31+D32</f>
        <v>1067003</v>
      </c>
      <c r="F32" s="626">
        <f t="shared" si="14"/>
        <v>157142</v>
      </c>
      <c r="G32" s="160">
        <f>F32-F31</f>
        <v>0</v>
      </c>
      <c r="H32" s="626">
        <f t="shared" si="16"/>
        <v>519976</v>
      </c>
      <c r="I32" s="161">
        <f>H32-H31</f>
        <v>0</v>
      </c>
      <c r="J32" s="626">
        <f t="shared" si="13"/>
        <v>389889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6">
        <f t="shared" si="15"/>
        <v>1067003</v>
      </c>
      <c r="C33" s="264">
        <f>SUM(B33-B32)</f>
        <v>0</v>
      </c>
      <c r="D33" s="307">
        <f t="shared" si="7"/>
        <v>0</v>
      </c>
      <c r="E33" s="307">
        <f>B32+D33</f>
        <v>1067003</v>
      </c>
      <c r="F33" s="626">
        <f t="shared" si="14"/>
        <v>157142</v>
      </c>
      <c r="G33" s="160">
        <f>F33-F32</f>
        <v>0</v>
      </c>
      <c r="H33" s="626">
        <f t="shared" si="16"/>
        <v>519976</v>
      </c>
      <c r="I33" s="161">
        <f>H33-H32</f>
        <v>0</v>
      </c>
      <c r="J33" s="626">
        <f t="shared" si="13"/>
        <v>389889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247</v>
      </c>
      <c r="X33" s="222">
        <f>SUM(W33/A35)</f>
        <v>19</v>
      </c>
      <c r="Y33" s="260">
        <f>SUM(X33/1)</f>
        <v>19</v>
      </c>
      <c r="Z33" s="3"/>
      <c r="AA33" s="3"/>
      <c r="AB33" s="532">
        <f>SUM(AB30+AC33)</f>
        <v>8366301</v>
      </c>
      <c r="AC33" s="249">
        <f>SUM(AC29)</f>
        <v>7234333</v>
      </c>
    </row>
    <row r="34" spans="1:32" ht="20.100000000000001" customHeight="1">
      <c r="A34" s="163"/>
      <c r="B34" s="626"/>
      <c r="C34" s="264"/>
      <c r="D34" s="307"/>
      <c r="E34" s="307"/>
      <c r="F34" s="626"/>
      <c r="G34" s="160"/>
      <c r="H34" s="626"/>
      <c r="I34" s="161"/>
      <c r="J34" s="626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13</v>
      </c>
      <c r="C35" s="173">
        <f>SUM(C4:C33)/A35</f>
        <v>708.23076923076928</v>
      </c>
      <c r="D35" s="173"/>
      <c r="E35" s="173"/>
      <c r="G35" s="173">
        <f>SUM(G4:G33)/A35</f>
        <v>81.15384615384616</v>
      </c>
      <c r="I35" s="173">
        <f>SUM(I4:I33)/A35</f>
        <v>341.07692307692309</v>
      </c>
      <c r="K35" s="173">
        <f>SUM(K4:K33)/A35</f>
        <v>286.30769230769232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8">
        <f>AC33/1507</f>
        <v>4800.4863968148638</v>
      </c>
    </row>
    <row r="36" spans="1:32" ht="15.75" thickBot="1">
      <c r="A36" s="210"/>
      <c r="C36" s="212">
        <f>SUM(G36:K36)</f>
        <v>1.0004344520473554</v>
      </c>
      <c r="G36" s="225">
        <f>IF(C35&gt;0,G35/C35,0)</f>
        <v>0.1145867274899533</v>
      </c>
      <c r="H36" s="212"/>
      <c r="I36" s="225">
        <f>SUM(I35/C35)</f>
        <v>0.4815900944933203</v>
      </c>
      <c r="J36" s="212"/>
      <c r="K36" s="225">
        <f>SUM(K35/C35)</f>
        <v>0.40425763006408166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5549.7850746268659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5549.7850746268659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600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702"/>
      <c r="AC45" s="702"/>
      <c r="AD45" s="600"/>
      <c r="AE45" s="17"/>
      <c r="AF45" s="17"/>
    </row>
    <row r="46" spans="1:32">
      <c r="V46" s="702"/>
      <c r="W46" s="702"/>
      <c r="X46" s="702"/>
      <c r="Y46" s="702"/>
      <c r="Z46" s="536"/>
      <c r="AA46" s="536"/>
      <c r="AB46" s="702"/>
      <c r="AC46" s="702"/>
      <c r="AD46" s="600"/>
      <c r="AE46" s="17"/>
      <c r="AF46" s="17"/>
    </row>
    <row r="47" spans="1:32">
      <c r="V47" s="702"/>
      <c r="W47" s="702"/>
      <c r="X47" s="702"/>
      <c r="Y47" s="702"/>
      <c r="Z47" s="702"/>
      <c r="AA47" s="702"/>
      <c r="AB47" s="702"/>
      <c r="AC47" s="702"/>
      <c r="AD47" s="600"/>
      <c r="AE47" s="17"/>
      <c r="AF47" s="17"/>
    </row>
    <row r="48" spans="1:32">
      <c r="V48" s="703"/>
      <c r="W48" s="703"/>
      <c r="X48" s="704"/>
      <c r="Y48" s="704"/>
      <c r="Z48" s="704"/>
      <c r="AA48" s="537"/>
      <c r="AB48" s="702"/>
      <c r="AC48" s="702"/>
      <c r="AD48" s="600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600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600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600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600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0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600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60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0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600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60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60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600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600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600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600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600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600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60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0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8" sqref="F18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5" t="s">
        <v>193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7"/>
    </row>
    <row r="2" spans="1:15" ht="15.75" customHeight="1" thickBot="1">
      <c r="A2" s="708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10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2">
        <f>(C5+B5)/2</f>
        <v>23</v>
      </c>
      <c r="E5" s="603">
        <v>0.56000000000000005</v>
      </c>
      <c r="F5" s="604">
        <v>0</v>
      </c>
      <c r="G5" s="605">
        <f>F5*230</f>
        <v>0</v>
      </c>
      <c r="H5" s="606">
        <v>0</v>
      </c>
      <c r="I5" s="606">
        <v>0</v>
      </c>
      <c r="J5" s="354">
        <v>0</v>
      </c>
      <c r="K5" s="607">
        <f>+J5+H5+I5</f>
        <v>0</v>
      </c>
      <c r="L5" s="606"/>
      <c r="M5" s="606"/>
      <c r="N5" s="608"/>
      <c r="O5" s="606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/>
      <c r="C19" s="37"/>
      <c r="D19" s="26">
        <f t="shared" si="3"/>
        <v>0</v>
      </c>
      <c r="E19" s="338"/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/>
      <c r="C20" s="37"/>
      <c r="D20" s="26">
        <f t="shared" si="3"/>
        <v>0</v>
      </c>
      <c r="E20" s="338"/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/>
      <c r="C21" s="37"/>
      <c r="D21" s="26">
        <f>(C21+B21)/2</f>
        <v>0</v>
      </c>
      <c r="E21" s="338"/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/>
      <c r="C22" s="37"/>
      <c r="D22" s="26">
        <f t="shared" si="3"/>
        <v>0</v>
      </c>
      <c r="E22" s="338"/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24.46153846153846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14</v>
      </c>
      <c r="G16" s="3">
        <f>WATER!C19+WATER!H19</f>
        <v>0</v>
      </c>
      <c r="H16" s="3">
        <f>WATER!L19</f>
        <v>0</v>
      </c>
      <c r="I16" s="15">
        <f>WATER!BC19+WATER!BD19+WATER!BE20-Sheet1!G16</f>
        <v>-74.400000000000006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7"/>
      <c r="B1" s="715" t="s">
        <v>119</v>
      </c>
      <c r="C1" s="715" t="s">
        <v>118</v>
      </c>
      <c r="D1" s="719" t="s">
        <v>113</v>
      </c>
      <c r="E1" s="719" t="s">
        <v>114</v>
      </c>
      <c r="F1" s="720" t="s">
        <v>120</v>
      </c>
      <c r="G1" s="721" t="s">
        <v>75</v>
      </c>
      <c r="H1" s="712" t="s">
        <v>115</v>
      </c>
      <c r="I1" s="713" t="s">
        <v>116</v>
      </c>
      <c r="J1" s="712" t="s">
        <v>117</v>
      </c>
      <c r="K1" s="711" t="s">
        <v>121</v>
      </c>
      <c r="L1" s="711" t="s">
        <v>122</v>
      </c>
      <c r="M1" s="711" t="s">
        <v>123</v>
      </c>
      <c r="N1" s="711" t="s">
        <v>124</v>
      </c>
    </row>
    <row r="2" spans="1:14">
      <c r="A2" s="718"/>
      <c r="B2" s="716"/>
      <c r="C2" s="716"/>
      <c r="D2" s="719"/>
      <c r="E2" s="719"/>
      <c r="F2" s="720"/>
      <c r="G2" s="721"/>
      <c r="H2" s="712"/>
      <c r="I2" s="714"/>
      <c r="J2" s="712"/>
      <c r="K2" s="711"/>
      <c r="L2" s="711"/>
      <c r="M2" s="711"/>
      <c r="N2" s="71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-74.400000000000006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2" t="s">
        <v>151</v>
      </c>
      <c r="U3" s="72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K24" sqref="K2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3" t="s">
        <v>51</v>
      </c>
      <c r="B1" s="735" t="s">
        <v>318</v>
      </c>
      <c r="C1" s="736"/>
      <c r="D1" s="738"/>
      <c r="E1" s="735" t="s">
        <v>319</v>
      </c>
      <c r="F1" s="736"/>
      <c r="G1" s="737"/>
      <c r="H1" s="732" t="s">
        <v>324</v>
      </c>
      <c r="I1" s="729" t="s">
        <v>325</v>
      </c>
      <c r="J1" s="726" t="s">
        <v>43</v>
      </c>
    </row>
    <row r="2" spans="1:18" ht="38.25" thickBot="1">
      <c r="A2" s="72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3"/>
      <c r="I2" s="730"/>
      <c r="J2" s="727"/>
    </row>
    <row r="3" spans="1:18" ht="24" customHeight="1" thickBot="1">
      <c r="A3" s="72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4"/>
      <c r="I3" s="731"/>
      <c r="J3" s="728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3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9">
        <v>7.8</v>
      </c>
      <c r="D9" s="170">
        <v>0</v>
      </c>
      <c r="E9" s="645" t="s">
        <v>420</v>
      </c>
      <c r="F9" s="645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5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8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6">
        <v>7.8</v>
      </c>
      <c r="D17" s="170">
        <v>0</v>
      </c>
      <c r="E17" s="170">
        <v>0</v>
      </c>
      <c r="F17" s="623">
        <v>0</v>
      </c>
      <c r="G17" s="622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7">
        <v>7.8</v>
      </c>
      <c r="D18" s="170"/>
      <c r="E18" s="170" t="s">
        <v>420</v>
      </c>
      <c r="F18" s="646" t="s">
        <v>420</v>
      </c>
      <c r="G18" s="625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8">
        <v>7.8</v>
      </c>
      <c r="D19" s="170">
        <v>0</v>
      </c>
      <c r="E19" s="170">
        <v>0</v>
      </c>
      <c r="F19" s="623">
        <v>0</v>
      </c>
      <c r="G19" s="622">
        <v>0</v>
      </c>
      <c r="H19" s="572">
        <f t="shared" si="2"/>
        <v>6782</v>
      </c>
      <c r="I19" s="502">
        <f t="shared" si="3"/>
        <v>0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/>
      <c r="C20" s="589"/>
      <c r="D20" s="170"/>
      <c r="E20" s="170"/>
      <c r="F20" s="623"/>
      <c r="G20" s="622"/>
      <c r="H20" s="572">
        <f t="shared" si="2"/>
        <v>6782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/>
      <c r="C21" s="619"/>
      <c r="D21" s="170"/>
      <c r="E21" s="170"/>
      <c r="F21" s="623"/>
      <c r="G21" s="625"/>
      <c r="H21" s="572">
        <f t="shared" si="2"/>
        <v>6782</v>
      </c>
      <c r="I21" s="502">
        <f t="shared" si="3"/>
        <v>0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/>
      <c r="C22" s="590"/>
      <c r="D22" s="591"/>
      <c r="E22" s="590"/>
      <c r="F22" s="623"/>
      <c r="G22" s="622"/>
      <c r="H22" s="572">
        <f t="shared" si="2"/>
        <v>6782</v>
      </c>
      <c r="I22" s="502">
        <f t="shared" si="3"/>
        <v>0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/>
      <c r="C23" s="620"/>
      <c r="D23" s="621"/>
      <c r="E23" s="620"/>
      <c r="F23" s="623"/>
      <c r="G23" s="622"/>
      <c r="H23" s="572">
        <f t="shared" si="2"/>
        <v>6782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3"/>
      <c r="D24" s="624"/>
      <c r="E24" s="623"/>
      <c r="F24" s="623"/>
      <c r="G24" s="625"/>
      <c r="H24" s="572">
        <f t="shared" si="2"/>
        <v>6782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6782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2"/>
      <c r="D26" s="593"/>
      <c r="E26" s="592"/>
      <c r="F26" s="592"/>
      <c r="G26" s="170"/>
      <c r="H26" s="572">
        <f t="shared" si="2"/>
        <v>6782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6782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4"/>
      <c r="E28" s="623"/>
      <c r="F28" s="623"/>
      <c r="G28" s="625"/>
      <c r="H28" s="572">
        <f t="shared" si="2"/>
        <v>6782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4"/>
      <c r="D29" s="595"/>
      <c r="E29" s="623"/>
      <c r="F29" s="623"/>
      <c r="G29" s="622"/>
      <c r="H29" s="572">
        <f t="shared" si="2"/>
        <v>6782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6"/>
      <c r="D30" s="597"/>
      <c r="E30" s="596"/>
      <c r="F30" s="596"/>
      <c r="G30" s="170"/>
      <c r="H30" s="572">
        <f t="shared" si="2"/>
        <v>6782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6782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6782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6782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6782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6782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50" t="s">
        <v>161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</row>
    <row r="2" spans="1:28" ht="19.5">
      <c r="A2" s="751"/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</row>
    <row r="3" spans="1:28" ht="19.5">
      <c r="A3" s="751" t="s">
        <v>162</v>
      </c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1" t="s">
        <v>408</v>
      </c>
      <c r="B5" s="751"/>
      <c r="C5" s="751"/>
      <c r="D5" s="751"/>
      <c r="E5" s="751"/>
      <c r="F5" s="751"/>
      <c r="G5" s="751"/>
      <c r="H5" s="751"/>
      <c r="I5" s="751"/>
      <c r="J5" s="751"/>
      <c r="K5" s="751"/>
      <c r="L5" s="751"/>
      <c r="M5" s="751"/>
      <c r="N5" s="751"/>
      <c r="O5" s="751"/>
      <c r="P5" s="751"/>
      <c r="Q5" s="751"/>
      <c r="R5" s="751"/>
      <c r="S5" s="751"/>
      <c r="T5" s="751"/>
      <c r="U5" s="751"/>
      <c r="V5" s="751"/>
      <c r="W5" s="751"/>
      <c r="X5" s="751"/>
    </row>
    <row r="6" spans="1:28" ht="15.75" thickBot="1">
      <c r="A6" s="752"/>
      <c r="B6" s="752"/>
      <c r="C6" s="752"/>
      <c r="D6" s="752"/>
      <c r="E6" s="752"/>
      <c r="F6" s="752"/>
      <c r="G6" s="752"/>
      <c r="H6" s="752"/>
      <c r="I6" s="752"/>
      <c r="J6" s="752"/>
      <c r="K6" s="752"/>
      <c r="L6" s="752"/>
      <c r="M6" s="752"/>
      <c r="N6" s="752"/>
      <c r="O6" s="752"/>
      <c r="P6" s="752"/>
      <c r="Q6" s="752"/>
      <c r="R6" s="752"/>
      <c r="S6" s="752"/>
      <c r="T6" s="752"/>
      <c r="U6" s="752"/>
      <c r="V6" s="752"/>
      <c r="W6" s="752"/>
      <c r="X6" s="752"/>
    </row>
    <row r="7" spans="1:28" ht="15.75" thickBot="1">
      <c r="A7" s="740" t="s">
        <v>163</v>
      </c>
      <c r="B7" s="741"/>
      <c r="C7" s="742" t="s">
        <v>164</v>
      </c>
      <c r="D7" s="743"/>
      <c r="E7" s="743"/>
      <c r="F7" s="743"/>
      <c r="G7" s="743"/>
      <c r="H7" s="743"/>
      <c r="I7" s="743"/>
      <c r="J7" s="743"/>
      <c r="K7" s="74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0</v>
      </c>
      <c r="W23" s="271">
        <f>'General information '!C19</f>
        <v>0</v>
      </c>
      <c r="X23" s="271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0</v>
      </c>
      <c r="W24" s="271">
        <f>'General information '!C20</f>
        <v>0</v>
      </c>
      <c r="X24" s="271">
        <f t="shared" si="2"/>
        <v>-18.3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0</v>
      </c>
      <c r="W25" s="271">
        <f>'General information '!C21</f>
        <v>0</v>
      </c>
      <c r="X25" s="271">
        <f t="shared" si="2"/>
        <v>-18.3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0</v>
      </c>
      <c r="W26" s="271">
        <f>'General information '!C22</f>
        <v>0</v>
      </c>
      <c r="X26" s="271">
        <f t="shared" si="2"/>
        <v>-18.3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-311.10000000000008</v>
      </c>
      <c r="W43" s="119">
        <f>SUMIF(X10:X39,"&gt;0")</f>
        <v>80.100000000000009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5" t="s">
        <v>174</v>
      </c>
      <c r="O84" s="745" t="s">
        <v>175</v>
      </c>
      <c r="P84" s="134"/>
      <c r="T84" s="134"/>
      <c r="X84" s="134"/>
    </row>
    <row r="85" spans="1:24" ht="20.25" thickBot="1">
      <c r="D85" s="134"/>
      <c r="I85" s="747" t="s">
        <v>182</v>
      </c>
      <c r="J85" s="748"/>
      <c r="K85" s="748"/>
      <c r="L85" s="748"/>
      <c r="N85" s="746"/>
      <c r="O85" s="746"/>
      <c r="P85" s="134"/>
      <c r="R85" s="17"/>
      <c r="S85" s="17"/>
      <c r="T85" s="140"/>
      <c r="U85" s="141"/>
      <c r="X85" s="134"/>
    </row>
    <row r="86" spans="1:24" ht="18.75" thickBot="1">
      <c r="D86" s="134"/>
      <c r="I86" s="749" t="s">
        <v>183</v>
      </c>
      <c r="J86" s="749"/>
      <c r="K86" s="749"/>
      <c r="L86" s="749"/>
      <c r="N86" s="142">
        <f>B43+F43+J43+N43+R43+V43+B81+F81+J81+N81+R81+V81</f>
        <v>-3941.9000000000005</v>
      </c>
      <c r="O86" s="142">
        <f>C43+G43+K43+O43+S43+W43+C81+G81+K81+O81+S81+W81</f>
        <v>313.40000000000003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9"/>
      <c r="C88" s="739"/>
      <c r="D88" s="739"/>
      <c r="E88" s="739"/>
      <c r="F88" s="739"/>
      <c r="G88" s="739"/>
      <c r="H88" s="739"/>
      <c r="I88" s="739"/>
      <c r="J88" s="739"/>
      <c r="K88" s="739"/>
      <c r="L88" s="739"/>
      <c r="M88" s="739"/>
      <c r="N88" s="739"/>
      <c r="O88" s="739"/>
      <c r="P88" s="739"/>
      <c r="Q88" s="739"/>
      <c r="R88" s="739"/>
      <c r="S88" s="739"/>
      <c r="T88" s="739"/>
      <c r="U88" s="739"/>
      <c r="V88" s="739"/>
      <c r="W88" s="73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3" t="s">
        <v>216</v>
      </c>
      <c r="B2" s="753"/>
      <c r="C2" s="753"/>
      <c r="D2" s="753"/>
      <c r="E2" s="753"/>
      <c r="F2" s="753"/>
      <c r="G2" s="753"/>
      <c r="H2" s="753"/>
      <c r="I2" s="753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13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3553.333333333333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45275</v>
      </c>
      <c r="C8" s="486">
        <f>SUM(tanks!AU36)</f>
        <v>1.0186666666666666</v>
      </c>
      <c r="D8" s="191">
        <f>SUM(B8*C8)*D4</f>
        <v>69526101</v>
      </c>
      <c r="E8" s="192">
        <f>SUM(D8/D4/F4)</f>
        <v>3547.7025641025639</v>
      </c>
      <c r="F8" s="192">
        <f>SUM(E8*F4)</f>
        <v>46120.133333333331</v>
      </c>
      <c r="G8" s="503">
        <f>E8*$G$4</f>
        <v>106431.07692307692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9211</v>
      </c>
      <c r="C10" s="181"/>
      <c r="D10" s="183">
        <f>'EDl log'!AB33</f>
        <v>8366301</v>
      </c>
      <c r="E10" s="182">
        <f>SUM(D10/D4/F4)</f>
        <v>426.90654420206658</v>
      </c>
      <c r="F10" s="182">
        <f>SUM(E10*F4)</f>
        <v>5549.7850746268659</v>
      </c>
      <c r="G10" s="503">
        <f>E10*$G$4</f>
        <v>12807.196326061998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4247.9424416379643</v>
      </c>
      <c r="F12" s="180">
        <f>SUM(F6:F10)</f>
        <v>55223.251741293534</v>
      </c>
      <c r="G12" s="179">
        <f>SUM(G6:G10)</f>
        <v>127438.27324913892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80.100000000000009</v>
      </c>
      <c r="C14" s="431">
        <f>'[17]Utility Cost '!B14</f>
        <v>182.99999999999997</v>
      </c>
      <c r="D14" s="170"/>
      <c r="E14" s="170">
        <f>B14-C14</f>
        <v>-102.89999999999996</v>
      </c>
      <c r="F14" s="502">
        <v>0</v>
      </c>
      <c r="G14" s="420"/>
      <c r="H14" s="421">
        <f>SUM(G12-H12)</f>
        <v>82099.273249138918</v>
      </c>
      <c r="I14" s="421">
        <f>SUM(G12-I12)</f>
        <v>82099.273249138918</v>
      </c>
    </row>
    <row r="15" spans="1:11">
      <c r="A15" s="446" t="s">
        <v>303</v>
      </c>
      <c r="B15" s="97">
        <f>'Degree Days 2020'!V43</f>
        <v>-311.10000000000008</v>
      </c>
      <c r="C15" s="431">
        <f>'[17]Utility Cost '!B15</f>
        <v>-18.3</v>
      </c>
      <c r="D15" s="170"/>
      <c r="E15" s="170">
        <f>B15-C15</f>
        <v>-292.80000000000007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24.46153846153846</v>
      </c>
      <c r="C16" s="431">
        <f>'[17]Utility Cost '!B16</f>
        <v>24.4</v>
      </c>
      <c r="D16" s="430"/>
      <c r="E16" s="431">
        <f>B16-C16</f>
        <v>6.153846153846132E-2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3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247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65</v>
      </c>
      <c r="F18" s="521">
        <f>B18-D18</f>
        <v>44.333333333333343</v>
      </c>
    </row>
    <row r="19" spans="1:10">
      <c r="A19" s="515" t="s">
        <v>410</v>
      </c>
      <c r="B19" s="513">
        <f>SUM(B18/$F$4)</f>
        <v>19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2021-06-15T05:30:06Z</dcterms:modified>
</cp:coreProperties>
</file>