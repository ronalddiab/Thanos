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3" i="9"/>
  <c r="P24" i="9"/>
  <c r="P25" i="9"/>
  <c r="P26" i="9"/>
  <c r="P27" i="9"/>
  <c r="P28" i="9"/>
  <c r="P29" i="9"/>
  <c r="P30" i="9"/>
  <c r="P31" i="9"/>
  <c r="P32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3" i="9"/>
  <c r="J24" i="9"/>
  <c r="J25" i="9"/>
  <c r="J26" i="9"/>
  <c r="J27" i="9"/>
  <c r="J28" i="9"/>
  <c r="J29" i="9"/>
  <c r="J30" i="9"/>
  <c r="J31" i="9"/>
  <c r="J32" i="9"/>
  <c r="I23" i="9"/>
  <c r="I24" i="9"/>
  <c r="I25" i="9"/>
  <c r="I26" i="9"/>
  <c r="I27" i="9"/>
  <c r="I28" i="9"/>
  <c r="I29" i="9"/>
  <c r="I30" i="9"/>
  <c r="I31" i="9"/>
  <c r="I32" i="9"/>
  <c r="H23" i="9"/>
  <c r="H24" i="9"/>
  <c r="H25" i="9"/>
  <c r="H26" i="9"/>
  <c r="H27" i="9"/>
  <c r="H28" i="9"/>
  <c r="H29" i="9"/>
  <c r="H30" i="9"/>
  <c r="H31" i="9"/>
  <c r="H32" i="9"/>
  <c r="G23" i="9"/>
  <c r="G24" i="9"/>
  <c r="G25" i="9"/>
  <c r="G26" i="9"/>
  <c r="G27" i="9"/>
  <c r="G28" i="9"/>
  <c r="G29" i="9"/>
  <c r="G30" i="9"/>
  <c r="G31" i="9"/>
  <c r="G32" i="9"/>
  <c r="F23" i="9"/>
  <c r="F24" i="9"/>
  <c r="F25" i="9"/>
  <c r="F26" i="9"/>
  <c r="F27" i="9"/>
  <c r="F28" i="9"/>
  <c r="F29" i="9"/>
  <c r="F30" i="9"/>
  <c r="F31" i="9"/>
  <c r="F3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S38" i="7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<sst xmlns="http://schemas.openxmlformats.org/spreadsheetml/2006/main" count="129" uniqueCount="50">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</sst>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56930</v>
      </c>
      <c r="F12" s="11">
        <v>5.0000000000000001E-3</v>
      </c>
      <c r="G12" s="12">
        <f>Submetering!R12</f>
        <v>741.56181900000001</v>
      </c>
      <c r="H12" s="11">
        <v>0.52800000000000002</v>
      </c>
      <c r="I12" s="12">
        <f>Hotel!B17</f>
        <v>160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61290</v>
      </c>
      <c r="F13" s="11">
        <v>5.0000000000000001E-3</v>
      </c>
      <c r="G13" s="12">
        <f>Submetering!R13</f>
        <v>840.73956099999998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51180</v>
      </c>
      <c r="F14" s="11">
        <v>5.0000000000000001E-3</v>
      </c>
      <c r="G14" s="12">
        <f>Submetering!R14</f>
        <v>734.36953999999992</v>
      </c>
      <c r="H14" s="11">
        <v>0.52800000000000002</v>
      </c>
      <c r="I14" s="12">
        <f>Hotel!B19</f>
        <v>90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54980</v>
      </c>
      <c r="F15" s="11">
        <v>5.0000000000000001E-3</v>
      </c>
      <c r="G15" s="12">
        <f>Submetering!R15</f>
        <v>836.5756100000001</v>
      </c>
      <c r="H15" s="11">
        <v>0.52800000000000002</v>
      </c>
      <c r="I15" s="12">
        <f>Hotel!B20</f>
        <v>60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53100</v>
      </c>
      <c r="F16" s="11">
        <v>5.0000000000000001E-3</v>
      </c>
      <c r="G16" s="12">
        <f>Submetering!R16</f>
        <v>686.67337399999997</v>
      </c>
      <c r="H16" s="11">
        <v>0.52800000000000002</v>
      </c>
      <c r="I16" s="12">
        <f>Hotel!B21</f>
        <v>61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53120</v>
      </c>
      <c r="F17" s="11">
        <v>5.0000000000000001E-3</v>
      </c>
      <c r="G17" s="12">
        <f>Submetering!R17</f>
        <v>765.03136099999995</v>
      </c>
      <c r="H17" s="11">
        <v>0.52800000000000002</v>
      </c>
      <c r="I17" s="12">
        <f>Hotel!B22</f>
        <v>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53180</v>
      </c>
      <c r="F18" s="11">
        <v>5.0000000000000001E-3</v>
      </c>
      <c r="G18" s="12">
        <f>Submetering!R18</f>
        <v>773.35926299999994</v>
      </c>
      <c r="H18" s="11">
        <v>0.52800000000000002</v>
      </c>
      <c r="I18" s="12">
        <f>Hotel!B23</f>
        <v>82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55800</v>
      </c>
      <c r="F19" s="11">
        <v>5.0000000000000001E-3</v>
      </c>
      <c r="G19" s="12">
        <f>Submetering!R19</f>
        <v>768.05968899999993</v>
      </c>
      <c r="H19" s="11">
        <v>0.52800000000000002</v>
      </c>
      <c r="I19" s="12">
        <f>Hotel!B24</f>
        <v>145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55410</v>
      </c>
      <c r="F20" s="11">
        <v>5.0000000000000001E-3</v>
      </c>
      <c r="G20" s="12">
        <f>Submetering!R20</f>
        <v>698.02960399999995</v>
      </c>
      <c r="H20" s="11">
        <v>0.52800000000000002</v>
      </c>
      <c r="I20" s="12">
        <f>Hotel!B25</f>
        <v>154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59690</v>
      </c>
      <c r="F21" s="11">
        <v>5.0000000000000001E-3</v>
      </c>
      <c r="G21" s="12">
        <f>Submetering!R21</f>
        <v>805.15670699999987</v>
      </c>
      <c r="H21" s="11">
        <v>0.52800000000000002</v>
      </c>
      <c r="I21" s="12">
        <f>Hotel!B26</f>
        <v>95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620</v>
      </c>
      <c r="F12" s="4">
        <f>Hotel!R17</f>
        <v>3720</v>
      </c>
      <c r="G12" s="4">
        <f>Hotel!S17</f>
        <v>3780</v>
      </c>
      <c r="H12" s="4">
        <f>Hotel!T17</f>
        <v>1540</v>
      </c>
      <c r="I12" s="4">
        <f>Hotel!U17</f>
        <v>4510</v>
      </c>
      <c r="J12" s="4">
        <f>Hotel!V17</f>
        <v>4130</v>
      </c>
      <c r="K12" s="4">
        <f>Hotel!W17</f>
        <v>2380</v>
      </c>
      <c r="L12" s="4">
        <f>Hotel!X17</f>
        <v>4930</v>
      </c>
      <c r="M12" s="4">
        <f>Hotel!Y17</f>
        <v>5870</v>
      </c>
      <c r="N12" s="4">
        <f>Hotel!Z17</f>
        <v>2630</v>
      </c>
      <c r="O12" s="4">
        <f>Hotel!AA17</f>
        <v>3090</v>
      </c>
      <c r="P12" s="4">
        <f>Hotel!AB17</f>
        <v>7280</v>
      </c>
      <c r="Q12" s="4">
        <f>Hotel!AC17</f>
        <v>12450</v>
      </c>
      <c r="R12" s="4">
        <f>Hotel!AV17*0.00378541*100</f>
        <v>741.56181900000001</v>
      </c>
      <c r="S12" s="4">
        <f>Hotel!B17</f>
        <v>160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890</v>
      </c>
      <c r="F13" s="4">
        <f>Hotel!R18</f>
        <v>3510</v>
      </c>
      <c r="G13" s="4">
        <f>Hotel!S18</f>
        <v>3830</v>
      </c>
      <c r="H13" s="4">
        <f>Hotel!T18</f>
        <v>1710</v>
      </c>
      <c r="I13" s="4">
        <f>Hotel!U18</f>
        <v>5020</v>
      </c>
      <c r="J13" s="4">
        <f>Hotel!V18</f>
        <v>4430</v>
      </c>
      <c r="K13" s="4">
        <f>Hotel!W18</f>
        <v>2500</v>
      </c>
      <c r="L13" s="4">
        <f>Hotel!X18</f>
        <v>5160</v>
      </c>
      <c r="M13" s="4">
        <f>Hotel!Y18</f>
        <v>6690</v>
      </c>
      <c r="N13" s="4">
        <f>Hotel!Z18</f>
        <v>2930</v>
      </c>
      <c r="O13" s="4">
        <f>Hotel!AA18</f>
        <v>3480</v>
      </c>
      <c r="P13" s="4">
        <f>Hotel!AB18</f>
        <v>7700</v>
      </c>
      <c r="Q13" s="4">
        <f>Hotel!AC18</f>
        <v>13440</v>
      </c>
      <c r="R13" s="4">
        <f>Hotel!AV18*0.00378541*100</f>
        <v>840.73956099999998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500</v>
      </c>
      <c r="F14" s="4">
        <f>Hotel!R19</f>
        <v>1750</v>
      </c>
      <c r="G14" s="4">
        <f>Hotel!S19</f>
        <v>3280</v>
      </c>
      <c r="H14" s="4">
        <f>Hotel!T19</f>
        <v>1490</v>
      </c>
      <c r="I14" s="4">
        <f>Hotel!U19</f>
        <v>4510</v>
      </c>
      <c r="J14" s="4">
        <f>Hotel!V19</f>
        <v>3870</v>
      </c>
      <c r="K14" s="4">
        <f>Hotel!W19</f>
        <v>2180</v>
      </c>
      <c r="L14" s="4">
        <f>Hotel!X19</f>
        <v>4590</v>
      </c>
      <c r="M14" s="4">
        <f>Hotel!Y19</f>
        <v>5660</v>
      </c>
      <c r="N14" s="4">
        <f>Hotel!Z19</f>
        <v>2510</v>
      </c>
      <c r="O14" s="4">
        <f>Hotel!AA19</f>
        <v>3040</v>
      </c>
      <c r="P14" s="4">
        <f>Hotel!AB19</f>
        <v>6920</v>
      </c>
      <c r="Q14" s="4">
        <f>Hotel!AC19</f>
        <v>10880</v>
      </c>
      <c r="R14" s="4">
        <f>Hotel!AV19*0.00378541*100</f>
        <v>734.36953999999992</v>
      </c>
      <c r="S14" s="4">
        <f>Hotel!B19</f>
        <v>90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550</v>
      </c>
      <c r="F15" s="4">
        <f>Hotel!R20</f>
        <v>1890</v>
      </c>
      <c r="G15" s="4">
        <f>Hotel!S20</f>
        <v>3410</v>
      </c>
      <c r="H15" s="4">
        <f>Hotel!T20</f>
        <v>1610</v>
      </c>
      <c r="I15" s="4">
        <f>Hotel!U20</f>
        <v>4420</v>
      </c>
      <c r="J15" s="4">
        <f>Hotel!V20</f>
        <v>4200</v>
      </c>
      <c r="K15" s="4">
        <f>Hotel!W20</f>
        <v>2360</v>
      </c>
      <c r="L15" s="4">
        <f>Hotel!X20</f>
        <v>4490</v>
      </c>
      <c r="M15" s="4">
        <f>Hotel!Y20</f>
        <v>5820</v>
      </c>
      <c r="N15" s="4">
        <f>Hotel!Z20</f>
        <v>2440</v>
      </c>
      <c r="O15" s="4">
        <f>Hotel!AA20</f>
        <v>3070</v>
      </c>
      <c r="P15" s="4">
        <f>Hotel!AB20</f>
        <v>7120</v>
      </c>
      <c r="Q15" s="4">
        <f>Hotel!AC20</f>
        <v>13600</v>
      </c>
      <c r="R15" s="4">
        <f>Hotel!AV20*0.00378541*100</f>
        <v>836.5756100000001</v>
      </c>
      <c r="S15" s="4">
        <f>Hotel!B20</f>
        <v>60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3460</v>
      </c>
      <c r="H16" s="4">
        <f>Hotel!T21</f>
        <v>1590</v>
      </c>
      <c r="I16" s="4">
        <f>Hotel!U21</f>
        <v>4180</v>
      </c>
      <c r="J16" s="4">
        <f>Hotel!V21</f>
        <v>4030</v>
      </c>
      <c r="K16" s="4">
        <f>Hotel!W21</f>
        <v>2450</v>
      </c>
      <c r="L16" s="4">
        <f>Hotel!X21</f>
        <v>4570</v>
      </c>
      <c r="M16" s="4">
        <f>Hotel!Y21</f>
        <v>5840</v>
      </c>
      <c r="N16" s="4">
        <f>Hotel!Z21</f>
        <v>2350</v>
      </c>
      <c r="O16" s="4">
        <f>Hotel!AA21</f>
        <v>2840</v>
      </c>
      <c r="P16" s="4">
        <f>Hotel!AB21</f>
        <v>7050</v>
      </c>
      <c r="Q16" s="4">
        <f>Hotel!AC21</f>
        <v>12310</v>
      </c>
      <c r="R16" s="4">
        <f>Hotel!AV21*0.00378541*100</f>
        <v>686.67337399999997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550</v>
      </c>
      <c r="F17" s="4">
        <f>Hotel!R22</f>
        <v>1880</v>
      </c>
      <c r="G17" s="4">
        <f>Hotel!S22</f>
        <v>3520</v>
      </c>
      <c r="H17" s="4">
        <f>Hotel!T22</f>
        <v>1580</v>
      </c>
      <c r="I17" s="4">
        <f>Hotel!U22</f>
        <v>4340</v>
      </c>
      <c r="J17" s="4">
        <f>Hotel!V22</f>
        <v>4170</v>
      </c>
      <c r="K17" s="4">
        <f>Hotel!W22</f>
        <v>2680</v>
      </c>
      <c r="L17" s="4">
        <f>Hotel!X22</f>
        <v>4640</v>
      </c>
      <c r="M17" s="4">
        <f>Hotel!Y22</f>
        <v>5500</v>
      </c>
      <c r="N17" s="4">
        <f>Hotel!Z22</f>
        <v>2440</v>
      </c>
      <c r="O17" s="4">
        <f>Hotel!AA22</f>
        <v>2880</v>
      </c>
      <c r="P17" s="4">
        <f>Hotel!AB22</f>
        <v>6870</v>
      </c>
      <c r="Q17" s="4">
        <f>Hotel!AC22</f>
        <v>12070</v>
      </c>
      <c r="R17" s="4">
        <f>Hotel!AV22*0.00378541*100</f>
        <v>765.03136099999995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540</v>
      </c>
      <c r="F18" s="4">
        <f>Hotel!R23</f>
        <v>1860</v>
      </c>
      <c r="G18" s="4">
        <f>Hotel!S23</f>
        <v>3480</v>
      </c>
      <c r="H18" s="4">
        <f>Hotel!T23</f>
        <v>1550</v>
      </c>
      <c r="I18" s="4">
        <f>Hotel!U23</f>
        <v>4360</v>
      </c>
      <c r="J18" s="4">
        <f>Hotel!V23</f>
        <v>4080</v>
      </c>
      <c r="K18" s="4">
        <f>Hotel!W23</f>
        <v>2450</v>
      </c>
      <c r="L18" s="4">
        <f>Hotel!X23</f>
        <v>4580</v>
      </c>
      <c r="M18" s="4">
        <f>Hotel!Y23</f>
        <v>4760</v>
      </c>
      <c r="N18" s="4">
        <f>Hotel!Z23</f>
        <v>2570</v>
      </c>
      <c r="O18" s="4">
        <f>Hotel!AA23</f>
        <v>2920</v>
      </c>
      <c r="P18" s="4">
        <f>Hotel!AB23</f>
        <v>6940</v>
      </c>
      <c r="Q18" s="4">
        <f>Hotel!AC23</f>
        <v>13090</v>
      </c>
      <c r="R18" s="4">
        <f>Hotel!AV23*0.00378541*100</f>
        <v>773.35926299999994</v>
      </c>
      <c r="S18" s="4">
        <f>Hotel!B23</f>
        <v>82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550</v>
      </c>
      <c r="F19" s="4">
        <f>Hotel!R24</f>
        <v>1900</v>
      </c>
      <c r="G19" s="4">
        <f>Hotel!S24</f>
        <v>3570</v>
      </c>
      <c r="H19" s="4">
        <f>Hotel!T24</f>
        <v>1610</v>
      </c>
      <c r="I19" s="4">
        <f>Hotel!U24</f>
        <v>4700</v>
      </c>
      <c r="J19" s="4">
        <f>Hotel!V24</f>
        <v>4020</v>
      </c>
      <c r="K19" s="4">
        <f>Hotel!W24</f>
        <v>2450</v>
      </c>
      <c r="L19" s="4">
        <f>Hotel!X24</f>
        <v>4720</v>
      </c>
      <c r="M19" s="4">
        <f>Hotel!Y24</f>
        <v>5590</v>
      </c>
      <c r="N19" s="4">
        <f>Hotel!Z24</f>
        <v>2670</v>
      </c>
      <c r="O19" s="4">
        <f>Hotel!AA24</f>
        <v>3160</v>
      </c>
      <c r="P19" s="4">
        <f>Hotel!AB24</f>
        <v>7310</v>
      </c>
      <c r="Q19" s="4">
        <f>Hotel!AC24</f>
        <v>13550</v>
      </c>
      <c r="R19" s="4">
        <f>Hotel!AV24*0.00378541*100</f>
        <v>768.05968899999993</v>
      </c>
      <c r="S19" s="4">
        <f>Hotel!B24</f>
        <v>145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550</v>
      </c>
      <c r="F20" s="4">
        <f>Hotel!R25</f>
        <v>1850</v>
      </c>
      <c r="G20" s="4">
        <f>Hotel!S25</f>
        <v>3500</v>
      </c>
      <c r="H20" s="4">
        <f>Hotel!T25</f>
        <v>1570</v>
      </c>
      <c r="I20" s="4">
        <f>Hotel!U25</f>
        <v>4870</v>
      </c>
      <c r="J20" s="4">
        <f>Hotel!V25</f>
        <v>4260</v>
      </c>
      <c r="K20" s="4">
        <f>Hotel!W25</f>
        <v>2390</v>
      </c>
      <c r="L20" s="4">
        <f>Hotel!X25</f>
        <v>4720</v>
      </c>
      <c r="M20" s="4">
        <f>Hotel!Y25</f>
        <v>5770</v>
      </c>
      <c r="N20" s="4">
        <f>Hotel!Z25</f>
        <v>2670</v>
      </c>
      <c r="O20" s="4">
        <f>Hotel!AA25</f>
        <v>3280</v>
      </c>
      <c r="P20" s="4">
        <f>Hotel!AB25</f>
        <v>7100</v>
      </c>
      <c r="Q20" s="4">
        <f>Hotel!AC25</f>
        <v>12880</v>
      </c>
      <c r="R20" s="4">
        <f>Hotel!AV25*0.00378541*100</f>
        <v>698.02960399999995</v>
      </c>
      <c r="S20" s="4">
        <f>Hotel!B25</f>
        <v>154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520</v>
      </c>
      <c r="F21" s="4">
        <f>Hotel!R26</f>
        <v>8500</v>
      </c>
      <c r="G21" s="4">
        <f>Hotel!S26</f>
        <v>1580</v>
      </c>
      <c r="H21" s="4">
        <f>Hotel!T26</f>
        <v>1610</v>
      </c>
      <c r="I21" s="4">
        <f>Hotel!U26</f>
        <v>4900</v>
      </c>
      <c r="J21" s="4">
        <f>Hotel!V26</f>
        <v>4330</v>
      </c>
      <c r="K21" s="4">
        <f>Hotel!W26</f>
        <v>2440</v>
      </c>
      <c r="L21" s="4">
        <f>Hotel!X26</f>
        <v>4770</v>
      </c>
      <c r="M21" s="4">
        <f>Hotel!Y26</f>
        <v>5830</v>
      </c>
      <c r="N21" s="4">
        <f>Hotel!Z26</f>
        <v>2660</v>
      </c>
      <c r="O21" s="4">
        <f>Hotel!AA26</f>
        <v>3240</v>
      </c>
      <c r="P21" s="4">
        <f>Hotel!AB26</f>
        <v>7380</v>
      </c>
      <c r="Q21" s="4">
        <f>Hotel!AC26</f>
        <v>11930</v>
      </c>
      <c r="R21" s="4">
        <f>Hotel!AV26*0.00378541*100</f>
        <v>805.15670699999987</v>
      </c>
      <c r="S21" s="4">
        <f>Hotel!B26</f>
        <v>95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7" sqref="AU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>
        <v>160</v>
      </c>
      <c r="C17" s="24">
        <v>7429680</v>
      </c>
      <c r="D17" s="24">
        <v>17513200</v>
      </c>
      <c r="E17" s="24">
        <v>3113260</v>
      </c>
      <c r="F17" s="24">
        <v>3751820</v>
      </c>
      <c r="G17" s="24">
        <v>11047880</v>
      </c>
      <c r="H17" s="24">
        <v>6076650</v>
      </c>
      <c r="I17" s="24">
        <v>5448600</v>
      </c>
      <c r="J17" s="24">
        <v>6582190</v>
      </c>
      <c r="K17" s="24">
        <v>10026190</v>
      </c>
      <c r="L17" s="24">
        <v>4234250</v>
      </c>
      <c r="M17" s="24">
        <v>8382350</v>
      </c>
      <c r="N17" s="24">
        <v>13144350</v>
      </c>
      <c r="O17" s="24">
        <v>18162930</v>
      </c>
      <c r="Q17" s="37">
        <f t="shared" si="17"/>
        <v>620</v>
      </c>
      <c r="R17" s="37">
        <f t="shared" si="18"/>
        <v>3720</v>
      </c>
      <c r="S17" s="37">
        <f t="shared" si="16"/>
        <v>3780</v>
      </c>
      <c r="T17" s="37">
        <f t="shared" si="19"/>
        <v>1540</v>
      </c>
      <c r="U17" s="37">
        <f t="shared" si="20"/>
        <v>4510</v>
      </c>
      <c r="V17" s="37">
        <f t="shared" si="21"/>
        <v>4130</v>
      </c>
      <c r="W17" s="37">
        <f t="shared" si="22"/>
        <v>2380</v>
      </c>
      <c r="X17" s="37">
        <f t="shared" si="23"/>
        <v>4930</v>
      </c>
      <c r="Y17" s="37">
        <f t="shared" si="24"/>
        <v>5870</v>
      </c>
      <c r="Z17" s="37">
        <f t="shared" si="25"/>
        <v>2630</v>
      </c>
      <c r="AA17" s="37">
        <f t="shared" si="26"/>
        <v>3090</v>
      </c>
      <c r="AB17" s="37">
        <f t="shared" si="27"/>
        <v>7280</v>
      </c>
      <c r="AC17" s="37">
        <f t="shared" si="28"/>
        <v>12450</v>
      </c>
      <c r="AD17" s="35">
        <f t="shared" si="29"/>
        <v>56930</v>
      </c>
      <c r="AF17" s="20">
        <f t="shared" si="1"/>
        <v>3.1</v>
      </c>
      <c r="AG17" s="20">
        <f t="shared" si="2"/>
        <v>18.600000000000001</v>
      </c>
      <c r="AH17" s="20">
        <f t="shared" si="3"/>
        <v>18.900000000000002</v>
      </c>
      <c r="AI17" s="20">
        <f t="shared" si="4"/>
        <v>7.7</v>
      </c>
      <c r="AJ17" s="20">
        <f t="shared" si="5"/>
        <v>22.55</v>
      </c>
      <c r="AK17" s="20">
        <f t="shared" si="6"/>
        <v>20.650000000000002</v>
      </c>
      <c r="AL17" s="20">
        <f t="shared" si="7"/>
        <v>11.9</v>
      </c>
      <c r="AM17" s="20">
        <f t="shared" si="8"/>
        <v>24.650000000000002</v>
      </c>
      <c r="AN17" s="20">
        <f t="shared" si="9"/>
        <v>29.35</v>
      </c>
      <c r="AO17" s="20">
        <f t="shared" si="10"/>
        <v>13.15</v>
      </c>
      <c r="AP17" s="20">
        <f t="shared" si="11"/>
        <v>15.450000000000001</v>
      </c>
      <c r="AQ17" s="20">
        <f t="shared" si="12"/>
        <v>36.4</v>
      </c>
      <c r="AR17" s="20">
        <f t="shared" si="13"/>
        <v>62.25</v>
      </c>
      <c r="AS17" s="35">
        <f t="shared" si="30"/>
        <v>284.64999999999998</v>
      </c>
      <c r="AU17" s="53">
        <v>363881</v>
      </c>
      <c r="AV17" s="37">
        <f t="shared" si="32"/>
        <v>1959</v>
      </c>
      <c r="AW17" s="35">
        <f t="shared" si="14"/>
        <v>3.9180000000000001</v>
      </c>
    </row>
    <row r="18" spans="1:49" x14ac:dyDescent="0.25">
      <c r="A18" s="23">
        <v>44512</v>
      </c>
      <c r="B18" s="40">
        <v>160</v>
      </c>
      <c r="C18" s="24">
        <v>7430570</v>
      </c>
      <c r="D18" s="24">
        <v>17516710</v>
      </c>
      <c r="E18" s="24">
        <v>3117090</v>
      </c>
      <c r="F18" s="24">
        <v>3753530</v>
      </c>
      <c r="G18" s="24">
        <v>11052900</v>
      </c>
      <c r="H18" s="24">
        <v>6081080</v>
      </c>
      <c r="I18" s="24">
        <v>5451100</v>
      </c>
      <c r="J18" s="24">
        <v>6587350</v>
      </c>
      <c r="K18" s="24">
        <v>10032880</v>
      </c>
      <c r="L18" s="24">
        <v>4237180</v>
      </c>
      <c r="M18" s="24">
        <v>8385830</v>
      </c>
      <c r="N18" s="24">
        <v>13152050</v>
      </c>
      <c r="O18" s="24">
        <v>18176370</v>
      </c>
      <c r="Q18" s="37">
        <f t="shared" si="17"/>
        <v>890</v>
      </c>
      <c r="R18" s="37">
        <f t="shared" si="18"/>
        <v>3510</v>
      </c>
      <c r="S18" s="37">
        <f t="shared" si="16"/>
        <v>3830</v>
      </c>
      <c r="T18" s="37">
        <f t="shared" si="19"/>
        <v>1710</v>
      </c>
      <c r="U18" s="37">
        <f t="shared" si="20"/>
        <v>5020</v>
      </c>
      <c r="V18" s="37">
        <f t="shared" si="21"/>
        <v>4430</v>
      </c>
      <c r="W18" s="37">
        <f t="shared" si="22"/>
        <v>2500</v>
      </c>
      <c r="X18" s="37">
        <f t="shared" si="23"/>
        <v>5160</v>
      </c>
      <c r="Y18" s="37">
        <f t="shared" si="24"/>
        <v>6690</v>
      </c>
      <c r="Z18" s="37">
        <f t="shared" si="25"/>
        <v>2930</v>
      </c>
      <c r="AA18" s="37">
        <f t="shared" si="26"/>
        <v>3480</v>
      </c>
      <c r="AB18" s="37">
        <f t="shared" si="27"/>
        <v>7700</v>
      </c>
      <c r="AC18" s="37">
        <f t="shared" si="28"/>
        <v>13440</v>
      </c>
      <c r="AD18" s="35">
        <f t="shared" si="29"/>
        <v>61290</v>
      </c>
      <c r="AF18" s="20">
        <f t="shared" si="1"/>
        <v>4.45</v>
      </c>
      <c r="AG18" s="20">
        <f t="shared" si="2"/>
        <v>17.55</v>
      </c>
      <c r="AH18" s="20">
        <f t="shared" si="3"/>
        <v>19.150000000000002</v>
      </c>
      <c r="AI18" s="20">
        <f t="shared" si="4"/>
        <v>8.5500000000000007</v>
      </c>
      <c r="AJ18" s="20">
        <f t="shared" si="5"/>
        <v>25.1</v>
      </c>
      <c r="AK18" s="20">
        <f t="shared" si="6"/>
        <v>22.150000000000002</v>
      </c>
      <c r="AL18" s="20">
        <f t="shared" si="7"/>
        <v>12.5</v>
      </c>
      <c r="AM18" s="20">
        <f t="shared" si="8"/>
        <v>25.8</v>
      </c>
      <c r="AN18" s="20">
        <f t="shared" si="9"/>
        <v>33.450000000000003</v>
      </c>
      <c r="AO18" s="20">
        <f t="shared" si="10"/>
        <v>14.65</v>
      </c>
      <c r="AP18" s="20">
        <f t="shared" si="11"/>
        <v>17.400000000000002</v>
      </c>
      <c r="AQ18" s="20">
        <f t="shared" si="12"/>
        <v>38.5</v>
      </c>
      <c r="AR18" s="20">
        <f t="shared" si="13"/>
        <v>67.2</v>
      </c>
      <c r="AS18" s="35">
        <f t="shared" si="30"/>
        <v>306.45000000000005</v>
      </c>
      <c r="AU18" s="53">
        <v>366102</v>
      </c>
      <c r="AV18" s="37">
        <f t="shared" si="32"/>
        <v>2221</v>
      </c>
      <c r="AW18" s="35">
        <f t="shared" si="14"/>
        <v>4.4420000000000002</v>
      </c>
    </row>
    <row r="19" spans="1:49" x14ac:dyDescent="0.25">
      <c r="A19" s="23">
        <v>44513</v>
      </c>
      <c r="B19" s="40">
        <v>90</v>
      </c>
      <c r="C19" s="24">
        <v>7431070</v>
      </c>
      <c r="D19" s="24">
        <v>17518460</v>
      </c>
      <c r="E19" s="24">
        <v>3120370</v>
      </c>
      <c r="F19" s="24">
        <v>3755020</v>
      </c>
      <c r="G19" s="24">
        <v>11057410</v>
      </c>
      <c r="H19" s="24">
        <v>6084950</v>
      </c>
      <c r="I19" s="24">
        <v>5453280</v>
      </c>
      <c r="J19" s="24">
        <v>6591940</v>
      </c>
      <c r="K19" s="24">
        <v>10038540</v>
      </c>
      <c r="L19" s="24">
        <v>4239690</v>
      </c>
      <c r="M19" s="24">
        <v>8388870</v>
      </c>
      <c r="N19" s="24">
        <v>13158970</v>
      </c>
      <c r="O19" s="24">
        <v>18187250</v>
      </c>
      <c r="Q19" s="37">
        <f t="shared" si="17"/>
        <v>500</v>
      </c>
      <c r="R19" s="37">
        <f t="shared" si="18"/>
        <v>1750</v>
      </c>
      <c r="S19" s="37">
        <f t="shared" si="16"/>
        <v>3280</v>
      </c>
      <c r="T19" s="37">
        <f t="shared" si="19"/>
        <v>1490</v>
      </c>
      <c r="U19" s="37">
        <f t="shared" si="20"/>
        <v>4510</v>
      </c>
      <c r="V19" s="37">
        <f t="shared" si="21"/>
        <v>3870</v>
      </c>
      <c r="W19" s="37">
        <f t="shared" si="22"/>
        <v>2180</v>
      </c>
      <c r="X19" s="37">
        <f t="shared" si="23"/>
        <v>4590</v>
      </c>
      <c r="Y19" s="37">
        <f t="shared" si="24"/>
        <v>5660</v>
      </c>
      <c r="Z19" s="37">
        <f t="shared" si="25"/>
        <v>2510</v>
      </c>
      <c r="AA19" s="37">
        <f t="shared" si="26"/>
        <v>3040</v>
      </c>
      <c r="AB19" s="37">
        <f t="shared" si="27"/>
        <v>6920</v>
      </c>
      <c r="AC19" s="37">
        <f t="shared" si="28"/>
        <v>10880</v>
      </c>
      <c r="AD19" s="35">
        <f t="shared" si="29"/>
        <v>51180</v>
      </c>
      <c r="AF19" s="20">
        <f t="shared" si="1"/>
        <v>2.5</v>
      </c>
      <c r="AG19" s="20">
        <f t="shared" si="2"/>
        <v>8.75</v>
      </c>
      <c r="AH19" s="20">
        <f t="shared" si="3"/>
        <v>16.399999999999999</v>
      </c>
      <c r="AI19" s="20">
        <f t="shared" si="4"/>
        <v>7.45</v>
      </c>
      <c r="AJ19" s="20">
        <f t="shared" si="5"/>
        <v>22.55</v>
      </c>
      <c r="AK19" s="20">
        <f t="shared" si="6"/>
        <v>19.350000000000001</v>
      </c>
      <c r="AL19" s="20">
        <f t="shared" si="7"/>
        <v>10.9</v>
      </c>
      <c r="AM19" s="20">
        <f t="shared" si="8"/>
        <v>22.95</v>
      </c>
      <c r="AN19" s="20">
        <f t="shared" si="9"/>
        <v>28.3</v>
      </c>
      <c r="AO19" s="20">
        <f t="shared" si="10"/>
        <v>12.55</v>
      </c>
      <c r="AP19" s="20">
        <f t="shared" si="11"/>
        <v>15.200000000000001</v>
      </c>
      <c r="AQ19" s="20">
        <f t="shared" si="12"/>
        <v>34.6</v>
      </c>
      <c r="AR19" s="20">
        <f t="shared" si="13"/>
        <v>54.4</v>
      </c>
      <c r="AS19" s="35">
        <f t="shared" si="30"/>
        <v>255.9</v>
      </c>
      <c r="AU19" s="53">
        <v>368042</v>
      </c>
      <c r="AV19" s="37">
        <f t="shared" si="32"/>
        <v>1940</v>
      </c>
      <c r="AW19" s="35">
        <f t="shared" si="14"/>
        <v>3.88</v>
      </c>
    </row>
    <row r="20" spans="1:49" x14ac:dyDescent="0.25">
      <c r="A20" s="23">
        <v>44514</v>
      </c>
      <c r="B20" s="40">
        <v>60</v>
      </c>
      <c r="C20" s="24">
        <v>7431620</v>
      </c>
      <c r="D20" s="24">
        <v>17520350</v>
      </c>
      <c r="E20" s="24">
        <v>3123780</v>
      </c>
      <c r="F20" s="24">
        <v>3756630</v>
      </c>
      <c r="G20" s="24">
        <v>11061830</v>
      </c>
      <c r="H20" s="24">
        <v>6089150</v>
      </c>
      <c r="I20" s="24">
        <v>5455640</v>
      </c>
      <c r="J20" s="24">
        <v>6596430</v>
      </c>
      <c r="K20" s="24">
        <v>10044360</v>
      </c>
      <c r="L20" s="24">
        <v>4242130</v>
      </c>
      <c r="M20" s="24">
        <v>8391940</v>
      </c>
      <c r="N20" s="24">
        <v>13166090</v>
      </c>
      <c r="O20" s="24">
        <v>18200850</v>
      </c>
      <c r="Q20" s="37">
        <f t="shared" si="17"/>
        <v>550</v>
      </c>
      <c r="R20" s="37">
        <f t="shared" si="18"/>
        <v>1890</v>
      </c>
      <c r="S20" s="37">
        <f t="shared" si="16"/>
        <v>3410</v>
      </c>
      <c r="T20" s="37">
        <f t="shared" si="19"/>
        <v>1610</v>
      </c>
      <c r="U20" s="37">
        <f t="shared" si="20"/>
        <v>4420</v>
      </c>
      <c r="V20" s="37">
        <f t="shared" si="21"/>
        <v>4200</v>
      </c>
      <c r="W20" s="37">
        <f t="shared" si="22"/>
        <v>2360</v>
      </c>
      <c r="X20" s="37">
        <f t="shared" si="23"/>
        <v>4490</v>
      </c>
      <c r="Y20" s="37">
        <f t="shared" si="24"/>
        <v>5820</v>
      </c>
      <c r="Z20" s="37">
        <f t="shared" si="25"/>
        <v>2440</v>
      </c>
      <c r="AA20" s="37">
        <f t="shared" si="26"/>
        <v>3070</v>
      </c>
      <c r="AB20" s="37">
        <f t="shared" si="27"/>
        <v>7120</v>
      </c>
      <c r="AC20" s="37">
        <f t="shared" si="28"/>
        <v>13600</v>
      </c>
      <c r="AD20" s="35">
        <f t="shared" si="29"/>
        <v>54980</v>
      </c>
      <c r="AF20" s="20">
        <f t="shared" si="1"/>
        <v>2.75</v>
      </c>
      <c r="AG20" s="20">
        <f t="shared" si="2"/>
        <v>9.4500000000000011</v>
      </c>
      <c r="AH20" s="20">
        <f t="shared" si="3"/>
        <v>17.05</v>
      </c>
      <c r="AI20" s="20">
        <f t="shared" si="4"/>
        <v>8.0500000000000007</v>
      </c>
      <c r="AJ20" s="20">
        <f t="shared" si="5"/>
        <v>22.1</v>
      </c>
      <c r="AK20" s="20">
        <f t="shared" si="6"/>
        <v>21</v>
      </c>
      <c r="AL20" s="20">
        <f t="shared" si="7"/>
        <v>11.8</v>
      </c>
      <c r="AM20" s="20">
        <f t="shared" si="8"/>
        <v>22.45</v>
      </c>
      <c r="AN20" s="20">
        <f t="shared" si="9"/>
        <v>29.1</v>
      </c>
      <c r="AO20" s="20">
        <f t="shared" si="10"/>
        <v>12.200000000000001</v>
      </c>
      <c r="AP20" s="20">
        <f t="shared" si="11"/>
        <v>15.35</v>
      </c>
      <c r="AQ20" s="20">
        <f t="shared" si="12"/>
        <v>35.6</v>
      </c>
      <c r="AR20" s="20">
        <f t="shared" si="13"/>
        <v>68</v>
      </c>
      <c r="AS20" s="35">
        <f t="shared" si="30"/>
        <v>274.89999999999998</v>
      </c>
      <c r="AU20" s="53">
        <v>370252</v>
      </c>
      <c r="AV20" s="37">
        <f t="shared" si="32"/>
        <v>2210</v>
      </c>
      <c r="AW20" s="35">
        <f t="shared" si="14"/>
        <v>4.42</v>
      </c>
    </row>
    <row r="21" spans="1:49" x14ac:dyDescent="0.25">
      <c r="A21" s="23">
        <v>44515</v>
      </c>
      <c r="B21" s="40">
        <v>61</v>
      </c>
      <c r="C21" s="24">
        <v>7432170</v>
      </c>
      <c r="D21" s="24">
        <v>17522230</v>
      </c>
      <c r="E21" s="24">
        <v>3127240</v>
      </c>
      <c r="F21" s="24">
        <v>3758220</v>
      </c>
      <c r="G21" s="24">
        <v>11066010</v>
      </c>
      <c r="H21" s="24">
        <v>6093180</v>
      </c>
      <c r="I21" s="24">
        <v>5458090</v>
      </c>
      <c r="J21" s="24">
        <v>6601000</v>
      </c>
      <c r="K21" s="24">
        <v>10050200</v>
      </c>
      <c r="L21" s="24">
        <v>4244480</v>
      </c>
      <c r="M21" s="24">
        <v>8394780</v>
      </c>
      <c r="N21" s="24">
        <v>13173140</v>
      </c>
      <c r="O21" s="24">
        <v>18213160</v>
      </c>
      <c r="Q21" s="37">
        <f t="shared" si="17"/>
        <v>550</v>
      </c>
      <c r="R21" s="37">
        <f t="shared" si="18"/>
        <v>1880</v>
      </c>
      <c r="S21" s="37">
        <f t="shared" si="16"/>
        <v>3460</v>
      </c>
      <c r="T21" s="37">
        <f t="shared" si="19"/>
        <v>1590</v>
      </c>
      <c r="U21" s="37">
        <f t="shared" si="20"/>
        <v>4180</v>
      </c>
      <c r="V21" s="37">
        <f t="shared" si="21"/>
        <v>4030</v>
      </c>
      <c r="W21" s="37">
        <f t="shared" si="22"/>
        <v>2450</v>
      </c>
      <c r="X21" s="37">
        <f t="shared" si="23"/>
        <v>4570</v>
      </c>
      <c r="Y21" s="37">
        <f t="shared" si="24"/>
        <v>5840</v>
      </c>
      <c r="Z21" s="37">
        <f t="shared" si="25"/>
        <v>2350</v>
      </c>
      <c r="AA21" s="37">
        <f t="shared" si="26"/>
        <v>2840</v>
      </c>
      <c r="AB21" s="37">
        <f t="shared" si="27"/>
        <v>7050</v>
      </c>
      <c r="AC21" s="37">
        <f t="shared" si="28"/>
        <v>12310</v>
      </c>
      <c r="AD21" s="35">
        <f t="shared" si="29"/>
        <v>53100</v>
      </c>
      <c r="AF21" s="20">
        <f t="shared" si="1"/>
        <v>2.75</v>
      </c>
      <c r="AG21" s="20">
        <f t="shared" si="2"/>
        <v>9.4</v>
      </c>
      <c r="AH21" s="20">
        <f t="shared" si="3"/>
        <v>17.3</v>
      </c>
      <c r="AI21" s="20">
        <f t="shared" si="4"/>
        <v>7.95</v>
      </c>
      <c r="AJ21" s="20">
        <f t="shared" si="5"/>
        <v>20.900000000000002</v>
      </c>
      <c r="AK21" s="20">
        <f t="shared" si="6"/>
        <v>20.150000000000002</v>
      </c>
      <c r="AL21" s="20">
        <f t="shared" si="7"/>
        <v>12.25</v>
      </c>
      <c r="AM21" s="20">
        <f t="shared" si="8"/>
        <v>22.85</v>
      </c>
      <c r="AN21" s="20">
        <f t="shared" si="9"/>
        <v>29.2</v>
      </c>
      <c r="AO21" s="20">
        <f t="shared" si="10"/>
        <v>11.75</v>
      </c>
      <c r="AP21" s="20">
        <f t="shared" si="11"/>
        <v>14.200000000000001</v>
      </c>
      <c r="AQ21" s="20">
        <f t="shared" si="12"/>
        <v>35.25</v>
      </c>
      <c r="AR21" s="20">
        <f t="shared" si="13"/>
        <v>61.550000000000004</v>
      </c>
      <c r="AS21" s="35">
        <f t="shared" si="30"/>
        <v>265.5</v>
      </c>
      <c r="AU21" s="53">
        <v>372066</v>
      </c>
      <c r="AV21" s="37">
        <f t="shared" si="32"/>
        <v>1814</v>
      </c>
      <c r="AW21" s="35">
        <f t="shared" si="14"/>
        <v>3.6280000000000001</v>
      </c>
    </row>
    <row r="22" spans="1:49" x14ac:dyDescent="0.25">
      <c r="A22" s="23">
        <v>44516</v>
      </c>
      <c r="B22" s="40">
        <v>65</v>
      </c>
      <c r="C22" s="24">
        <v>7432720</v>
      </c>
      <c r="D22" s="24">
        <v>17524110</v>
      </c>
      <c r="E22" s="24">
        <v>3130760</v>
      </c>
      <c r="F22" s="24">
        <v>3759800</v>
      </c>
      <c r="G22" s="24">
        <v>11070350</v>
      </c>
      <c r="H22" s="24">
        <v>6097350</v>
      </c>
      <c r="I22" s="24">
        <v>5460770</v>
      </c>
      <c r="J22" s="44">
        <v>6605640</v>
      </c>
      <c r="K22" s="24">
        <v>10055700</v>
      </c>
      <c r="L22" s="24">
        <v>4246920</v>
      </c>
      <c r="M22" s="24">
        <v>8397660</v>
      </c>
      <c r="N22" s="24">
        <v>13180010</v>
      </c>
      <c r="O22" s="44">
        <v>18225230</v>
      </c>
      <c r="Q22" s="37">
        <f t="shared" si="17"/>
        <v>550</v>
      </c>
      <c r="R22" s="37">
        <f t="shared" si="18"/>
        <v>1880</v>
      </c>
      <c r="S22" s="37">
        <f t="shared" si="16"/>
        <v>3520</v>
      </c>
      <c r="T22" s="37">
        <f t="shared" si="19"/>
        <v>1580</v>
      </c>
      <c r="U22" s="37">
        <f t="shared" si="20"/>
        <v>4340</v>
      </c>
      <c r="V22" s="37">
        <f t="shared" si="21"/>
        <v>4170</v>
      </c>
      <c r="W22" s="37">
        <f t="shared" si="22"/>
        <v>2680</v>
      </c>
      <c r="X22" s="37">
        <f t="shared" si="23"/>
        <v>4640</v>
      </c>
      <c r="Y22" s="37">
        <f t="shared" si="24"/>
        <v>5500</v>
      </c>
      <c r="Z22" s="37">
        <f t="shared" si="25"/>
        <v>2440</v>
      </c>
      <c r="AA22" s="37">
        <f t="shared" si="26"/>
        <v>2880</v>
      </c>
      <c r="AB22" s="37">
        <f t="shared" si="27"/>
        <v>6870</v>
      </c>
      <c r="AC22" s="37">
        <f t="shared" si="28"/>
        <v>12070</v>
      </c>
      <c r="AD22" s="35">
        <f t="shared" si="29"/>
        <v>53120</v>
      </c>
      <c r="AF22" s="20">
        <f t="shared" si="1"/>
        <v>2.75</v>
      </c>
      <c r="AG22" s="20">
        <f t="shared" si="2"/>
        <v>9.4</v>
      </c>
      <c r="AH22" s="20">
        <f t="shared" si="3"/>
        <v>17.600000000000001</v>
      </c>
      <c r="AI22" s="20">
        <f t="shared" si="4"/>
        <v>7.9</v>
      </c>
      <c r="AJ22" s="20">
        <f t="shared" si="5"/>
        <v>21.7</v>
      </c>
      <c r="AK22" s="20">
        <f t="shared" si="6"/>
        <v>20.85</v>
      </c>
      <c r="AL22" s="20">
        <f t="shared" si="7"/>
        <v>13.4</v>
      </c>
      <c r="AM22" s="20">
        <f t="shared" si="8"/>
        <v>23.2</v>
      </c>
      <c r="AN22" s="20">
        <f t="shared" si="9"/>
        <v>27.5</v>
      </c>
      <c r="AO22" s="20">
        <f t="shared" si="10"/>
        <v>12.200000000000001</v>
      </c>
      <c r="AP22" s="20">
        <f t="shared" si="11"/>
        <v>14.4</v>
      </c>
      <c r="AQ22" s="20">
        <f t="shared" si="12"/>
        <v>34.35</v>
      </c>
      <c r="AR22" s="20">
        <f t="shared" si="13"/>
        <v>60.35</v>
      </c>
      <c r="AS22" s="35">
        <f t="shared" si="30"/>
        <v>265.60000000000002</v>
      </c>
      <c r="AU22" s="53">
        <v>374087</v>
      </c>
      <c r="AV22" s="37">
        <f t="shared" si="32"/>
        <v>2021</v>
      </c>
      <c r="AW22" s="35">
        <f t="shared" si="14"/>
        <v>4.0419999999999998</v>
      </c>
    </row>
    <row r="23" spans="1:49" x14ac:dyDescent="0.25">
      <c r="A23" s="23">
        <v>44517</v>
      </c>
      <c r="B23" s="40">
        <v>82</v>
      </c>
      <c r="C23" s="24">
        <v>7433260</v>
      </c>
      <c r="D23" s="24">
        <v>17525970</v>
      </c>
      <c r="E23" s="24">
        <v>3134240</v>
      </c>
      <c r="F23" s="24">
        <v>3761350</v>
      </c>
      <c r="G23" s="24">
        <v>11074710</v>
      </c>
      <c r="H23" s="24">
        <v>6101430</v>
      </c>
      <c r="I23" s="24">
        <v>5463220</v>
      </c>
      <c r="J23" s="24">
        <v>6610220</v>
      </c>
      <c r="K23" s="24">
        <v>10060460</v>
      </c>
      <c r="L23" s="24">
        <v>4249490</v>
      </c>
      <c r="M23" s="24">
        <v>8400580</v>
      </c>
      <c r="N23" s="24">
        <v>13186950</v>
      </c>
      <c r="O23" s="24">
        <v>18238320</v>
      </c>
      <c r="Q23" s="37">
        <f t="shared" si="17"/>
        <v>540</v>
      </c>
      <c r="R23" s="37">
        <f t="shared" si="18"/>
        <v>1860</v>
      </c>
      <c r="S23" s="37">
        <f t="shared" si="16"/>
        <v>3480</v>
      </c>
      <c r="T23" s="37">
        <f t="shared" si="19"/>
        <v>1550</v>
      </c>
      <c r="U23" s="37">
        <f t="shared" si="20"/>
        <v>4360</v>
      </c>
      <c r="V23" s="37">
        <f t="shared" si="21"/>
        <v>4080</v>
      </c>
      <c r="W23" s="37">
        <f t="shared" si="22"/>
        <v>2450</v>
      </c>
      <c r="X23" s="37">
        <f t="shared" si="23"/>
        <v>4580</v>
      </c>
      <c r="Y23" s="37">
        <f t="shared" si="24"/>
        <v>4760</v>
      </c>
      <c r="Z23" s="37">
        <f t="shared" si="25"/>
        <v>2570</v>
      </c>
      <c r="AA23" s="37">
        <f t="shared" si="26"/>
        <v>2920</v>
      </c>
      <c r="AB23" s="37">
        <f t="shared" si="27"/>
        <v>6940</v>
      </c>
      <c r="AC23" s="37">
        <f t="shared" si="28"/>
        <v>13090</v>
      </c>
      <c r="AD23" s="35">
        <f t="shared" si="29"/>
        <v>53180</v>
      </c>
      <c r="AF23" s="20">
        <f t="shared" si="1"/>
        <v>2.7</v>
      </c>
      <c r="AG23" s="20">
        <f t="shared" si="2"/>
        <v>9.3000000000000007</v>
      </c>
      <c r="AH23" s="20">
        <f t="shared" si="3"/>
        <v>17.400000000000002</v>
      </c>
      <c r="AI23" s="20">
        <f t="shared" si="4"/>
        <v>7.75</v>
      </c>
      <c r="AJ23" s="20">
        <f t="shared" si="5"/>
        <v>21.8</v>
      </c>
      <c r="AK23" s="20">
        <f t="shared" si="6"/>
        <v>20.400000000000002</v>
      </c>
      <c r="AL23" s="20">
        <f t="shared" si="7"/>
        <v>12.25</v>
      </c>
      <c r="AM23" s="20">
        <f t="shared" si="8"/>
        <v>22.900000000000002</v>
      </c>
      <c r="AN23" s="20">
        <f t="shared" si="9"/>
        <v>23.8</v>
      </c>
      <c r="AO23" s="20">
        <f t="shared" si="10"/>
        <v>12.85</v>
      </c>
      <c r="AP23" s="20">
        <f t="shared" si="11"/>
        <v>14.6</v>
      </c>
      <c r="AQ23" s="20">
        <f t="shared" si="12"/>
        <v>34.700000000000003</v>
      </c>
      <c r="AR23" s="20">
        <f t="shared" si="13"/>
        <v>65.45</v>
      </c>
      <c r="AS23" s="35">
        <f t="shared" si="30"/>
        <v>265.89999999999998</v>
      </c>
      <c r="AU23" s="53">
        <v>376130</v>
      </c>
      <c r="AV23" s="37">
        <f t="shared" si="32"/>
        <v>2043</v>
      </c>
      <c r="AW23" s="35">
        <f t="shared" si="14"/>
        <v>4.0860000000000003</v>
      </c>
    </row>
    <row r="24" spans="1:49" x14ac:dyDescent="0.25">
      <c r="A24" s="23">
        <v>44518</v>
      </c>
      <c r="B24" s="40">
        <v>145</v>
      </c>
      <c r="C24" s="24">
        <v>7433810</v>
      </c>
      <c r="D24" s="24">
        <v>17527870</v>
      </c>
      <c r="E24" s="24">
        <v>3137810</v>
      </c>
      <c r="F24" s="24">
        <v>3762960</v>
      </c>
      <c r="G24" s="24">
        <v>11079410</v>
      </c>
      <c r="H24" s="24">
        <v>6105450</v>
      </c>
      <c r="I24" s="24">
        <v>5465670</v>
      </c>
      <c r="J24" s="24">
        <v>6614940</v>
      </c>
      <c r="K24" s="24">
        <v>10066050</v>
      </c>
      <c r="L24" s="24">
        <v>4252160</v>
      </c>
      <c r="M24" s="24">
        <v>8403740</v>
      </c>
      <c r="N24" s="24">
        <v>13194260</v>
      </c>
      <c r="O24" s="24">
        <v>18251870</v>
      </c>
      <c r="Q24" s="37">
        <f t="shared" si="17"/>
        <v>550</v>
      </c>
      <c r="R24" s="37">
        <f t="shared" si="18"/>
        <v>1900</v>
      </c>
      <c r="S24" s="37">
        <f t="shared" si="16"/>
        <v>3570</v>
      </c>
      <c r="T24" s="37">
        <f t="shared" si="19"/>
        <v>1610</v>
      </c>
      <c r="U24" s="37">
        <f t="shared" si="20"/>
        <v>4700</v>
      </c>
      <c r="V24" s="37">
        <f t="shared" si="21"/>
        <v>4020</v>
      </c>
      <c r="W24" s="37">
        <f t="shared" si="22"/>
        <v>2450</v>
      </c>
      <c r="X24" s="37">
        <f t="shared" si="23"/>
        <v>4720</v>
      </c>
      <c r="Y24" s="37">
        <f t="shared" si="24"/>
        <v>5590</v>
      </c>
      <c r="Z24" s="37">
        <f t="shared" si="25"/>
        <v>2670</v>
      </c>
      <c r="AA24" s="37">
        <f t="shared" si="26"/>
        <v>3160</v>
      </c>
      <c r="AB24" s="37">
        <f t="shared" si="27"/>
        <v>7310</v>
      </c>
      <c r="AC24" s="37">
        <f t="shared" si="28"/>
        <v>13550</v>
      </c>
      <c r="AD24" s="35">
        <f t="shared" si="29"/>
        <v>55800</v>
      </c>
      <c r="AF24" s="20">
        <f t="shared" si="1"/>
        <v>2.75</v>
      </c>
      <c r="AG24" s="20">
        <f t="shared" si="2"/>
        <v>9.5</v>
      </c>
      <c r="AH24" s="20">
        <f t="shared" si="3"/>
        <v>17.850000000000001</v>
      </c>
      <c r="AI24" s="20">
        <f t="shared" si="4"/>
        <v>8.0500000000000007</v>
      </c>
      <c r="AJ24" s="20">
        <f t="shared" si="5"/>
        <v>23.5</v>
      </c>
      <c r="AK24" s="20">
        <f t="shared" si="6"/>
        <v>20.100000000000001</v>
      </c>
      <c r="AL24" s="20">
        <f t="shared" si="7"/>
        <v>12.25</v>
      </c>
      <c r="AM24" s="20">
        <f t="shared" si="8"/>
        <v>23.6</v>
      </c>
      <c r="AN24" s="20">
        <f t="shared" si="9"/>
        <v>27.95</v>
      </c>
      <c r="AO24" s="20">
        <f t="shared" si="10"/>
        <v>13.35</v>
      </c>
      <c r="AP24" s="20">
        <f t="shared" si="11"/>
        <v>15.8</v>
      </c>
      <c r="AQ24" s="20">
        <f t="shared" si="12"/>
        <v>36.550000000000004</v>
      </c>
      <c r="AR24" s="20">
        <f t="shared" si="13"/>
        <v>67.75</v>
      </c>
      <c r="AS24" s="35">
        <f t="shared" si="30"/>
        <v>279</v>
      </c>
      <c r="AU24" s="53">
        <v>378159</v>
      </c>
      <c r="AV24" s="37">
        <f t="shared" si="32"/>
        <v>2029</v>
      </c>
      <c r="AW24" s="35">
        <f t="shared" si="14"/>
        <v>4.0579999999999998</v>
      </c>
    </row>
    <row r="25" spans="1:49" x14ac:dyDescent="0.25">
      <c r="A25" s="23">
        <v>44519</v>
      </c>
      <c r="B25" s="40">
        <v>154</v>
      </c>
      <c r="C25" s="24">
        <v>7434360</v>
      </c>
      <c r="D25" s="24">
        <v>17529720</v>
      </c>
      <c r="E25" s="24">
        <v>3141310</v>
      </c>
      <c r="F25" s="24">
        <v>3764530</v>
      </c>
      <c r="G25" s="24">
        <v>11084280</v>
      </c>
      <c r="H25" s="24">
        <v>6109710</v>
      </c>
      <c r="I25" s="24">
        <v>5468060</v>
      </c>
      <c r="J25" s="24">
        <v>6619660</v>
      </c>
      <c r="K25" s="24">
        <v>10071820</v>
      </c>
      <c r="L25" s="24">
        <v>4254830</v>
      </c>
      <c r="M25" s="24">
        <v>8407020</v>
      </c>
      <c r="N25" s="24">
        <v>13201360</v>
      </c>
      <c r="O25" s="24">
        <v>18264750</v>
      </c>
      <c r="Q25" s="37">
        <f t="shared" ref="Q25:AC27" si="34">IF((C25-C24&lt;0), "0",C25-C24)</f>
        <v>550</v>
      </c>
      <c r="R25" s="37">
        <f t="shared" si="34"/>
        <v>1850</v>
      </c>
      <c r="S25" s="37">
        <f t="shared" si="34"/>
        <v>3500</v>
      </c>
      <c r="T25" s="37">
        <f t="shared" si="34"/>
        <v>1570</v>
      </c>
      <c r="U25" s="37">
        <f t="shared" si="34"/>
        <v>4870</v>
      </c>
      <c r="V25" s="37">
        <f t="shared" si="34"/>
        <v>4260</v>
      </c>
      <c r="W25" s="37">
        <f t="shared" si="34"/>
        <v>2390</v>
      </c>
      <c r="X25" s="37">
        <f t="shared" si="34"/>
        <v>4720</v>
      </c>
      <c r="Y25" s="37">
        <f t="shared" si="34"/>
        <v>5770</v>
      </c>
      <c r="Z25" s="37">
        <f t="shared" si="34"/>
        <v>2670</v>
      </c>
      <c r="AA25" s="37">
        <f t="shared" si="34"/>
        <v>3280</v>
      </c>
      <c r="AB25" s="37">
        <f t="shared" si="34"/>
        <v>7100</v>
      </c>
      <c r="AC25" s="37">
        <f t="shared" si="34"/>
        <v>12880</v>
      </c>
      <c r="AD25" s="35">
        <f t="shared" si="29"/>
        <v>55410</v>
      </c>
      <c r="AF25" s="20">
        <f t="shared" si="1"/>
        <v>2.75</v>
      </c>
      <c r="AG25" s="20">
        <f t="shared" si="2"/>
        <v>9.25</v>
      </c>
      <c r="AH25" s="20">
        <f t="shared" si="3"/>
        <v>17.5</v>
      </c>
      <c r="AI25" s="20">
        <f t="shared" si="4"/>
        <v>7.8500000000000005</v>
      </c>
      <c r="AJ25" s="20">
        <f t="shared" si="5"/>
        <v>24.35</v>
      </c>
      <c r="AK25" s="20">
        <f t="shared" si="6"/>
        <v>21.3</v>
      </c>
      <c r="AL25" s="20">
        <f t="shared" si="7"/>
        <v>11.950000000000001</v>
      </c>
      <c r="AM25" s="20">
        <f t="shared" si="8"/>
        <v>23.6</v>
      </c>
      <c r="AN25" s="20">
        <f t="shared" si="9"/>
        <v>28.85</v>
      </c>
      <c r="AO25" s="20">
        <f t="shared" si="10"/>
        <v>13.35</v>
      </c>
      <c r="AP25" s="20">
        <f t="shared" si="11"/>
        <v>16.399999999999999</v>
      </c>
      <c r="AQ25" s="20">
        <f t="shared" si="12"/>
        <v>35.5</v>
      </c>
      <c r="AR25" s="20">
        <f t="shared" si="13"/>
        <v>64.400000000000006</v>
      </c>
      <c r="AS25" s="35">
        <f t="shared" si="30"/>
        <v>277.05</v>
      </c>
      <c r="AU25" s="53">
        <v>380003</v>
      </c>
      <c r="AV25" s="37">
        <f t="shared" si="32"/>
        <v>1844</v>
      </c>
      <c r="AW25" s="35">
        <f t="shared" si="14"/>
        <v>3.6880000000000002</v>
      </c>
    </row>
    <row r="26" spans="1:49" x14ac:dyDescent="0.25">
      <c r="A26" s="23">
        <v>44520</v>
      </c>
      <c r="B26" s="40">
        <v>95</v>
      </c>
      <c r="C26" s="24">
        <v>7434880</v>
      </c>
      <c r="D26" s="24">
        <v>17538220</v>
      </c>
      <c r="E26" s="24">
        <v>3142890</v>
      </c>
      <c r="F26" s="24">
        <v>3766140</v>
      </c>
      <c r="G26" s="24">
        <v>11089180</v>
      </c>
      <c r="H26" s="24">
        <v>6114040</v>
      </c>
      <c r="I26" s="24">
        <v>5470500</v>
      </c>
      <c r="J26" s="24">
        <v>6624430</v>
      </c>
      <c r="K26" s="24">
        <v>10077650</v>
      </c>
      <c r="L26" s="24">
        <v>4257490</v>
      </c>
      <c r="M26" s="24">
        <v>8410260</v>
      </c>
      <c r="N26" s="24">
        <v>13208740</v>
      </c>
      <c r="O26" s="24">
        <v>18276680</v>
      </c>
      <c r="Q26" s="37">
        <f t="shared" si="34"/>
        <v>520</v>
      </c>
      <c r="R26" s="37">
        <f t="shared" si="34"/>
        <v>8500</v>
      </c>
      <c r="S26" s="37">
        <f t="shared" si="34"/>
        <v>1580</v>
      </c>
      <c r="T26" s="37">
        <f t="shared" si="34"/>
        <v>1610</v>
      </c>
      <c r="U26" s="37">
        <f t="shared" si="34"/>
        <v>4900</v>
      </c>
      <c r="V26" s="37">
        <f t="shared" si="34"/>
        <v>4330</v>
      </c>
      <c r="W26" s="37">
        <f t="shared" si="34"/>
        <v>2440</v>
      </c>
      <c r="X26" s="37">
        <f t="shared" si="34"/>
        <v>4770</v>
      </c>
      <c r="Y26" s="37">
        <f t="shared" si="34"/>
        <v>5830</v>
      </c>
      <c r="Z26" s="37">
        <f t="shared" si="34"/>
        <v>2660</v>
      </c>
      <c r="AA26" s="37">
        <f t="shared" si="34"/>
        <v>3240</v>
      </c>
      <c r="AB26" s="37">
        <f t="shared" si="34"/>
        <v>7380</v>
      </c>
      <c r="AC26" s="37">
        <f t="shared" si="34"/>
        <v>11930</v>
      </c>
      <c r="AD26" s="35">
        <f t="shared" si="29"/>
        <v>59690</v>
      </c>
      <c r="AF26" s="20">
        <f t="shared" si="1"/>
        <v>2.6</v>
      </c>
      <c r="AG26" s="20">
        <f t="shared" si="2"/>
        <v>42.5</v>
      </c>
      <c r="AH26" s="20">
        <f t="shared" si="3"/>
        <v>7.9</v>
      </c>
      <c r="AI26" s="20">
        <f t="shared" si="4"/>
        <v>8.0500000000000007</v>
      </c>
      <c r="AJ26" s="20">
        <f t="shared" si="5"/>
        <v>24.5</v>
      </c>
      <c r="AK26" s="20">
        <f t="shared" si="6"/>
        <v>21.650000000000002</v>
      </c>
      <c r="AL26" s="20">
        <f t="shared" si="7"/>
        <v>12.200000000000001</v>
      </c>
      <c r="AM26" s="20">
        <f t="shared" si="8"/>
        <v>23.85</v>
      </c>
      <c r="AN26" s="20">
        <f t="shared" si="9"/>
        <v>29.150000000000002</v>
      </c>
      <c r="AO26" s="20">
        <f t="shared" si="10"/>
        <v>13.3</v>
      </c>
      <c r="AP26" s="20">
        <f t="shared" si="11"/>
        <v>16.2</v>
      </c>
      <c r="AQ26" s="20">
        <f t="shared" si="12"/>
        <v>36.9</v>
      </c>
      <c r="AR26" s="20">
        <f t="shared" si="13"/>
        <v>59.65</v>
      </c>
      <c r="AS26" s="35">
        <f t="shared" si="30"/>
        <v>298.45</v>
      </c>
      <c r="AU26" s="53">
        <v>382130</v>
      </c>
      <c r="AV26" s="37">
        <f t="shared" si="32"/>
        <v>2127</v>
      </c>
      <c r="AW26" s="35">
        <f t="shared" si="14"/>
        <v>4.2540000000000004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4"/>
        <v>0</v>
      </c>
      <c r="R27" s="37" t="str">
        <f t="shared" si="34"/>
        <v>0</v>
      </c>
      <c r="S27" s="37" t="str">
        <f t="shared" si="34"/>
        <v>0</v>
      </c>
      <c r="T27" s="37" t="str">
        <f t="shared" si="34"/>
        <v>0</v>
      </c>
      <c r="U27" s="37" t="str">
        <f t="shared" si="34"/>
        <v>0</v>
      </c>
      <c r="V27" s="37" t="str">
        <f t="shared" si="34"/>
        <v>0</v>
      </c>
      <c r="W27" s="37" t="str">
        <f t="shared" si="34"/>
        <v>0</v>
      </c>
      <c r="X27" s="37" t="str">
        <f t="shared" si="34"/>
        <v>0</v>
      </c>
      <c r="Y27" s="37" t="str">
        <f t="shared" si="34"/>
        <v>0</v>
      </c>
      <c r="Z27" s="37" t="str">
        <f t="shared" si="34"/>
        <v>0</v>
      </c>
      <c r="AA27" s="37" t="str">
        <f t="shared" si="34"/>
        <v>0</v>
      </c>
      <c r="AB27" s="37" t="str">
        <f t="shared" si="34"/>
        <v>0</v>
      </c>
      <c r="AC27" s="37" t="str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 t="str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88700</v>
      </c>
      <c r="R38" s="38">
        <f t="shared" ref="R38:AD38" si="63">SUM(R7:R37)</f>
        <v>83960</v>
      </c>
      <c r="S38" s="38">
        <f t="shared" si="63"/>
        <v>40650</v>
      </c>
      <c r="T38" s="38">
        <f t="shared" si="63"/>
        <v>36740</v>
      </c>
      <c r="U38" s="38">
        <f t="shared" si="63"/>
        <v>88860</v>
      </c>
      <c r="V38" s="38">
        <f t="shared" si="63"/>
        <v>81710</v>
      </c>
      <c r="W38" s="38">
        <f t="shared" si="63"/>
        <v>49420</v>
      </c>
      <c r="X38" s="38">
        <f t="shared" si="63"/>
        <v>93210</v>
      </c>
      <c r="Y38" s="38">
        <f t="shared" si="63"/>
        <v>113970</v>
      </c>
      <c r="Z38" s="38">
        <f t="shared" si="63"/>
        <v>51100</v>
      </c>
      <c r="AA38" s="38">
        <f t="shared" si="63"/>
        <v>60810</v>
      </c>
      <c r="AB38" s="38">
        <f t="shared" si="63"/>
        <v>141520</v>
      </c>
      <c r="AC38" s="38">
        <f t="shared" si="63"/>
        <v>233610</v>
      </c>
      <c r="AD38" s="38">
        <f t="shared" si="63"/>
        <v>1164260</v>
      </c>
      <c r="AF38" s="35">
        <f>SUM(AF7:AF37)</f>
        <v>443.5</v>
      </c>
      <c r="AG38" s="35">
        <f t="shared" ref="AG38:AS38" si="64">SUM(AG7:AG37)</f>
        <v>419.8</v>
      </c>
      <c r="AH38" s="35">
        <f t="shared" si="64"/>
        <v>203.25</v>
      </c>
      <c r="AI38" s="35">
        <f t="shared" si="64"/>
        <v>183.70000000000002</v>
      </c>
      <c r="AJ38" s="35">
        <f t="shared" si="64"/>
        <v>444.3</v>
      </c>
      <c r="AK38" s="35">
        <f t="shared" si="64"/>
        <v>408.55</v>
      </c>
      <c r="AL38" s="35">
        <f t="shared" si="64"/>
        <v>247.1</v>
      </c>
      <c r="AM38" s="35">
        <f t="shared" si="64"/>
        <v>466.05000000000007</v>
      </c>
      <c r="AN38" s="35">
        <f t="shared" si="64"/>
        <v>569.85</v>
      </c>
      <c r="AO38" s="35">
        <f t="shared" si="64"/>
        <v>255.5</v>
      </c>
      <c r="AP38" s="35">
        <f t="shared" si="64"/>
        <v>304.04999999999995</v>
      </c>
      <c r="AQ38" s="35">
        <f t="shared" si="64"/>
        <v>707.60000000000014</v>
      </c>
      <c r="AR38" s="35">
        <f t="shared" si="64"/>
        <v>1168.0500000000002</v>
      </c>
      <c r="AS38" s="35">
        <f t="shared" si="64"/>
        <v>5821.3</v>
      </c>
      <c r="AU38" s="54"/>
      <c r="AV38" s="35">
        <f>SUM(AV7:AV34)</f>
        <v>41132</v>
      </c>
      <c r="AW38" s="35">
        <f>SUM(AW7:AW34)</f>
        <v>82.26400000000001</v>
      </c>
    </row>
    <row r="39" spans="1:49" x14ac:dyDescent="0.25">
      <c r="D39">
        <v>5.0000000000000001E-3</v>
      </c>
      <c r="AV39" s="36">
        <f>AV38*0.00378541*1000</f>
        <v>155701.48412000001</v>
      </c>
    </row>
    <row r="40" spans="1:49" x14ac:dyDescent="0.25">
      <c r="D40">
        <v>2E-3</v>
      </c>
      <c r="AV40">
        <f>AV39/31</f>
        <v>5022.6285200000002</v>
      </c>
    </row>
    <row r="41" spans="1:49" x14ac:dyDescent="0.25">
      <c r="AV41">
        <f>AV38*0.00378541</f>
        <v>155.70148412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2021-11-21T04:11:38Z</dcterms:modified>
</cp:coreProperties>
</file>