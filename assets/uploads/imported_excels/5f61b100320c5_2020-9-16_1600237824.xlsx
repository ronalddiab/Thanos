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9 au 30.09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01.09 au 30.09'!$A$1:$AE$49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6" i="4"/>
  <c r="E26" i="4"/>
  <c r="C26" i="4"/>
  <c r="G25" i="4"/>
  <c r="E25" i="4"/>
  <c r="C25" i="4"/>
  <c r="G24" i="4"/>
  <c r="E24" i="4"/>
  <c r="C24" i="4"/>
  <c r="G23" i="4"/>
  <c r="E23" i="4"/>
  <c r="C23" i="4"/>
  <c r="G22" i="4"/>
  <c r="E22" i="4"/>
  <c r="C22" i="4"/>
  <c r="G21" i="4"/>
  <c r="E21" i="4"/>
  <c r="C21" i="4"/>
  <c r="G20" i="4"/>
  <c r="E20" i="4"/>
  <c r="C20" i="4"/>
  <c r="G19" i="4"/>
  <c r="E19" i="4"/>
  <c r="C19" i="4"/>
  <c r="G25" i="6" l="1"/>
  <c r="E25" i="6"/>
  <c r="C25" i="6"/>
  <c r="G24" i="6"/>
  <c r="E24" i="6"/>
  <c r="C24" i="6"/>
  <c r="G23" i="6"/>
  <c r="E23" i="6"/>
  <c r="C23" i="6"/>
  <c r="G18" i="4" l="1"/>
  <c r="E18" i="4"/>
  <c r="C18" i="4"/>
  <c r="G48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I23" i="6"/>
  <c r="I24" i="6"/>
  <c r="I25" i="6"/>
  <c r="I26" i="6"/>
  <c r="I27" i="6"/>
  <c r="I28" i="6"/>
  <c r="I29" i="6"/>
  <c r="I48" i="6" s="1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G22" i="6"/>
  <c r="E22" i="6"/>
  <c r="E48" i="6" s="1"/>
  <c r="C22" i="6"/>
  <c r="C48" i="6" s="1"/>
  <c r="L15" i="10"/>
  <c r="G21" i="6" l="1"/>
  <c r="E21" i="6"/>
  <c r="C21" i="6"/>
  <c r="G17" i="4"/>
  <c r="E17" i="4"/>
  <c r="C17" i="4"/>
  <c r="G16" i="4"/>
  <c r="E16" i="4"/>
  <c r="C16" i="4"/>
  <c r="I17" i="6" l="1"/>
  <c r="I18" i="6"/>
  <c r="I19" i="6"/>
  <c r="I20" i="6"/>
  <c r="G15" i="4"/>
  <c r="E15" i="4"/>
  <c r="C15" i="4"/>
  <c r="G14" i="4"/>
  <c r="E14" i="4"/>
  <c r="C14" i="4"/>
  <c r="G13" i="4"/>
  <c r="E13" i="4"/>
  <c r="C13" i="4"/>
  <c r="G12" i="4"/>
  <c r="E12" i="4"/>
  <c r="C12" i="4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 l="1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G43" i="4"/>
  <c r="G5" i="4"/>
  <c r="G6" i="4"/>
  <c r="G7" i="4"/>
  <c r="G8" i="4"/>
  <c r="G9" i="4"/>
  <c r="G10" i="4"/>
  <c r="G11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E5" i="4"/>
  <c r="E6" i="4"/>
  <c r="E7" i="4"/>
  <c r="E8" i="4"/>
  <c r="E9" i="4"/>
  <c r="E10" i="4"/>
  <c r="E11" i="4"/>
  <c r="E43" i="4" s="1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C5" i="4"/>
  <c r="C6" i="4"/>
  <c r="C7" i="4"/>
  <c r="C8" i="4"/>
  <c r="C9" i="4"/>
  <c r="C10" i="4"/>
  <c r="C11" i="4"/>
  <c r="C43" i="4" s="1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G4" i="4"/>
  <c r="E4" i="4"/>
  <c r="C4" i="4"/>
  <c r="E47" i="6" l="1"/>
  <c r="C47" i="6"/>
  <c r="E46" i="6"/>
  <c r="C46" i="6"/>
  <c r="E45" i="6"/>
  <c r="C45" i="6"/>
  <c r="E44" i="6" l="1"/>
  <c r="C44" i="6"/>
  <c r="E43" i="6" l="1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J10" i="10"/>
  <c r="K10" i="10"/>
  <c r="D10" i="10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L11" i="10" l="1"/>
  <c r="L31" i="10"/>
  <c r="L32" i="10"/>
  <c r="L33" i="10"/>
  <c r="L34" i="10"/>
  <c r="L35" i="10"/>
  <c r="L36" i="10"/>
  <c r="L37" i="10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L12" i="10"/>
  <c r="L13" i="10"/>
  <c r="L14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8" i="10"/>
  <c r="L39" i="10"/>
  <c r="L40" i="10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 s="1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 s="1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 s="1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 s="1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 s="1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 s="1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F33" i="10"/>
  <c r="F10" i="10"/>
  <c r="K7" i="13"/>
  <c r="K14" i="13"/>
  <c r="K16" i="13"/>
  <c r="Z17" i="10" l="1"/>
  <c r="L26" i="4"/>
  <c r="N26" i="4" s="1"/>
  <c r="O26" i="4" s="1"/>
  <c r="U25" i="10" s="1"/>
  <c r="Z11" i="10"/>
  <c r="O13" i="10"/>
  <c r="O11" i="10"/>
  <c r="O12" i="10"/>
  <c r="O40" i="10"/>
  <c r="O38" i="10"/>
  <c r="O36" i="10"/>
  <c r="O37" i="10"/>
  <c r="L39" i="4"/>
  <c r="N39" i="4" s="1"/>
  <c r="O39" i="4" s="1"/>
  <c r="U38" i="10" s="1"/>
  <c r="G30" i="13" s="1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I4" i="4"/>
  <c r="I41" i="4"/>
  <c r="L25" i="4"/>
  <c r="N25" i="4" s="1"/>
  <c r="O25" i="4" s="1"/>
  <c r="U24" i="10" s="1"/>
  <c r="I21" i="4"/>
  <c r="I18" i="4"/>
  <c r="I15" i="4"/>
  <c r="M40" i="10"/>
  <c r="I6" i="4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L7" i="4"/>
  <c r="N7" i="4" s="1"/>
  <c r="O7" i="4" s="1"/>
  <c r="P7" i="4" s="1"/>
  <c r="L40" i="4"/>
  <c r="N40" i="4" s="1"/>
  <c r="O40" i="4" s="1"/>
  <c r="U39" i="10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L12" i="4"/>
  <c r="N12" i="4" s="1"/>
  <c r="O12" i="4" s="1"/>
  <c r="K48" i="4"/>
  <c r="L48" i="4" s="1"/>
  <c r="M48" i="4" s="1"/>
  <c r="I5" i="4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U33" i="10" s="1"/>
  <c r="L35" i="4"/>
  <c r="N35" i="4" s="1"/>
  <c r="O35" i="4" s="1"/>
  <c r="L30" i="4"/>
  <c r="N30" i="4" s="1"/>
  <c r="O30" i="4" s="1"/>
  <c r="U29" i="10" s="1"/>
  <c r="L31" i="4"/>
  <c r="N31" i="4" s="1"/>
  <c r="O31" i="4" s="1"/>
  <c r="U30" i="10" s="1"/>
  <c r="L33" i="4"/>
  <c r="N33" i="4" s="1"/>
  <c r="O33" i="4" s="1"/>
  <c r="L32" i="4"/>
  <c r="N32" i="4" s="1"/>
  <c r="O32" i="4" s="1"/>
  <c r="U31" i="10" s="1"/>
  <c r="L28" i="4"/>
  <c r="N28" i="4" s="1"/>
  <c r="O28" i="4" s="1"/>
  <c r="U27" i="10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N43" i="4"/>
  <c r="P39" i="4"/>
  <c r="U40" i="10"/>
  <c r="U32" i="10"/>
  <c r="G24" i="13" s="1"/>
  <c r="O24" i="13" s="1"/>
  <c r="U36" i="10"/>
  <c r="G28" i="13" s="1"/>
  <c r="O28" i="13" s="1"/>
  <c r="P38" i="4"/>
  <c r="U37" i="10"/>
  <c r="G29" i="13" s="1"/>
  <c r="U34" i="10"/>
  <c r="G26" i="13" s="1"/>
  <c r="O26" i="13" s="1"/>
  <c r="U35" i="10"/>
  <c r="W35" i="10" s="1"/>
  <c r="AJ35" i="10" s="1"/>
  <c r="AK35" i="10" s="1"/>
  <c r="P24" i="4"/>
  <c r="U23" i="10"/>
  <c r="G15" i="13" s="1"/>
  <c r="P17" i="4"/>
  <c r="U16" i="10"/>
  <c r="G8" i="13" s="1"/>
  <c r="O8" i="13" s="1"/>
  <c r="U20" i="10"/>
  <c r="W20" i="10" s="1"/>
  <c r="AJ20" i="10" s="1"/>
  <c r="AK20" i="10" s="1"/>
  <c r="P12" i="4"/>
  <c r="U11" i="10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P40" i="4"/>
  <c r="W39" i="10"/>
  <c r="G25" i="13"/>
  <c r="P28" i="4"/>
  <c r="G19" i="13"/>
  <c r="O19" i="13" s="1"/>
  <c r="M18" i="10"/>
  <c r="E10" i="13" s="1"/>
  <c r="M12" i="10"/>
  <c r="E4" i="13" s="1"/>
  <c r="O17" i="13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W23" i="10" l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AJ23" i="10"/>
  <c r="AK23" i="10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<sst xmlns="http://schemas.openxmlformats.org/spreadsheetml/2006/main" count="186" uniqueCount="86">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</sst>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90</c:v>
                </c:pt>
                <c:pt idx="1">
                  <c:v>80</c:v>
                </c:pt>
                <c:pt idx="2">
                  <c:v>90</c:v>
                </c:pt>
                <c:pt idx="3">
                  <c:v>80</c:v>
                </c:pt>
                <c:pt idx="4">
                  <c:v>90</c:v>
                </c:pt>
                <c:pt idx="5">
                  <c:v>80</c:v>
                </c:pt>
                <c:pt idx="6">
                  <c:v>70</c:v>
                </c:pt>
                <c:pt idx="7">
                  <c:v>110</c:v>
                </c:pt>
                <c:pt idx="8">
                  <c:v>100</c:v>
                </c:pt>
                <c:pt idx="9">
                  <c:v>250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200</c:v>
                </c:pt>
                <c:pt idx="14">
                  <c:v>320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378688"/>
        <c:axId val="150660224"/>
      </c:lineChart>
      <c:dateAx>
        <c:axId val="2253786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60224"/>
        <c:crosses val="autoZero"/>
        <c:auto val="1"/>
        <c:lblOffset val="100"/>
        <c:baseTimeUnit val="days"/>
      </c:dateAx>
      <c:valAx>
        <c:axId val="15066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3786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980</c:v>
                </c:pt>
                <c:pt idx="1">
                  <c:v>1015</c:v>
                </c:pt>
                <c:pt idx="2">
                  <c:v>996</c:v>
                </c:pt>
                <c:pt idx="3">
                  <c:v>1003</c:v>
                </c:pt>
                <c:pt idx="4">
                  <c:v>1042</c:v>
                </c:pt>
                <c:pt idx="5">
                  <c:v>1022</c:v>
                </c:pt>
                <c:pt idx="6">
                  <c:v>980</c:v>
                </c:pt>
                <c:pt idx="7">
                  <c:v>1062</c:v>
                </c:pt>
                <c:pt idx="8">
                  <c:v>1073</c:v>
                </c:pt>
                <c:pt idx="9">
                  <c:v>470</c:v>
                </c:pt>
                <c:pt idx="10">
                  <c:v>910</c:v>
                </c:pt>
                <c:pt idx="11">
                  <c:v>822</c:v>
                </c:pt>
                <c:pt idx="12">
                  <c:v>813</c:v>
                </c:pt>
                <c:pt idx="13">
                  <c:v>1004</c:v>
                </c:pt>
                <c:pt idx="14">
                  <c:v>1135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1741</c:v>
                </c:pt>
                <c:pt idx="1">
                  <c:v>1757</c:v>
                </c:pt>
                <c:pt idx="2">
                  <c:v>1637</c:v>
                </c:pt>
                <c:pt idx="3">
                  <c:v>1765</c:v>
                </c:pt>
                <c:pt idx="4">
                  <c:v>1752</c:v>
                </c:pt>
                <c:pt idx="5">
                  <c:v>1611</c:v>
                </c:pt>
                <c:pt idx="6">
                  <c:v>1741</c:v>
                </c:pt>
                <c:pt idx="7">
                  <c:v>1772</c:v>
                </c:pt>
                <c:pt idx="8">
                  <c:v>1673</c:v>
                </c:pt>
                <c:pt idx="9">
                  <c:v>1290</c:v>
                </c:pt>
                <c:pt idx="10">
                  <c:v>1868</c:v>
                </c:pt>
                <c:pt idx="11">
                  <c:v>1534</c:v>
                </c:pt>
                <c:pt idx="12">
                  <c:v>1543</c:v>
                </c:pt>
                <c:pt idx="13">
                  <c:v>2436</c:v>
                </c:pt>
                <c:pt idx="14">
                  <c:v>2509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44105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599</c:v>
                </c:pt>
                <c:pt idx="1">
                  <c:v>651</c:v>
                </c:pt>
                <c:pt idx="2">
                  <c:v>552</c:v>
                </c:pt>
                <c:pt idx="3">
                  <c:v>661</c:v>
                </c:pt>
                <c:pt idx="4">
                  <c:v>670</c:v>
                </c:pt>
                <c:pt idx="5">
                  <c:v>626</c:v>
                </c:pt>
                <c:pt idx="6">
                  <c:v>599</c:v>
                </c:pt>
                <c:pt idx="7">
                  <c:v>690</c:v>
                </c:pt>
                <c:pt idx="8">
                  <c:v>596</c:v>
                </c:pt>
                <c:pt idx="9">
                  <c:v>365</c:v>
                </c:pt>
                <c:pt idx="10">
                  <c:v>602</c:v>
                </c:pt>
                <c:pt idx="11">
                  <c:v>570</c:v>
                </c:pt>
                <c:pt idx="12">
                  <c:v>536</c:v>
                </c:pt>
                <c:pt idx="13">
                  <c:v>656</c:v>
                </c:pt>
                <c:pt idx="14">
                  <c:v>884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35232"/>
        <c:axId val="141137024"/>
      </c:lineChart>
      <c:dateAx>
        <c:axId val="14113523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7024"/>
        <c:crosses val="autoZero"/>
        <c:auto val="1"/>
        <c:lblOffset val="100"/>
        <c:baseTimeUnit val="days"/>
      </c:dateAx>
      <c:valAx>
        <c:axId val="1411370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523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44074</c:v>
                </c:pt>
                <c:pt idx="1">
                  <c:v>44075</c:v>
                </c:pt>
                <c:pt idx="2">
                  <c:v>44076</c:v>
                </c:pt>
                <c:pt idx="3">
                  <c:v>44077</c:v>
                </c:pt>
                <c:pt idx="4">
                  <c:v>44078</c:v>
                </c:pt>
                <c:pt idx="5">
                  <c:v>44079</c:v>
                </c:pt>
                <c:pt idx="6">
                  <c:v>44080</c:v>
                </c:pt>
                <c:pt idx="7">
                  <c:v>44081</c:v>
                </c:pt>
                <c:pt idx="8">
                  <c:v>44082</c:v>
                </c:pt>
                <c:pt idx="9">
                  <c:v>44083</c:v>
                </c:pt>
                <c:pt idx="10">
                  <c:v>44084</c:v>
                </c:pt>
                <c:pt idx="11">
                  <c:v>44085</c:v>
                </c:pt>
                <c:pt idx="12">
                  <c:v>44086</c:v>
                </c:pt>
                <c:pt idx="13">
                  <c:v>44087</c:v>
                </c:pt>
                <c:pt idx="14">
                  <c:v>44088</c:v>
                </c:pt>
                <c:pt idx="15">
                  <c:v>44089</c:v>
                </c:pt>
                <c:pt idx="16">
                  <c:v>44090</c:v>
                </c:pt>
                <c:pt idx="17">
                  <c:v>44091</c:v>
                </c:pt>
                <c:pt idx="18">
                  <c:v>44092</c:v>
                </c:pt>
                <c:pt idx="19">
                  <c:v>44093</c:v>
                </c:pt>
                <c:pt idx="20">
                  <c:v>44094</c:v>
                </c:pt>
                <c:pt idx="21">
                  <c:v>44095</c:v>
                </c:pt>
                <c:pt idx="22">
                  <c:v>44096</c:v>
                </c:pt>
                <c:pt idx="23">
                  <c:v>44097</c:v>
                </c:pt>
                <c:pt idx="24">
                  <c:v>44098</c:v>
                </c:pt>
                <c:pt idx="25">
                  <c:v>44099</c:v>
                </c:pt>
                <c:pt idx="26">
                  <c:v>44100</c:v>
                </c:pt>
                <c:pt idx="27">
                  <c:v>44101</c:v>
                </c:pt>
                <c:pt idx="28">
                  <c:v>44102</c:v>
                </c:pt>
                <c:pt idx="29">
                  <c:v>44103</c:v>
                </c:pt>
                <c:pt idx="30">
                  <c:v>44104</c:v>
                </c:pt>
                <c:pt idx="31">
                  <c:v>44105</c:v>
                </c:pt>
                <c:pt idx="32">
                  <c:v>44106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185.5</c:v>
                </c:pt>
                <c:pt idx="11">
                  <c:v>0</c:v>
                </c:pt>
                <c:pt idx="12">
                  <c:v>111.30000000000001</c:v>
                </c:pt>
                <c:pt idx="13">
                  <c:v>0</c:v>
                </c:pt>
                <c:pt idx="14">
                  <c:v>371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61984"/>
        <c:axId val="141163520"/>
      </c:lineChart>
      <c:dateAx>
        <c:axId val="1411619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3520"/>
        <c:crosses val="autoZero"/>
        <c:auto val="1"/>
        <c:lblOffset val="100"/>
        <c:baseTimeUnit val="days"/>
      </c:dateAx>
      <c:valAx>
        <c:axId val="141163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198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17" sqref="A17:XFD17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9</v>
      </c>
      <c r="D2" s="160">
        <v>2020</v>
      </c>
      <c r="E2" s="161">
        <f>'Consommation du 01.09 au 30.09'!M10</f>
        <v>3320</v>
      </c>
      <c r="F2" s="161">
        <v>0.99</v>
      </c>
      <c r="G2" s="161">
        <f>'Consommation du 01.09 au 30.09'!U10</f>
        <v>0</v>
      </c>
      <c r="H2" s="161">
        <v>7.8338000000000001</v>
      </c>
      <c r="I2" s="161">
        <f>'Consommation du 01.09 au 30.09'!Y10*1000</f>
        <v>0</v>
      </c>
      <c r="J2" s="161">
        <v>0.53</v>
      </c>
      <c r="K2" s="161">
        <f>'Consommation du 01.09 au 30.09'!D10</f>
        <v>90</v>
      </c>
      <c r="L2" s="161">
        <v>12.67</v>
      </c>
      <c r="M2" s="160">
        <f>'Consommation du 01.09 au 30.09'!AC10</f>
        <v>0</v>
      </c>
      <c r="N2" s="160">
        <v>0</v>
      </c>
      <c r="O2" s="161">
        <f>E2*F2+G2*H2+I2*J2+K2*L2</f>
        <v>4427.1000000000004</v>
      </c>
    </row>
    <row r="3" spans="1:15" x14ac:dyDescent="0.2">
      <c r="A3" s="158" t="s">
        <v>84</v>
      </c>
      <c r="B3" s="159">
        <f>B2+1</f>
        <v>2</v>
      </c>
      <c r="C3" s="159">
        <v>9</v>
      </c>
      <c r="D3" s="160">
        <v>2020</v>
      </c>
      <c r="E3" s="161">
        <f>'Consommation du 01.09 au 30.09'!M11</f>
        <v>3423</v>
      </c>
      <c r="F3" s="161">
        <v>0.99</v>
      </c>
      <c r="G3" s="161">
        <f>'Consommation du 01.09 au 30.09'!U11</f>
        <v>0</v>
      </c>
      <c r="H3" s="161">
        <v>7.8338000000000001</v>
      </c>
      <c r="I3" s="161">
        <f>'Consommation du 01.09 au 30.09'!Y11*1000</f>
        <v>0</v>
      </c>
      <c r="J3" s="161">
        <v>0.53</v>
      </c>
      <c r="K3" s="161">
        <f>'Consommation du 01.09 au 30.09'!D11</f>
        <v>80</v>
      </c>
      <c r="L3" s="161">
        <v>12.67</v>
      </c>
      <c r="M3" s="160">
        <f>'Consommation du 01.09 au 30.09'!AC11</f>
        <v>0</v>
      </c>
      <c r="N3" s="160">
        <v>0</v>
      </c>
      <c r="O3" s="161">
        <f t="shared" ref="O3:O31" si="0">E3*F3+G3*H3+I3*J3+K3*L3</f>
        <v>4402.37</v>
      </c>
    </row>
    <row r="4" spans="1:15" x14ac:dyDescent="0.2">
      <c r="A4" s="158" t="s">
        <v>84</v>
      </c>
      <c r="B4" s="159">
        <f t="shared" ref="B4:B31" si="1">B3+1</f>
        <v>3</v>
      </c>
      <c r="C4" s="159">
        <v>9</v>
      </c>
      <c r="D4" s="160">
        <v>2020</v>
      </c>
      <c r="E4" s="161">
        <f>'Consommation du 01.09 au 30.09'!M12</f>
        <v>3185</v>
      </c>
      <c r="F4" s="161">
        <v>0.99</v>
      </c>
      <c r="G4" s="161">
        <f>'Consommation du 01.09 au 30.09'!U12</f>
        <v>0</v>
      </c>
      <c r="H4" s="161">
        <v>7.8338000000000001</v>
      </c>
      <c r="I4" s="161">
        <f>'Consommation du 01.09 au 30.09'!Y12*1000</f>
        <v>0</v>
      </c>
      <c r="J4" s="161">
        <v>0.53</v>
      </c>
      <c r="K4" s="161">
        <f>'Consommation du 01.09 au 30.09'!D12</f>
        <v>90</v>
      </c>
      <c r="L4" s="161">
        <v>12.67</v>
      </c>
      <c r="M4" s="160">
        <f>'Consommation du 01.09 au 30.09'!AC12</f>
        <v>0</v>
      </c>
      <c r="N4" s="160">
        <v>0</v>
      </c>
      <c r="O4" s="161">
        <f t="shared" si="0"/>
        <v>4293.45</v>
      </c>
    </row>
    <row r="5" spans="1:15" x14ac:dyDescent="0.2">
      <c r="A5" s="158" t="s">
        <v>84</v>
      </c>
      <c r="B5" s="159">
        <f t="shared" si="1"/>
        <v>4</v>
      </c>
      <c r="C5" s="159">
        <v>9</v>
      </c>
      <c r="D5" s="160">
        <v>2020</v>
      </c>
      <c r="E5" s="161">
        <f>'Consommation du 01.09 au 30.09'!M13</f>
        <v>3429</v>
      </c>
      <c r="F5" s="161">
        <v>0.99</v>
      </c>
      <c r="G5" s="161">
        <f>'Consommation du 01.09 au 30.09'!U13</f>
        <v>0</v>
      </c>
      <c r="H5" s="161">
        <v>7.8338000000000001</v>
      </c>
      <c r="I5" s="161">
        <f>'Consommation du 01.09 au 30.09'!Y13*1000</f>
        <v>0</v>
      </c>
      <c r="J5" s="161">
        <v>0.53</v>
      </c>
      <c r="K5" s="161">
        <f>'Consommation du 01.09 au 30.09'!D13</f>
        <v>80</v>
      </c>
      <c r="L5" s="161">
        <v>12.67</v>
      </c>
      <c r="M5" s="160">
        <f>'Consommation du 01.09 au 30.09'!AC13</f>
        <v>0</v>
      </c>
      <c r="N5" s="160">
        <v>0</v>
      </c>
      <c r="O5" s="161">
        <f t="shared" si="0"/>
        <v>4408.3100000000004</v>
      </c>
    </row>
    <row r="6" spans="1:15" x14ac:dyDescent="0.2">
      <c r="A6" s="158" t="s">
        <v>84</v>
      </c>
      <c r="B6" s="159">
        <f t="shared" si="1"/>
        <v>5</v>
      </c>
      <c r="C6" s="159">
        <v>9</v>
      </c>
      <c r="D6" s="160">
        <v>2020</v>
      </c>
      <c r="E6" s="161">
        <f>'Consommation du 01.09 au 30.09'!M14</f>
        <v>3464</v>
      </c>
      <c r="F6" s="161">
        <v>0.99</v>
      </c>
      <c r="G6" s="161">
        <f>'Consommation du 01.09 au 30.09'!U14</f>
        <v>0</v>
      </c>
      <c r="H6" s="161">
        <v>7.8338000000000001</v>
      </c>
      <c r="I6" s="161">
        <f>'Consommation du 01.09 au 30.09'!Y14*1000</f>
        <v>0</v>
      </c>
      <c r="J6" s="161">
        <v>0.53</v>
      </c>
      <c r="K6" s="161">
        <f>'Consommation du 01.09 au 30.09'!D14</f>
        <v>90</v>
      </c>
      <c r="L6" s="161">
        <v>12.67</v>
      </c>
      <c r="M6" s="160">
        <f>'Consommation du 01.09 au 30.09'!AC14</f>
        <v>0</v>
      </c>
      <c r="N6" s="160">
        <v>0</v>
      </c>
      <c r="O6" s="161">
        <f t="shared" si="0"/>
        <v>4569.66</v>
      </c>
    </row>
    <row r="7" spans="1:15" x14ac:dyDescent="0.2">
      <c r="A7" s="158" t="s">
        <v>84</v>
      </c>
      <c r="B7" s="159">
        <f t="shared" si="1"/>
        <v>6</v>
      </c>
      <c r="C7" s="159">
        <v>9</v>
      </c>
      <c r="D7" s="160">
        <v>2020</v>
      </c>
      <c r="E7" s="161">
        <f>'Consommation du 01.09 au 30.09'!M15</f>
        <v>3259</v>
      </c>
      <c r="F7" s="161">
        <v>0.99</v>
      </c>
      <c r="G7" s="161">
        <f>'Consommation du 01.09 au 30.09'!U15</f>
        <v>0</v>
      </c>
      <c r="H7" s="161">
        <v>7.8338000000000001</v>
      </c>
      <c r="I7" s="161">
        <f>'Consommation du 01.09 au 30.09'!Y15*1000</f>
        <v>0</v>
      </c>
      <c r="J7" s="161">
        <v>0.53</v>
      </c>
      <c r="K7" s="161">
        <f>'Consommation du 01.09 au 30.09'!D15</f>
        <v>80</v>
      </c>
      <c r="L7" s="161">
        <v>12.67</v>
      </c>
      <c r="M7" s="160">
        <f>'Consommation du 01.09 au 30.09'!AC15</f>
        <v>0</v>
      </c>
      <c r="N7" s="160">
        <v>0</v>
      </c>
      <c r="O7" s="161">
        <f t="shared" si="0"/>
        <v>4240.01</v>
      </c>
    </row>
    <row r="8" spans="1:15" x14ac:dyDescent="0.2">
      <c r="A8" s="158" t="s">
        <v>84</v>
      </c>
      <c r="B8" s="159">
        <f t="shared" si="1"/>
        <v>7</v>
      </c>
      <c r="C8" s="159">
        <v>9</v>
      </c>
      <c r="D8" s="160">
        <v>2020</v>
      </c>
      <c r="E8" s="161">
        <f>'Consommation du 01.09 au 30.09'!M16</f>
        <v>3320</v>
      </c>
      <c r="F8" s="161">
        <v>0.99</v>
      </c>
      <c r="G8" s="161">
        <f>'Consommation du 01.09 au 30.09'!U16</f>
        <v>0</v>
      </c>
      <c r="H8" s="161">
        <v>7.8338000000000001</v>
      </c>
      <c r="I8" s="161">
        <f>'Consommation du 01.09 au 30.09'!Y16*1000</f>
        <v>0</v>
      </c>
      <c r="J8" s="161">
        <v>0.53</v>
      </c>
      <c r="K8" s="161">
        <f>'Consommation du 01.09 au 30.09'!D16</f>
        <v>70</v>
      </c>
      <c r="L8" s="161">
        <v>12.67</v>
      </c>
      <c r="M8" s="160">
        <f>'Consommation du 01.09 au 30.09'!AC16</f>
        <v>0</v>
      </c>
      <c r="N8" s="160">
        <v>0</v>
      </c>
      <c r="O8" s="161">
        <f t="shared" si="0"/>
        <v>4173.7</v>
      </c>
    </row>
    <row r="9" spans="1:15" x14ac:dyDescent="0.2">
      <c r="A9" s="158" t="s">
        <v>84</v>
      </c>
      <c r="B9" s="159">
        <f t="shared" si="1"/>
        <v>8</v>
      </c>
      <c r="C9" s="159">
        <v>9</v>
      </c>
      <c r="D9" s="160">
        <v>2020</v>
      </c>
      <c r="E9" s="161">
        <f>'Consommation du 01.09 au 30.09'!M17</f>
        <v>3524</v>
      </c>
      <c r="F9" s="161">
        <v>0.99</v>
      </c>
      <c r="G9" s="161">
        <f>'Consommation du 01.09 au 30.09'!U17</f>
        <v>0</v>
      </c>
      <c r="H9" s="161">
        <v>7.8338000000000001</v>
      </c>
      <c r="I9" s="161">
        <f>'Consommation du 01.09 au 30.09'!Y17*1000</f>
        <v>0</v>
      </c>
      <c r="J9" s="161">
        <v>0.53</v>
      </c>
      <c r="K9" s="161">
        <f>'Consommation du 01.09 au 30.09'!D17</f>
        <v>110</v>
      </c>
      <c r="L9" s="161">
        <v>12.67</v>
      </c>
      <c r="M9" s="160">
        <f>'Consommation du 01.09 au 30.09'!AC17</f>
        <v>0</v>
      </c>
      <c r="N9" s="160">
        <v>0</v>
      </c>
      <c r="O9" s="161">
        <f t="shared" si="0"/>
        <v>4882.46</v>
      </c>
    </row>
    <row r="10" spans="1:15" x14ac:dyDescent="0.2">
      <c r="A10" s="158" t="s">
        <v>84</v>
      </c>
      <c r="B10" s="159">
        <f t="shared" si="1"/>
        <v>9</v>
      </c>
      <c r="C10" s="159">
        <v>9</v>
      </c>
      <c r="D10" s="160">
        <v>2020</v>
      </c>
      <c r="E10" s="161">
        <f>'Consommation du 01.09 au 30.09'!M18</f>
        <v>3342</v>
      </c>
      <c r="F10" s="161">
        <v>0.99</v>
      </c>
      <c r="G10" s="161">
        <f>'Consommation du 01.09 au 30.09'!U18</f>
        <v>0</v>
      </c>
      <c r="H10" s="161">
        <v>7.8338000000000001</v>
      </c>
      <c r="I10" s="161">
        <f>'Consommation du 01.09 au 30.09'!Y18*1000</f>
        <v>0</v>
      </c>
      <c r="J10" s="161">
        <v>0.53</v>
      </c>
      <c r="K10" s="161">
        <f>'Consommation du 01.09 au 30.09'!D18</f>
        <v>100</v>
      </c>
      <c r="L10" s="161">
        <v>12.67</v>
      </c>
      <c r="M10" s="160">
        <f>'Consommation du 01.09 au 30.09'!AC18</f>
        <v>0</v>
      </c>
      <c r="N10" s="160">
        <v>0</v>
      </c>
      <c r="O10" s="161">
        <f t="shared" si="0"/>
        <v>4575.58</v>
      </c>
    </row>
    <row r="11" spans="1:15" x14ac:dyDescent="0.2">
      <c r="A11" s="158" t="s">
        <v>84</v>
      </c>
      <c r="B11" s="159">
        <f t="shared" si="1"/>
        <v>10</v>
      </c>
      <c r="C11" s="159">
        <v>9</v>
      </c>
      <c r="D11" s="160">
        <v>2020</v>
      </c>
      <c r="E11" s="161">
        <f>'Consommation du 01.09 au 30.09'!M19</f>
        <v>2125</v>
      </c>
      <c r="F11" s="161">
        <v>0.99</v>
      </c>
      <c r="G11" s="161">
        <f>'Consommation du 01.09 au 30.09'!U19</f>
        <v>185.5</v>
      </c>
      <c r="H11" s="161">
        <v>7.8338000000000001</v>
      </c>
      <c r="I11" s="161">
        <f>'Consommation du 01.09 au 30.09'!Y19*1000</f>
        <v>0</v>
      </c>
      <c r="J11" s="161">
        <v>0.53</v>
      </c>
      <c r="K11" s="161">
        <f>'Consommation du 01.09 au 30.09'!D19</f>
        <v>250</v>
      </c>
      <c r="L11" s="161">
        <v>12.67</v>
      </c>
      <c r="M11" s="160">
        <f>'Consommation du 01.09 au 30.09'!AC19</f>
        <v>0</v>
      </c>
      <c r="N11" s="160">
        <v>0</v>
      </c>
      <c r="O11" s="161">
        <f t="shared" si="0"/>
        <v>6724.4198999999999</v>
      </c>
    </row>
    <row r="12" spans="1:15" x14ac:dyDescent="0.2">
      <c r="A12" s="158" t="s">
        <v>84</v>
      </c>
      <c r="B12" s="159">
        <f t="shared" si="1"/>
        <v>11</v>
      </c>
      <c r="C12" s="159">
        <v>9</v>
      </c>
      <c r="D12" s="160">
        <v>2020</v>
      </c>
      <c r="E12" s="161">
        <f>'Consommation du 01.09 au 30.09'!M20</f>
        <v>3380</v>
      </c>
      <c r="F12" s="161">
        <v>0.99</v>
      </c>
      <c r="G12" s="161">
        <f>'Consommation du 01.09 au 30.09'!U20</f>
        <v>0</v>
      </c>
      <c r="H12" s="161">
        <v>7.8338000000000001</v>
      </c>
      <c r="I12" s="161">
        <f>'Consommation du 01.09 au 30.09'!Y20*1000</f>
        <v>0</v>
      </c>
      <c r="J12" s="161">
        <v>0.53</v>
      </c>
      <c r="K12" s="161">
        <f>'Consommation du 01.09 au 30.09'!D20</f>
        <v>100</v>
      </c>
      <c r="L12" s="161">
        <v>12.67</v>
      </c>
      <c r="M12" s="160">
        <f>'Consommation du 01.09 au 30.09'!AC20</f>
        <v>0</v>
      </c>
      <c r="N12" s="160">
        <v>0</v>
      </c>
      <c r="O12" s="161">
        <f t="shared" si="0"/>
        <v>4613.2</v>
      </c>
    </row>
    <row r="13" spans="1:15" x14ac:dyDescent="0.2">
      <c r="A13" s="158" t="s">
        <v>84</v>
      </c>
      <c r="B13" s="159">
        <f t="shared" si="1"/>
        <v>12</v>
      </c>
      <c r="C13" s="159">
        <v>9</v>
      </c>
      <c r="D13" s="160">
        <v>2020</v>
      </c>
      <c r="E13" s="161">
        <f>'Consommation du 01.09 au 30.09'!M21</f>
        <v>2926</v>
      </c>
      <c r="F13" s="161">
        <v>0.99</v>
      </c>
      <c r="G13" s="161">
        <f>'Consommation du 01.09 au 30.09'!U21</f>
        <v>111.30000000000001</v>
      </c>
      <c r="H13" s="161">
        <v>7.8338000000000001</v>
      </c>
      <c r="I13" s="161">
        <f>'Consommation du 01.09 au 30.09'!Y21*1000</f>
        <v>0</v>
      </c>
      <c r="J13" s="161">
        <v>0.53</v>
      </c>
      <c r="K13" s="161">
        <f>'Consommation du 01.09 au 30.09'!D21</f>
        <v>100</v>
      </c>
      <c r="L13" s="161">
        <v>12.67</v>
      </c>
      <c r="M13" s="160">
        <f>'Consommation du 01.09 au 30.09'!AC21</f>
        <v>0</v>
      </c>
      <c r="N13" s="160">
        <v>0</v>
      </c>
      <c r="O13" s="161">
        <f t="shared" si="0"/>
        <v>5035.6419399999995</v>
      </c>
    </row>
    <row r="14" spans="1:15" x14ac:dyDescent="0.2">
      <c r="A14" s="158" t="s">
        <v>84</v>
      </c>
      <c r="B14" s="159">
        <f t="shared" si="1"/>
        <v>13</v>
      </c>
      <c r="C14" s="159">
        <v>9</v>
      </c>
      <c r="D14" s="160">
        <v>2020</v>
      </c>
      <c r="E14" s="161">
        <f>'Consommation du 01.09 au 30.09'!M22</f>
        <v>2892</v>
      </c>
      <c r="F14" s="161">
        <v>0.99</v>
      </c>
      <c r="G14" s="161">
        <f>'Consommation du 01.09 au 30.09'!U22</f>
        <v>0</v>
      </c>
      <c r="H14" s="161">
        <v>7.8338000000000001</v>
      </c>
      <c r="I14" s="161">
        <f>'Consommation du 01.09 au 30.09'!Y22*1000</f>
        <v>0</v>
      </c>
      <c r="J14" s="161">
        <v>0.53</v>
      </c>
      <c r="K14" s="161">
        <f>'Consommation du 01.09 au 30.09'!D22</f>
        <v>100</v>
      </c>
      <c r="L14" s="161">
        <v>12.67</v>
      </c>
      <c r="M14" s="160">
        <f>'Consommation du 01.09 au 30.09'!AC22</f>
        <v>0</v>
      </c>
      <c r="N14" s="160">
        <v>0</v>
      </c>
      <c r="O14" s="161">
        <f t="shared" si="0"/>
        <v>4130.08</v>
      </c>
    </row>
    <row r="15" spans="1:15" x14ac:dyDescent="0.2">
      <c r="A15" s="158" t="s">
        <v>84</v>
      </c>
      <c r="B15" s="159">
        <f t="shared" si="1"/>
        <v>14</v>
      </c>
      <c r="C15" s="159">
        <v>9</v>
      </c>
      <c r="D15" s="160">
        <v>2020</v>
      </c>
      <c r="E15" s="161">
        <f>'Consommation du 01.09 au 30.09'!M23</f>
        <v>4096</v>
      </c>
      <c r="F15" s="161">
        <v>0.99</v>
      </c>
      <c r="G15" s="161">
        <f>'Consommation du 01.09 au 30.09'!U23</f>
        <v>371</v>
      </c>
      <c r="H15" s="161">
        <v>7.8338000000000001</v>
      </c>
      <c r="I15" s="161">
        <f>'Consommation du 01.09 au 30.09'!Y23*1000</f>
        <v>0</v>
      </c>
      <c r="J15" s="161">
        <v>0.53</v>
      </c>
      <c r="K15" s="161">
        <f>'Consommation du 01.09 au 30.09'!D23</f>
        <v>200</v>
      </c>
      <c r="L15" s="161">
        <v>12.67</v>
      </c>
      <c r="M15" s="160">
        <f>'Consommation du 01.09 au 30.09'!AC23</f>
        <v>0</v>
      </c>
      <c r="N15" s="160">
        <v>0</v>
      </c>
      <c r="O15" s="161">
        <f t="shared" si="0"/>
        <v>9495.3798000000006</v>
      </c>
    </row>
    <row r="16" spans="1:15" x14ac:dyDescent="0.2">
      <c r="A16" s="158" t="s">
        <v>84</v>
      </c>
      <c r="B16" s="159">
        <f t="shared" si="1"/>
        <v>15</v>
      </c>
      <c r="C16" s="159">
        <v>9</v>
      </c>
      <c r="D16" s="160">
        <v>2020</v>
      </c>
      <c r="E16" s="161">
        <f>'Consommation du 01.09 au 30.09'!M24</f>
        <v>4528</v>
      </c>
      <c r="F16" s="161">
        <v>0.99</v>
      </c>
      <c r="G16" s="161">
        <f>'Consommation du 01.09 au 30.09'!U24</f>
        <v>0</v>
      </c>
      <c r="H16" s="161">
        <v>7.8338000000000001</v>
      </c>
      <c r="I16" s="161">
        <f>'Consommation du 01.09 au 30.09'!Y24*1000</f>
        <v>49.999999999272404</v>
      </c>
      <c r="J16" s="161">
        <v>0.53</v>
      </c>
      <c r="K16" s="161">
        <f>'Consommation du 01.09 au 30.09'!D24</f>
        <v>320</v>
      </c>
      <c r="L16" s="161">
        <v>12.67</v>
      </c>
      <c r="M16" s="160">
        <f>'Consommation du 01.09 au 30.09'!AC24</f>
        <v>0</v>
      </c>
      <c r="N16" s="160">
        <v>0</v>
      </c>
      <c r="O16" s="161">
        <f t="shared" si="0"/>
        <v>8563.6199999996152</v>
      </c>
    </row>
    <row r="17" spans="1:15" x14ac:dyDescent="0.2">
      <c r="A17" s="158" t="s">
        <v>84</v>
      </c>
      <c r="B17" s="159">
        <f t="shared" si="1"/>
        <v>16</v>
      </c>
      <c r="C17" s="159">
        <v>9</v>
      </c>
      <c r="D17" s="160">
        <v>2020</v>
      </c>
      <c r="E17" s="161">
        <f>'Consommation du 01.09 au 30.09'!M25</f>
        <v>0</v>
      </c>
      <c r="F17" s="161">
        <v>0.99</v>
      </c>
      <c r="G17" s="161">
        <f>'Consommation du 01.09 au 30.09'!U25</f>
        <v>0</v>
      </c>
      <c r="H17" s="161">
        <v>7.8338000000000001</v>
      </c>
      <c r="I17" s="161">
        <f>'Consommation du 01.09 au 30.09'!Y25*1000</f>
        <v>0</v>
      </c>
      <c r="J17" s="161">
        <v>0.53</v>
      </c>
      <c r="K17" s="161">
        <f>'Consommation du 01.09 au 30.09'!D25</f>
        <v>0</v>
      </c>
      <c r="L17" s="161">
        <v>12.67</v>
      </c>
      <c r="M17" s="160">
        <f>'Consommation du 01.09 au 30.09'!AC25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9</v>
      </c>
      <c r="D18" s="160">
        <v>2020</v>
      </c>
      <c r="E18" s="161">
        <f>'Consommation du 01.09 au 30.09'!M26</f>
        <v>0</v>
      </c>
      <c r="F18" s="161">
        <v>0.99</v>
      </c>
      <c r="G18" s="161">
        <f>'Consommation du 01.09 au 30.09'!U26</f>
        <v>0</v>
      </c>
      <c r="H18" s="161">
        <v>7.8338000000000001</v>
      </c>
      <c r="I18" s="161">
        <f>'Consommation du 01.09 au 30.09'!Y26*1000</f>
        <v>0</v>
      </c>
      <c r="J18" s="161">
        <v>0.53</v>
      </c>
      <c r="K18" s="161">
        <f>'Consommation du 01.09 au 30.09'!D26</f>
        <v>0</v>
      </c>
      <c r="L18" s="161">
        <v>12.67</v>
      </c>
      <c r="M18" s="160">
        <f>'Consommation du 01.09 au 30.09'!AC26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9</v>
      </c>
      <c r="D19" s="160">
        <v>2020</v>
      </c>
      <c r="E19" s="161">
        <f>'Consommation du 01.09 au 30.09'!M27</f>
        <v>0</v>
      </c>
      <c r="F19" s="161">
        <v>0.99</v>
      </c>
      <c r="G19" s="161">
        <f>'Consommation du 01.09 au 30.09'!U27</f>
        <v>0</v>
      </c>
      <c r="H19" s="161">
        <v>7.8338000000000001</v>
      </c>
      <c r="I19" s="161">
        <f>'Consommation du 01.09 au 30.09'!Y27*1000</f>
        <v>0</v>
      </c>
      <c r="J19" s="161">
        <v>0.53</v>
      </c>
      <c r="K19" s="161">
        <f>'Consommation du 01.09 au 30.09'!D27</f>
        <v>0</v>
      </c>
      <c r="L19" s="161">
        <v>12.67</v>
      </c>
      <c r="M19" s="160">
        <f>'Consommation du 01.09 au 30.09'!AC27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9</v>
      </c>
      <c r="D20" s="160">
        <v>2020</v>
      </c>
      <c r="E20" s="161">
        <f>'Consommation du 01.09 au 30.09'!M28</f>
        <v>0</v>
      </c>
      <c r="F20" s="161">
        <v>0.99</v>
      </c>
      <c r="G20" s="161">
        <f>'Consommation du 01.09 au 30.09'!U28</f>
        <v>0</v>
      </c>
      <c r="H20" s="161">
        <v>7.8338000000000001</v>
      </c>
      <c r="I20" s="161">
        <f>'Consommation du 01.09 au 30.09'!Y28*1000</f>
        <v>0</v>
      </c>
      <c r="J20" s="161">
        <v>0.53</v>
      </c>
      <c r="K20" s="161">
        <f>'Consommation du 01.09 au 30.09'!D28</f>
        <v>0</v>
      </c>
      <c r="L20" s="161">
        <v>12.67</v>
      </c>
      <c r="M20" s="160">
        <f>'Consommation du 01.09 au 30.09'!AC28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9</v>
      </c>
      <c r="D21" s="160">
        <v>2020</v>
      </c>
      <c r="E21" s="161">
        <f>'Consommation du 01.09 au 30.09'!M29</f>
        <v>0</v>
      </c>
      <c r="F21" s="161">
        <v>0.99</v>
      </c>
      <c r="G21" s="161">
        <f>'Consommation du 01.09 au 30.09'!U29</f>
        <v>0</v>
      </c>
      <c r="H21" s="161">
        <v>7.8338000000000001</v>
      </c>
      <c r="I21" s="161">
        <f>'Consommation du 01.09 au 30.09'!Y29*1000</f>
        <v>0</v>
      </c>
      <c r="J21" s="161">
        <v>0.53</v>
      </c>
      <c r="K21" s="161">
        <f>'Consommation du 01.09 au 30.09'!D29</f>
        <v>0</v>
      </c>
      <c r="L21" s="161">
        <v>12.67</v>
      </c>
      <c r="M21" s="160">
        <f>'Consommation du 01.09 au 30.09'!AC29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9</v>
      </c>
      <c r="D22" s="160">
        <v>2020</v>
      </c>
      <c r="E22" s="161">
        <f>'Consommation du 01.09 au 30.09'!M30</f>
        <v>0</v>
      </c>
      <c r="F22" s="161">
        <v>0.99</v>
      </c>
      <c r="G22" s="161">
        <f>'Consommation du 01.09 au 30.09'!U30</f>
        <v>0</v>
      </c>
      <c r="H22" s="161">
        <v>7.8338000000000001</v>
      </c>
      <c r="I22" s="161">
        <f>'Consommation du 01.09 au 30.09'!Y30*1000</f>
        <v>0</v>
      </c>
      <c r="J22" s="161">
        <v>0.53</v>
      </c>
      <c r="K22" s="161">
        <f>'Consommation du 01.09 au 30.09'!D30</f>
        <v>0</v>
      </c>
      <c r="L22" s="161">
        <v>12.67</v>
      </c>
      <c r="M22" s="160">
        <f>'Consommation du 01.09 au 30.09'!AC30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9</v>
      </c>
      <c r="D23" s="160">
        <v>2020</v>
      </c>
      <c r="E23" s="161">
        <f>'Consommation du 01.09 au 30.09'!M31</f>
        <v>0</v>
      </c>
      <c r="F23" s="161">
        <v>0.99</v>
      </c>
      <c r="G23" s="161">
        <f>'Consommation du 01.09 au 30.09'!U31</f>
        <v>0</v>
      </c>
      <c r="H23" s="161">
        <v>7.8338000000000001</v>
      </c>
      <c r="I23" s="161">
        <f>'Consommation du 01.09 au 30.09'!Y31*1000</f>
        <v>0</v>
      </c>
      <c r="J23" s="161">
        <v>0.53</v>
      </c>
      <c r="K23" s="161">
        <f>'Consommation du 01.09 au 30.09'!D31</f>
        <v>0</v>
      </c>
      <c r="L23" s="161">
        <v>12.67</v>
      </c>
      <c r="M23" s="160">
        <f>'Consommation du 01.09 au 30.09'!AC31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9</v>
      </c>
      <c r="D24" s="160">
        <v>2020</v>
      </c>
      <c r="E24" s="161">
        <f>'Consommation du 01.09 au 30.09'!M32</f>
        <v>0</v>
      </c>
      <c r="F24" s="161">
        <v>0.99</v>
      </c>
      <c r="G24" s="161">
        <f>'Consommation du 01.09 au 30.09'!U32</f>
        <v>0</v>
      </c>
      <c r="H24" s="161">
        <v>7.8338000000000001</v>
      </c>
      <c r="I24" s="161">
        <f>'Consommation du 01.09 au 30.09'!Y32*1000</f>
        <v>0</v>
      </c>
      <c r="J24" s="161">
        <v>0.53</v>
      </c>
      <c r="K24" s="161">
        <f>'Consommation du 01.09 au 30.09'!D32</f>
        <v>0</v>
      </c>
      <c r="L24" s="161">
        <v>12.67</v>
      </c>
      <c r="M24" s="160">
        <f>'Consommation du 01.09 au 30.09'!AC32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9</v>
      </c>
      <c r="D25" s="160">
        <v>2020</v>
      </c>
      <c r="E25" s="161">
        <f>'Consommation du 01.09 au 30.09'!M33</f>
        <v>0</v>
      </c>
      <c r="F25" s="161">
        <v>0.99</v>
      </c>
      <c r="G25" s="161">
        <f>'Consommation du 01.09 au 30.09'!U33</f>
        <v>0</v>
      </c>
      <c r="H25" s="161">
        <v>7.8338000000000001</v>
      </c>
      <c r="I25" s="161">
        <f>'Consommation du 01.09 au 30.09'!Y33*1000</f>
        <v>0</v>
      </c>
      <c r="J25" s="161">
        <v>0.53</v>
      </c>
      <c r="K25" s="161">
        <f>'Consommation du 01.09 au 30.09'!D33</f>
        <v>0</v>
      </c>
      <c r="L25" s="161">
        <v>12.67</v>
      </c>
      <c r="M25" s="160">
        <f>'Consommation du 01.09 au 30.09'!AC33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9</v>
      </c>
      <c r="D26" s="160">
        <v>2020</v>
      </c>
      <c r="E26" s="161">
        <f>'Consommation du 01.09 au 30.09'!M34</f>
        <v>0</v>
      </c>
      <c r="F26" s="161">
        <v>0.99</v>
      </c>
      <c r="G26" s="161">
        <f>'Consommation du 01.09 au 30.09'!U34</f>
        <v>0</v>
      </c>
      <c r="H26" s="161">
        <v>7.8338000000000001</v>
      </c>
      <c r="I26" s="161">
        <f>'Consommation du 01.09 au 30.09'!Y34*1000</f>
        <v>0</v>
      </c>
      <c r="J26" s="161">
        <v>0.53</v>
      </c>
      <c r="K26" s="161">
        <f>'Consommation du 01.09 au 30.09'!D34</f>
        <v>0</v>
      </c>
      <c r="L26" s="161">
        <v>12.67</v>
      </c>
      <c r="M26" s="160">
        <f>'Consommation du 01.09 au 30.09'!AC34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9</v>
      </c>
      <c r="D27" s="160">
        <v>2020</v>
      </c>
      <c r="E27" s="161">
        <f>'Consommation du 01.09 au 30.09'!M35</f>
        <v>0</v>
      </c>
      <c r="F27" s="161">
        <v>0.99</v>
      </c>
      <c r="G27" s="161">
        <f>'Consommation du 01.09 au 30.09'!U35</f>
        <v>0</v>
      </c>
      <c r="H27" s="161">
        <v>7.8338000000000001</v>
      </c>
      <c r="I27" s="161">
        <f>'Consommation du 01.09 au 30.09'!Y35*1000</f>
        <v>0</v>
      </c>
      <c r="J27" s="161">
        <v>0.53</v>
      </c>
      <c r="K27" s="161">
        <f>'Consommation du 01.09 au 30.09'!D35</f>
        <v>0</v>
      </c>
      <c r="L27" s="161">
        <v>12.67</v>
      </c>
      <c r="M27" s="160">
        <f>'Consommation du 01.09 au 30.09'!AC35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9</v>
      </c>
      <c r="D28" s="160">
        <v>2020</v>
      </c>
      <c r="E28" s="161">
        <f>'Consommation du 01.09 au 30.09'!M36</f>
        <v>0</v>
      </c>
      <c r="F28" s="161">
        <v>0.99</v>
      </c>
      <c r="G28" s="161">
        <f>'Consommation du 01.09 au 30.09'!U36</f>
        <v>0</v>
      </c>
      <c r="H28" s="161">
        <v>7.8338000000000001</v>
      </c>
      <c r="I28" s="161">
        <f>'Consommation du 01.09 au 30.09'!Y36*1000</f>
        <v>0</v>
      </c>
      <c r="J28" s="161">
        <v>0.53</v>
      </c>
      <c r="K28" s="161">
        <f>'Consommation du 01.09 au 30.09'!D36</f>
        <v>0</v>
      </c>
      <c r="L28" s="161">
        <v>12.67</v>
      </c>
      <c r="M28" s="160">
        <f>'Consommation du 01.09 au 30.09'!AC36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9</v>
      </c>
      <c r="D29" s="160">
        <v>2020</v>
      </c>
      <c r="E29" s="161">
        <f>'Consommation du 01.09 au 30.09'!M37</f>
        <v>0</v>
      </c>
      <c r="F29" s="161">
        <v>0.99</v>
      </c>
      <c r="G29" s="161">
        <f>'Consommation du 01.09 au 30.09'!U37</f>
        <v>0</v>
      </c>
      <c r="H29" s="161">
        <v>7.8338000000000001</v>
      </c>
      <c r="I29" s="161">
        <f>'Consommation du 01.09 au 30.09'!Y37*1000</f>
        <v>0</v>
      </c>
      <c r="J29" s="161">
        <v>0.53</v>
      </c>
      <c r="K29" s="161">
        <f>'Consommation du 01.09 au 30.09'!D37</f>
        <v>0</v>
      </c>
      <c r="L29" s="161">
        <v>12.67</v>
      </c>
      <c r="M29" s="160">
        <f>'Consommation du 01.09 au 30.09'!AC37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9</v>
      </c>
      <c r="D30" s="160">
        <v>2020</v>
      </c>
      <c r="E30" s="161">
        <f>'Consommation du 01.09 au 30.09'!M38</f>
        <v>0</v>
      </c>
      <c r="F30" s="161">
        <v>0.99</v>
      </c>
      <c r="G30" s="161">
        <f>'Consommation du 01.09 au 30.09'!U38</f>
        <v>0</v>
      </c>
      <c r="H30" s="161">
        <v>7.8338000000000001</v>
      </c>
      <c r="I30" s="161">
        <f>'Consommation du 01.09 au 30.09'!Y38*1000</f>
        <v>0</v>
      </c>
      <c r="J30" s="161">
        <v>0.53</v>
      </c>
      <c r="K30" s="161">
        <f>'Consommation du 01.09 au 30.09'!D38</f>
        <v>0</v>
      </c>
      <c r="L30" s="161">
        <v>12.67</v>
      </c>
      <c r="M30" s="160">
        <f>'Consommation du 01.09 au 30.09'!AC38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9</v>
      </c>
      <c r="D31" s="160">
        <v>2020</v>
      </c>
      <c r="E31" s="161">
        <f>'Consommation du 01.09 au 30.09'!M39</f>
        <v>0</v>
      </c>
      <c r="F31" s="161">
        <v>0.99</v>
      </c>
      <c r="G31" s="161">
        <f>'Consommation du 01.09 au 30.09'!U39</f>
        <v>0</v>
      </c>
      <c r="H31" s="161">
        <v>7.8338000000000001</v>
      </c>
      <c r="I31" s="161">
        <f>'Consommation du 01.09 au 30.09'!Y39*1000</f>
        <v>0</v>
      </c>
      <c r="J31" s="161">
        <v>0.53</v>
      </c>
      <c r="K31" s="161">
        <f>'Consommation du 01.09 au 30.09'!D39</f>
        <v>0</v>
      </c>
      <c r="L31" s="161">
        <v>12.67</v>
      </c>
      <c r="M31" s="160">
        <f>'Consommation du 01.09 au 30.09'!AC39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78534.98163999962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25" sqref="X2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44075</v>
      </c>
      <c r="C10" s="93"/>
      <c r="D10" s="148">
        <f>'Suivi EAU-ELEC'!C16</f>
        <v>90</v>
      </c>
      <c r="E10" s="152"/>
      <c r="F10" s="206">
        <f t="shared" ref="F10:F40" si="0">D10*12.67</f>
        <v>1140.3</v>
      </c>
      <c r="G10" s="207"/>
      <c r="H10" s="208"/>
      <c r="I10" s="143"/>
      <c r="J10" s="94">
        <f>'Suivi EAU-ELEC'!E16</f>
        <v>980</v>
      </c>
      <c r="K10" s="95">
        <f>'Suivi EAU-ELEC'!G16</f>
        <v>1741</v>
      </c>
      <c r="L10" s="95">
        <f>'Suivi EAU-ELEC'!I16</f>
        <v>599</v>
      </c>
      <c r="M10" s="82">
        <f>L10+K10+J10</f>
        <v>3320</v>
      </c>
      <c r="N10" s="58"/>
      <c r="O10" s="59">
        <f>J10*0.99+K10*0.99+L10*0.99</f>
        <v>3286.8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17028.62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34</v>
      </c>
      <c r="AC10" s="78">
        <v>0</v>
      </c>
      <c r="AD10" s="79">
        <v>0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4427.1000000000004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44076</v>
      </c>
      <c r="C11" s="93"/>
      <c r="D11" s="148">
        <f>'Suivi EAU-ELEC'!C17</f>
        <v>80</v>
      </c>
      <c r="E11" s="96"/>
      <c r="F11" s="206">
        <f t="shared" si="0"/>
        <v>1013.6</v>
      </c>
      <c r="G11" s="207"/>
      <c r="H11" s="208"/>
      <c r="I11" s="143"/>
      <c r="J11" s="94">
        <f>'Suivi EAU-ELEC'!E17</f>
        <v>1015</v>
      </c>
      <c r="K11" s="95">
        <f>'Suivi EAU-ELEC'!G17</f>
        <v>1757</v>
      </c>
      <c r="L11" s="95">
        <f>'Suivi EAU-ELEC'!I17</f>
        <v>651</v>
      </c>
      <c r="M11" s="82">
        <f t="shared" ref="M11:M40" si="4">L11+K11+J11</f>
        <v>3423</v>
      </c>
      <c r="N11" s="58"/>
      <c r="O11" s="59">
        <f t="shared" ref="O11:O40" si="5">J11*0.99+K11*0.99+L11*0.99</f>
        <v>3388.7700000000004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17028.62</v>
      </c>
      <c r="Y11" s="149">
        <f t="shared" si="1"/>
        <v>0</v>
      </c>
      <c r="Z11" s="64">
        <f t="shared" ref="Z11:Z40" si="7">Y11*0.53*1000</f>
        <v>0</v>
      </c>
      <c r="AA11" s="58"/>
      <c r="AB11" s="84">
        <v>30</v>
      </c>
      <c r="AC11" s="78">
        <v>0</v>
      </c>
      <c r="AD11" s="79">
        <v>0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4402.3700000000008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44077</v>
      </c>
      <c r="C12" s="93"/>
      <c r="D12" s="148">
        <f>'Suivi EAU-ELEC'!C18</f>
        <v>90</v>
      </c>
      <c r="E12" s="96"/>
      <c r="F12" s="206">
        <f t="shared" si="0"/>
        <v>1140.3</v>
      </c>
      <c r="G12" s="207"/>
      <c r="H12" s="208"/>
      <c r="I12" s="143"/>
      <c r="J12" s="94">
        <f>'Suivi EAU-ELEC'!E18</f>
        <v>996</v>
      </c>
      <c r="K12" s="95">
        <f>'Suivi EAU-ELEC'!G18</f>
        <v>1637</v>
      </c>
      <c r="L12" s="95">
        <f>'Suivi EAU-ELEC'!I18</f>
        <v>552</v>
      </c>
      <c r="M12" s="82">
        <f t="shared" si="4"/>
        <v>3185</v>
      </c>
      <c r="N12" s="58"/>
      <c r="O12" s="59">
        <f t="shared" si="5"/>
        <v>3153.15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17028.62</v>
      </c>
      <c r="Y12" s="149">
        <f t="shared" si="1"/>
        <v>0</v>
      </c>
      <c r="Z12" s="64">
        <f t="shared" si="7"/>
        <v>0</v>
      </c>
      <c r="AA12" s="58"/>
      <c r="AB12" s="84">
        <v>34</v>
      </c>
      <c r="AC12" s="78">
        <v>0</v>
      </c>
      <c r="AD12" s="79">
        <v>0</v>
      </c>
      <c r="AE12" s="83" t="s">
        <v>85</v>
      </c>
      <c r="AF12" s="83" t="s">
        <v>85</v>
      </c>
      <c r="AG12" s="80" t="s">
        <v>85</v>
      </c>
      <c r="AH12" s="81" t="s">
        <v>85</v>
      </c>
      <c r="AI12" s="44"/>
      <c r="AJ12" s="130">
        <f t="shared" si="2"/>
        <v>4293.45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44078</v>
      </c>
      <c r="C13" s="93"/>
      <c r="D13" s="148">
        <f>'Suivi EAU-ELEC'!C19</f>
        <v>80</v>
      </c>
      <c r="E13" s="96"/>
      <c r="F13" s="203">
        <f t="shared" si="0"/>
        <v>1013.6</v>
      </c>
      <c r="G13" s="204"/>
      <c r="H13" s="205"/>
      <c r="I13" s="143"/>
      <c r="J13" s="94">
        <f>'Suivi EAU-ELEC'!E19</f>
        <v>1003</v>
      </c>
      <c r="K13" s="95">
        <f>'Suivi EAU-ELEC'!G19</f>
        <v>1765</v>
      </c>
      <c r="L13" s="95">
        <f>'Suivi EAU-ELEC'!I19</f>
        <v>661</v>
      </c>
      <c r="M13" s="82">
        <f t="shared" si="4"/>
        <v>3429</v>
      </c>
      <c r="N13" s="58"/>
      <c r="O13" s="59">
        <f t="shared" si="5"/>
        <v>3394.7099999999996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17028.62</v>
      </c>
      <c r="Y13" s="149">
        <f t="shared" si="1"/>
        <v>0</v>
      </c>
      <c r="Z13" s="64">
        <f t="shared" si="7"/>
        <v>0</v>
      </c>
      <c r="AA13" s="58"/>
      <c r="AB13" s="84">
        <v>32</v>
      </c>
      <c r="AC13" s="78">
        <v>0</v>
      </c>
      <c r="AD13" s="79">
        <v>0</v>
      </c>
      <c r="AE13" s="83" t="s">
        <v>85</v>
      </c>
      <c r="AF13" s="83" t="s">
        <v>85</v>
      </c>
      <c r="AG13" s="80" t="s">
        <v>85</v>
      </c>
      <c r="AH13" s="81" t="s">
        <v>85</v>
      </c>
      <c r="AI13" s="44"/>
      <c r="AJ13" s="130">
        <f t="shared" si="2"/>
        <v>4408.3099999999995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44079</v>
      </c>
      <c r="C14" s="93"/>
      <c r="D14" s="148">
        <f>'Suivi EAU-ELEC'!C20</f>
        <v>90</v>
      </c>
      <c r="E14" s="96"/>
      <c r="F14" s="206">
        <f t="shared" si="0"/>
        <v>1140.3</v>
      </c>
      <c r="G14" s="207"/>
      <c r="H14" s="208"/>
      <c r="I14" s="143"/>
      <c r="J14" s="94">
        <f>'Suivi EAU-ELEC'!E20</f>
        <v>1042</v>
      </c>
      <c r="K14" s="95">
        <f>'Suivi EAU-ELEC'!G20</f>
        <v>1752</v>
      </c>
      <c r="L14" s="95">
        <f>'Suivi EAU-ELEC'!I20</f>
        <v>670</v>
      </c>
      <c r="M14" s="82">
        <f t="shared" si="4"/>
        <v>3464</v>
      </c>
      <c r="N14" s="58"/>
      <c r="O14" s="59">
        <f t="shared" si="5"/>
        <v>3429.3599999999997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17028.62</v>
      </c>
      <c r="Y14" s="149">
        <f t="shared" si="1"/>
        <v>0</v>
      </c>
      <c r="Z14" s="64">
        <f t="shared" si="7"/>
        <v>0</v>
      </c>
      <c r="AA14" s="58"/>
      <c r="AB14" s="61">
        <v>35</v>
      </c>
      <c r="AC14" s="78">
        <v>0</v>
      </c>
      <c r="AD14" s="79">
        <v>0</v>
      </c>
      <c r="AE14" s="83" t="s">
        <v>85</v>
      </c>
      <c r="AF14" s="83" t="s">
        <v>85</v>
      </c>
      <c r="AG14" s="80" t="s">
        <v>85</v>
      </c>
      <c r="AH14" s="81" t="s">
        <v>85</v>
      </c>
      <c r="AI14" s="44"/>
      <c r="AJ14" s="130">
        <f t="shared" si="2"/>
        <v>4569.66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44080</v>
      </c>
      <c r="C15" s="93"/>
      <c r="D15" s="148">
        <f>'Suivi EAU-ELEC'!C21</f>
        <v>80</v>
      </c>
      <c r="E15" s="96"/>
      <c r="F15" s="209">
        <f t="shared" si="0"/>
        <v>1013.6</v>
      </c>
      <c r="G15" s="210"/>
      <c r="H15" s="211"/>
      <c r="I15" s="145"/>
      <c r="J15" s="94">
        <f>'Suivi EAU-ELEC'!E21</f>
        <v>1022</v>
      </c>
      <c r="K15" s="95">
        <f>'Suivi EAU-ELEC'!G21</f>
        <v>1611</v>
      </c>
      <c r="L15" s="95">
        <f>'Suivi EAU-ELEC'!I21</f>
        <v>626</v>
      </c>
      <c r="M15" s="82">
        <f t="shared" si="4"/>
        <v>3259</v>
      </c>
      <c r="N15" s="58"/>
      <c r="O15" s="59">
        <f t="shared" si="5"/>
        <v>3226.41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17028.62</v>
      </c>
      <c r="Y15" s="149">
        <f t="shared" si="1"/>
        <v>0</v>
      </c>
      <c r="Z15" s="64">
        <f t="shared" si="7"/>
        <v>0</v>
      </c>
      <c r="AA15" s="58"/>
      <c r="AB15" s="61">
        <v>36</v>
      </c>
      <c r="AC15" s="78">
        <v>0</v>
      </c>
      <c r="AD15" s="79">
        <v>0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4240.01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44081</v>
      </c>
      <c r="C16" s="93"/>
      <c r="D16" s="148">
        <f>'Suivi EAU-ELEC'!C22</f>
        <v>70</v>
      </c>
      <c r="E16" s="96"/>
      <c r="F16" s="203">
        <f t="shared" si="0"/>
        <v>886.9</v>
      </c>
      <c r="G16" s="204"/>
      <c r="H16" s="205"/>
      <c r="I16" s="142"/>
      <c r="J16" s="94">
        <f>'Suivi EAU-ELEC'!E22</f>
        <v>980</v>
      </c>
      <c r="K16" s="95">
        <f>'Suivi EAU-ELEC'!G22</f>
        <v>1741</v>
      </c>
      <c r="L16" s="95">
        <f>'Suivi EAU-ELEC'!I22</f>
        <v>599</v>
      </c>
      <c r="M16" s="82">
        <f t="shared" si="4"/>
        <v>3320</v>
      </c>
      <c r="N16" s="58"/>
      <c r="O16" s="59">
        <f t="shared" si="5"/>
        <v>3286.8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17028.62</v>
      </c>
      <c r="Y16" s="149">
        <f t="shared" si="1"/>
        <v>0</v>
      </c>
      <c r="Z16" s="64">
        <f t="shared" si="7"/>
        <v>0</v>
      </c>
      <c r="AA16" s="58"/>
      <c r="AB16" s="61">
        <v>35</v>
      </c>
      <c r="AC16" s="78">
        <v>0</v>
      </c>
      <c r="AD16" s="79">
        <v>0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4173.7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44082</v>
      </c>
      <c r="C17" s="93"/>
      <c r="D17" s="148">
        <f>'Suivi EAU-ELEC'!C23</f>
        <v>110</v>
      </c>
      <c r="E17" s="96"/>
      <c r="F17" s="206">
        <f t="shared" si="0"/>
        <v>1393.7</v>
      </c>
      <c r="G17" s="207"/>
      <c r="H17" s="208"/>
      <c r="I17" s="143"/>
      <c r="J17" s="94">
        <f>'Suivi EAU-ELEC'!E23</f>
        <v>1062</v>
      </c>
      <c r="K17" s="95">
        <f>'Suivi EAU-ELEC'!G23</f>
        <v>1772</v>
      </c>
      <c r="L17" s="95">
        <f>'Suivi EAU-ELEC'!I23</f>
        <v>690</v>
      </c>
      <c r="M17" s="82">
        <f t="shared" si="4"/>
        <v>3524</v>
      </c>
      <c r="N17" s="58"/>
      <c r="O17" s="59">
        <f t="shared" si="5"/>
        <v>3488.7599999999998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17028.62</v>
      </c>
      <c r="Y17" s="149">
        <f t="shared" si="1"/>
        <v>0</v>
      </c>
      <c r="Z17" s="64">
        <f t="shared" si="7"/>
        <v>0</v>
      </c>
      <c r="AA17" s="67"/>
      <c r="AB17" s="61">
        <v>34</v>
      </c>
      <c r="AC17" s="78">
        <v>0</v>
      </c>
      <c r="AD17" s="79">
        <v>0</v>
      </c>
      <c r="AE17" s="83" t="s">
        <v>85</v>
      </c>
      <c r="AF17" s="83" t="s">
        <v>85</v>
      </c>
      <c r="AG17" s="80" t="s">
        <v>85</v>
      </c>
      <c r="AH17" s="81" t="s">
        <v>85</v>
      </c>
      <c r="AI17" s="44"/>
      <c r="AJ17" s="130">
        <f t="shared" si="2"/>
        <v>4882.46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44083</v>
      </c>
      <c r="C18" s="93"/>
      <c r="D18" s="148">
        <f>'Suivi EAU-ELEC'!C24</f>
        <v>100</v>
      </c>
      <c r="E18" s="96"/>
      <c r="F18" s="209">
        <f t="shared" si="0"/>
        <v>1267</v>
      </c>
      <c r="G18" s="210"/>
      <c r="H18" s="211"/>
      <c r="I18" s="143"/>
      <c r="J18" s="94">
        <f>'Suivi EAU-ELEC'!E24</f>
        <v>1073</v>
      </c>
      <c r="K18" s="95">
        <f>'Suivi EAU-ELEC'!G24</f>
        <v>1673</v>
      </c>
      <c r="L18" s="95">
        <f>'Suivi EAU-ELEC'!I24</f>
        <v>596</v>
      </c>
      <c r="M18" s="82">
        <f t="shared" si="4"/>
        <v>3342</v>
      </c>
      <c r="N18" s="58"/>
      <c r="O18" s="59">
        <f t="shared" si="5"/>
        <v>3308.58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17028.62</v>
      </c>
      <c r="Y18" s="149">
        <f t="shared" si="1"/>
        <v>0</v>
      </c>
      <c r="Z18" s="64">
        <f t="shared" si="7"/>
        <v>0</v>
      </c>
      <c r="AA18" s="67"/>
      <c r="AB18" s="61">
        <v>32</v>
      </c>
      <c r="AC18" s="78">
        <v>0</v>
      </c>
      <c r="AD18" s="79">
        <v>0</v>
      </c>
      <c r="AE18" s="83" t="s">
        <v>85</v>
      </c>
      <c r="AF18" s="83" t="s">
        <v>85</v>
      </c>
      <c r="AG18" s="80" t="s">
        <v>85</v>
      </c>
      <c r="AH18" s="81" t="s">
        <v>85</v>
      </c>
      <c r="AI18" s="44"/>
      <c r="AJ18" s="130">
        <f t="shared" si="2"/>
        <v>4575.58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44084</v>
      </c>
      <c r="C19" s="93"/>
      <c r="D19" s="148">
        <f>'Suivi EAU-ELEC'!C25</f>
        <v>250</v>
      </c>
      <c r="E19" s="96"/>
      <c r="F19" s="206">
        <f t="shared" si="0"/>
        <v>3167.5</v>
      </c>
      <c r="G19" s="207"/>
      <c r="H19" s="208"/>
      <c r="I19" s="143"/>
      <c r="J19" s="94">
        <f>'Suivi EAU-ELEC'!E25</f>
        <v>470</v>
      </c>
      <c r="K19" s="95">
        <f>'Suivi EAU-ELEC'!G25</f>
        <v>1290</v>
      </c>
      <c r="L19" s="95">
        <f>'Suivi EAU-ELEC'!I25</f>
        <v>365</v>
      </c>
      <c r="M19" s="82">
        <f t="shared" si="4"/>
        <v>2125</v>
      </c>
      <c r="N19" s="58"/>
      <c r="O19" s="59">
        <f t="shared" si="5"/>
        <v>2103.75</v>
      </c>
      <c r="P19" s="57"/>
      <c r="Q19" s="55"/>
      <c r="R19" s="56"/>
      <c r="S19" s="55"/>
      <c r="T19" s="96"/>
      <c r="U19" s="60">
        <f>'Suivi Gaz'!O20</f>
        <v>185.5</v>
      </c>
      <c r="V19" s="58"/>
      <c r="W19" s="59">
        <f t="shared" si="6"/>
        <v>1453.1699000000001</v>
      </c>
      <c r="X19" s="65">
        <v>17028.62</v>
      </c>
      <c r="Y19" s="149">
        <f t="shared" si="1"/>
        <v>0</v>
      </c>
      <c r="Z19" s="64">
        <f t="shared" si="7"/>
        <v>0</v>
      </c>
      <c r="AA19" s="67"/>
      <c r="AB19" s="61">
        <v>29</v>
      </c>
      <c r="AC19" s="78">
        <v>0</v>
      </c>
      <c r="AD19" s="79">
        <v>0</v>
      </c>
      <c r="AE19" s="83" t="s">
        <v>85</v>
      </c>
      <c r="AF19" s="83" t="s">
        <v>85</v>
      </c>
      <c r="AG19" s="80" t="s">
        <v>85</v>
      </c>
      <c r="AH19" s="81" t="s">
        <v>85</v>
      </c>
      <c r="AI19" s="44"/>
      <c r="AJ19" s="130">
        <f t="shared" si="2"/>
        <v>6724.4198999999999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44085</v>
      </c>
      <c r="C20" s="93"/>
      <c r="D20" s="148">
        <f>'Suivi EAU-ELEC'!C26</f>
        <v>100</v>
      </c>
      <c r="E20" s="96"/>
      <c r="F20" s="203">
        <f t="shared" si="0"/>
        <v>1267</v>
      </c>
      <c r="G20" s="204"/>
      <c r="H20" s="205"/>
      <c r="I20" s="143"/>
      <c r="J20" s="94">
        <f>'Suivi EAU-ELEC'!E26</f>
        <v>910</v>
      </c>
      <c r="K20" s="95">
        <f>'Suivi EAU-ELEC'!G26</f>
        <v>1868</v>
      </c>
      <c r="L20" s="95">
        <f>'Suivi EAU-ELEC'!I26</f>
        <v>602</v>
      </c>
      <c r="M20" s="82">
        <f t="shared" si="4"/>
        <v>3380</v>
      </c>
      <c r="N20" s="58"/>
      <c r="O20" s="59">
        <f t="shared" si="5"/>
        <v>3346.2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17028.62</v>
      </c>
      <c r="Y20" s="149">
        <f t="shared" si="1"/>
        <v>0</v>
      </c>
      <c r="Z20" s="64">
        <f t="shared" si="7"/>
        <v>0</v>
      </c>
      <c r="AA20" s="67">
        <v>14</v>
      </c>
      <c r="AB20" s="61">
        <v>28</v>
      </c>
      <c r="AC20" s="78">
        <v>0</v>
      </c>
      <c r="AD20" s="79">
        <v>0</v>
      </c>
      <c r="AE20" s="83" t="s">
        <v>85</v>
      </c>
      <c r="AF20" s="83" t="s">
        <v>85</v>
      </c>
      <c r="AG20" s="80" t="s">
        <v>85</v>
      </c>
      <c r="AH20" s="81" t="s">
        <v>85</v>
      </c>
      <c r="AI20" s="44"/>
      <c r="AJ20" s="130">
        <f t="shared" si="2"/>
        <v>4613.2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44086</v>
      </c>
      <c r="C21" s="93"/>
      <c r="D21" s="148">
        <f>'Suivi EAU-ELEC'!C27</f>
        <v>100</v>
      </c>
      <c r="E21" s="96"/>
      <c r="F21" s="206">
        <f t="shared" si="0"/>
        <v>1267</v>
      </c>
      <c r="G21" s="207"/>
      <c r="H21" s="208"/>
      <c r="I21" s="143"/>
      <c r="J21" s="94">
        <f>'Suivi EAU-ELEC'!E27</f>
        <v>822</v>
      </c>
      <c r="K21" s="95">
        <f>'Suivi EAU-ELEC'!G27</f>
        <v>1534</v>
      </c>
      <c r="L21" s="95">
        <f>'Suivi EAU-ELEC'!I27</f>
        <v>570</v>
      </c>
      <c r="M21" s="82">
        <f t="shared" si="4"/>
        <v>2926</v>
      </c>
      <c r="N21" s="58"/>
      <c r="O21" s="59">
        <f t="shared" si="5"/>
        <v>2896.74</v>
      </c>
      <c r="P21" s="57"/>
      <c r="Q21" s="55"/>
      <c r="R21" s="56"/>
      <c r="S21" s="55"/>
      <c r="T21" s="96"/>
      <c r="U21" s="60">
        <f>'Suivi Gaz'!O22</f>
        <v>111.30000000000001</v>
      </c>
      <c r="V21" s="58"/>
      <c r="W21" s="59">
        <f t="shared" si="6"/>
        <v>871.90194000000008</v>
      </c>
      <c r="X21" s="65">
        <v>17028.62</v>
      </c>
      <c r="Y21" s="149">
        <f t="shared" si="1"/>
        <v>0</v>
      </c>
      <c r="Z21" s="64">
        <f t="shared" si="7"/>
        <v>0</v>
      </c>
      <c r="AA21" s="67">
        <v>14</v>
      </c>
      <c r="AB21" s="61">
        <v>30</v>
      </c>
      <c r="AC21" s="78">
        <v>0</v>
      </c>
      <c r="AD21" s="79">
        <v>0</v>
      </c>
      <c r="AE21" s="83" t="s">
        <v>85</v>
      </c>
      <c r="AF21" s="83" t="s">
        <v>85</v>
      </c>
      <c r="AG21" s="80" t="s">
        <v>85</v>
      </c>
      <c r="AH21" s="81" t="s">
        <v>85</v>
      </c>
      <c r="AI21" s="44"/>
      <c r="AJ21" s="130">
        <f t="shared" si="2"/>
        <v>5035.6419399999995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44087</v>
      </c>
      <c r="C22" s="93"/>
      <c r="D22" s="148">
        <f>'Suivi EAU-ELEC'!C28</f>
        <v>100</v>
      </c>
      <c r="E22" s="96"/>
      <c r="F22" s="209">
        <f t="shared" si="0"/>
        <v>1267</v>
      </c>
      <c r="G22" s="210"/>
      <c r="H22" s="211"/>
      <c r="I22" s="143"/>
      <c r="J22" s="94">
        <f>'Suivi EAU-ELEC'!E28</f>
        <v>813</v>
      </c>
      <c r="K22" s="95">
        <f>'Suivi EAU-ELEC'!G28</f>
        <v>1543</v>
      </c>
      <c r="L22" s="95">
        <f>'Suivi EAU-ELEC'!I28</f>
        <v>536</v>
      </c>
      <c r="M22" s="82">
        <f t="shared" si="4"/>
        <v>2892</v>
      </c>
      <c r="N22" s="58"/>
      <c r="O22" s="59">
        <f t="shared" si="5"/>
        <v>2863.08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17028.62</v>
      </c>
      <c r="Y22" s="149">
        <f t="shared" si="1"/>
        <v>0</v>
      </c>
      <c r="Z22" s="64">
        <f t="shared" si="7"/>
        <v>0</v>
      </c>
      <c r="AA22" s="58"/>
      <c r="AB22" s="61">
        <v>29</v>
      </c>
      <c r="AC22" s="78">
        <v>0</v>
      </c>
      <c r="AD22" s="79">
        <v>0</v>
      </c>
      <c r="AE22" s="83" t="s">
        <v>85</v>
      </c>
      <c r="AF22" s="83" t="s">
        <v>85</v>
      </c>
      <c r="AG22" s="80" t="s">
        <v>85</v>
      </c>
      <c r="AH22" s="81" t="s">
        <v>85</v>
      </c>
      <c r="AI22" s="44"/>
      <c r="AJ22" s="130">
        <f t="shared" si="2"/>
        <v>4130.08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44088</v>
      </c>
      <c r="C23" s="93"/>
      <c r="D23" s="148">
        <f>'Suivi EAU-ELEC'!C29</f>
        <v>200</v>
      </c>
      <c r="E23" s="96"/>
      <c r="F23" s="206">
        <f t="shared" si="0"/>
        <v>2534</v>
      </c>
      <c r="G23" s="207"/>
      <c r="H23" s="208"/>
      <c r="I23" s="143"/>
      <c r="J23" s="94">
        <f>'Suivi EAU-ELEC'!E29</f>
        <v>1004</v>
      </c>
      <c r="K23" s="95">
        <f>'Suivi EAU-ELEC'!G29</f>
        <v>2436</v>
      </c>
      <c r="L23" s="95">
        <f>'Suivi EAU-ELEC'!I29</f>
        <v>656</v>
      </c>
      <c r="M23" s="82">
        <f t="shared" si="4"/>
        <v>4096</v>
      </c>
      <c r="N23" s="58"/>
      <c r="O23" s="59">
        <f t="shared" si="5"/>
        <v>4055.04</v>
      </c>
      <c r="P23" s="57"/>
      <c r="Q23" s="55"/>
      <c r="R23" s="56"/>
      <c r="S23" s="55"/>
      <c r="T23" s="96"/>
      <c r="U23" s="60">
        <f>'Suivi Gaz'!O24</f>
        <v>371</v>
      </c>
      <c r="V23" s="58"/>
      <c r="W23" s="59">
        <f t="shared" si="6"/>
        <v>2906.3398000000002</v>
      </c>
      <c r="X23" s="65">
        <v>17028.62</v>
      </c>
      <c r="Y23" s="149">
        <f t="shared" si="1"/>
        <v>0</v>
      </c>
      <c r="Z23" s="64">
        <f t="shared" si="7"/>
        <v>0</v>
      </c>
      <c r="AA23" s="58"/>
      <c r="AB23" s="61">
        <v>31</v>
      </c>
      <c r="AC23" s="78">
        <v>0</v>
      </c>
      <c r="AD23" s="79">
        <v>0</v>
      </c>
      <c r="AE23" s="83" t="s">
        <v>85</v>
      </c>
      <c r="AF23" s="83" t="s">
        <v>85</v>
      </c>
      <c r="AG23" s="80" t="s">
        <v>85</v>
      </c>
      <c r="AH23" s="81" t="s">
        <v>85</v>
      </c>
      <c r="AI23" s="44"/>
      <c r="AJ23" s="130">
        <f t="shared" si="2"/>
        <v>9495.3798000000006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44089</v>
      </c>
      <c r="C24" s="93"/>
      <c r="D24" s="148">
        <f>'Suivi EAU-ELEC'!C30</f>
        <v>320</v>
      </c>
      <c r="E24" s="96"/>
      <c r="F24" s="206">
        <f t="shared" si="0"/>
        <v>4054.4</v>
      </c>
      <c r="G24" s="207"/>
      <c r="H24" s="208"/>
      <c r="I24" s="143"/>
      <c r="J24" s="94">
        <f>'Suivi EAU-ELEC'!E30</f>
        <v>1135</v>
      </c>
      <c r="K24" s="95">
        <f>'Suivi EAU-ELEC'!G30</f>
        <v>2509</v>
      </c>
      <c r="L24" s="95">
        <f>'Suivi EAU-ELEC'!I30</f>
        <v>884</v>
      </c>
      <c r="M24" s="82">
        <f t="shared" si="4"/>
        <v>4528</v>
      </c>
      <c r="N24" s="58"/>
      <c r="O24" s="59">
        <f t="shared" si="5"/>
        <v>4482.72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17028.62</v>
      </c>
      <c r="Y24" s="149">
        <f t="shared" si="1"/>
        <v>4.9999999999272404E-2</v>
      </c>
      <c r="Z24" s="64">
        <f t="shared" si="7"/>
        <v>26.499999999614378</v>
      </c>
      <c r="AA24" s="58"/>
      <c r="AB24" s="61">
        <v>31</v>
      </c>
      <c r="AC24" s="78">
        <v>0</v>
      </c>
      <c r="AD24" s="79">
        <v>0</v>
      </c>
      <c r="AE24" s="83" t="s">
        <v>85</v>
      </c>
      <c r="AF24" s="83" t="s">
        <v>85</v>
      </c>
      <c r="AG24" s="80" t="s">
        <v>85</v>
      </c>
      <c r="AH24" s="81" t="s">
        <v>85</v>
      </c>
      <c r="AJ24" s="130">
        <f>(F24+O24+W24+Z24)</f>
        <v>8563.6199999996152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44090</v>
      </c>
      <c r="C25" s="93"/>
      <c r="D25" s="148">
        <f>'Suivi EAU-ELEC'!C31</f>
        <v>0</v>
      </c>
      <c r="E25" s="96"/>
      <c r="F25" s="206">
        <f t="shared" si="0"/>
        <v>0</v>
      </c>
      <c r="G25" s="207"/>
      <c r="H25" s="20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17028.669999999998</v>
      </c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44091</v>
      </c>
      <c r="C26" s="93"/>
      <c r="D26" s="148">
        <f>'Suivi EAU-ELEC'!C32</f>
        <v>0</v>
      </c>
      <c r="E26" s="151"/>
      <c r="F26" s="206">
        <f t="shared" si="0"/>
        <v>0</v>
      </c>
      <c r="G26" s="207"/>
      <c r="H26" s="20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44092</v>
      </c>
      <c r="C27" s="93"/>
      <c r="D27" s="148">
        <f>'Suivi EAU-ELEC'!C33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44093</v>
      </c>
      <c r="C28" s="93"/>
      <c r="D28" s="148">
        <f>'Suivi EAU-ELEC'!C34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44094</v>
      </c>
      <c r="C29" s="93"/>
      <c r="D29" s="148">
        <f>'Suivi EAU-ELEC'!C35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44095</v>
      </c>
      <c r="C30" s="98"/>
      <c r="D30" s="148">
        <f>'Suivi EAU-ELEC'!C36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44096</v>
      </c>
      <c r="C31" s="93"/>
      <c r="D31" s="148">
        <f>'Suivi EAU-ELEC'!C37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44097</v>
      </c>
      <c r="C32" s="93"/>
      <c r="D32" s="148">
        <f>'Suivi EAU-ELEC'!C38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44098</v>
      </c>
      <c r="C33" s="93"/>
      <c r="D33" s="148">
        <f>'Suivi EAU-ELEC'!C39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44099</v>
      </c>
      <c r="C34" s="93"/>
      <c r="D34" s="148">
        <f>'Suivi EAU-ELEC'!C40</f>
        <v>0</v>
      </c>
      <c r="E34" s="96"/>
      <c r="F34" s="206">
        <f t="shared" si="0"/>
        <v>0</v>
      </c>
      <c r="G34" s="207"/>
      <c r="H34" s="20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44100</v>
      </c>
      <c r="C35" s="93"/>
      <c r="D35" s="148">
        <f>'Suivi EAU-ELEC'!C41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44101</v>
      </c>
      <c r="C36" s="93"/>
      <c r="D36" s="148">
        <f>'Suivi EAU-ELEC'!C42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44102</v>
      </c>
      <c r="C37" s="93"/>
      <c r="D37" s="148">
        <f>'Suivi EAU-ELEC'!C43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44103</v>
      </c>
      <c r="C38" s="93"/>
      <c r="D38" s="148">
        <f>'Suivi EAU-ELEC'!C44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44104</v>
      </c>
      <c r="C39" s="93"/>
      <c r="D39" s="148">
        <f>'Suivi EAU-ELEC'!C45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44105</v>
      </c>
      <c r="C40" s="93"/>
      <c r="D40" s="148">
        <f>'Suivi EAU-ELEC'!C46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23566.200000000004</v>
      </c>
      <c r="G41" s="213"/>
      <c r="H41" s="214"/>
      <c r="I41" s="102"/>
      <c r="J41" s="104">
        <f>SUM(J10:J40)</f>
        <v>14327</v>
      </c>
      <c r="K41" s="104">
        <f>SUM(K10:K40)</f>
        <v>26629</v>
      </c>
      <c r="L41" s="104">
        <f>SUM(L10:L40)</f>
        <v>9257</v>
      </c>
      <c r="M41" s="104">
        <f>SUM(M10:M40)</f>
        <v>50213</v>
      </c>
      <c r="N41" s="103"/>
      <c r="O41" s="104">
        <f>SUM(O10:O40)</f>
        <v>49710.869999999995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667.8</v>
      </c>
      <c r="V41" s="58"/>
      <c r="W41" s="104">
        <f>SUM(W10:W40)</f>
        <v>5231.4116400000003</v>
      </c>
      <c r="X41" s="140"/>
      <c r="Y41" s="104">
        <f>SUM(Y10:Y40)</f>
        <v>4.9999999999272404E-2</v>
      </c>
      <c r="Z41" s="104">
        <f>SUM(Z10:Z40)</f>
        <v>26.499999999614378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78534.98163999962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14327</v>
      </c>
      <c r="H43" s="187"/>
      <c r="I43" s="188"/>
      <c r="J43" s="189">
        <f>G43*F43</f>
        <v>9297.5066500000012</v>
      </c>
      <c r="K43" s="190"/>
      <c r="L43" s="191">
        <f>J43+J44+J45</f>
        <v>44387.844980000002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26629</v>
      </c>
      <c r="H44" s="187"/>
      <c r="I44" s="188"/>
      <c r="J44" s="189">
        <f>G44*F44</f>
        <v>23594.62545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9257</v>
      </c>
      <c r="H45" s="201"/>
      <c r="I45" s="202"/>
      <c r="J45" s="189">
        <f>G45*F45</f>
        <v>11495.712880000001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667.8</v>
      </c>
      <c r="H47" s="175"/>
      <c r="I47" s="176"/>
      <c r="J47" s="174">
        <f>G47*F47</f>
        <v>5231.4116399999994</v>
      </c>
      <c r="K47" s="176"/>
      <c r="L47" s="177">
        <f>J47</f>
        <v>5231.4116399999994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44068</v>
      </c>
      <c r="B4" s="20">
        <v>75</v>
      </c>
      <c r="C4" s="18">
        <f t="shared" ref="C4:C42" si="0">IF(AC4&gt;0,((B4-R4)+(S4-B5)),IF(B5=0, ,(B4-B5)))</f>
        <v>0</v>
      </c>
      <c r="D4" s="20">
        <v>77</v>
      </c>
      <c r="E4" s="18">
        <f t="shared" ref="E4:E42" si="1">IF(AC4&gt;0,((D4-U4)+(V4-D5)),IF(D5=0, ,(D4-D5)))</f>
        <v>0</v>
      </c>
      <c r="F4" s="20">
        <v>72</v>
      </c>
      <c r="G4" s="18">
        <f t="shared" ref="G4:G42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299</v>
      </c>
      <c r="K4" s="18">
        <f t="shared" ref="K4:K11" si="5">J4/4</f>
        <v>74.75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44069</v>
      </c>
      <c r="B5" s="20">
        <v>75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299</v>
      </c>
      <c r="K5" s="18">
        <f t="shared" si="5"/>
        <v>74.75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44070</v>
      </c>
      <c r="B6" s="20">
        <v>75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299</v>
      </c>
      <c r="K6" s="18">
        <f t="shared" si="5"/>
        <v>74.75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44071</v>
      </c>
      <c r="B7" s="20">
        <v>75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299</v>
      </c>
      <c r="K7" s="18">
        <f t="shared" si="5"/>
        <v>74.75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44072</v>
      </c>
      <c r="B8" s="20">
        <v>75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299</v>
      </c>
      <c r="K8" s="18">
        <f t="shared" si="5"/>
        <v>74.75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44073</v>
      </c>
      <c r="B9" s="20">
        <v>75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299</v>
      </c>
      <c r="K9" s="18">
        <f t="shared" si="5"/>
        <v>74.75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44074</v>
      </c>
      <c r="B10" s="20">
        <v>75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299</v>
      </c>
      <c r="K10" s="18">
        <f t="shared" si="5"/>
        <v>74.75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44075</v>
      </c>
      <c r="B11" s="20">
        <v>75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299</v>
      </c>
      <c r="K11" s="18">
        <f t="shared" si="5"/>
        <v>74.75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44076</v>
      </c>
      <c r="B12" s="20">
        <v>75</v>
      </c>
      <c r="C12" s="18">
        <f t="shared" ref="C12:C15" si="16">IF(AC12&gt;0,((B12-R12)+(S12-B13)),IF(B13=0, ,(B12-B13)))</f>
        <v>0</v>
      </c>
      <c r="D12" s="20">
        <v>77</v>
      </c>
      <c r="E12" s="18">
        <f t="shared" ref="E12:E15" si="17">IF(AC12&gt;0,((D12-U12)+(V12-D13)),IF(D13=0, ,(D12-D13)))</f>
        <v>0</v>
      </c>
      <c r="F12" s="20">
        <v>72</v>
      </c>
      <c r="G12" s="18">
        <f t="shared" ref="G12:G15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299</v>
      </c>
      <c r="K12" s="18">
        <f t="shared" ref="K12:K42" si="20">J12/4</f>
        <v>74.75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44077</v>
      </c>
      <c r="B13" s="20">
        <v>75</v>
      </c>
      <c r="C13" s="18">
        <f t="shared" si="16"/>
        <v>0</v>
      </c>
      <c r="D13" s="20">
        <v>77</v>
      </c>
      <c r="E13" s="18">
        <f t="shared" si="17"/>
        <v>0</v>
      </c>
      <c r="F13" s="20">
        <v>72</v>
      </c>
      <c r="G13" s="18">
        <f t="shared" si="18"/>
        <v>0</v>
      </c>
      <c r="H13" s="20">
        <v>75</v>
      </c>
      <c r="I13" s="18">
        <f t="shared" si="3"/>
        <v>0</v>
      </c>
      <c r="J13" s="18">
        <f t="shared" si="19"/>
        <v>299</v>
      </c>
      <c r="K13" s="18">
        <f t="shared" si="20"/>
        <v>74.75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44078</v>
      </c>
      <c r="B14" s="20">
        <v>75</v>
      </c>
      <c r="C14" s="18">
        <f t="shared" si="16"/>
        <v>0</v>
      </c>
      <c r="D14" s="20">
        <v>77</v>
      </c>
      <c r="E14" s="18">
        <f t="shared" si="17"/>
        <v>0</v>
      </c>
      <c r="F14" s="20">
        <v>72</v>
      </c>
      <c r="G14" s="18">
        <f t="shared" si="18"/>
        <v>0</v>
      </c>
      <c r="H14" s="20">
        <v>75</v>
      </c>
      <c r="I14" s="18">
        <f t="shared" si="3"/>
        <v>0</v>
      </c>
      <c r="J14" s="18">
        <f t="shared" si="19"/>
        <v>299</v>
      </c>
      <c r="K14" s="18">
        <f t="shared" si="20"/>
        <v>74.75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2">(R14+U14+X14+AA14)/4</f>
        <v>0</v>
      </c>
      <c r="AE14" s="49">
        <f t="shared" ref="AE14:AE42" si="23">(S14+V14+Y14+AB14)/4</f>
        <v>0</v>
      </c>
    </row>
    <row r="15" spans="1:31" ht="32.25" customHeight="1" x14ac:dyDescent="0.3">
      <c r="A15" s="19">
        <f t="shared" si="13"/>
        <v>44079</v>
      </c>
      <c r="B15" s="20">
        <v>75</v>
      </c>
      <c r="C15" s="18">
        <f t="shared" si="16"/>
        <v>0</v>
      </c>
      <c r="D15" s="20">
        <v>77</v>
      </c>
      <c r="E15" s="18">
        <f t="shared" si="17"/>
        <v>0</v>
      </c>
      <c r="F15" s="20">
        <v>72</v>
      </c>
      <c r="G15" s="18">
        <f t="shared" si="18"/>
        <v>0</v>
      </c>
      <c r="H15" s="20">
        <v>75</v>
      </c>
      <c r="I15" s="18">
        <f t="shared" si="3"/>
        <v>0</v>
      </c>
      <c r="J15" s="18">
        <f t="shared" si="19"/>
        <v>299</v>
      </c>
      <c r="K15" s="18">
        <f t="shared" si="20"/>
        <v>74.75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2"/>
        <v>0</v>
      </c>
      <c r="AE15" s="49">
        <f t="shared" si="23"/>
        <v>0</v>
      </c>
    </row>
    <row r="16" spans="1:31" ht="32.25" customHeight="1" x14ac:dyDescent="0.3">
      <c r="A16" s="19">
        <f t="shared" si="13"/>
        <v>44080</v>
      </c>
      <c r="B16" s="20">
        <v>75</v>
      </c>
      <c r="C16" s="18">
        <f t="shared" ref="C16:C17" si="24">IF(AC16&gt;0,((B16-R16)+(S16-B17)),IF(B17=0, ,(B16-B17)))</f>
        <v>0</v>
      </c>
      <c r="D16" s="20">
        <v>77</v>
      </c>
      <c r="E16" s="18">
        <f t="shared" ref="E16:E17" si="25">IF(AC16&gt;0,((D16-U16)+(V16-D17)),IF(D17=0, ,(D16-D17)))</f>
        <v>0</v>
      </c>
      <c r="F16" s="20">
        <v>72</v>
      </c>
      <c r="G16" s="18">
        <f t="shared" ref="G16:G17" si="26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9"/>
        <v>299</v>
      </c>
      <c r="K16" s="18">
        <f t="shared" si="20"/>
        <v>74.75</v>
      </c>
      <c r="L16" s="18">
        <f t="shared" si="6"/>
        <v>0</v>
      </c>
      <c r="M16" s="18">
        <f t="shared" si="7"/>
        <v>28000</v>
      </c>
      <c r="N16" s="18">
        <f t="shared" ref="N16:N42" si="27">L16*M16/100</f>
        <v>0</v>
      </c>
      <c r="O16" s="18">
        <f t="shared" ref="O16:O42" si="28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2"/>
        <v>0</v>
      </c>
      <c r="AE16" s="49">
        <f t="shared" si="23"/>
        <v>0</v>
      </c>
    </row>
    <row r="17" spans="1:31" ht="32.25" customHeight="1" x14ac:dyDescent="0.3">
      <c r="A17" s="19">
        <f t="shared" si="13"/>
        <v>44081</v>
      </c>
      <c r="B17" s="20">
        <v>75</v>
      </c>
      <c r="C17" s="18">
        <f t="shared" si="24"/>
        <v>0</v>
      </c>
      <c r="D17" s="20">
        <v>77</v>
      </c>
      <c r="E17" s="18">
        <f t="shared" si="25"/>
        <v>0</v>
      </c>
      <c r="F17" s="20">
        <v>72</v>
      </c>
      <c r="G17" s="18">
        <f t="shared" si="26"/>
        <v>0</v>
      </c>
      <c r="H17" s="20">
        <v>75</v>
      </c>
      <c r="I17" s="18">
        <f t="shared" si="3"/>
        <v>0</v>
      </c>
      <c r="J17" s="18">
        <f t="shared" si="19"/>
        <v>299</v>
      </c>
      <c r="K17" s="18">
        <f t="shared" si="20"/>
        <v>74.75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7"/>
        <v>0</v>
      </c>
      <c r="O17" s="18">
        <f t="shared" si="28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2"/>
        <v>0</v>
      </c>
      <c r="AE17" s="49">
        <f t="shared" si="23"/>
        <v>0</v>
      </c>
    </row>
    <row r="18" spans="1:31" ht="32.25" customHeight="1" x14ac:dyDescent="0.3">
      <c r="A18" s="19">
        <f t="shared" si="13"/>
        <v>44082</v>
      </c>
      <c r="B18" s="20">
        <v>75</v>
      </c>
      <c r="C18" s="18">
        <f t="shared" ref="C18:C24" si="30">IF(AC18&gt;0,((B18-R18)+(S18-B19)),IF(B19=0, ,(B18-B19)))</f>
        <v>0</v>
      </c>
      <c r="D18" s="20">
        <v>77</v>
      </c>
      <c r="E18" s="18">
        <f t="shared" ref="E18:E24" si="31">IF(AC18&gt;0,((D18-U18)+(V18-D19)),IF(D19=0, ,(D18-D19)))</f>
        <v>0</v>
      </c>
      <c r="F18" s="20">
        <v>72</v>
      </c>
      <c r="G18" s="18">
        <f t="shared" ref="G18:G24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9"/>
        <v>299</v>
      </c>
      <c r="K18" s="18">
        <f t="shared" si="20"/>
        <v>74.75</v>
      </c>
      <c r="L18" s="18">
        <f t="shared" si="29"/>
        <v>0</v>
      </c>
      <c r="M18" s="18">
        <f t="shared" si="7"/>
        <v>28000</v>
      </c>
      <c r="N18" s="18">
        <f t="shared" si="27"/>
        <v>0</v>
      </c>
      <c r="O18" s="18">
        <f t="shared" si="28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2"/>
        <v>0</v>
      </c>
      <c r="AE18" s="49">
        <f t="shared" si="23"/>
        <v>0</v>
      </c>
    </row>
    <row r="19" spans="1:31" ht="32.25" customHeight="1" x14ac:dyDescent="0.3">
      <c r="A19" s="19">
        <f t="shared" si="13"/>
        <v>44083</v>
      </c>
      <c r="B19" s="20">
        <v>75</v>
      </c>
      <c r="C19" s="18">
        <f t="shared" si="30"/>
        <v>0</v>
      </c>
      <c r="D19" s="20">
        <v>77</v>
      </c>
      <c r="E19" s="18">
        <f t="shared" si="31"/>
        <v>0</v>
      </c>
      <c r="F19" s="20">
        <v>72</v>
      </c>
      <c r="G19" s="18">
        <f t="shared" si="32"/>
        <v>0</v>
      </c>
      <c r="H19" s="20">
        <v>75</v>
      </c>
      <c r="I19" s="18">
        <f t="shared" si="33"/>
        <v>0</v>
      </c>
      <c r="J19" s="18">
        <f t="shared" si="19"/>
        <v>299</v>
      </c>
      <c r="K19" s="18">
        <f t="shared" si="20"/>
        <v>74.75</v>
      </c>
      <c r="L19" s="18">
        <f t="shared" si="29"/>
        <v>0</v>
      </c>
      <c r="M19" s="18">
        <f t="shared" si="7"/>
        <v>28000</v>
      </c>
      <c r="N19" s="18">
        <f t="shared" si="27"/>
        <v>0</v>
      </c>
      <c r="O19" s="18">
        <f t="shared" si="28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2"/>
        <v>0</v>
      </c>
      <c r="AE19" s="49">
        <f t="shared" si="23"/>
        <v>0</v>
      </c>
    </row>
    <row r="20" spans="1:31" ht="32.25" customHeight="1" x14ac:dyDescent="0.3">
      <c r="A20" s="19">
        <f t="shared" si="13"/>
        <v>44084</v>
      </c>
      <c r="B20" s="20">
        <v>75</v>
      </c>
      <c r="C20" s="18">
        <f>IF(AC20&gt;0,((B20-R20)+(S20-B21)),IF(B21=0, ,(B20-B21)))</f>
        <v>1</v>
      </c>
      <c r="D20" s="20">
        <v>77</v>
      </c>
      <c r="E20" s="18">
        <f>IF(AC20&gt;0,((D20-U20)+(V20-D21)),IF(D21=0, ,(D20-D21)))</f>
        <v>0</v>
      </c>
      <c r="F20" s="20">
        <v>72</v>
      </c>
      <c r="G20" s="18">
        <f>IF(AC20&gt;0,((F20-X20)+(Y20-F21)),IF(F21=0, ,(F20-F21)))</f>
        <v>2</v>
      </c>
      <c r="H20" s="20">
        <v>75</v>
      </c>
      <c r="I20" s="18">
        <f t="shared" si="33"/>
        <v>2</v>
      </c>
      <c r="J20" s="18">
        <f t="shared" si="19"/>
        <v>299</v>
      </c>
      <c r="K20" s="18">
        <f t="shared" si="20"/>
        <v>74.75</v>
      </c>
      <c r="L20" s="18">
        <f t="shared" si="29"/>
        <v>1.25</v>
      </c>
      <c r="M20" s="18">
        <f t="shared" si="7"/>
        <v>28000</v>
      </c>
      <c r="N20" s="18">
        <f t="shared" si="27"/>
        <v>350</v>
      </c>
      <c r="O20" s="18">
        <f t="shared" si="28"/>
        <v>185.5</v>
      </c>
      <c r="P20" s="21">
        <f t="shared" si="14"/>
        <v>1453.1699000000001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2"/>
        <v>0</v>
      </c>
      <c r="AE20" s="49">
        <f t="shared" si="23"/>
        <v>0</v>
      </c>
    </row>
    <row r="21" spans="1:31" ht="32.25" customHeight="1" x14ac:dyDescent="0.3">
      <c r="A21" s="19">
        <f t="shared" si="13"/>
        <v>44085</v>
      </c>
      <c r="B21" s="20">
        <v>74</v>
      </c>
      <c r="C21" s="18">
        <f>IF(AC21&gt;0,((B21-R21)+(S21-B22)),IF(B22=0, ,(B21-B22)))</f>
        <v>0</v>
      </c>
      <c r="D21" s="20">
        <v>77</v>
      </c>
      <c r="E21" s="18">
        <f>IF(AC21&gt;0,((D21-U21)+(V21-D22)),IF(D22=0, ,(D21-D22)))</f>
        <v>0</v>
      </c>
      <c r="F21" s="20">
        <v>70</v>
      </c>
      <c r="G21" s="18">
        <f>IF(AC21&gt;0,((F21-X21)+(Y21-F22)),IF(F22=0, ,(F21-F22)))</f>
        <v>0</v>
      </c>
      <c r="H21" s="20">
        <v>73</v>
      </c>
      <c r="I21" s="18">
        <f t="shared" si="33"/>
        <v>0</v>
      </c>
      <c r="J21" s="18">
        <f t="shared" si="19"/>
        <v>294</v>
      </c>
      <c r="K21" s="18">
        <f t="shared" si="20"/>
        <v>73.5</v>
      </c>
      <c r="L21" s="18">
        <f t="shared" si="29"/>
        <v>0</v>
      </c>
      <c r="M21" s="18">
        <f t="shared" si="7"/>
        <v>28000</v>
      </c>
      <c r="N21" s="18">
        <f t="shared" si="27"/>
        <v>0</v>
      </c>
      <c r="O21" s="18">
        <f t="shared" si="28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2"/>
        <v>0</v>
      </c>
      <c r="AE21" s="49">
        <f t="shared" si="23"/>
        <v>0</v>
      </c>
    </row>
    <row r="22" spans="1:31" ht="32.25" customHeight="1" x14ac:dyDescent="0.3">
      <c r="A22" s="19">
        <f t="shared" si="13"/>
        <v>44086</v>
      </c>
      <c r="B22" s="20">
        <v>74</v>
      </c>
      <c r="C22" s="18">
        <f t="shared" si="30"/>
        <v>2</v>
      </c>
      <c r="D22" s="20">
        <v>77</v>
      </c>
      <c r="E22" s="18">
        <f t="shared" si="31"/>
        <v>1</v>
      </c>
      <c r="F22" s="20">
        <v>70</v>
      </c>
      <c r="G22" s="18">
        <f t="shared" si="32"/>
        <v>0</v>
      </c>
      <c r="H22" s="20">
        <v>73</v>
      </c>
      <c r="I22" s="18">
        <f t="shared" si="33"/>
        <v>0</v>
      </c>
      <c r="J22" s="18">
        <f t="shared" si="19"/>
        <v>294</v>
      </c>
      <c r="K22" s="18">
        <f t="shared" si="20"/>
        <v>73.5</v>
      </c>
      <c r="L22" s="18">
        <f t="shared" si="29"/>
        <v>0.75</v>
      </c>
      <c r="M22" s="18">
        <f t="shared" si="7"/>
        <v>28000</v>
      </c>
      <c r="N22" s="18">
        <f t="shared" si="27"/>
        <v>210</v>
      </c>
      <c r="O22" s="18">
        <f t="shared" si="28"/>
        <v>111.30000000000001</v>
      </c>
      <c r="P22" s="21">
        <f t="shared" si="14"/>
        <v>871.90194000000008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2"/>
        <v>0</v>
      </c>
      <c r="AE22" s="49">
        <f t="shared" si="23"/>
        <v>0</v>
      </c>
    </row>
    <row r="23" spans="1:31" ht="32.25" customHeight="1" x14ac:dyDescent="0.3">
      <c r="A23" s="19">
        <f t="shared" si="13"/>
        <v>44087</v>
      </c>
      <c r="B23" s="20">
        <v>72</v>
      </c>
      <c r="C23" s="18">
        <f>IF(AC23&gt;0,((B23-R23)+(S23-B24)),IF(B24=0, ,(B23-B24)))</f>
        <v>0</v>
      </c>
      <c r="D23" s="20">
        <v>76</v>
      </c>
      <c r="E23" s="18">
        <f>IF(AC23&gt;0,((D23-U23)+(V23-D24)),IF(D24=0, ,(D23-D24)))</f>
        <v>0</v>
      </c>
      <c r="F23" s="20">
        <v>70</v>
      </c>
      <c r="G23" s="18">
        <f>IF(AC23&gt;0,((F23-X23)+(Y23-F24)),IF(F24=0, ,(F23-F24)))</f>
        <v>0</v>
      </c>
      <c r="H23" s="20">
        <v>73</v>
      </c>
      <c r="I23" s="18">
        <f t="shared" si="33"/>
        <v>0</v>
      </c>
      <c r="J23" s="18">
        <f t="shared" si="19"/>
        <v>291</v>
      </c>
      <c r="K23" s="18">
        <f t="shared" si="20"/>
        <v>72.75</v>
      </c>
      <c r="L23" s="18">
        <f t="shared" si="29"/>
        <v>0</v>
      </c>
      <c r="M23" s="18">
        <f t="shared" si="7"/>
        <v>28000</v>
      </c>
      <c r="N23" s="18">
        <f t="shared" si="27"/>
        <v>0</v>
      </c>
      <c r="O23" s="18">
        <f t="shared" si="28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2"/>
        <v>0</v>
      </c>
      <c r="AE23" s="49">
        <f t="shared" si="23"/>
        <v>0</v>
      </c>
    </row>
    <row r="24" spans="1:31" ht="32.25" customHeight="1" x14ac:dyDescent="0.3">
      <c r="A24" s="19">
        <f t="shared" si="13"/>
        <v>44088</v>
      </c>
      <c r="B24" s="20">
        <v>72</v>
      </c>
      <c r="C24" s="18">
        <f t="shared" si="30"/>
        <v>2</v>
      </c>
      <c r="D24" s="20">
        <v>76</v>
      </c>
      <c r="E24" s="18">
        <f t="shared" si="31"/>
        <v>5</v>
      </c>
      <c r="F24" s="20">
        <v>70</v>
      </c>
      <c r="G24" s="18">
        <f t="shared" si="32"/>
        <v>0</v>
      </c>
      <c r="H24" s="20">
        <v>73</v>
      </c>
      <c r="I24" s="18">
        <f t="shared" si="33"/>
        <v>3</v>
      </c>
      <c r="J24" s="18">
        <f t="shared" si="19"/>
        <v>291</v>
      </c>
      <c r="K24" s="18">
        <f t="shared" si="20"/>
        <v>72.75</v>
      </c>
      <c r="L24" s="18">
        <f t="shared" si="29"/>
        <v>2.5</v>
      </c>
      <c r="M24" s="18">
        <f t="shared" si="7"/>
        <v>28000</v>
      </c>
      <c r="N24" s="18">
        <f t="shared" si="27"/>
        <v>700</v>
      </c>
      <c r="O24" s="18">
        <f t="shared" si="28"/>
        <v>371</v>
      </c>
      <c r="P24" s="21">
        <f t="shared" si="14"/>
        <v>2906.3398000000002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2"/>
        <v>0</v>
      </c>
      <c r="AE24" s="49">
        <f t="shared" si="23"/>
        <v>0</v>
      </c>
    </row>
    <row r="25" spans="1:31" ht="32.25" customHeight="1" x14ac:dyDescent="0.3">
      <c r="A25" s="19">
        <f t="shared" si="13"/>
        <v>44089</v>
      </c>
      <c r="B25" s="20">
        <v>70</v>
      </c>
      <c r="C25" s="18">
        <f>IF(AC25&gt;0,((B25-R25)+(S25-B26)),IF(B26=0, ,(B25-B26)))</f>
        <v>0</v>
      </c>
      <c r="D25" s="20">
        <v>71</v>
      </c>
      <c r="E25" s="18">
        <f>IF(AC25&gt;0,((D25-U25)+(V25-D26)),IF(D26=0, ,(D25-D26)))</f>
        <v>0</v>
      </c>
      <c r="F25" s="20">
        <v>70</v>
      </c>
      <c r="G25" s="18">
        <f>IF(AC25&gt;0,((F25-X25)+(Y25-F26)),IF(F26=0, ,(F25-F26)))</f>
        <v>0</v>
      </c>
      <c r="H25" s="20">
        <v>70</v>
      </c>
      <c r="I25" s="18">
        <f t="shared" si="33"/>
        <v>0</v>
      </c>
      <c r="J25" s="18">
        <f t="shared" si="19"/>
        <v>281</v>
      </c>
      <c r="K25" s="18">
        <f t="shared" si="20"/>
        <v>70.25</v>
      </c>
      <c r="L25" s="18">
        <f t="shared" si="29"/>
        <v>0</v>
      </c>
      <c r="M25" s="18">
        <f t="shared" si="7"/>
        <v>28000</v>
      </c>
      <c r="N25" s="18">
        <f t="shared" si="27"/>
        <v>0</v>
      </c>
      <c r="O25" s="18">
        <f t="shared" si="28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2"/>
        <v>0</v>
      </c>
      <c r="AE25" s="49">
        <f t="shared" si="23"/>
        <v>0</v>
      </c>
    </row>
    <row r="26" spans="1:31" ht="32.25" customHeight="1" x14ac:dyDescent="0.3">
      <c r="A26" s="19">
        <f t="shared" si="13"/>
        <v>44090</v>
      </c>
      <c r="B26" s="20">
        <v>70</v>
      </c>
      <c r="C26" s="18">
        <f>IF(AC26&gt;0,((B26-R26)+(S26-B27)),IF(B27=0, ,(B26-B27)))</f>
        <v>0</v>
      </c>
      <c r="D26" s="20">
        <v>71</v>
      </c>
      <c r="E26" s="18">
        <f>IF(AC26&gt;0,((D26-U26)+(V26-D27)),IF(D27=0, ,(D26-D27)))</f>
        <v>0</v>
      </c>
      <c r="F26" s="20">
        <v>70</v>
      </c>
      <c r="G26" s="18">
        <f>IF(AC26&gt;0,((F26-X26)+(Y26-F27)),IF(F27=0, ,(F26-F27)))</f>
        <v>0</v>
      </c>
      <c r="H26" s="20">
        <v>70</v>
      </c>
      <c r="I26" s="18">
        <f t="shared" si="33"/>
        <v>0</v>
      </c>
      <c r="J26" s="18">
        <f t="shared" si="19"/>
        <v>281</v>
      </c>
      <c r="K26" s="18">
        <f t="shared" si="20"/>
        <v>70.25</v>
      </c>
      <c r="L26" s="18">
        <f t="shared" si="29"/>
        <v>0</v>
      </c>
      <c r="M26" s="18">
        <f t="shared" si="7"/>
        <v>28000</v>
      </c>
      <c r="N26" s="18">
        <f t="shared" si="27"/>
        <v>0</v>
      </c>
      <c r="O26" s="18">
        <f t="shared" si="28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2"/>
        <v>0</v>
      </c>
      <c r="AE26" s="49">
        <f t="shared" si="23"/>
        <v>0</v>
      </c>
    </row>
    <row r="27" spans="1:31" ht="32.25" customHeight="1" x14ac:dyDescent="0.3">
      <c r="A27" s="19">
        <f t="shared" si="13"/>
        <v>44091</v>
      </c>
      <c r="B27" s="20"/>
      <c r="C27" s="18">
        <f t="shared" si="0"/>
        <v>0</v>
      </c>
      <c r="D27" s="20"/>
      <c r="E27" s="18">
        <f t="shared" si="1"/>
        <v>0</v>
      </c>
      <c r="F27" s="20"/>
      <c r="G27" s="18">
        <f t="shared" si="2"/>
        <v>0</v>
      </c>
      <c r="H27" s="20"/>
      <c r="I27" s="18">
        <f t="shared" si="33"/>
        <v>0</v>
      </c>
      <c r="J27" s="18">
        <f t="shared" si="19"/>
        <v>0</v>
      </c>
      <c r="K27" s="18">
        <f t="shared" si="20"/>
        <v>0</v>
      </c>
      <c r="L27" s="18">
        <f t="shared" si="29"/>
        <v>0</v>
      </c>
      <c r="M27" s="18">
        <f t="shared" si="7"/>
        <v>28000</v>
      </c>
      <c r="N27" s="18">
        <f t="shared" si="27"/>
        <v>0</v>
      </c>
      <c r="O27" s="18">
        <f t="shared" si="28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2"/>
        <v>0</v>
      </c>
      <c r="AE27" s="49">
        <f t="shared" si="23"/>
        <v>0</v>
      </c>
    </row>
    <row r="28" spans="1:31" ht="32.25" customHeight="1" x14ac:dyDescent="0.3">
      <c r="A28" s="19">
        <f t="shared" si="13"/>
        <v>44092</v>
      </c>
      <c r="B28" s="20"/>
      <c r="C28" s="18">
        <f t="shared" si="0"/>
        <v>0</v>
      </c>
      <c r="D28" s="20"/>
      <c r="E28" s="18">
        <f t="shared" si="1"/>
        <v>0</v>
      </c>
      <c r="F28" s="20"/>
      <c r="G28" s="18">
        <f t="shared" si="2"/>
        <v>0</v>
      </c>
      <c r="H28" s="20"/>
      <c r="I28" s="18">
        <f t="shared" si="33"/>
        <v>0</v>
      </c>
      <c r="J28" s="18">
        <f t="shared" si="19"/>
        <v>0</v>
      </c>
      <c r="K28" s="18">
        <f t="shared" si="20"/>
        <v>0</v>
      </c>
      <c r="L28" s="18">
        <f t="shared" si="29"/>
        <v>0</v>
      </c>
      <c r="M28" s="18">
        <f t="shared" si="7"/>
        <v>28000</v>
      </c>
      <c r="N28" s="18">
        <f t="shared" si="27"/>
        <v>0</v>
      </c>
      <c r="O28" s="18">
        <f t="shared" si="28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2"/>
        <v>0</v>
      </c>
      <c r="AE28" s="49">
        <f t="shared" si="23"/>
        <v>0</v>
      </c>
    </row>
    <row r="29" spans="1:31" ht="32.25" customHeight="1" x14ac:dyDescent="0.3">
      <c r="A29" s="19">
        <f t="shared" si="13"/>
        <v>44093</v>
      </c>
      <c r="B29" s="20"/>
      <c r="C29" s="18">
        <f t="shared" si="0"/>
        <v>0</v>
      </c>
      <c r="D29" s="20"/>
      <c r="E29" s="18">
        <f t="shared" si="1"/>
        <v>0</v>
      </c>
      <c r="F29" s="20"/>
      <c r="G29" s="18">
        <f t="shared" si="2"/>
        <v>0</v>
      </c>
      <c r="H29" s="20"/>
      <c r="I29" s="18">
        <f t="shared" si="33"/>
        <v>0</v>
      </c>
      <c r="J29" s="18">
        <f t="shared" si="19"/>
        <v>0</v>
      </c>
      <c r="K29" s="18">
        <f t="shared" si="20"/>
        <v>0</v>
      </c>
      <c r="L29" s="18">
        <f t="shared" si="29"/>
        <v>0</v>
      </c>
      <c r="M29" s="18">
        <f t="shared" si="7"/>
        <v>28000</v>
      </c>
      <c r="N29" s="18">
        <f t="shared" si="27"/>
        <v>0</v>
      </c>
      <c r="O29" s="18">
        <f t="shared" si="28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2"/>
        <v>0</v>
      </c>
      <c r="AE29" s="49">
        <f t="shared" si="23"/>
        <v>0</v>
      </c>
    </row>
    <row r="30" spans="1:31" ht="32.25" customHeight="1" x14ac:dyDescent="0.3">
      <c r="A30" s="19">
        <f t="shared" si="13"/>
        <v>44094</v>
      </c>
      <c r="B30" s="20"/>
      <c r="C30" s="18">
        <f t="shared" si="0"/>
        <v>0</v>
      </c>
      <c r="D30" s="20"/>
      <c r="E30" s="18">
        <f t="shared" si="1"/>
        <v>0</v>
      </c>
      <c r="F30" s="20"/>
      <c r="G30" s="18">
        <f t="shared" si="2"/>
        <v>0</v>
      </c>
      <c r="H30" s="20"/>
      <c r="I30" s="18">
        <f t="shared" si="33"/>
        <v>0</v>
      </c>
      <c r="J30" s="18">
        <f t="shared" si="19"/>
        <v>0</v>
      </c>
      <c r="K30" s="18">
        <f t="shared" si="20"/>
        <v>0</v>
      </c>
      <c r="L30" s="18">
        <f t="shared" si="29"/>
        <v>0</v>
      </c>
      <c r="M30" s="18">
        <f t="shared" si="7"/>
        <v>28000</v>
      </c>
      <c r="N30" s="18">
        <f t="shared" si="27"/>
        <v>0</v>
      </c>
      <c r="O30" s="18">
        <f t="shared" si="28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2"/>
        <v>0</v>
      </c>
      <c r="AE30" s="49">
        <f t="shared" si="23"/>
        <v>0</v>
      </c>
    </row>
    <row r="31" spans="1:31" ht="32.25" customHeight="1" x14ac:dyDescent="0.3">
      <c r="A31" s="19">
        <f t="shared" si="13"/>
        <v>44095</v>
      </c>
      <c r="B31" s="20"/>
      <c r="C31" s="18">
        <f t="shared" si="0"/>
        <v>0</v>
      </c>
      <c r="D31" s="20"/>
      <c r="E31" s="18">
        <f t="shared" si="1"/>
        <v>0</v>
      </c>
      <c r="F31" s="20"/>
      <c r="G31" s="18">
        <f t="shared" si="2"/>
        <v>0</v>
      </c>
      <c r="H31" s="20"/>
      <c r="I31" s="18">
        <f t="shared" si="33"/>
        <v>0</v>
      </c>
      <c r="J31" s="18">
        <f t="shared" si="19"/>
        <v>0</v>
      </c>
      <c r="K31" s="18">
        <f t="shared" si="20"/>
        <v>0</v>
      </c>
      <c r="L31" s="18">
        <f t="shared" si="29"/>
        <v>0</v>
      </c>
      <c r="M31" s="18">
        <f t="shared" si="7"/>
        <v>28000</v>
      </c>
      <c r="N31" s="18">
        <f t="shared" si="27"/>
        <v>0</v>
      </c>
      <c r="O31" s="18">
        <f t="shared" si="28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2"/>
        <v>0</v>
      </c>
      <c r="AE31" s="49">
        <f t="shared" si="23"/>
        <v>0</v>
      </c>
    </row>
    <row r="32" spans="1:31" ht="32.25" customHeight="1" x14ac:dyDescent="0.3">
      <c r="A32" s="19">
        <f t="shared" si="13"/>
        <v>44096</v>
      </c>
      <c r="B32" s="20"/>
      <c r="C32" s="18">
        <f t="shared" si="0"/>
        <v>0</v>
      </c>
      <c r="D32" s="20"/>
      <c r="E32" s="18">
        <f t="shared" si="1"/>
        <v>0</v>
      </c>
      <c r="F32" s="20"/>
      <c r="G32" s="18">
        <f t="shared" si="2"/>
        <v>0</v>
      </c>
      <c r="H32" s="20"/>
      <c r="I32" s="18">
        <f t="shared" si="33"/>
        <v>0</v>
      </c>
      <c r="J32" s="18">
        <f t="shared" si="19"/>
        <v>0</v>
      </c>
      <c r="K32" s="18">
        <f t="shared" si="20"/>
        <v>0</v>
      </c>
      <c r="L32" s="18">
        <f t="shared" si="29"/>
        <v>0</v>
      </c>
      <c r="M32" s="18">
        <f t="shared" si="7"/>
        <v>28000</v>
      </c>
      <c r="N32" s="18">
        <f t="shared" si="27"/>
        <v>0</v>
      </c>
      <c r="O32" s="18">
        <f t="shared" si="28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2"/>
        <v>0</v>
      </c>
      <c r="AE32" s="49">
        <f t="shared" si="23"/>
        <v>0</v>
      </c>
    </row>
    <row r="33" spans="1:31" ht="32.25" customHeight="1" x14ac:dyDescent="0.3">
      <c r="A33" s="19">
        <f t="shared" si="13"/>
        <v>44097</v>
      </c>
      <c r="B33" s="20"/>
      <c r="C33" s="18">
        <f t="shared" si="0"/>
        <v>0</v>
      </c>
      <c r="D33" s="20"/>
      <c r="E33" s="18">
        <f t="shared" si="1"/>
        <v>0</v>
      </c>
      <c r="F33" s="20"/>
      <c r="G33" s="18">
        <f t="shared" si="2"/>
        <v>0</v>
      </c>
      <c r="H33" s="20"/>
      <c r="I33" s="18">
        <f t="shared" si="33"/>
        <v>0</v>
      </c>
      <c r="J33" s="18">
        <f t="shared" si="19"/>
        <v>0</v>
      </c>
      <c r="K33" s="18">
        <f t="shared" si="20"/>
        <v>0</v>
      </c>
      <c r="L33" s="18">
        <f t="shared" si="29"/>
        <v>0</v>
      </c>
      <c r="M33" s="18">
        <f t="shared" si="7"/>
        <v>28000</v>
      </c>
      <c r="N33" s="18">
        <f t="shared" si="27"/>
        <v>0</v>
      </c>
      <c r="O33" s="18">
        <f t="shared" si="28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2"/>
        <v>0</v>
      </c>
      <c r="AE33" s="49">
        <f t="shared" si="23"/>
        <v>0</v>
      </c>
    </row>
    <row r="34" spans="1:31" ht="32.25" customHeight="1" x14ac:dyDescent="0.3">
      <c r="A34" s="19">
        <f t="shared" si="13"/>
        <v>44098</v>
      </c>
      <c r="B34" s="20"/>
      <c r="C34" s="18">
        <f t="shared" si="0"/>
        <v>0</v>
      </c>
      <c r="D34" s="20"/>
      <c r="E34" s="18">
        <f t="shared" si="1"/>
        <v>0</v>
      </c>
      <c r="F34" s="20"/>
      <c r="G34" s="18">
        <f t="shared" si="2"/>
        <v>0</v>
      </c>
      <c r="H34" s="20"/>
      <c r="I34" s="18">
        <f t="shared" si="33"/>
        <v>0</v>
      </c>
      <c r="J34" s="18">
        <f t="shared" si="19"/>
        <v>0</v>
      </c>
      <c r="K34" s="18">
        <f t="shared" si="20"/>
        <v>0</v>
      </c>
      <c r="L34" s="18">
        <f t="shared" si="29"/>
        <v>0</v>
      </c>
      <c r="M34" s="18">
        <f t="shared" si="7"/>
        <v>28000</v>
      </c>
      <c r="N34" s="18">
        <f t="shared" si="27"/>
        <v>0</v>
      </c>
      <c r="O34" s="18">
        <f t="shared" si="28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2"/>
        <v>0</v>
      </c>
      <c r="AE34" s="49">
        <f t="shared" si="23"/>
        <v>0</v>
      </c>
    </row>
    <row r="35" spans="1:31" ht="32.25" customHeight="1" x14ac:dyDescent="0.3">
      <c r="A35" s="19">
        <f t="shared" si="13"/>
        <v>44099</v>
      </c>
      <c r="B35" s="20"/>
      <c r="C35" s="18">
        <f t="shared" si="0"/>
        <v>0</v>
      </c>
      <c r="D35" s="20"/>
      <c r="E35" s="18">
        <f t="shared" si="1"/>
        <v>0</v>
      </c>
      <c r="F35" s="20"/>
      <c r="G35" s="18">
        <f t="shared" si="2"/>
        <v>0</v>
      </c>
      <c r="H35" s="20"/>
      <c r="I35" s="18">
        <f t="shared" si="33"/>
        <v>0</v>
      </c>
      <c r="J35" s="18">
        <f t="shared" si="19"/>
        <v>0</v>
      </c>
      <c r="K35" s="18">
        <f t="shared" si="20"/>
        <v>0</v>
      </c>
      <c r="L35" s="18">
        <f t="shared" si="29"/>
        <v>0</v>
      </c>
      <c r="M35" s="18">
        <f t="shared" si="7"/>
        <v>28000</v>
      </c>
      <c r="N35" s="18">
        <f t="shared" si="27"/>
        <v>0</v>
      </c>
      <c r="O35" s="18">
        <f t="shared" si="28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2"/>
        <v>0</v>
      </c>
      <c r="AE35" s="49">
        <f t="shared" si="23"/>
        <v>0</v>
      </c>
    </row>
    <row r="36" spans="1:31" ht="32.25" customHeight="1" x14ac:dyDescent="0.3">
      <c r="A36" s="19">
        <f t="shared" si="13"/>
        <v>44100</v>
      </c>
      <c r="B36" s="20"/>
      <c r="C36" s="18">
        <f t="shared" si="0"/>
        <v>0</v>
      </c>
      <c r="D36" s="20"/>
      <c r="E36" s="18">
        <f t="shared" si="1"/>
        <v>0</v>
      </c>
      <c r="F36" s="20"/>
      <c r="G36" s="18">
        <f t="shared" si="2"/>
        <v>0</v>
      </c>
      <c r="H36" s="20"/>
      <c r="I36" s="18">
        <f t="shared" si="33"/>
        <v>0</v>
      </c>
      <c r="J36" s="18">
        <f t="shared" si="19"/>
        <v>0</v>
      </c>
      <c r="K36" s="18">
        <f t="shared" si="20"/>
        <v>0</v>
      </c>
      <c r="L36" s="18">
        <f t="shared" si="29"/>
        <v>0</v>
      </c>
      <c r="M36" s="18">
        <f t="shared" si="7"/>
        <v>28000</v>
      </c>
      <c r="N36" s="18">
        <f t="shared" si="27"/>
        <v>0</v>
      </c>
      <c r="O36" s="18">
        <f t="shared" si="28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2"/>
        <v>0</v>
      </c>
      <c r="AE36" s="49">
        <f t="shared" si="23"/>
        <v>0</v>
      </c>
    </row>
    <row r="37" spans="1:31" ht="32.25" customHeight="1" x14ac:dyDescent="0.3">
      <c r="A37" s="19">
        <f t="shared" si="13"/>
        <v>44101</v>
      </c>
      <c r="B37" s="20"/>
      <c r="C37" s="18">
        <f t="shared" si="0"/>
        <v>0</v>
      </c>
      <c r="D37" s="20"/>
      <c r="E37" s="18">
        <f t="shared" si="1"/>
        <v>0</v>
      </c>
      <c r="F37" s="20"/>
      <c r="G37" s="18">
        <f t="shared" si="2"/>
        <v>0</v>
      </c>
      <c r="H37" s="20"/>
      <c r="I37" s="18">
        <f t="shared" si="33"/>
        <v>0</v>
      </c>
      <c r="J37" s="18">
        <f t="shared" si="19"/>
        <v>0</v>
      </c>
      <c r="K37" s="18">
        <f t="shared" si="20"/>
        <v>0</v>
      </c>
      <c r="L37" s="18">
        <f t="shared" si="29"/>
        <v>0</v>
      </c>
      <c r="M37" s="18">
        <f t="shared" si="7"/>
        <v>28000</v>
      </c>
      <c r="N37" s="18">
        <f t="shared" si="27"/>
        <v>0</v>
      </c>
      <c r="O37" s="18">
        <f t="shared" si="28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2"/>
        <v>0</v>
      </c>
      <c r="AE37" s="49">
        <f t="shared" si="23"/>
        <v>0</v>
      </c>
    </row>
    <row r="38" spans="1:31" ht="32.25" customHeight="1" x14ac:dyDescent="0.3">
      <c r="A38" s="19">
        <f t="shared" si="13"/>
        <v>44102</v>
      </c>
      <c r="B38" s="20"/>
      <c r="C38" s="18">
        <f t="shared" si="0"/>
        <v>0</v>
      </c>
      <c r="D38" s="20"/>
      <c r="E38" s="18">
        <f t="shared" si="1"/>
        <v>0</v>
      </c>
      <c r="F38" s="20"/>
      <c r="G38" s="18">
        <f t="shared" si="2"/>
        <v>0</v>
      </c>
      <c r="H38" s="20"/>
      <c r="I38" s="18">
        <f t="shared" si="33"/>
        <v>0</v>
      </c>
      <c r="J38" s="18">
        <f t="shared" si="19"/>
        <v>0</v>
      </c>
      <c r="K38" s="18">
        <f t="shared" si="20"/>
        <v>0</v>
      </c>
      <c r="L38" s="18">
        <f t="shared" si="29"/>
        <v>0</v>
      </c>
      <c r="M38" s="18">
        <f t="shared" si="7"/>
        <v>28000</v>
      </c>
      <c r="N38" s="18">
        <f t="shared" si="27"/>
        <v>0</v>
      </c>
      <c r="O38" s="18">
        <f t="shared" si="28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2"/>
        <v>0</v>
      </c>
      <c r="AE38" s="49">
        <f t="shared" si="23"/>
        <v>0</v>
      </c>
    </row>
    <row r="39" spans="1:31" ht="32.25" customHeight="1" x14ac:dyDescent="0.3">
      <c r="A39" s="19">
        <f t="shared" si="13"/>
        <v>44103</v>
      </c>
      <c r="B39" s="20"/>
      <c r="C39" s="18">
        <f t="shared" si="0"/>
        <v>0</v>
      </c>
      <c r="D39" s="20"/>
      <c r="E39" s="18">
        <f t="shared" si="1"/>
        <v>0</v>
      </c>
      <c r="F39" s="20"/>
      <c r="G39" s="18">
        <f t="shared" si="2"/>
        <v>0</v>
      </c>
      <c r="H39" s="20"/>
      <c r="I39" s="18">
        <f t="shared" si="33"/>
        <v>0</v>
      </c>
      <c r="J39" s="18">
        <f t="shared" si="19"/>
        <v>0</v>
      </c>
      <c r="K39" s="18">
        <f t="shared" si="20"/>
        <v>0</v>
      </c>
      <c r="L39" s="18">
        <f t="shared" si="29"/>
        <v>0</v>
      </c>
      <c r="M39" s="18">
        <f t="shared" si="7"/>
        <v>28000</v>
      </c>
      <c r="N39" s="18">
        <f t="shared" si="27"/>
        <v>0</v>
      </c>
      <c r="O39" s="18">
        <f t="shared" si="28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2"/>
        <v>0</v>
      </c>
      <c r="AE39" s="49">
        <f t="shared" si="23"/>
        <v>0</v>
      </c>
    </row>
    <row r="40" spans="1:31" ht="32.25" customHeight="1" x14ac:dyDescent="0.3">
      <c r="A40" s="19">
        <f t="shared" si="13"/>
        <v>44104</v>
      </c>
      <c r="B40" s="20"/>
      <c r="C40" s="18">
        <f t="shared" si="0"/>
        <v>0</v>
      </c>
      <c r="D40" s="20"/>
      <c r="E40" s="18">
        <f t="shared" si="1"/>
        <v>0</v>
      </c>
      <c r="F40" s="20"/>
      <c r="G40" s="18">
        <f t="shared" si="2"/>
        <v>0</v>
      </c>
      <c r="H40" s="20"/>
      <c r="I40" s="18">
        <f t="shared" si="33"/>
        <v>0</v>
      </c>
      <c r="J40" s="18">
        <f t="shared" si="19"/>
        <v>0</v>
      </c>
      <c r="K40" s="18">
        <f t="shared" si="20"/>
        <v>0</v>
      </c>
      <c r="L40" s="18">
        <f t="shared" si="29"/>
        <v>0</v>
      </c>
      <c r="M40" s="18">
        <f t="shared" si="7"/>
        <v>28000</v>
      </c>
      <c r="N40" s="18">
        <f t="shared" si="27"/>
        <v>0</v>
      </c>
      <c r="O40" s="18">
        <f t="shared" si="28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2"/>
        <v>0</v>
      </c>
      <c r="AE40" s="49">
        <f t="shared" si="23"/>
        <v>0</v>
      </c>
    </row>
    <row r="41" spans="1:31" ht="32.25" customHeight="1" x14ac:dyDescent="0.3">
      <c r="A41" s="19">
        <f t="shared" si="13"/>
        <v>44105</v>
      </c>
      <c r="B41" s="20"/>
      <c r="C41" s="18">
        <f t="shared" si="0"/>
        <v>0</v>
      </c>
      <c r="D41" s="20"/>
      <c r="E41" s="18">
        <f t="shared" si="1"/>
        <v>0</v>
      </c>
      <c r="F41" s="20"/>
      <c r="G41" s="18">
        <f t="shared" si="2"/>
        <v>0</v>
      </c>
      <c r="H41" s="20"/>
      <c r="I41" s="18">
        <f t="shared" si="33"/>
        <v>0</v>
      </c>
      <c r="J41" s="18">
        <f t="shared" si="19"/>
        <v>0</v>
      </c>
      <c r="K41" s="18">
        <f t="shared" si="20"/>
        <v>0</v>
      </c>
      <c r="L41" s="18">
        <f t="shared" si="29"/>
        <v>0</v>
      </c>
      <c r="M41" s="18">
        <f t="shared" si="7"/>
        <v>28000</v>
      </c>
      <c r="N41" s="18">
        <f t="shared" si="27"/>
        <v>0</v>
      </c>
      <c r="O41" s="18">
        <f t="shared" si="28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2"/>
        <v>0</v>
      </c>
      <c r="AE41" s="49">
        <f t="shared" si="23"/>
        <v>0</v>
      </c>
    </row>
    <row r="42" spans="1:31" ht="32.25" customHeight="1" x14ac:dyDescent="0.3">
      <c r="A42" s="19">
        <f t="shared" si="13"/>
        <v>44106</v>
      </c>
      <c r="B42" s="20"/>
      <c r="C42" s="18">
        <f t="shared" si="0"/>
        <v>0</v>
      </c>
      <c r="D42" s="20"/>
      <c r="E42" s="18">
        <f t="shared" si="1"/>
        <v>0</v>
      </c>
      <c r="F42" s="20"/>
      <c r="G42" s="18">
        <f t="shared" si="2"/>
        <v>0</v>
      </c>
      <c r="H42" s="20"/>
      <c r="I42" s="18">
        <f t="shared" si="33"/>
        <v>0</v>
      </c>
      <c r="J42" s="18">
        <f t="shared" si="19"/>
        <v>0</v>
      </c>
      <c r="K42" s="18">
        <f t="shared" si="20"/>
        <v>0</v>
      </c>
      <c r="L42" s="18">
        <f t="shared" si="29"/>
        <v>0</v>
      </c>
      <c r="M42" s="18">
        <f t="shared" si="7"/>
        <v>28000</v>
      </c>
      <c r="N42" s="18">
        <f t="shared" si="27"/>
        <v>0</v>
      </c>
      <c r="O42" s="18">
        <f t="shared" si="28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2"/>
        <v>0</v>
      </c>
      <c r="AE42" s="49">
        <f t="shared" si="23"/>
        <v>0</v>
      </c>
    </row>
    <row r="43" spans="1:31" ht="32.25" customHeight="1" thickBot="1" x14ac:dyDescent="0.35">
      <c r="B43" s="20"/>
      <c r="C43" s="18">
        <f>SUM(C11:C40)</f>
        <v>5</v>
      </c>
      <c r="D43" s="20"/>
      <c r="E43" s="18">
        <f>SUM(E11:E40)</f>
        <v>6</v>
      </c>
      <c r="F43" s="20"/>
      <c r="G43" s="18">
        <f>SUM(G11:G40)</f>
        <v>2</v>
      </c>
      <c r="H43" s="20"/>
      <c r="I43" s="18">
        <f>SUM(I11:I40)</f>
        <v>5</v>
      </c>
      <c r="J43" s="16"/>
      <c r="K43" s="16"/>
      <c r="L43" s="16"/>
      <c r="M43" s="16"/>
      <c r="N43" s="18">
        <f>SUM(N11:N40)</f>
        <v>1260</v>
      </c>
      <c r="O43" s="18">
        <f>N43*0.53</f>
        <v>667.80000000000007</v>
      </c>
      <c r="P43" s="21">
        <f>O43*7.8338</f>
        <v>5231.4116400000003</v>
      </c>
      <c r="Q43" s="265">
        <f>SUM(Q11:Q40)</f>
        <v>0</v>
      </c>
      <c r="R43" s="266"/>
      <c r="S43" s="267"/>
      <c r="T43" s="268">
        <f>SUM(T11:T40)</f>
        <v>0</v>
      </c>
      <c r="U43" s="266"/>
      <c r="V43" s="267"/>
      <c r="W43" s="268">
        <f>SUM(W11:W40)</f>
        <v>0</v>
      </c>
      <c r="X43" s="266"/>
      <c r="Y43" s="267"/>
      <c r="Z43" s="265">
        <f>SUM(Z11:Z40)</f>
        <v>0</v>
      </c>
      <c r="AA43" s="266"/>
      <c r="AB43" s="267"/>
      <c r="AC43" s="138">
        <f>SUM(AC11:AC40)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1260</v>
      </c>
      <c r="L47" s="29">
        <f>O43</f>
        <v>667.80000000000007</v>
      </c>
      <c r="M47" s="29">
        <f>P43</f>
        <v>5231.4116400000003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1860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44068</v>
      </c>
      <c r="B9" s="40">
        <v>123937</v>
      </c>
      <c r="C9" s="41">
        <f t="shared" ref="C9:C16" si="0">IF(B10&lt;B9,0,B10-B9)*10</f>
        <v>90</v>
      </c>
      <c r="D9" s="42">
        <v>18534700</v>
      </c>
      <c r="E9" s="41">
        <f t="shared" ref="E9:E16" si="1">IF(D10&lt;D9,0,D10-D9)</f>
        <v>1006</v>
      </c>
      <c r="F9" s="42">
        <v>33300932</v>
      </c>
      <c r="G9" s="41">
        <f t="shared" ref="G9:G47" si="2">IF(F10&lt;F9,0,F10-F9)</f>
        <v>1739</v>
      </c>
      <c r="H9" s="42">
        <v>14738882</v>
      </c>
      <c r="I9" s="41">
        <f t="shared" ref="I9:I47" si="3">IF(H10&lt;H9,0,H10-H9)</f>
        <v>585</v>
      </c>
    </row>
    <row r="10" spans="1:20" ht="21" thickTop="1" thickBot="1" x14ac:dyDescent="0.35">
      <c r="A10" s="39">
        <f>(A9+1)</f>
        <v>44069</v>
      </c>
      <c r="B10" s="40">
        <v>123946</v>
      </c>
      <c r="C10" s="41">
        <f t="shared" si="0"/>
        <v>100</v>
      </c>
      <c r="D10" s="42">
        <v>18535706</v>
      </c>
      <c r="E10" s="41">
        <f t="shared" si="1"/>
        <v>1042</v>
      </c>
      <c r="F10" s="42">
        <v>33302671</v>
      </c>
      <c r="G10" s="41">
        <f t="shared" si="2"/>
        <v>1752</v>
      </c>
      <c r="H10" s="42">
        <v>14739467</v>
      </c>
      <c r="I10" s="41">
        <f t="shared" si="3"/>
        <v>670</v>
      </c>
    </row>
    <row r="11" spans="1:20" ht="21" thickTop="1" thickBot="1" x14ac:dyDescent="0.35">
      <c r="A11" s="39">
        <f t="shared" ref="A11:A47" si="4">(A10+1)</f>
        <v>44070</v>
      </c>
      <c r="B11" s="40">
        <v>123956</v>
      </c>
      <c r="C11" s="41">
        <f t="shared" si="0"/>
        <v>110</v>
      </c>
      <c r="D11" s="42">
        <v>18536748</v>
      </c>
      <c r="E11" s="41">
        <f t="shared" si="1"/>
        <v>973</v>
      </c>
      <c r="F11" s="42">
        <v>33304423</v>
      </c>
      <c r="G11" s="41">
        <f t="shared" si="2"/>
        <v>1663</v>
      </c>
      <c r="H11" s="42">
        <v>14740137</v>
      </c>
      <c r="I11" s="41">
        <f t="shared" si="3"/>
        <v>586</v>
      </c>
    </row>
    <row r="12" spans="1:20" ht="21" thickTop="1" thickBot="1" x14ac:dyDescent="0.35">
      <c r="A12" s="39">
        <f t="shared" si="4"/>
        <v>44071</v>
      </c>
      <c r="B12" s="40">
        <v>123967</v>
      </c>
      <c r="C12" s="41">
        <f t="shared" si="0"/>
        <v>110</v>
      </c>
      <c r="D12" s="42">
        <v>18537721</v>
      </c>
      <c r="E12" s="41">
        <f t="shared" si="1"/>
        <v>1022</v>
      </c>
      <c r="F12" s="42">
        <v>33306086</v>
      </c>
      <c r="G12" s="41">
        <f t="shared" si="2"/>
        <v>1611</v>
      </c>
      <c r="H12" s="42">
        <v>14740723</v>
      </c>
      <c r="I12" s="41">
        <f t="shared" si="3"/>
        <v>626</v>
      </c>
    </row>
    <row r="13" spans="1:20" ht="21" thickTop="1" thickBot="1" x14ac:dyDescent="0.35">
      <c r="A13" s="39">
        <f t="shared" si="4"/>
        <v>44072</v>
      </c>
      <c r="B13" s="40">
        <v>123978</v>
      </c>
      <c r="C13" s="41">
        <f t="shared" si="0"/>
        <v>110</v>
      </c>
      <c r="D13" s="42">
        <v>18538743</v>
      </c>
      <c r="E13" s="41">
        <f t="shared" si="1"/>
        <v>866</v>
      </c>
      <c r="F13" s="42">
        <v>33307697</v>
      </c>
      <c r="G13" s="41">
        <f t="shared" si="2"/>
        <v>1504</v>
      </c>
      <c r="H13" s="42">
        <v>14741349</v>
      </c>
      <c r="I13" s="41">
        <f t="shared" si="3"/>
        <v>542</v>
      </c>
    </row>
    <row r="14" spans="1:20" ht="21" thickTop="1" thickBot="1" x14ac:dyDescent="0.35">
      <c r="A14" s="39">
        <f t="shared" si="4"/>
        <v>44073</v>
      </c>
      <c r="B14" s="40">
        <v>123989</v>
      </c>
      <c r="C14" s="41">
        <f t="shared" si="0"/>
        <v>100</v>
      </c>
      <c r="D14" s="42">
        <v>18539609</v>
      </c>
      <c r="E14" s="41">
        <f t="shared" si="1"/>
        <v>868</v>
      </c>
      <c r="F14" s="42">
        <v>33309201</v>
      </c>
      <c r="G14" s="41">
        <f t="shared" si="2"/>
        <v>1322</v>
      </c>
      <c r="H14" s="42">
        <v>14741891</v>
      </c>
      <c r="I14" s="41">
        <f t="shared" si="3"/>
        <v>517</v>
      </c>
    </row>
    <row r="15" spans="1:20" ht="21" thickTop="1" thickBot="1" x14ac:dyDescent="0.35">
      <c r="A15" s="39">
        <f t="shared" si="4"/>
        <v>44074</v>
      </c>
      <c r="B15" s="40">
        <v>123999</v>
      </c>
      <c r="C15" s="41">
        <f t="shared" si="0"/>
        <v>100</v>
      </c>
      <c r="D15" s="42">
        <v>18540477</v>
      </c>
      <c r="E15" s="41">
        <f t="shared" si="1"/>
        <v>1081</v>
      </c>
      <c r="F15" s="42">
        <v>33310523</v>
      </c>
      <c r="G15" s="41">
        <f t="shared" si="2"/>
        <v>1668</v>
      </c>
      <c r="H15" s="42">
        <v>14742408</v>
      </c>
      <c r="I15" s="41">
        <f t="shared" si="3"/>
        <v>627</v>
      </c>
    </row>
    <row r="16" spans="1:20" ht="21" thickTop="1" thickBot="1" x14ac:dyDescent="0.35">
      <c r="A16" s="39">
        <f t="shared" si="4"/>
        <v>44075</v>
      </c>
      <c r="B16" s="40">
        <v>124009</v>
      </c>
      <c r="C16" s="41">
        <f t="shared" si="0"/>
        <v>90</v>
      </c>
      <c r="D16" s="42">
        <v>18541558</v>
      </c>
      <c r="E16" s="41">
        <f t="shared" si="1"/>
        <v>980</v>
      </c>
      <c r="F16" s="42">
        <v>33312191</v>
      </c>
      <c r="G16" s="41">
        <f t="shared" si="2"/>
        <v>1741</v>
      </c>
      <c r="H16" s="42">
        <v>14743035</v>
      </c>
      <c r="I16" s="41">
        <f t="shared" si="3"/>
        <v>599</v>
      </c>
    </row>
    <row r="17" spans="1:9" ht="21" thickTop="1" thickBot="1" x14ac:dyDescent="0.35">
      <c r="A17" s="39">
        <f t="shared" si="4"/>
        <v>44076</v>
      </c>
      <c r="B17" s="40">
        <v>124018</v>
      </c>
      <c r="C17" s="41">
        <f>IF(B18&lt;B17,0,B18-B17)*10</f>
        <v>80</v>
      </c>
      <c r="D17" s="42">
        <v>18542538</v>
      </c>
      <c r="E17" s="41">
        <f>IF(D18&lt;D17,0,D18-D17)</f>
        <v>1015</v>
      </c>
      <c r="F17" s="42">
        <v>33313932</v>
      </c>
      <c r="G17" s="41">
        <f t="shared" si="2"/>
        <v>1757</v>
      </c>
      <c r="H17" s="42">
        <v>14743634</v>
      </c>
      <c r="I17" s="41">
        <f t="shared" si="3"/>
        <v>651</v>
      </c>
    </row>
    <row r="18" spans="1:9" ht="21" thickTop="1" thickBot="1" x14ac:dyDescent="0.35">
      <c r="A18" s="39">
        <f t="shared" si="4"/>
        <v>44077</v>
      </c>
      <c r="B18" s="40">
        <v>124026</v>
      </c>
      <c r="C18" s="41">
        <f t="shared" ref="C18:C31" si="5">IF(B19&lt;B18,0,B19-B18)*10</f>
        <v>90</v>
      </c>
      <c r="D18" s="42">
        <v>18543553</v>
      </c>
      <c r="E18" s="41">
        <f t="shared" ref="E18:E31" si="6">IF(D19&lt;D18,0,D19-D18)</f>
        <v>996</v>
      </c>
      <c r="F18" s="42">
        <v>33315689</v>
      </c>
      <c r="G18" s="41">
        <f t="shared" si="2"/>
        <v>1637</v>
      </c>
      <c r="H18" s="42">
        <v>14744285</v>
      </c>
      <c r="I18" s="41">
        <f t="shared" si="3"/>
        <v>552</v>
      </c>
    </row>
    <row r="19" spans="1:9" ht="21" thickTop="1" thickBot="1" x14ac:dyDescent="0.35">
      <c r="A19" s="39">
        <f t="shared" si="4"/>
        <v>44078</v>
      </c>
      <c r="B19" s="40">
        <v>124035</v>
      </c>
      <c r="C19" s="41">
        <f t="shared" si="5"/>
        <v>80</v>
      </c>
      <c r="D19" s="42">
        <v>18544549</v>
      </c>
      <c r="E19" s="41">
        <f t="shared" si="6"/>
        <v>1003</v>
      </c>
      <c r="F19" s="42">
        <v>33317326</v>
      </c>
      <c r="G19" s="41">
        <f t="shared" si="2"/>
        <v>1765</v>
      </c>
      <c r="H19" s="42">
        <v>14744837</v>
      </c>
      <c r="I19" s="41">
        <f t="shared" si="3"/>
        <v>661</v>
      </c>
    </row>
    <row r="20" spans="1:9" ht="21" thickTop="1" thickBot="1" x14ac:dyDescent="0.35">
      <c r="A20" s="39">
        <f t="shared" si="4"/>
        <v>44079</v>
      </c>
      <c r="B20" s="40">
        <v>124043</v>
      </c>
      <c r="C20" s="41">
        <f t="shared" si="5"/>
        <v>90</v>
      </c>
      <c r="D20" s="42">
        <v>18545552</v>
      </c>
      <c r="E20" s="41">
        <f t="shared" si="6"/>
        <v>1042</v>
      </c>
      <c r="F20" s="42">
        <v>33319091</v>
      </c>
      <c r="G20" s="41">
        <f t="shared" si="2"/>
        <v>1752</v>
      </c>
      <c r="H20" s="42">
        <v>14745498</v>
      </c>
      <c r="I20" s="41">
        <f t="shared" si="3"/>
        <v>670</v>
      </c>
    </row>
    <row r="21" spans="1:9" ht="21" thickTop="1" thickBot="1" x14ac:dyDescent="0.35">
      <c r="A21" s="39">
        <f t="shared" si="4"/>
        <v>44080</v>
      </c>
      <c r="B21" s="40">
        <v>124052</v>
      </c>
      <c r="C21" s="41">
        <f t="shared" si="5"/>
        <v>80</v>
      </c>
      <c r="D21" s="42">
        <v>18546594</v>
      </c>
      <c r="E21" s="41">
        <f t="shared" si="6"/>
        <v>1022</v>
      </c>
      <c r="F21" s="42">
        <v>33320843</v>
      </c>
      <c r="G21" s="41">
        <f t="shared" si="2"/>
        <v>1611</v>
      </c>
      <c r="H21" s="42">
        <v>14746168</v>
      </c>
      <c r="I21" s="41">
        <f t="shared" si="3"/>
        <v>626</v>
      </c>
    </row>
    <row r="22" spans="1:9" ht="21" thickTop="1" thickBot="1" x14ac:dyDescent="0.35">
      <c r="A22" s="39">
        <f t="shared" si="4"/>
        <v>44081</v>
      </c>
      <c r="B22" s="40">
        <v>124060</v>
      </c>
      <c r="C22" s="41">
        <f t="shared" si="5"/>
        <v>70</v>
      </c>
      <c r="D22" s="42">
        <v>18547616</v>
      </c>
      <c r="E22" s="41">
        <f t="shared" si="6"/>
        <v>980</v>
      </c>
      <c r="F22" s="42">
        <v>33322454</v>
      </c>
      <c r="G22" s="41">
        <f t="shared" si="2"/>
        <v>1741</v>
      </c>
      <c r="H22" s="42">
        <v>14746794</v>
      </c>
      <c r="I22" s="41">
        <f t="shared" si="3"/>
        <v>599</v>
      </c>
    </row>
    <row r="23" spans="1:9" ht="21" thickTop="1" thickBot="1" x14ac:dyDescent="0.35">
      <c r="A23" s="39">
        <f t="shared" si="4"/>
        <v>44082</v>
      </c>
      <c r="B23" s="40">
        <v>124067</v>
      </c>
      <c r="C23" s="41">
        <f t="shared" si="5"/>
        <v>110</v>
      </c>
      <c r="D23" s="42">
        <v>18548596</v>
      </c>
      <c r="E23" s="41">
        <f t="shared" si="6"/>
        <v>1062</v>
      </c>
      <c r="F23" s="42">
        <v>33324195</v>
      </c>
      <c r="G23" s="41">
        <f t="shared" si="2"/>
        <v>1772</v>
      </c>
      <c r="H23" s="42">
        <v>14747393</v>
      </c>
      <c r="I23" s="41">
        <f t="shared" si="3"/>
        <v>690</v>
      </c>
    </row>
    <row r="24" spans="1:9" ht="21" thickTop="1" thickBot="1" x14ac:dyDescent="0.35">
      <c r="A24" s="39">
        <f t="shared" si="4"/>
        <v>44083</v>
      </c>
      <c r="B24" s="40">
        <v>124078</v>
      </c>
      <c r="C24" s="41">
        <f t="shared" si="5"/>
        <v>100</v>
      </c>
      <c r="D24" s="42">
        <v>18549658</v>
      </c>
      <c r="E24" s="41">
        <f t="shared" si="6"/>
        <v>1073</v>
      </c>
      <c r="F24" s="42">
        <v>33325967</v>
      </c>
      <c r="G24" s="41">
        <f t="shared" si="2"/>
        <v>1673</v>
      </c>
      <c r="H24" s="42">
        <v>14748083</v>
      </c>
      <c r="I24" s="41">
        <f t="shared" si="3"/>
        <v>596</v>
      </c>
    </row>
    <row r="25" spans="1:9" ht="21" thickTop="1" thickBot="1" x14ac:dyDescent="0.35">
      <c r="A25" s="39">
        <f t="shared" si="4"/>
        <v>44084</v>
      </c>
      <c r="B25" s="40">
        <v>124088</v>
      </c>
      <c r="C25" s="41">
        <f t="shared" si="5"/>
        <v>250</v>
      </c>
      <c r="D25" s="42">
        <v>18550731</v>
      </c>
      <c r="E25" s="41">
        <f t="shared" si="6"/>
        <v>470</v>
      </c>
      <c r="F25" s="42">
        <v>33327640</v>
      </c>
      <c r="G25" s="41">
        <f t="shared" si="2"/>
        <v>1290</v>
      </c>
      <c r="H25" s="42">
        <v>14748679</v>
      </c>
      <c r="I25" s="41">
        <f t="shared" si="3"/>
        <v>365</v>
      </c>
    </row>
    <row r="26" spans="1:9" ht="21" thickTop="1" thickBot="1" x14ac:dyDescent="0.35">
      <c r="A26" s="39">
        <f t="shared" si="4"/>
        <v>44085</v>
      </c>
      <c r="B26" s="40">
        <v>124113</v>
      </c>
      <c r="C26" s="41">
        <f t="shared" si="5"/>
        <v>100</v>
      </c>
      <c r="D26" s="42">
        <v>18551201</v>
      </c>
      <c r="E26" s="41">
        <f t="shared" si="6"/>
        <v>910</v>
      </c>
      <c r="F26" s="42">
        <v>33328930</v>
      </c>
      <c r="G26" s="41">
        <f t="shared" si="2"/>
        <v>1868</v>
      </c>
      <c r="H26" s="42">
        <v>14749044</v>
      </c>
      <c r="I26" s="41">
        <f t="shared" si="3"/>
        <v>602</v>
      </c>
    </row>
    <row r="27" spans="1:9" ht="21" thickTop="1" thickBot="1" x14ac:dyDescent="0.35">
      <c r="A27" s="39">
        <f t="shared" si="4"/>
        <v>44086</v>
      </c>
      <c r="B27" s="40">
        <v>124123</v>
      </c>
      <c r="C27" s="41">
        <f t="shared" si="5"/>
        <v>100</v>
      </c>
      <c r="D27" s="42">
        <v>18552111</v>
      </c>
      <c r="E27" s="41">
        <f t="shared" si="6"/>
        <v>822</v>
      </c>
      <c r="F27" s="42">
        <v>33330798</v>
      </c>
      <c r="G27" s="41">
        <f t="shared" si="2"/>
        <v>1534</v>
      </c>
      <c r="H27" s="42">
        <v>14749646</v>
      </c>
      <c r="I27" s="41">
        <f t="shared" si="3"/>
        <v>570</v>
      </c>
    </row>
    <row r="28" spans="1:9" ht="21" thickTop="1" thickBot="1" x14ac:dyDescent="0.35">
      <c r="A28" s="39">
        <f t="shared" si="4"/>
        <v>44087</v>
      </c>
      <c r="B28" s="40">
        <v>124133</v>
      </c>
      <c r="C28" s="41">
        <f t="shared" si="5"/>
        <v>100</v>
      </c>
      <c r="D28" s="42">
        <v>18552933</v>
      </c>
      <c r="E28" s="41">
        <f t="shared" si="6"/>
        <v>813</v>
      </c>
      <c r="F28" s="42">
        <v>33332332</v>
      </c>
      <c r="G28" s="41">
        <f t="shared" si="2"/>
        <v>1543</v>
      </c>
      <c r="H28" s="42">
        <v>14750216</v>
      </c>
      <c r="I28" s="41">
        <f t="shared" si="3"/>
        <v>536</v>
      </c>
    </row>
    <row r="29" spans="1:9" ht="21" thickTop="1" thickBot="1" x14ac:dyDescent="0.35">
      <c r="A29" s="39">
        <f t="shared" si="4"/>
        <v>44088</v>
      </c>
      <c r="B29" s="40">
        <v>124143</v>
      </c>
      <c r="C29" s="41">
        <f t="shared" si="5"/>
        <v>200</v>
      </c>
      <c r="D29" s="42">
        <v>18553746</v>
      </c>
      <c r="E29" s="41">
        <f t="shared" si="6"/>
        <v>1004</v>
      </c>
      <c r="F29" s="42">
        <v>33333875</v>
      </c>
      <c r="G29" s="41">
        <f t="shared" si="2"/>
        <v>2436</v>
      </c>
      <c r="H29" s="42">
        <v>14750752</v>
      </c>
      <c r="I29" s="41">
        <f t="shared" si="3"/>
        <v>656</v>
      </c>
    </row>
    <row r="30" spans="1:9" ht="21" thickTop="1" thickBot="1" x14ac:dyDescent="0.35">
      <c r="A30" s="39">
        <f t="shared" si="4"/>
        <v>44089</v>
      </c>
      <c r="B30" s="40">
        <v>124163</v>
      </c>
      <c r="C30" s="41">
        <f t="shared" si="5"/>
        <v>320</v>
      </c>
      <c r="D30" s="42">
        <v>18554750</v>
      </c>
      <c r="E30" s="41">
        <f t="shared" si="6"/>
        <v>1135</v>
      </c>
      <c r="F30" s="42">
        <v>33336311</v>
      </c>
      <c r="G30" s="41">
        <f t="shared" si="2"/>
        <v>2509</v>
      </c>
      <c r="H30" s="42">
        <v>14751408</v>
      </c>
      <c r="I30" s="41">
        <f t="shared" si="3"/>
        <v>884</v>
      </c>
    </row>
    <row r="31" spans="1:9" ht="21" thickTop="1" thickBot="1" x14ac:dyDescent="0.35">
      <c r="A31" s="39">
        <f t="shared" si="4"/>
        <v>44090</v>
      </c>
      <c r="B31" s="40">
        <v>124195</v>
      </c>
      <c r="C31" s="41">
        <f t="shared" si="5"/>
        <v>0</v>
      </c>
      <c r="D31" s="42">
        <v>18555885</v>
      </c>
      <c r="E31" s="41">
        <f t="shared" si="6"/>
        <v>0</v>
      </c>
      <c r="F31" s="42">
        <v>33338820</v>
      </c>
      <c r="G31" s="41">
        <f t="shared" si="2"/>
        <v>0</v>
      </c>
      <c r="H31" s="42">
        <v>14752292</v>
      </c>
      <c r="I31" s="41">
        <f t="shared" si="3"/>
        <v>0</v>
      </c>
    </row>
    <row r="32" spans="1:9" ht="21" thickTop="1" thickBot="1" x14ac:dyDescent="0.35">
      <c r="A32" s="39">
        <f t="shared" si="4"/>
        <v>44091</v>
      </c>
      <c r="B32" s="40"/>
      <c r="C32" s="41">
        <f t="shared" ref="C26:C47" si="7">IF(B33&lt;B32,0,B33-B32)*10</f>
        <v>0</v>
      </c>
      <c r="D32" s="42"/>
      <c r="E32" s="41">
        <f t="shared" ref="E26:E47" si="8">IF(D33&lt;D32,0,D33-D32)</f>
        <v>0</v>
      </c>
      <c r="F32" s="42"/>
      <c r="G32" s="41">
        <f t="shared" si="2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44092</v>
      </c>
      <c r="B33" s="40"/>
      <c r="C33" s="41">
        <f t="shared" si="7"/>
        <v>0</v>
      </c>
      <c r="D33" s="42"/>
      <c r="E33" s="41">
        <f t="shared" si="8"/>
        <v>0</v>
      </c>
      <c r="F33" s="42"/>
      <c r="G33" s="41">
        <f t="shared" si="2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44093</v>
      </c>
      <c r="B34" s="40"/>
      <c r="C34" s="41">
        <f t="shared" si="7"/>
        <v>0</v>
      </c>
      <c r="D34" s="42"/>
      <c r="E34" s="41">
        <f t="shared" si="8"/>
        <v>0</v>
      </c>
      <c r="F34" s="42"/>
      <c r="G34" s="41">
        <f t="shared" si="2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44094</v>
      </c>
      <c r="B35" s="40"/>
      <c r="C35" s="41">
        <f t="shared" si="7"/>
        <v>0</v>
      </c>
      <c r="D35" s="42"/>
      <c r="E35" s="41">
        <f t="shared" si="8"/>
        <v>0</v>
      </c>
      <c r="F35" s="42"/>
      <c r="G35" s="41">
        <f t="shared" si="2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44095</v>
      </c>
      <c r="B36" s="40"/>
      <c r="C36" s="41">
        <f t="shared" si="7"/>
        <v>0</v>
      </c>
      <c r="D36" s="42"/>
      <c r="E36" s="41">
        <f t="shared" si="8"/>
        <v>0</v>
      </c>
      <c r="F36" s="42"/>
      <c r="G36" s="41">
        <f t="shared" si="2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44096</v>
      </c>
      <c r="B37" s="40"/>
      <c r="C37" s="41">
        <f t="shared" si="7"/>
        <v>0</v>
      </c>
      <c r="D37" s="42"/>
      <c r="E37" s="41">
        <f t="shared" si="8"/>
        <v>0</v>
      </c>
      <c r="F37" s="42"/>
      <c r="G37" s="41">
        <f t="shared" si="2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44097</v>
      </c>
      <c r="B38" s="40"/>
      <c r="C38" s="41">
        <f t="shared" si="7"/>
        <v>0</v>
      </c>
      <c r="D38" s="42"/>
      <c r="E38" s="41">
        <f t="shared" si="8"/>
        <v>0</v>
      </c>
      <c r="F38" s="42"/>
      <c r="G38" s="41">
        <f t="shared" si="2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44098</v>
      </c>
      <c r="B39" s="40"/>
      <c r="C39" s="41">
        <f t="shared" si="7"/>
        <v>0</v>
      </c>
      <c r="D39" s="42"/>
      <c r="E39" s="41">
        <f t="shared" si="8"/>
        <v>0</v>
      </c>
      <c r="F39" s="42"/>
      <c r="G39" s="41">
        <f t="shared" si="2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44099</v>
      </c>
      <c r="B40" s="40"/>
      <c r="C40" s="41">
        <f t="shared" si="7"/>
        <v>0</v>
      </c>
      <c r="D40" s="42"/>
      <c r="E40" s="41">
        <f t="shared" si="8"/>
        <v>0</v>
      </c>
      <c r="F40" s="42"/>
      <c r="G40" s="41">
        <f t="shared" si="2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44100</v>
      </c>
      <c r="B41" s="40"/>
      <c r="C41" s="41">
        <f t="shared" si="7"/>
        <v>0</v>
      </c>
      <c r="D41" s="42"/>
      <c r="E41" s="41">
        <f t="shared" si="8"/>
        <v>0</v>
      </c>
      <c r="F41" s="42"/>
      <c r="G41" s="41">
        <f t="shared" si="2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44101</v>
      </c>
      <c r="B42" s="40"/>
      <c r="C42" s="41">
        <f t="shared" si="7"/>
        <v>0</v>
      </c>
      <c r="D42" s="42"/>
      <c r="E42" s="41">
        <f t="shared" si="8"/>
        <v>0</v>
      </c>
      <c r="F42" s="42"/>
      <c r="G42" s="41">
        <f t="shared" si="2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44102</v>
      </c>
      <c r="B43" s="40"/>
      <c r="C43" s="41">
        <f t="shared" si="7"/>
        <v>0</v>
      </c>
      <c r="D43" s="42"/>
      <c r="E43" s="41">
        <f t="shared" si="8"/>
        <v>0</v>
      </c>
      <c r="F43" s="42"/>
      <c r="G43" s="41">
        <f t="shared" si="2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44103</v>
      </c>
      <c r="B44" s="40"/>
      <c r="C44" s="41">
        <f t="shared" si="7"/>
        <v>0</v>
      </c>
      <c r="D44" s="42"/>
      <c r="E44" s="41">
        <f t="shared" si="8"/>
        <v>0</v>
      </c>
      <c r="F44" s="42"/>
      <c r="G44" s="41">
        <f t="shared" si="2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44104</v>
      </c>
      <c r="B45" s="40"/>
      <c r="C45" s="41">
        <f t="shared" si="7"/>
        <v>0</v>
      </c>
      <c r="D45" s="42"/>
      <c r="E45" s="41">
        <f t="shared" si="8"/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44105</v>
      </c>
      <c r="B46" s="40"/>
      <c r="C46" s="41">
        <f t="shared" si="7"/>
        <v>0</v>
      </c>
      <c r="D46" s="42"/>
      <c r="E46" s="41">
        <f t="shared" si="8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44106</v>
      </c>
      <c r="B47" s="40"/>
      <c r="C47" s="41">
        <f t="shared" si="7"/>
        <v>0</v>
      </c>
      <c r="D47" s="42"/>
      <c r="E47" s="41">
        <f t="shared" si="8"/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SUM(C16:C45)</f>
        <v>1860</v>
      </c>
      <c r="E48" s="41">
        <f>SUM(E16:E45)</f>
        <v>14327</v>
      </c>
      <c r="F48" s="53"/>
      <c r="G48" s="41">
        <f>SUM(G16:G45)</f>
        <v>26629</v>
      </c>
      <c r="H48" s="53"/>
      <c r="I48" s="41">
        <f>SUM(I16:I45)</f>
        <v>9257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8" priority="750" stopIfTrue="1" operator="lessThanOrEqual">
      <formula>0</formula>
    </cfRule>
  </conditionalFormatting>
  <conditionalFormatting sqref="C48">
    <cfRule type="cellIs" dxfId="87" priority="412" stopIfTrue="1" operator="lessThanOrEqual">
      <formula>0</formula>
    </cfRule>
  </conditionalFormatting>
  <conditionalFormatting sqref="C48">
    <cfRule type="cellIs" dxfId="86" priority="411" stopIfTrue="1" operator="lessThanOrEqual">
      <formula>0</formula>
    </cfRule>
  </conditionalFormatting>
  <conditionalFormatting sqref="C48">
    <cfRule type="cellIs" dxfId="85" priority="410" stopIfTrue="1" operator="lessThanOrEqual">
      <formula>0</formula>
    </cfRule>
  </conditionalFormatting>
  <conditionalFormatting sqref="C48">
    <cfRule type="cellIs" dxfId="84" priority="409" stopIfTrue="1" operator="lessThanOrEqual">
      <formula>0</formula>
    </cfRule>
  </conditionalFormatting>
  <conditionalFormatting sqref="C32:C43">
    <cfRule type="cellIs" dxfId="63" priority="60" stopIfTrue="1" operator="lessThanOrEqual">
      <formula>0</formula>
    </cfRule>
  </conditionalFormatting>
  <conditionalFormatting sqref="C32:C43">
    <cfRule type="cellIs" dxfId="62" priority="59" stopIfTrue="1" operator="lessThanOrEqual">
      <formula>0</formula>
    </cfRule>
  </conditionalFormatting>
  <conditionalFormatting sqref="C32:C43">
    <cfRule type="cellIs" dxfId="61" priority="58" stopIfTrue="1" operator="lessThanOrEqual">
      <formula>0</formula>
    </cfRule>
  </conditionalFormatting>
  <conditionalFormatting sqref="C32:C43">
    <cfRule type="cellIs" dxfId="60" priority="57" stopIfTrue="1" operator="lessThanOrEqual">
      <formula>0</formula>
    </cfRule>
  </conditionalFormatting>
  <conditionalFormatting sqref="C44">
    <cfRule type="cellIs" dxfId="59" priority="56" stopIfTrue="1" operator="lessThanOrEqual">
      <formula>0</formula>
    </cfRule>
  </conditionalFormatting>
  <conditionalFormatting sqref="C44">
    <cfRule type="cellIs" dxfId="58" priority="55" stopIfTrue="1" operator="lessThanOrEqual">
      <formula>0</formula>
    </cfRule>
  </conditionalFormatting>
  <conditionalFormatting sqref="C44">
    <cfRule type="cellIs" dxfId="57" priority="54" stopIfTrue="1" operator="lessThanOrEqual">
      <formula>0</formula>
    </cfRule>
  </conditionalFormatting>
  <conditionalFormatting sqref="C44">
    <cfRule type="cellIs" dxfId="56" priority="53" stopIfTrue="1" operator="lessThanOrEqual">
      <formula>0</formula>
    </cfRule>
  </conditionalFormatting>
  <conditionalFormatting sqref="C45:C47">
    <cfRule type="cellIs" dxfId="55" priority="52" stopIfTrue="1" operator="lessThanOrEqual">
      <formula>0</formula>
    </cfRule>
  </conditionalFormatting>
  <conditionalFormatting sqref="C45:C47">
    <cfRule type="cellIs" dxfId="54" priority="51" stopIfTrue="1" operator="lessThanOrEqual">
      <formula>0</formula>
    </cfRule>
  </conditionalFormatting>
  <conditionalFormatting sqref="C45:C47">
    <cfRule type="cellIs" dxfId="53" priority="50" stopIfTrue="1" operator="lessThanOrEqual">
      <formula>0</formula>
    </cfRule>
  </conditionalFormatting>
  <conditionalFormatting sqref="C45:C47">
    <cfRule type="cellIs" dxfId="52" priority="49" stopIfTrue="1" operator="lessThanOrEqual">
      <formula>0</formula>
    </cfRule>
  </conditionalFormatting>
  <conditionalFormatting sqref="C9:C12">
    <cfRule type="cellIs" dxfId="51" priority="48" stopIfTrue="1" operator="lessThanOrEqual">
      <formula>0</formula>
    </cfRule>
  </conditionalFormatting>
  <conditionalFormatting sqref="C9:C12">
    <cfRule type="cellIs" dxfId="50" priority="47" stopIfTrue="1" operator="lessThanOrEqual">
      <formula>0</formula>
    </cfRule>
  </conditionalFormatting>
  <conditionalFormatting sqref="C9:C12">
    <cfRule type="cellIs" dxfId="49" priority="46" stopIfTrue="1" operator="lessThanOrEqual">
      <formula>0</formula>
    </cfRule>
  </conditionalFormatting>
  <conditionalFormatting sqref="C9:C12">
    <cfRule type="cellIs" dxfId="48" priority="45" stopIfTrue="1" operator="lessThanOrEqual">
      <formula>0</formula>
    </cfRule>
  </conditionalFormatting>
  <conditionalFormatting sqref="C13">
    <cfRule type="cellIs" dxfId="47" priority="44" stopIfTrue="1" operator="lessThanOrEqual">
      <formula>0</formula>
    </cfRule>
  </conditionalFormatting>
  <conditionalFormatting sqref="C13">
    <cfRule type="cellIs" dxfId="46" priority="43" stopIfTrue="1" operator="lessThanOrEqual">
      <formula>0</formula>
    </cfRule>
  </conditionalFormatting>
  <conditionalFormatting sqref="C13">
    <cfRule type="cellIs" dxfId="45" priority="42" stopIfTrue="1" operator="lessThanOrEqual">
      <formula>0</formula>
    </cfRule>
  </conditionalFormatting>
  <conditionalFormatting sqref="C13">
    <cfRule type="cellIs" dxfId="44" priority="41" stopIfTrue="1" operator="lessThanOrEqual">
      <formula>0</formula>
    </cfRule>
  </conditionalFormatting>
  <conditionalFormatting sqref="C14:C15">
    <cfRule type="cellIs" dxfId="43" priority="40" stopIfTrue="1" operator="lessThanOrEqual">
      <formula>0</formula>
    </cfRule>
  </conditionalFormatting>
  <conditionalFormatting sqref="C14:C15">
    <cfRule type="cellIs" dxfId="42" priority="39" stopIfTrue="1" operator="lessThanOrEqual">
      <formula>0</formula>
    </cfRule>
  </conditionalFormatting>
  <conditionalFormatting sqref="C14:C15">
    <cfRule type="cellIs" dxfId="41" priority="38" stopIfTrue="1" operator="lessThanOrEqual">
      <formula>0</formula>
    </cfRule>
  </conditionalFormatting>
  <conditionalFormatting sqref="C14:C15">
    <cfRule type="cellIs" dxfId="40" priority="37" stopIfTrue="1" operator="lessThanOrEqual">
      <formula>0</formula>
    </cfRule>
  </conditionalFormatting>
  <conditionalFormatting sqref="C17:C20">
    <cfRule type="cellIs" dxfId="39" priority="36" stopIfTrue="1" operator="lessThanOrEqual">
      <formula>0</formula>
    </cfRule>
  </conditionalFormatting>
  <conditionalFormatting sqref="C17:C20">
    <cfRule type="cellIs" dxfId="38" priority="35" stopIfTrue="1" operator="lessThanOrEqual">
      <formula>0</formula>
    </cfRule>
  </conditionalFormatting>
  <conditionalFormatting sqref="C17:C20">
    <cfRule type="cellIs" dxfId="37" priority="34" stopIfTrue="1" operator="lessThanOrEqual">
      <formula>0</formula>
    </cfRule>
  </conditionalFormatting>
  <conditionalFormatting sqref="C17:C20">
    <cfRule type="cellIs" dxfId="36" priority="33" stopIfTrue="1" operator="lessThanOrEqual">
      <formula>0</formula>
    </cfRule>
  </conditionalFormatting>
  <conditionalFormatting sqref="C16">
    <cfRule type="cellIs" dxfId="35" priority="32" stopIfTrue="1" operator="lessThanOrEqual">
      <formula>0</formula>
    </cfRule>
  </conditionalFormatting>
  <conditionalFormatting sqref="C16">
    <cfRule type="cellIs" dxfId="34" priority="31" stopIfTrue="1" operator="lessThanOrEqual">
      <formula>0</formula>
    </cfRule>
  </conditionalFormatting>
  <conditionalFormatting sqref="C16">
    <cfRule type="cellIs" dxfId="33" priority="30" stopIfTrue="1" operator="lessThanOrEqual">
      <formula>0</formula>
    </cfRule>
  </conditionalFormatting>
  <conditionalFormatting sqref="C16">
    <cfRule type="cellIs" dxfId="32" priority="29" stopIfTrue="1" operator="lessThanOrEqual">
      <formula>0</formula>
    </cfRule>
  </conditionalFormatting>
  <conditionalFormatting sqref="C21">
    <cfRule type="cellIs" dxfId="31" priority="28" stopIfTrue="1" operator="lessThanOrEqual">
      <formula>0</formula>
    </cfRule>
  </conditionalFormatting>
  <conditionalFormatting sqref="C21">
    <cfRule type="cellIs" dxfId="30" priority="27" stopIfTrue="1" operator="lessThanOrEqual">
      <formula>0</formula>
    </cfRule>
  </conditionalFormatting>
  <conditionalFormatting sqref="C21">
    <cfRule type="cellIs" dxfId="29" priority="26" stopIfTrue="1" operator="lessThanOrEqual">
      <formula>0</formula>
    </cfRule>
  </conditionalFormatting>
  <conditionalFormatting sqref="C21">
    <cfRule type="cellIs" dxfId="28" priority="25" stopIfTrue="1" operator="lessThanOrEqual">
      <formula>0</formula>
    </cfRule>
  </conditionalFormatting>
  <conditionalFormatting sqref="C22">
    <cfRule type="cellIs" dxfId="27" priority="24" stopIfTrue="1" operator="lessThanOrEqual">
      <formula>0</formula>
    </cfRule>
  </conditionalFormatting>
  <conditionalFormatting sqref="C22">
    <cfRule type="cellIs" dxfId="26" priority="23" stopIfTrue="1" operator="lessThanOrEqual">
      <formula>0</formula>
    </cfRule>
  </conditionalFormatting>
  <conditionalFormatting sqref="C22">
    <cfRule type="cellIs" dxfId="25" priority="22" stopIfTrue="1" operator="lessThanOrEqual">
      <formula>0</formula>
    </cfRule>
  </conditionalFormatting>
  <conditionalFormatting sqref="C22">
    <cfRule type="cellIs" dxfId="24" priority="21" stopIfTrue="1" operator="lessThanOrEqual">
      <formula>0</formula>
    </cfRule>
  </conditionalFormatting>
  <conditionalFormatting sqref="E48">
    <cfRule type="cellIs" dxfId="23" priority="20" stopIfTrue="1" operator="lessThanOrEqual">
      <formula>0</formula>
    </cfRule>
  </conditionalFormatting>
  <conditionalFormatting sqref="E48">
    <cfRule type="cellIs" dxfId="22" priority="19" stopIfTrue="1" operator="lessThanOrEqual">
      <formula>0</formula>
    </cfRule>
  </conditionalFormatting>
  <conditionalFormatting sqref="E48">
    <cfRule type="cellIs" dxfId="21" priority="18" stopIfTrue="1" operator="lessThanOrEqual">
      <formula>0</formula>
    </cfRule>
  </conditionalFormatting>
  <conditionalFormatting sqref="E48">
    <cfRule type="cellIs" dxfId="20" priority="17" stopIfTrue="1" operator="lessThanOrEqual">
      <formula>0</formula>
    </cfRule>
  </conditionalFormatting>
  <conditionalFormatting sqref="G48">
    <cfRule type="cellIs" dxfId="19" priority="16" stopIfTrue="1" operator="lessThanOrEqual">
      <formula>0</formula>
    </cfRule>
  </conditionalFormatting>
  <conditionalFormatting sqref="G48">
    <cfRule type="cellIs" dxfId="18" priority="15" stopIfTrue="1" operator="lessThanOrEqual">
      <formula>0</formula>
    </cfRule>
  </conditionalFormatting>
  <conditionalFormatting sqref="G48">
    <cfRule type="cellIs" dxfId="17" priority="14" stopIfTrue="1" operator="lessThanOrEqual">
      <formula>0</formula>
    </cfRule>
  </conditionalFormatting>
  <conditionalFormatting sqref="G48">
    <cfRule type="cellIs" dxfId="16" priority="13" stopIfTrue="1" operator="lessThanOrEqual">
      <formula>0</formula>
    </cfRule>
  </conditionalFormatting>
  <conditionalFormatting sqref="I48">
    <cfRule type="cellIs" dxfId="15" priority="12" stopIfTrue="1" operator="lessThanOrEqual">
      <formula>0</formula>
    </cfRule>
  </conditionalFormatting>
  <conditionalFormatting sqref="I48">
    <cfRule type="cellIs" dxfId="14" priority="11" stopIfTrue="1" operator="lessThanOrEqual">
      <formula>0</formula>
    </cfRule>
  </conditionalFormatting>
  <conditionalFormatting sqref="I48">
    <cfRule type="cellIs" dxfId="13" priority="10" stopIfTrue="1" operator="lessThanOrEqual">
      <formula>0</formula>
    </cfRule>
  </conditionalFormatting>
  <conditionalFormatting sqref="I48">
    <cfRule type="cellIs" dxfId="12" priority="9" stopIfTrue="1" operator="lessThanOrEqual">
      <formula>0</formula>
    </cfRule>
  </conditionalFormatting>
  <conditionalFormatting sqref="C23:C25">
    <cfRule type="cellIs" dxfId="11" priority="8" stopIfTrue="1" operator="lessThanOrEqual">
      <formula>0</formula>
    </cfRule>
  </conditionalFormatting>
  <conditionalFormatting sqref="C23:C25">
    <cfRule type="cellIs" dxfId="10" priority="7" stopIfTrue="1" operator="lessThanOrEqual">
      <formula>0</formula>
    </cfRule>
  </conditionalFormatting>
  <conditionalFormatting sqref="C23:C25">
    <cfRule type="cellIs" dxfId="9" priority="6" stopIfTrue="1" operator="lessThanOrEqual">
      <formula>0</formula>
    </cfRule>
  </conditionalFormatting>
  <conditionalFormatting sqref="C23:C25">
    <cfRule type="cellIs" dxfId="8" priority="5" stopIfTrue="1" operator="lessThanOrEqual">
      <formula>0</formula>
    </cfRule>
  </conditionalFormatting>
  <conditionalFormatting sqref="C26:C31">
    <cfRule type="cellIs" dxfId="7" priority="4" stopIfTrue="1" operator="lessThanOrEqual">
      <formula>0</formula>
    </cfRule>
  </conditionalFormatting>
  <conditionalFormatting sqref="C26:C31">
    <cfRule type="cellIs" dxfId="5" priority="3" stopIfTrue="1" operator="lessThanOrEqual">
      <formula>0</formula>
    </cfRule>
  </conditionalFormatting>
  <conditionalFormatting sqref="C26:C31">
    <cfRule type="cellIs" dxfId="3" priority="2" stopIfTrue="1" operator="lessThanOrEqual">
      <formula>0</formula>
    </cfRule>
  </conditionalFormatting>
  <conditionalFormatting sqref="C26:C3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01.09 au 30.09</vt:lpstr>
      <vt:lpstr>Suivi Gaz</vt:lpstr>
      <vt:lpstr>Suivi EAU-ELEC</vt:lpstr>
      <vt:lpstr>Feuil1</vt:lpstr>
      <vt:lpstr>'Consommation du 01.09 au 30.09'!Print_Area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2020-09-16T06:29:28Z</dcterms:modified>
</cp:coreProperties>
</file>