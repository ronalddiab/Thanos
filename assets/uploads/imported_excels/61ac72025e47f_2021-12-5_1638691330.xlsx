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C32" i="3" l="1"/>
  <c r="B32" i="3"/>
  <c r="L32" i="1"/>
  <c r="K32" i="1"/>
  <c r="C32" i="1"/>
  <c r="B32" i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K23" i="1" l="1"/>
  <c r="K24" i="1"/>
  <c r="K25" i="1"/>
  <c r="K26" i="1"/>
  <c r="K27" i="1"/>
  <c r="K28" i="1"/>
  <c r="L31" i="1" l="1"/>
  <c r="K31" i="1"/>
  <c r="L30" i="1"/>
  <c r="K30" i="1"/>
  <c r="F4" i="2" l="1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E3" i="1"/>
  <c r="E2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<sst xmlns="http://schemas.openxmlformats.org/spreadsheetml/2006/main" count="108" uniqueCount="33">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</sst>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53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1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" fontId="0" fillId="12" borderId="0" xfId="0" applyNumberFormat="1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E2" sqref="E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11</v>
      </c>
      <c r="D2" s="9">
        <v>2021</v>
      </c>
      <c r="E2" s="20">
        <f>Submetering!E2</f>
        <v>7216.76</v>
      </c>
      <c r="F2" s="16">
        <v>0.12</v>
      </c>
      <c r="G2" s="20">
        <f>Submetering!F2+Submetering!G2</f>
        <v>822.93000000000006</v>
      </c>
      <c r="H2" s="16">
        <v>0.71</v>
      </c>
      <c r="I2" s="20">
        <f>Submetering!J2+Submetering!I2+Submetering!H2</f>
        <v>86</v>
      </c>
      <c r="J2" s="16">
        <v>2.3196172978505634</v>
      </c>
      <c r="K2" s="20">
        <f>Submetering!K2</f>
        <v>66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11</v>
      </c>
      <c r="D3" s="9">
        <v>2021</v>
      </c>
      <c r="E3" s="20">
        <f>Submetering!E3</f>
        <v>7309.05</v>
      </c>
      <c r="F3" s="16">
        <v>0.12</v>
      </c>
      <c r="G3" s="20">
        <f>Submetering!F3+Submetering!G3</f>
        <v>807.96</v>
      </c>
      <c r="H3" s="16">
        <v>0.71</v>
      </c>
      <c r="I3" s="20">
        <f>Submetering!J3+Submetering!I3+Submetering!H3</f>
        <v>88.58</v>
      </c>
      <c r="J3" s="16">
        <v>2.3196172978505634</v>
      </c>
      <c r="K3" s="20">
        <f>Submetering!K3</f>
        <v>0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11</v>
      </c>
      <c r="D4" s="9">
        <v>2021</v>
      </c>
      <c r="E4" s="20">
        <f>Submetering!E4</f>
        <v>7337.74</v>
      </c>
      <c r="F4" s="16">
        <v>0.12</v>
      </c>
      <c r="G4" s="20">
        <f>Submetering!F4+Submetering!G4</f>
        <v>756.07</v>
      </c>
      <c r="H4" s="16">
        <v>0.71</v>
      </c>
      <c r="I4" s="20">
        <f>Submetering!J4+Submetering!I4+Submetering!H4</f>
        <v>91.02</v>
      </c>
      <c r="J4" s="16">
        <v>2.3196172978505634</v>
      </c>
      <c r="K4" s="20">
        <f>Submetering!K4</f>
        <v>0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11</v>
      </c>
      <c r="D5" s="9">
        <v>2021</v>
      </c>
      <c r="E5" s="20">
        <f>Submetering!E5</f>
        <v>0</v>
      </c>
      <c r="F5" s="16">
        <v>0.12</v>
      </c>
      <c r="G5" s="20">
        <f>Submetering!F5+Submetering!G5</f>
        <v>0</v>
      </c>
      <c r="H5" s="16">
        <v>0.71</v>
      </c>
      <c r="I5" s="20">
        <f>Submetering!J5+Submetering!I5+Submetering!H5</f>
        <v>0</v>
      </c>
      <c r="J5" s="16">
        <v>2.3196172978505634</v>
      </c>
      <c r="K5" s="20">
        <f>Submetering!K5</f>
        <v>94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11</v>
      </c>
      <c r="D6" s="9">
        <v>2021</v>
      </c>
      <c r="E6" s="20">
        <f>Submetering!E6</f>
        <v>0</v>
      </c>
      <c r="F6" s="16">
        <v>0.12</v>
      </c>
      <c r="G6" s="20">
        <f>Submetering!F6+Submetering!G6</f>
        <v>0</v>
      </c>
      <c r="H6" s="16">
        <v>0.71</v>
      </c>
      <c r="I6" s="20">
        <f>Submetering!J6+Submetering!I6+Submetering!H6</f>
        <v>0</v>
      </c>
      <c r="J6" s="16">
        <v>2.3196172978505634</v>
      </c>
      <c r="K6" s="20">
        <f>Submetering!K6</f>
        <v>0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11</v>
      </c>
      <c r="D7" s="9">
        <v>2021</v>
      </c>
      <c r="E7" s="20">
        <f>Submetering!E7</f>
        <v>0</v>
      </c>
      <c r="F7" s="16">
        <v>0.12</v>
      </c>
      <c r="G7" s="20">
        <f>Submetering!F7+Submetering!G7</f>
        <v>0</v>
      </c>
      <c r="H7" s="16">
        <v>0.71</v>
      </c>
      <c r="I7" s="20">
        <f>Submetering!J7+Submetering!I7+Submetering!H7</f>
        <v>0</v>
      </c>
      <c r="J7" s="16">
        <v>2.3196172978505634</v>
      </c>
      <c r="K7" s="20">
        <f>Submetering!K7</f>
        <v>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11</v>
      </c>
      <c r="D8" s="9">
        <v>2021</v>
      </c>
      <c r="E8" s="20">
        <f>Submetering!E8</f>
        <v>0</v>
      </c>
      <c r="F8" s="16">
        <v>0.12</v>
      </c>
      <c r="G8" s="20">
        <f>Submetering!F8+Submetering!G8</f>
        <v>0</v>
      </c>
      <c r="H8" s="16">
        <v>0.71</v>
      </c>
      <c r="I8" s="20">
        <f>Submetering!J8+Submetering!I8+Submetering!H8</f>
        <v>0</v>
      </c>
      <c r="J8" s="16">
        <v>2.3196172978505634</v>
      </c>
      <c r="K8" s="20">
        <f>Submetering!K8</f>
        <v>0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11</v>
      </c>
      <c r="D9" s="9">
        <v>2021</v>
      </c>
      <c r="E9" s="20">
        <f>Submetering!E9</f>
        <v>0</v>
      </c>
      <c r="F9" s="16">
        <v>0.12</v>
      </c>
      <c r="G9" s="20">
        <f>Submetering!F9+Submetering!G9</f>
        <v>0</v>
      </c>
      <c r="H9" s="16">
        <v>0.71</v>
      </c>
      <c r="I9" s="20">
        <f>Submetering!J9+Submetering!I9+Submetering!H9</f>
        <v>0</v>
      </c>
      <c r="J9" s="16">
        <v>2.3196172978505634</v>
      </c>
      <c r="K9" s="20">
        <f>Submetering!K9</f>
        <v>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11</v>
      </c>
      <c r="D10" s="9">
        <v>2021</v>
      </c>
      <c r="E10" s="20">
        <f>Submetering!E10</f>
        <v>0</v>
      </c>
      <c r="F10" s="16">
        <v>0.12</v>
      </c>
      <c r="G10" s="20">
        <f>Submetering!F10+Submetering!G10</f>
        <v>0</v>
      </c>
      <c r="H10" s="16">
        <v>0.71</v>
      </c>
      <c r="I10" s="20">
        <f>Submetering!J10+Submetering!I10+Submetering!H10</f>
        <v>0</v>
      </c>
      <c r="J10" s="16">
        <v>2.3196172978505634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11</v>
      </c>
      <c r="D11" s="9">
        <v>2021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11</v>
      </c>
      <c r="D12" s="9">
        <v>2021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11</v>
      </c>
      <c r="D13" s="9">
        <v>2021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11</v>
      </c>
      <c r="D14" s="9">
        <v>2021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Submetering!J14+Submetering!I14+Submetering!H14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11</v>
      </c>
      <c r="D15" s="9">
        <v>2021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11</v>
      </c>
      <c r="D16" s="9">
        <v>2021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11</v>
      </c>
      <c r="D17" s="9">
        <v>2021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11</v>
      </c>
      <c r="D18" s="9">
        <v>2021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11</v>
      </c>
      <c r="D19" s="9">
        <v>2021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11</v>
      </c>
      <c r="D20" s="9">
        <v>2021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11</v>
      </c>
      <c r="D21" s="9">
        <v>2021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11</v>
      </c>
      <c r="D22" s="9">
        <v>2021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Submetering!K23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11</v>
      </c>
      <c r="D23" s="9">
        <v>2021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Submetering!K24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11</v>
      </c>
      <c r="D24" s="9">
        <v>2021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Submetering!K25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11</v>
      </c>
      <c r="D25" s="9">
        <v>2021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Submetering!K26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11</v>
      </c>
      <c r="D26" s="9">
        <v>2021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Submetering!K27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11</v>
      </c>
      <c r="D27" s="9">
        <v>2021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Submetering!K28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11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Submetering!K29</f>
        <v>67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11</v>
      </c>
      <c r="D29" s="9">
        <v>2021</v>
      </c>
      <c r="E29" s="20">
        <f>Submetering!E29</f>
        <v>6898.88</v>
      </c>
      <c r="F29" s="16">
        <v>0.12</v>
      </c>
      <c r="G29" s="20">
        <f>Submetering!F29+Submetering!G29</f>
        <v>822.15</v>
      </c>
      <c r="H29" s="16">
        <v>0.71</v>
      </c>
      <c r="I29" s="20">
        <f>Submetering!J29+Submetering!I29+Submetering!H29</f>
        <v>90.53</v>
      </c>
      <c r="J29" s="16">
        <v>2.3196172978505634</v>
      </c>
      <c r="K29" s="20">
        <f>Submetering!K29</f>
        <v>67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11</v>
      </c>
      <c r="D30" s="9">
        <v>2021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11</v>
      </c>
      <c r="D31" s="9">
        <v>2021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11</v>
      </c>
      <c r="D32" s="9">
        <v>2021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4" sqref="H4"/>
    </sheetView>
  </sheetViews>
  <sheetFormatPr defaultColWidth="11.5703125" defaultRowHeight="15" x14ac:dyDescent="0.25"/>
  <cols>
    <col min="1" max="1" width="8.28515625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2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3" t="s">
        <v>22</v>
      </c>
      <c r="F1" s="33" t="s">
        <v>26</v>
      </c>
      <c r="G1" s="33" t="s">
        <v>25</v>
      </c>
      <c r="H1" s="33" t="s">
        <v>30</v>
      </c>
      <c r="I1" s="33" t="s">
        <v>31</v>
      </c>
      <c r="J1" s="33" t="s">
        <v>29</v>
      </c>
      <c r="K1" s="34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11</v>
      </c>
      <c r="D2" s="6">
        <v>2021</v>
      </c>
      <c r="E2" s="20">
        <v>7216.76</v>
      </c>
      <c r="F2" s="36">
        <v>815.71</v>
      </c>
      <c r="G2" s="36">
        <v>7.22</v>
      </c>
      <c r="H2" s="35">
        <v>1.5</v>
      </c>
      <c r="I2" s="35">
        <v>31.5</v>
      </c>
      <c r="J2" s="35">
        <v>53</v>
      </c>
      <c r="K2">
        <v>66</v>
      </c>
    </row>
    <row r="3" spans="1:12" x14ac:dyDescent="0.25">
      <c r="A3" s="17" t="s">
        <v>32</v>
      </c>
      <c r="B3" s="6">
        <f>B2+1</f>
        <v>2</v>
      </c>
      <c r="C3" s="6">
        <f>C2</f>
        <v>11</v>
      </c>
      <c r="D3" s="6">
        <v>2021</v>
      </c>
      <c r="E3" s="20">
        <v>7309.05</v>
      </c>
      <c r="F3" s="36">
        <v>794.26</v>
      </c>
      <c r="G3" s="36">
        <v>13.7</v>
      </c>
      <c r="H3" s="35">
        <v>1.58</v>
      </c>
      <c r="I3" s="35">
        <v>29.5</v>
      </c>
      <c r="J3" s="35">
        <v>57.5</v>
      </c>
      <c r="K3" s="6"/>
    </row>
    <row r="4" spans="1:12" x14ac:dyDescent="0.25">
      <c r="A4" s="17" t="s">
        <v>32</v>
      </c>
      <c r="B4" s="6">
        <f t="shared" ref="B4:B32" si="0">B3+1</f>
        <v>3</v>
      </c>
      <c r="C4" s="6">
        <f t="shared" ref="C4:C32" si="1">C3</f>
        <v>11</v>
      </c>
      <c r="D4" s="6">
        <v>2021</v>
      </c>
      <c r="E4" s="20">
        <v>7337.74</v>
      </c>
      <c r="F4" s="36">
        <v>745.36</v>
      </c>
      <c r="G4" s="36">
        <v>10.71</v>
      </c>
      <c r="H4" s="35">
        <v>2.02</v>
      </c>
      <c r="I4" s="35">
        <v>36</v>
      </c>
      <c r="J4" s="35">
        <v>53</v>
      </c>
      <c r="K4" s="6"/>
    </row>
    <row r="5" spans="1:12" x14ac:dyDescent="0.25">
      <c r="A5" s="17" t="s">
        <v>32</v>
      </c>
      <c r="B5" s="6">
        <f t="shared" si="0"/>
        <v>4</v>
      </c>
      <c r="C5" s="6">
        <f t="shared" si="1"/>
        <v>11</v>
      </c>
      <c r="D5" s="6">
        <v>2021</v>
      </c>
      <c r="F5" s="36"/>
      <c r="G5" s="36"/>
      <c r="H5" s="35"/>
      <c r="I5" s="35"/>
      <c r="J5" s="35"/>
      <c r="K5" s="6">
        <v>94</v>
      </c>
    </row>
    <row r="6" spans="1:12" x14ac:dyDescent="0.25">
      <c r="A6" s="17" t="s">
        <v>32</v>
      </c>
      <c r="B6" s="6">
        <f t="shared" si="0"/>
        <v>5</v>
      </c>
      <c r="C6" s="6">
        <f t="shared" si="1"/>
        <v>11</v>
      </c>
      <c r="D6" s="6">
        <v>2021</v>
      </c>
      <c r="F6" s="36"/>
      <c r="G6" s="36"/>
      <c r="H6" s="35"/>
      <c r="I6" s="35"/>
      <c r="J6" s="35"/>
      <c r="K6" s="6"/>
    </row>
    <row r="7" spans="1:12" x14ac:dyDescent="0.25">
      <c r="A7" s="17" t="s">
        <v>32</v>
      </c>
      <c r="B7" s="6">
        <f t="shared" si="0"/>
        <v>6</v>
      </c>
      <c r="C7" s="6">
        <f t="shared" si="1"/>
        <v>11</v>
      </c>
      <c r="D7" s="6">
        <v>2021</v>
      </c>
      <c r="F7" s="36"/>
      <c r="G7" s="36"/>
      <c r="H7" s="35"/>
      <c r="I7" s="35"/>
      <c r="J7" s="35"/>
      <c r="K7" s="6"/>
    </row>
    <row r="8" spans="1:12" x14ac:dyDescent="0.25">
      <c r="A8" s="17" t="s">
        <v>32</v>
      </c>
      <c r="B8" s="6">
        <f t="shared" si="0"/>
        <v>7</v>
      </c>
      <c r="C8" s="6">
        <f t="shared" si="1"/>
        <v>11</v>
      </c>
      <c r="D8" s="6">
        <v>2021</v>
      </c>
      <c r="F8" s="36"/>
      <c r="G8" s="36"/>
      <c r="H8" s="35"/>
      <c r="I8" s="35"/>
      <c r="J8" s="35"/>
      <c r="K8" s="6"/>
    </row>
    <row r="9" spans="1:12" x14ac:dyDescent="0.25">
      <c r="A9" s="17" t="s">
        <v>32</v>
      </c>
      <c r="B9" s="6">
        <f t="shared" si="0"/>
        <v>8</v>
      </c>
      <c r="C9" s="6">
        <f t="shared" si="1"/>
        <v>11</v>
      </c>
      <c r="D9" s="6">
        <v>2021</v>
      </c>
      <c r="F9" s="36"/>
      <c r="G9" s="36"/>
      <c r="H9" s="35"/>
      <c r="I9" s="35"/>
      <c r="J9" s="35"/>
      <c r="K9" s="6"/>
    </row>
    <row r="10" spans="1:12" x14ac:dyDescent="0.25">
      <c r="A10" s="17" t="s">
        <v>32</v>
      </c>
      <c r="B10" s="6">
        <f t="shared" si="0"/>
        <v>9</v>
      </c>
      <c r="C10" s="6">
        <f t="shared" si="1"/>
        <v>11</v>
      </c>
      <c r="D10" s="6">
        <v>2021</v>
      </c>
      <c r="F10" s="35"/>
      <c r="G10" s="35"/>
      <c r="H10" s="35"/>
      <c r="I10" s="35"/>
      <c r="J10" s="35"/>
      <c r="K10" s="6"/>
      <c r="L10" s="31"/>
    </row>
    <row r="11" spans="1:12" x14ac:dyDescent="0.25">
      <c r="A11" s="17" t="s">
        <v>32</v>
      </c>
      <c r="B11" s="6">
        <f t="shared" si="0"/>
        <v>10</v>
      </c>
      <c r="C11" s="6">
        <f t="shared" si="1"/>
        <v>11</v>
      </c>
      <c r="D11" s="6">
        <v>2021</v>
      </c>
      <c r="F11" s="35"/>
      <c r="G11" s="35"/>
      <c r="H11" s="35"/>
      <c r="I11" s="36"/>
      <c r="J11" s="35"/>
      <c r="K11" s="37"/>
      <c r="L11" s="31"/>
    </row>
    <row r="12" spans="1:12" x14ac:dyDescent="0.25">
      <c r="A12" s="17" t="s">
        <v>32</v>
      </c>
      <c r="B12" s="6">
        <f t="shared" si="0"/>
        <v>11</v>
      </c>
      <c r="C12" s="6">
        <f t="shared" si="1"/>
        <v>11</v>
      </c>
      <c r="D12" s="6">
        <v>2021</v>
      </c>
      <c r="F12" s="35"/>
      <c r="G12" s="35"/>
      <c r="H12" s="35"/>
      <c r="I12" s="36"/>
      <c r="J12" s="35"/>
      <c r="K12" s="6"/>
      <c r="L12" s="31"/>
    </row>
    <row r="13" spans="1:12" x14ac:dyDescent="0.25">
      <c r="A13" s="17" t="s">
        <v>32</v>
      </c>
      <c r="B13" s="6">
        <f t="shared" si="0"/>
        <v>12</v>
      </c>
      <c r="C13" s="6">
        <f t="shared" si="1"/>
        <v>11</v>
      </c>
      <c r="D13" s="6">
        <v>2021</v>
      </c>
      <c r="E13" s="35"/>
      <c r="F13" s="35"/>
      <c r="G13" s="35"/>
      <c r="H13" s="35"/>
      <c r="I13" s="35"/>
      <c r="J13" s="35"/>
      <c r="K13" s="6"/>
      <c r="L13" s="31"/>
    </row>
    <row r="14" spans="1:12" x14ac:dyDescent="0.25">
      <c r="A14" s="17" t="s">
        <v>32</v>
      </c>
      <c r="B14" s="6">
        <f t="shared" si="0"/>
        <v>13</v>
      </c>
      <c r="C14" s="6">
        <f t="shared" si="1"/>
        <v>11</v>
      </c>
      <c r="D14" s="6">
        <v>2021</v>
      </c>
      <c r="E14" s="35"/>
      <c r="F14" s="35"/>
      <c r="G14" s="35"/>
      <c r="H14" s="35"/>
      <c r="I14" s="35"/>
      <c r="J14" s="35"/>
      <c r="K14" s="6"/>
      <c r="L14" s="31"/>
    </row>
    <row r="15" spans="1:12" x14ac:dyDescent="0.25">
      <c r="A15" s="17" t="s">
        <v>32</v>
      </c>
      <c r="B15" s="6">
        <f t="shared" si="0"/>
        <v>14</v>
      </c>
      <c r="C15" s="6">
        <f t="shared" si="1"/>
        <v>11</v>
      </c>
      <c r="D15" s="6">
        <v>2021</v>
      </c>
      <c r="E15" s="35"/>
      <c r="F15" s="35"/>
      <c r="G15" s="35"/>
      <c r="H15" s="35"/>
      <c r="I15" s="35"/>
      <c r="J15" s="35"/>
      <c r="K15" s="6"/>
      <c r="L15" s="31"/>
    </row>
    <row r="16" spans="1:12" x14ac:dyDescent="0.25">
      <c r="A16" s="17" t="s">
        <v>32</v>
      </c>
      <c r="B16" s="6">
        <f t="shared" si="0"/>
        <v>15</v>
      </c>
      <c r="C16" s="6">
        <f t="shared" si="1"/>
        <v>11</v>
      </c>
      <c r="D16" s="6">
        <v>2021</v>
      </c>
      <c r="E16" s="35"/>
      <c r="F16" s="35"/>
      <c r="G16" s="35"/>
      <c r="H16" s="35"/>
      <c r="I16" s="35"/>
      <c r="J16" s="35"/>
      <c r="K16" s="6"/>
      <c r="L16" s="31"/>
    </row>
    <row r="17" spans="1:12" x14ac:dyDescent="0.25">
      <c r="A17" s="17" t="s">
        <v>32</v>
      </c>
      <c r="B17" s="6">
        <f t="shared" si="0"/>
        <v>16</v>
      </c>
      <c r="C17" s="6">
        <f t="shared" si="1"/>
        <v>11</v>
      </c>
      <c r="D17" s="6">
        <v>2021</v>
      </c>
      <c r="E17" s="35"/>
      <c r="F17" s="35"/>
      <c r="G17" s="35"/>
      <c r="H17" s="35"/>
      <c r="I17" s="35"/>
      <c r="J17" s="35"/>
      <c r="K17" s="6"/>
      <c r="L17" s="31"/>
    </row>
    <row r="18" spans="1:12" x14ac:dyDescent="0.25">
      <c r="A18" s="17" t="s">
        <v>32</v>
      </c>
      <c r="B18" s="6">
        <f t="shared" si="0"/>
        <v>17</v>
      </c>
      <c r="C18" s="6">
        <f t="shared" si="1"/>
        <v>11</v>
      </c>
      <c r="D18" s="6">
        <v>2021</v>
      </c>
      <c r="E18" s="35"/>
      <c r="F18" s="35"/>
      <c r="G18" s="35"/>
      <c r="H18" s="35"/>
      <c r="I18" s="35"/>
      <c r="J18" s="35"/>
      <c r="K18" s="6"/>
      <c r="L18" s="31"/>
    </row>
    <row r="19" spans="1:12" x14ac:dyDescent="0.25">
      <c r="A19" s="17" t="s">
        <v>32</v>
      </c>
      <c r="B19" s="6">
        <f t="shared" si="0"/>
        <v>18</v>
      </c>
      <c r="C19" s="6">
        <f t="shared" si="1"/>
        <v>11</v>
      </c>
      <c r="D19" s="6">
        <v>2021</v>
      </c>
      <c r="E19" s="36"/>
      <c r="F19" s="35"/>
      <c r="G19" s="35"/>
      <c r="H19" s="35"/>
      <c r="I19" s="35"/>
      <c r="J19" s="35"/>
      <c r="K19" s="6"/>
      <c r="L19" s="31"/>
    </row>
    <row r="20" spans="1:12" x14ac:dyDescent="0.25">
      <c r="A20" s="17" t="s">
        <v>32</v>
      </c>
      <c r="B20" s="6">
        <f t="shared" si="0"/>
        <v>19</v>
      </c>
      <c r="C20" s="6">
        <f t="shared" si="1"/>
        <v>11</v>
      </c>
      <c r="D20" s="6">
        <v>2021</v>
      </c>
      <c r="E20" s="36"/>
      <c r="F20" s="35"/>
      <c r="G20" s="35"/>
      <c r="H20" s="35"/>
      <c r="I20" s="35"/>
      <c r="J20" s="36"/>
      <c r="K20" s="6"/>
      <c r="L20" s="31"/>
    </row>
    <row r="21" spans="1:12" x14ac:dyDescent="0.25">
      <c r="A21" s="17" t="s">
        <v>32</v>
      </c>
      <c r="B21" s="6">
        <f t="shared" si="0"/>
        <v>20</v>
      </c>
      <c r="C21" s="6">
        <f t="shared" si="1"/>
        <v>11</v>
      </c>
      <c r="D21" s="6">
        <v>2021</v>
      </c>
      <c r="E21" s="36"/>
      <c r="F21" s="35"/>
      <c r="G21" s="35"/>
      <c r="H21" s="35"/>
      <c r="I21" s="35"/>
      <c r="J21" s="35"/>
      <c r="K21" s="6"/>
      <c r="L21" s="31"/>
    </row>
    <row r="22" spans="1:12" x14ac:dyDescent="0.25">
      <c r="A22" s="17" t="s">
        <v>32</v>
      </c>
      <c r="B22" s="6">
        <f t="shared" si="0"/>
        <v>21</v>
      </c>
      <c r="C22" s="6">
        <f t="shared" si="1"/>
        <v>11</v>
      </c>
      <c r="D22" s="6">
        <v>2021</v>
      </c>
      <c r="E22" s="35"/>
      <c r="F22" s="35"/>
      <c r="G22" s="35"/>
      <c r="H22" s="35"/>
      <c r="I22" s="35"/>
      <c r="J22" s="35"/>
      <c r="K22" s="6"/>
      <c r="L22" s="31"/>
    </row>
    <row r="23" spans="1:12" x14ac:dyDescent="0.25">
      <c r="A23" s="17" t="s">
        <v>32</v>
      </c>
      <c r="B23" s="6">
        <f t="shared" si="0"/>
        <v>22</v>
      </c>
      <c r="C23" s="6">
        <f t="shared" si="1"/>
        <v>11</v>
      </c>
      <c r="D23" s="6">
        <v>2021</v>
      </c>
      <c r="E23" s="35"/>
      <c r="F23" s="35"/>
      <c r="G23" s="35"/>
      <c r="H23" s="35"/>
      <c r="I23" s="35"/>
      <c r="J23" s="35"/>
      <c r="K23" s="6"/>
      <c r="L23" s="31"/>
    </row>
    <row r="24" spans="1:12" x14ac:dyDescent="0.25">
      <c r="A24" s="17" t="s">
        <v>32</v>
      </c>
      <c r="B24" s="6">
        <f t="shared" si="0"/>
        <v>23</v>
      </c>
      <c r="C24" s="6">
        <f t="shared" si="1"/>
        <v>11</v>
      </c>
      <c r="D24" s="6">
        <v>2021</v>
      </c>
      <c r="E24" s="35"/>
      <c r="F24" s="35"/>
      <c r="G24" s="35"/>
      <c r="H24" s="35"/>
      <c r="I24" s="35"/>
      <c r="J24" s="35"/>
      <c r="K24" s="6"/>
      <c r="L24" s="31"/>
    </row>
    <row r="25" spans="1:12" ht="22.5" customHeight="1" x14ac:dyDescent="0.25">
      <c r="A25" s="17" t="s">
        <v>32</v>
      </c>
      <c r="B25" s="6">
        <f t="shared" si="0"/>
        <v>24</v>
      </c>
      <c r="C25" s="6">
        <f t="shared" si="1"/>
        <v>11</v>
      </c>
      <c r="D25" s="6">
        <v>2021</v>
      </c>
      <c r="E25" s="35"/>
      <c r="F25" s="35"/>
      <c r="G25" s="35"/>
      <c r="H25" s="35"/>
      <c r="I25" s="35"/>
      <c r="J25" s="35"/>
      <c r="K25" s="6"/>
      <c r="L25" s="31"/>
    </row>
    <row r="26" spans="1:12" x14ac:dyDescent="0.25">
      <c r="A26" s="17" t="s">
        <v>32</v>
      </c>
      <c r="B26" s="6">
        <f>B25+1</f>
        <v>25</v>
      </c>
      <c r="C26" s="6">
        <f t="shared" si="1"/>
        <v>11</v>
      </c>
      <c r="D26" s="6">
        <v>2021</v>
      </c>
      <c r="E26" s="35"/>
      <c r="F26" s="35"/>
      <c r="G26" s="35"/>
      <c r="H26" s="35"/>
      <c r="I26" s="35"/>
      <c r="J26" s="35"/>
      <c r="K26" s="6"/>
      <c r="L26" s="31"/>
    </row>
    <row r="27" spans="1:12" ht="14.25" customHeight="1" x14ac:dyDescent="0.25">
      <c r="A27" s="17" t="s">
        <v>32</v>
      </c>
      <c r="B27" s="6">
        <f t="shared" si="0"/>
        <v>26</v>
      </c>
      <c r="C27" s="6">
        <f t="shared" si="1"/>
        <v>11</v>
      </c>
      <c r="D27" s="6">
        <v>2021</v>
      </c>
      <c r="E27" s="35"/>
      <c r="F27" s="35"/>
      <c r="G27" s="35"/>
      <c r="H27" s="35"/>
      <c r="I27" s="35"/>
      <c r="J27" s="35"/>
      <c r="K27" s="6"/>
      <c r="L27" s="31"/>
    </row>
    <row r="28" spans="1:12" x14ac:dyDescent="0.25">
      <c r="A28" s="17" t="s">
        <v>32</v>
      </c>
      <c r="B28" s="6">
        <f t="shared" si="0"/>
        <v>27</v>
      </c>
      <c r="C28" s="6">
        <f t="shared" si="1"/>
        <v>11</v>
      </c>
      <c r="D28" s="6">
        <v>2021</v>
      </c>
      <c r="E28" s="35"/>
      <c r="F28" s="35"/>
      <c r="G28" s="35"/>
      <c r="H28" s="35"/>
      <c r="I28" s="35"/>
      <c r="J28" s="35"/>
      <c r="K28" s="6"/>
      <c r="L28" s="31"/>
    </row>
    <row r="29" spans="1:12" x14ac:dyDescent="0.25">
      <c r="A29" s="17" t="s">
        <v>32</v>
      </c>
      <c r="B29" s="6">
        <f t="shared" si="0"/>
        <v>28</v>
      </c>
      <c r="C29" s="6">
        <f t="shared" si="1"/>
        <v>11</v>
      </c>
      <c r="D29" s="6">
        <v>2021</v>
      </c>
      <c r="E29" s="35">
        <v>6898.88</v>
      </c>
      <c r="F29" s="35">
        <v>800.24</v>
      </c>
      <c r="G29" s="35">
        <v>21.91</v>
      </c>
      <c r="H29" s="35">
        <v>1.53</v>
      </c>
      <c r="I29" s="35">
        <v>33.5</v>
      </c>
      <c r="J29" s="35">
        <v>55.5</v>
      </c>
      <c r="K29" s="6">
        <v>67</v>
      </c>
      <c r="L29" s="31"/>
    </row>
    <row r="30" spans="1:12" x14ac:dyDescent="0.25">
      <c r="A30" s="17" t="s">
        <v>32</v>
      </c>
      <c r="B30" s="6">
        <f t="shared" si="0"/>
        <v>29</v>
      </c>
      <c r="C30" s="6">
        <f t="shared" si="1"/>
        <v>11</v>
      </c>
      <c r="D30" s="6">
        <v>2021</v>
      </c>
      <c r="E30" s="35"/>
      <c r="F30" s="35"/>
      <c r="G30" s="35"/>
      <c r="H30" s="35"/>
      <c r="I30" s="35"/>
      <c r="J30" s="35"/>
      <c r="K30"/>
      <c r="L30" s="31"/>
    </row>
    <row r="31" spans="1:12" x14ac:dyDescent="0.25">
      <c r="A31" s="17" t="s">
        <v>32</v>
      </c>
      <c r="B31" s="6">
        <f t="shared" si="0"/>
        <v>30</v>
      </c>
      <c r="C31" s="6">
        <f t="shared" si="1"/>
        <v>11</v>
      </c>
      <c r="D31" s="6">
        <v>2021</v>
      </c>
      <c r="E31" s="35"/>
      <c r="F31" s="35"/>
      <c r="G31" s="35"/>
      <c r="H31" s="35"/>
      <c r="I31" s="35"/>
      <c r="J31" s="35"/>
      <c r="K31"/>
      <c r="L31" s="31"/>
    </row>
    <row r="32" spans="1:12" x14ac:dyDescent="0.25">
      <c r="A32" s="17" t="s">
        <v>32</v>
      </c>
      <c r="B32" s="6">
        <f t="shared" si="0"/>
        <v>31</v>
      </c>
      <c r="C32" s="6">
        <f t="shared" si="1"/>
        <v>11</v>
      </c>
      <c r="D32" s="6">
        <v>2021</v>
      </c>
      <c r="E32" s="35"/>
      <c r="F32" s="35"/>
      <c r="G32" s="35"/>
      <c r="H32" s="35"/>
      <c r="I32" s="35"/>
      <c r="J32" s="35"/>
      <c r="K32"/>
      <c r="L32" s="31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8"/>
      <c r="C1" s="1"/>
      <c r="D1" s="11"/>
      <c r="E1" s="1"/>
      <c r="F1" s="14"/>
      <c r="G1" s="1"/>
      <c r="H1" s="1"/>
      <c r="I1" s="49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48"/>
      <c r="C2" s="42" t="s">
        <v>22</v>
      </c>
      <c r="D2" s="43"/>
      <c r="E2" s="52" t="s">
        <v>23</v>
      </c>
      <c r="F2" s="52"/>
      <c r="G2" s="52" t="s">
        <v>24</v>
      </c>
      <c r="H2" s="52"/>
      <c r="I2" s="50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48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0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8"/>
      <c r="C4" s="18">
        <v>22342913</v>
      </c>
      <c r="D4" s="45">
        <f>IF((C5-C4&lt;0), "",C5-C4)</f>
        <v>7975</v>
      </c>
      <c r="E4" s="18">
        <v>23837512</v>
      </c>
      <c r="F4" s="46">
        <f>IF((E5-E4&lt;0), "",E5-E4)</f>
        <v>5799</v>
      </c>
      <c r="G4" s="18">
        <v>9975816</v>
      </c>
      <c r="H4" s="45">
        <f>IF((G5-G4&lt;0), "",G5-G4)</f>
        <v>3477</v>
      </c>
      <c r="I4" s="50"/>
      <c r="J4" s="18"/>
      <c r="K4" s="45">
        <v>0</v>
      </c>
      <c r="L4" s="18"/>
      <c r="M4" s="45">
        <v>0</v>
      </c>
      <c r="N4" s="18">
        <v>75776</v>
      </c>
      <c r="O4" s="45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8"/>
      <c r="C5" s="18">
        <v>22350888</v>
      </c>
      <c r="D5" s="45"/>
      <c r="E5" s="18">
        <v>23843311</v>
      </c>
      <c r="F5" s="47"/>
      <c r="G5" s="18">
        <v>9979293</v>
      </c>
      <c r="H5" s="45"/>
      <c r="I5" s="50"/>
      <c r="J5" s="18">
        <v>0</v>
      </c>
      <c r="K5" s="45"/>
      <c r="L5" s="18">
        <v>0</v>
      </c>
      <c r="M5" s="45"/>
      <c r="N5" s="18">
        <v>75809</v>
      </c>
      <c r="O5" s="45"/>
      <c r="P5" s="23"/>
      <c r="Q5" s="23"/>
    </row>
    <row r="6" spans="1:17" ht="45" customHeight="1" x14ac:dyDescent="0.3">
      <c r="A6" s="7">
        <v>43557</v>
      </c>
      <c r="B6" s="48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1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8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0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8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0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8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0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8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0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8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0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8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0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8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0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8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0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8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0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8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0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8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0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8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0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8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0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8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0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8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0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8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0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8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0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8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0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8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0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8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0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8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0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8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0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8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0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8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1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8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1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8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1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2021-12-05T08:01:14Z</dcterms:modified>
</cp:coreProperties>
</file>