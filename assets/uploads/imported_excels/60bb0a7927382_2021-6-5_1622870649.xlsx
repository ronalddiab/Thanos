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filterPrivacy="1" defaultThemeVersion="124226"/>
  <xr:revisionPtr revIDLastSave="0" documentId="13_ncr:1_{A2D659FA-E968-4228-97AB-E2C0BE2CD751}" xr6:coauthVersionLast="4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8" l="1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<sst xmlns="http://schemas.openxmlformats.org/spreadsheetml/2006/main" count="201" uniqueCount="128">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</sst>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-407660.00000000006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5" sqref="I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/>
      <c r="F6" s="48">
        <v>0.14000000000000001</v>
      </c>
      <c r="G6" s="107"/>
      <c r="H6" s="48">
        <v>0.4453480216384178</v>
      </c>
      <c r="I6" s="65"/>
      <c r="J6" s="76">
        <v>0.4</v>
      </c>
      <c r="K6" s="108"/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/>
      <c r="F7" s="48">
        <v>0.14000000000000001</v>
      </c>
      <c r="G7" s="107"/>
      <c r="H7" s="48">
        <v>0.4453480216384178</v>
      </c>
      <c r="I7" s="65"/>
      <c r="J7" s="76">
        <v>0.4</v>
      </c>
      <c r="K7" s="108"/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/>
      <c r="F8" s="48">
        <v>0.14000000000000001</v>
      </c>
      <c r="G8" s="107"/>
      <c r="H8" s="48">
        <v>0.4453480216384178</v>
      </c>
      <c r="I8" s="65"/>
      <c r="J8" s="76">
        <v>0.4</v>
      </c>
      <c r="K8" s="108"/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/>
      <c r="F9" s="48">
        <v>0.14000000000000001</v>
      </c>
      <c r="G9" s="107"/>
      <c r="H9" s="48">
        <v>0.4453480216384178</v>
      </c>
      <c r="I9" s="65"/>
      <c r="J9" s="76">
        <v>0.4</v>
      </c>
      <c r="K9" s="108"/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/>
      <c r="F10" s="48">
        <v>0.14000000000000001</v>
      </c>
      <c r="G10" s="107"/>
      <c r="H10" s="48">
        <v>0.4453480216384178</v>
      </c>
      <c r="I10" s="65"/>
      <c r="J10" s="76">
        <v>0.4</v>
      </c>
      <c r="K10" s="108"/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/>
      <c r="F11" s="48">
        <v>0.14000000000000001</v>
      </c>
      <c r="G11" s="107"/>
      <c r="H11" s="48">
        <v>0.4453480216384178</v>
      </c>
      <c r="I11" s="65"/>
      <c r="J11" s="76">
        <v>0.4</v>
      </c>
      <c r="K11" s="108"/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/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/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/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/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91190.000000000073</v>
      </c>
      <c r="F33" s="104">
        <v>0</v>
      </c>
      <c r="G33" s="101">
        <f>SUM(G2:G32)</f>
        <v>25127</v>
      </c>
      <c r="H33" s="102">
        <v>0</v>
      </c>
      <c r="I33" s="103">
        <f>SUM(I2:I32)</f>
        <v>1400</v>
      </c>
      <c r="J33" s="104">
        <v>0</v>
      </c>
      <c r="K33" s="105">
        <v>0</v>
      </c>
      <c r="L33" s="102">
        <v>0</v>
      </c>
      <c r="M33" s="106">
        <f t="shared" ref="M33:O33" si="1">SUM(M2:M32)</f>
        <v>59</v>
      </c>
      <c r="N33" s="106">
        <f t="shared" si="1"/>
        <v>139</v>
      </c>
      <c r="O33" s="106">
        <f t="shared" si="1"/>
        <v>401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8" sqref="T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/>
      <c r="W7" s="71"/>
      <c r="X7" s="71"/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/>
      <c r="W8" s="71"/>
      <c r="X8" s="71"/>
      <c r="Y8" s="17"/>
    </row>
    <row r="9" spans="1:25" ht="21" customHeight="1" x14ac:dyDescent="0.25">
      <c r="A9" s="8">
        <v>44353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44354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44355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44356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44357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44358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44359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59</v>
      </c>
      <c r="W35" s="78">
        <f>SUM(W4:W34)</f>
        <v>139</v>
      </c>
      <c r="X35" s="78">
        <f>SUM(X4:X34)</f>
        <v>401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K18" sqref="K1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0</v>
      </c>
      <c r="C8" s="4">
        <f>('Kwh Reading'!T9-'Kwh Reading'!T8)*1000</f>
        <v>-409450</v>
      </c>
      <c r="D8" s="2">
        <f>('Kwh Reading'!F9-'Kwh Reading'!F8)*1000000</f>
        <v>-2317100</v>
      </c>
      <c r="E8" s="2">
        <f>('Kwh Reading'!C9-'Kwh Reading'!C8)*1000</f>
        <v>-223720</v>
      </c>
      <c r="F8" s="2">
        <f>('Kwh Reading'!J9-'Kwh Reading'!J8)*1000</f>
        <v>-311280</v>
      </c>
      <c r="G8" s="2">
        <f>('Kwh Reading'!K9-'Kwh Reading'!K8)*1000</f>
        <v>-334560</v>
      </c>
      <c r="H8" s="2">
        <f>('Kwh Reading'!L9-'Kwh Reading'!L8)*1000</f>
        <v>-229160</v>
      </c>
      <c r="I8" s="2">
        <f>('Kwh Reading'!R9-'Kwh Reading'!R8)*1000</f>
        <v>-149940</v>
      </c>
      <c r="J8" s="2">
        <f>('Kwh Reading'!S9-'Kwh Reading'!S8)*1000</f>
        <v>-111850</v>
      </c>
      <c r="K8" s="2">
        <f>('Kwh Reading'!I9-'Kwh Reading'!I8)*1000</f>
        <v>-227610</v>
      </c>
      <c r="L8" s="2">
        <f>('Kwh Reading'!B9-'Kwh Reading'!B8)*1000</f>
        <v>-946570</v>
      </c>
      <c r="M8" s="2">
        <f>('Kwh Reading'!M9-'Kwh Reading'!M8)*1000</f>
        <v>-497600</v>
      </c>
      <c r="N8" s="2">
        <f>('Kwh Reading'!H9-'Kwh Reading'!H8)*1000</f>
        <v>-610200</v>
      </c>
      <c r="O8" s="2">
        <f>('Kwh Reading'!P9-'Kwh Reading'!P8)*1000</f>
        <v>-591040</v>
      </c>
      <c r="P8" s="2">
        <f>('Kwh Reading'!G9-'Kwh Reading'!G8)*1000</f>
        <v>-722980</v>
      </c>
      <c r="Q8" s="2">
        <f>('Kwh Reading'!Q9-'Kwh Reading'!Q8)*1000</f>
        <v>-441910</v>
      </c>
      <c r="R8" s="2">
        <f>('Kwh Reading'!N9-'Kwh Reading'!N8)*1000</f>
        <v>-451860</v>
      </c>
      <c r="S8" s="2">
        <f>'Kwh Reading'!E9-'Kwh Reading'!E8</f>
        <v>-8100365.9199999999</v>
      </c>
      <c r="T8" s="2">
        <f>'Kwh Reading'!D9-'Kwh Reading'!D8</f>
        <v>-7416934.1200000001</v>
      </c>
      <c r="U8" s="27">
        <f>('Kwh Reading'!O9-'Kwh Reading'!O8)*1000</f>
        <v>-145030</v>
      </c>
      <c r="V8" s="16">
        <f t="shared" si="0"/>
        <v>24239160.039999999</v>
      </c>
    </row>
    <row r="9" spans="1:22" x14ac:dyDescent="0.25">
      <c r="A9" s="3">
        <f>'Kwh Reading'!A9</f>
        <v>44353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44354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ref="V10:V34" si="1">B10-(SUM(C10:U10))</f>
        <v>0</v>
      </c>
    </row>
    <row r="11" spans="1:22" x14ac:dyDescent="0.25">
      <c r="A11" s="3">
        <f>'Kwh Reading'!A11</f>
        <v>44355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44356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44357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44358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44359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44360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44361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44362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93959.999999999374</v>
      </c>
      <c r="C35" s="75">
        <f t="shared" ref="C35" si="2">SUM(C4:C34)</f>
        <v>-407660.00000000006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-310550.00000000006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-111340.00000000001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-586590.00000000012</v>
      </c>
      <c r="P35" s="75">
        <f t="shared" si="6"/>
        <v>-719090</v>
      </c>
      <c r="Q35" s="75">
        <f t="shared" si="6"/>
        <v>-439129.99999999994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24267372.77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0</v>
      </c>
      <c r="C7" s="1">
        <f>'Kwh Consumption'!C8</f>
        <v>-409450</v>
      </c>
      <c r="D7" s="1">
        <f>'Kwh Consumption'!D8</f>
        <v>-2317100</v>
      </c>
      <c r="E7" s="1">
        <f>'Kwh Consumption'!E8</f>
        <v>-223720</v>
      </c>
      <c r="F7" s="1">
        <f>('Kwh Consumption'!F8+'Kwh Consumption'!G8+'Kwh Consumption'!H8)</f>
        <v>-875000</v>
      </c>
      <c r="G7" s="16">
        <f>('Kwh Consumption'!I8+'Kwh Consumption'!J8)</f>
        <v>-261790</v>
      </c>
      <c r="H7" s="1">
        <f>('Kwh Consumption'!K8+'Kwh Consumption'!L8)</f>
        <v>-1174180</v>
      </c>
      <c r="I7" s="1">
        <f>('Kwh Consumption'!M8+'Kwh Consumption'!N8+'Kwh Consumption'!O8+'Kwh Consumption'!P8+'Kwh Consumption'!Q8+'Kwh Consumption'!R8)</f>
        <v>-3315590</v>
      </c>
      <c r="J7" s="1">
        <f>('Kwh Consumption'!S8+'Kwh Consumption'!T8)</f>
        <v>-15517300.039999999</v>
      </c>
      <c r="K7" s="1">
        <f>'Kwh Consumption'!U8</f>
        <v>-145030</v>
      </c>
      <c r="L7" s="32">
        <f t="shared" si="0"/>
        <v>24239160.039999999</v>
      </c>
    </row>
    <row r="8" spans="1:12" x14ac:dyDescent="0.25">
      <c r="A8" s="14">
        <f>'Kwh Reading'!A9</f>
        <v>44353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44354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44355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44356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44357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44358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44359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44360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44361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44362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91190.000000000073</v>
      </c>
      <c r="C34" s="75">
        <f>SUM(C3:C33)</f>
        <v>-407660.00000000006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-144040</v>
      </c>
      <c r="L34" s="75">
        <f t="shared" si="1"/>
        <v>24264602.77</v>
      </c>
      <c r="M34" s="84">
        <f>C34+D34+E34+F34+G34+H34+I34+J34+K34+L34</f>
        <v>91190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-57072.400000000016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-20165.600000000002</v>
      </c>
      <c r="L36" s="75">
        <f>L34*B36</f>
        <v>3397044.3878000001</v>
      </c>
      <c r="M36" s="84">
        <f>C36+D36+E36+F36+G36+H36+I36+J36+K36+L36</f>
        <v>12766.599999999627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-57323.000000000007</v>
      </c>
      <c r="E7" s="1">
        <f>'Kwh Consumption'!D8*' Kwh area wise $ '!B7</f>
        <v>-324394.00000000006</v>
      </c>
      <c r="F7" s="1">
        <f>'Kwh Consumption'!E8*' Kwh area wise $ '!B7</f>
        <v>-31320.800000000003</v>
      </c>
      <c r="G7" s="1">
        <f>('Kwh Consumption'!F8+'Kwh Consumption'!G8+'Kwh Consumption'!H8)*' Kwh area wise $ '!B7</f>
        <v>-122500.00000000001</v>
      </c>
      <c r="H7" s="16">
        <f>('Kwh Consumption'!I8+'Kwh Consumption'!J8)*' Kwh area wise $ '!B7</f>
        <v>-36650.600000000006</v>
      </c>
      <c r="I7" s="1">
        <f>('Kwh Consumption'!K8+'Kwh Consumption'!L8)*' Kwh area wise $ '!B7</f>
        <v>-164385.20000000001</v>
      </c>
      <c r="J7" s="1">
        <f>('Kwh Consumption'!M8+'Kwh Consumption'!N8+'Kwh Consumption'!O8+'Kwh Consumption'!P8+'Kwh Consumption'!Q8+'Kwh Consumption'!R8)*' Kwh area wise $ '!B7</f>
        <v>-464182.60000000003</v>
      </c>
      <c r="K7" s="1">
        <f>('Kwh Consumption'!S8+'Kwh Consumption'!T8)*' Kwh area wise $ '!B7</f>
        <v>-2172422.0056000003</v>
      </c>
      <c r="L7" s="1">
        <f>'Kwh Consumption'!U8*' Kwh area wise $ '!B7</f>
        <v>-20304.2</v>
      </c>
      <c r="M7" s="1">
        <f>'Kwh Consumption'!V8*' Kwh area wise $ '!B7</f>
        <v>3393482.4056000002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13154.399999999916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-122165.40000000002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-2169230.3878000001</v>
      </c>
      <c r="L34" s="75">
        <f t="shared" si="0"/>
        <v>-20165.599999999999</v>
      </c>
      <c r="M34" s="75">
        <f>SUM(M3:M33)</f>
        <v>3397432.1878</v>
      </c>
      <c r="N34" s="84">
        <f>D34+E34+F34+G34+H34+I34+J34+K34+L34+M34</f>
        <v>13154.399999999441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F8" sqref="F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122093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122422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122474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44354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44355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44356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44357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44358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44359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44360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44361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44362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44363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K30" sqref="K3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444</v>
      </c>
      <c r="D5" s="67">
        <f t="shared" ref="D5:D34" si="2">C5/B5</f>
        <v>1.3293413173652695</v>
      </c>
      <c r="E5" s="88">
        <f>'Water Reading'!H5-'Water Reading'!H4</f>
        <v>108</v>
      </c>
      <c r="F5" s="89">
        <f t="shared" ref="F5:F34" si="3">E5/C5</f>
        <v>0.24324324324324326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0.3954954954954954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2.7027027027027029E-2</v>
      </c>
      <c r="M5" s="90">
        <f>'Water Reading'!R5-'Water Reading'!R4</f>
        <v>5</v>
      </c>
      <c r="N5" s="92">
        <f t="shared" ref="N5:N34" si="7">M5/C5</f>
        <v>1.1261261261261261E-2</v>
      </c>
      <c r="O5" s="90">
        <f>'Water Reading'!Q5-'Water Reading'!Q4</f>
        <v>8.4000000000000341</v>
      </c>
      <c r="P5" s="99">
        <f t="shared" ref="P5:P34" si="8">O5/C5</f>
        <v>1.8918918918918996E-2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0.12387387387387387</v>
      </c>
      <c r="U5" s="90">
        <f>'Water Reading'!G5-'Water Reading'!G4</f>
        <v>14</v>
      </c>
      <c r="V5" s="100">
        <f t="shared" ref="V5:V34" si="11">U5/C5</f>
        <v>3.1531531531531529E-2</v>
      </c>
      <c r="W5" s="90">
        <f>'Water Reading'!J5-'Water Reading'!J4</f>
        <v>13</v>
      </c>
      <c r="X5" s="100">
        <f t="shared" ref="X5:X34" si="12">W5/C5</f>
        <v>2.9279279279279279E-2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445</v>
      </c>
      <c r="D6" s="67">
        <f t="shared" si="2"/>
        <v>1.2861271676300579</v>
      </c>
      <c r="E6" s="88">
        <f>'Water Reading'!H6-'Water Reading'!H5</f>
        <v>81</v>
      </c>
      <c r="F6" s="89">
        <f t="shared" si="3"/>
        <v>0.18202247191011237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0.30494382022471922</v>
      </c>
      <c r="I6" s="90">
        <f>'Water Reading'!P6-'Water Reading'!P5</f>
        <v>6</v>
      </c>
      <c r="J6" s="68">
        <f t="shared" si="5"/>
        <v>1.3483146067415731E-2</v>
      </c>
      <c r="K6" s="91">
        <f>('Water Reading'!I6-'Water Reading'!I5)-('Water Reading'!P6-'Water Reading'!P5)</f>
        <v>19</v>
      </c>
      <c r="L6" s="68">
        <f t="shared" si="6"/>
        <v>4.2696629213483148E-2</v>
      </c>
      <c r="M6" s="90">
        <f>'Water Reading'!R6-'Water Reading'!R5</f>
        <v>6</v>
      </c>
      <c r="N6" s="92">
        <f t="shared" si="7"/>
        <v>1.3483146067415731E-2</v>
      </c>
      <c r="O6" s="90">
        <f>'Water Reading'!Q6-'Water Reading'!Q5</f>
        <v>1.2999999999999545</v>
      </c>
      <c r="P6" s="99">
        <f t="shared" si="8"/>
        <v>2.9213483146066392E-3</v>
      </c>
      <c r="Q6" s="91">
        <f>'Water Reading'!F6-'Water Reading'!F5</f>
        <v>1</v>
      </c>
      <c r="R6" s="100">
        <f t="shared" si="9"/>
        <v>2.2471910112359553E-3</v>
      </c>
      <c r="S6" s="90">
        <f>'Water Reading'!E6-'Water Reading'!E5</f>
        <v>64</v>
      </c>
      <c r="T6" s="100">
        <f t="shared" si="10"/>
        <v>0.14382022471910114</v>
      </c>
      <c r="U6" s="90">
        <f>'Water Reading'!G6-'Water Reading'!G5</f>
        <v>16</v>
      </c>
      <c r="V6" s="100">
        <f t="shared" si="11"/>
        <v>3.5955056179775284E-2</v>
      </c>
      <c r="W6" s="90">
        <f>'Water Reading'!J6-'Water Reading'!J5</f>
        <v>13</v>
      </c>
      <c r="X6" s="100">
        <f t="shared" si="12"/>
        <v>2.9213483146067417E-2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247</v>
      </c>
      <c r="D7" s="67">
        <f t="shared" si="2"/>
        <v>0.84589041095890416</v>
      </c>
      <c r="E7" s="88">
        <f>'Water Reading'!H7-'Water Reading'!H6</f>
        <v>6</v>
      </c>
      <c r="F7" s="89">
        <f t="shared" si="3"/>
        <v>2.4291497975708502E-2</v>
      </c>
      <c r="G7" s="93">
        <f>('Water Reading'!D7-'Water Reading'!D6)-('Water Reading'!R7-'Water Reading'!R6)-('Water Reading'!Q7-'Water Reading'!Q6)</f>
        <v>126</v>
      </c>
      <c r="H7" s="89">
        <f t="shared" si="4"/>
        <v>0.51012145748987858</v>
      </c>
      <c r="I7" s="90">
        <f>'Water Reading'!P7-'Water Reading'!P6</f>
        <v>4</v>
      </c>
      <c r="J7" s="68">
        <f t="shared" si="5"/>
        <v>1.6194331983805668E-2</v>
      </c>
      <c r="K7" s="91">
        <f>('Water Reading'!I7-'Water Reading'!I6)-('Water Reading'!P7-'Water Reading'!P6)</f>
        <v>5</v>
      </c>
      <c r="L7" s="68">
        <f t="shared" si="6"/>
        <v>2.0242914979757085E-2</v>
      </c>
      <c r="M7" s="90">
        <f>'Water Reading'!R7-'Water Reading'!R6</f>
        <v>2</v>
      </c>
      <c r="N7" s="92">
        <f t="shared" si="7"/>
        <v>8.0971659919028341E-3</v>
      </c>
      <c r="O7" s="90">
        <f>'Water Reading'!Q7-'Water Reading'!Q6</f>
        <v>64</v>
      </c>
      <c r="P7" s="99">
        <f t="shared" si="8"/>
        <v>0.25910931174089069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0.26315789473684209</v>
      </c>
      <c r="U7" s="90">
        <f>'Water Reading'!G7-'Water Reading'!G6</f>
        <v>13</v>
      </c>
      <c r="V7" s="100">
        <f t="shared" si="11"/>
        <v>5.2631578947368418E-2</v>
      </c>
      <c r="W7" s="90">
        <f>'Water Reading'!J7-'Water Reading'!J6</f>
        <v>15</v>
      </c>
      <c r="X7" s="100">
        <f t="shared" si="12"/>
        <v>6.0728744939271252E-2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0</v>
      </c>
      <c r="C8" s="66">
        <f>('Water Reading'!B8-'Water Reading'!B7)+('Water Reading'!C8-'Water Reading'!C7)</f>
        <v>-284006</v>
      </c>
      <c r="D8" s="67" t="e">
        <f t="shared" si="2"/>
        <v>#DIV/0!</v>
      </c>
      <c r="E8" s="88">
        <f>'Water Reading'!H8-'Water Reading'!H7</f>
        <v>-51318</v>
      </c>
      <c r="F8" s="89">
        <f t="shared" si="3"/>
        <v>0.18069336563312044</v>
      </c>
      <c r="G8" s="93">
        <f>('Water Reading'!D8-'Water Reading'!D7)-('Water Reading'!R8-'Water Reading'!R7)-('Water Reading'!Q8-'Water Reading'!Q7)</f>
        <v>-198633</v>
      </c>
      <c r="H8" s="89">
        <f t="shared" si="4"/>
        <v>0.69939719583389082</v>
      </c>
      <c r="I8" s="90">
        <f>'Water Reading'!P8-'Water Reading'!P7</f>
        <v>-26799</v>
      </c>
      <c r="J8" s="68">
        <f t="shared" si="5"/>
        <v>9.4360682520791814E-2</v>
      </c>
      <c r="K8" s="91">
        <f>('Water Reading'!I8-'Water Reading'!I7)-('Water Reading'!P8-'Water Reading'!P7)</f>
        <v>-36267</v>
      </c>
      <c r="L8" s="68">
        <f t="shared" si="6"/>
        <v>0.12769800638014689</v>
      </c>
      <c r="M8" s="90">
        <f>'Water Reading'!R8-'Water Reading'!R7</f>
        <v>-6124</v>
      </c>
      <c r="N8" s="92">
        <f t="shared" si="7"/>
        <v>2.1562924726942389E-2</v>
      </c>
      <c r="O8" s="90">
        <f>'Water Reading'!Q8-'Water Reading'!Q7</f>
        <v>-579</v>
      </c>
      <c r="P8" s="99">
        <f t="shared" si="8"/>
        <v>2.0386893234649972E-3</v>
      </c>
      <c r="Q8" s="91">
        <f>'Water Reading'!F8-'Water Reading'!F7</f>
        <v>-66908</v>
      </c>
      <c r="R8" s="100">
        <f t="shared" si="9"/>
        <v>0.23558657211467363</v>
      </c>
      <c r="S8" s="90">
        <f>'Water Reading'!E8-'Water Reading'!E7</f>
        <v>-246233</v>
      </c>
      <c r="T8" s="100">
        <f t="shared" si="10"/>
        <v>0.86699928874742083</v>
      </c>
      <c r="U8" s="90">
        <f>'Water Reading'!G8-'Water Reading'!G7</f>
        <v>-111227</v>
      </c>
      <c r="V8" s="100">
        <f t="shared" si="11"/>
        <v>0.39163609219523532</v>
      </c>
      <c r="W8" s="90">
        <f>'Water Reading'!J8-'Water Reading'!J7</f>
        <v>-19809</v>
      </c>
      <c r="X8" s="100">
        <f t="shared" si="12"/>
        <v>6.9748526439582265E-2</v>
      </c>
      <c r="Y8" s="66">
        <f t="shared" si="0"/>
        <v>-763897</v>
      </c>
      <c r="Z8" s="67" t="e">
        <f t="shared" si="1"/>
        <v>#DIV/0!</v>
      </c>
    </row>
    <row r="9" spans="1:26" x14ac:dyDescent="0.25">
      <c r="A9" s="8">
        <f>'Water Reading'!A8</f>
        <v>44353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44354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44355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44356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44357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44358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44359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44360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44361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44362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1441</v>
      </c>
      <c r="C35" s="75">
        <f>SUM(C4:C34)</f>
        <v>-282428</v>
      </c>
      <c r="D35" s="96">
        <f>C35/B35</f>
        <v>-195.9944482997918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-529.0631505898682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2021-06-05T05:22:36Z</dcterms:modified>
  <cp:category/>
  <cp:contentStatus/>
</cp:coreProperties>
</file>