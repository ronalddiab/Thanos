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5360" windowHeight="762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2" i="5" l="1"/>
  <c r="G34" i="8" l="1"/>
  <c r="G34" i="9"/>
  <c r="I34" i="9" s="1"/>
  <c r="H34" i="10"/>
  <c r="G5" i="8" l="1"/>
  <c r="G6" i="8"/>
  <c r="G7" i="8"/>
  <c r="H7" i="8" s="1"/>
  <c r="I5" i="5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H34" i="8" s="1"/>
  <c r="I32" i="5" s="1"/>
  <c r="G4" i="8"/>
  <c r="H4" i="8" s="1"/>
  <c r="I2" i="5" s="1"/>
  <c r="H30" i="8" l="1"/>
  <c r="H31" i="8"/>
  <c r="H17" i="8"/>
  <c r="H5" i="8"/>
  <c r="I3" i="5" s="1"/>
  <c r="H13" i="8"/>
  <c r="H9" i="8"/>
  <c r="H29" i="8"/>
  <c r="H28" i="8"/>
  <c r="H16" i="8"/>
  <c r="H32" i="8"/>
  <c r="H20" i="8"/>
  <c r="H14" i="8"/>
  <c r="H24" i="8"/>
  <c r="H18" i="8"/>
  <c r="H6" i="8"/>
  <c r="I4" i="5" s="1"/>
  <c r="H26" i="8"/>
  <c r="H25" i="8"/>
  <c r="H23" i="8"/>
  <c r="H22" i="8"/>
  <c r="H19" i="8"/>
  <c r="H12" i="8"/>
  <c r="H11" i="8"/>
  <c r="H10" i="8"/>
  <c r="H8" i="8"/>
  <c r="I6" i="5" s="1"/>
  <c r="H27" i="8"/>
  <c r="H33" i="8"/>
  <c r="I31" i="5" s="1"/>
  <c r="H15" i="8"/>
  <c r="H21" i="8"/>
  <c r="G5" i="9"/>
  <c r="I5" i="9" s="1"/>
  <c r="G6" i="9"/>
  <c r="I6" i="9" s="1"/>
  <c r="J6" i="9" s="1"/>
  <c r="G4" i="5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J4" i="9" s="1"/>
  <c r="G2" i="5" s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4" i="10"/>
  <c r="I4" i="10" s="1"/>
  <c r="E2" i="5" s="1"/>
  <c r="I30" i="10" l="1"/>
  <c r="I16" i="10"/>
  <c r="J12" i="9"/>
  <c r="I7" i="10"/>
  <c r="E5" i="5" s="1"/>
  <c r="J30" i="9"/>
  <c r="I27" i="10"/>
  <c r="J23" i="9"/>
  <c r="I22" i="10"/>
  <c r="J16" i="9"/>
  <c r="I21" i="10"/>
  <c r="I5" i="10"/>
  <c r="E3" i="5" s="1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E4" i="5" s="1"/>
  <c r="I31" i="10"/>
  <c r="J28" i="9"/>
  <c r="I28" i="10"/>
  <c r="J24" i="9"/>
  <c r="I24" i="10"/>
  <c r="J22" i="9"/>
  <c r="I20" i="10"/>
  <c r="E18" i="5" s="1"/>
  <c r="J18" i="9"/>
  <c r="I18" i="10"/>
  <c r="I17" i="10"/>
  <c r="I14" i="10"/>
  <c r="I15" i="10"/>
  <c r="I12" i="10"/>
  <c r="J11" i="9"/>
  <c r="J10" i="9"/>
  <c r="I10" i="10"/>
  <c r="I9" i="10"/>
  <c r="J5" i="9"/>
  <c r="G3" i="5" s="1"/>
  <c r="J32" i="9"/>
  <c r="J26" i="9"/>
  <c r="J20" i="9"/>
  <c r="J14" i="9"/>
  <c r="J8" i="9"/>
  <c r="G6" i="5" s="1"/>
  <c r="J31" i="9"/>
  <c r="J25" i="9"/>
  <c r="J19" i="9"/>
  <c r="J13" i="9"/>
  <c r="J7" i="9"/>
  <c r="G5" i="5" s="1"/>
  <c r="I32" i="10"/>
  <c r="I8" i="10"/>
  <c r="I25" i="10"/>
  <c r="I19" i="10"/>
  <c r="I13" i="10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<sst xmlns="http://schemas.openxmlformats.org/spreadsheetml/2006/main" count="73" uniqueCount="38">
  <si>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</si>
  <si>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</si>
  <si>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</si>
  <si>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</si>
  <si>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</si>
  <si>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</si>
  <si>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</si>
  <si>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</si>
  <si>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</si>
  <si>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</si>
  <si>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</si>
  <si>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</si>
  <si>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</si>
  <si>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</si>
  <si>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</si>
  <si>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</si>
  <si>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</si>
  <si>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</si>
  <si>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</si>
  <si>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</si>
  <si>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</si>
  <si>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</si>
  <si>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</si>
  <si>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</si>
  <si>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</si>
  <si>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</si>
  <si>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</si>
  <si>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</si>
  <si>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</si>
  <si>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</si>
  <si>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</si>
  <si>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</si>
  <si>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</si>
  <si>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</si>
  <si>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</si>
  <si>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JAN.2022</t>
  </si>
  <si>
    <t>NATURAL GAS CONSUMPTION , JAN.2022</t>
  </si>
  <si>
    <t>ELECTRICITY CONSUMPTION , JAN.2022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</si>
</sst>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G34">
            <v>12568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I34">
            <v>1176540.4133199998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H34">
            <v>13192325.280000001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2" zoomScale="110" zoomScaleNormal="110" workbookViewId="0">
      <selection activeCell="M25" sqref="M2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1</v>
      </c>
      <c r="D2" s="12">
        <v>2022</v>
      </c>
      <c r="E2" s="13">
        <f>Electricity!I4</f>
        <v>1393.7999999970198</v>
      </c>
      <c r="F2" s="3">
        <v>2.1</v>
      </c>
      <c r="G2" s="13">
        <f>Gas!J4</f>
        <v>0</v>
      </c>
      <c r="H2" s="3">
        <v>1.69</v>
      </c>
      <c r="I2" s="13">
        <f>Water!H4</f>
        <v>8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1</v>
      </c>
      <c r="D3" s="12">
        <v>2022</v>
      </c>
      <c r="E3" s="13">
        <f>Electricity!I5</f>
        <v>1192.3200000021607</v>
      </c>
      <c r="F3" s="3">
        <v>2.1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1</v>
      </c>
      <c r="D4" s="12">
        <v>2022</v>
      </c>
      <c r="E4" s="13">
        <f>Electricity!I6</f>
        <v>1054.320000000298</v>
      </c>
      <c r="F4" s="3">
        <v>2.1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1</v>
      </c>
      <c r="D5" s="12">
        <v>2022</v>
      </c>
      <c r="E5" s="13">
        <f>Electricity!I7</f>
        <v>1600.7999999988824</v>
      </c>
      <c r="F5" s="3">
        <v>2.1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1</v>
      </c>
      <c r="D6" s="12">
        <v>2022</v>
      </c>
      <c r="E6" s="13">
        <f>Electricity!I8</f>
        <v>1288.9200000017881</v>
      </c>
      <c r="F6" s="3">
        <v>2.1</v>
      </c>
      <c r="G6" s="13">
        <f>Gas!J8</f>
        <v>0</v>
      </c>
      <c r="H6" s="3">
        <v>1.69</v>
      </c>
      <c r="I6" s="13">
        <f>Water!H8</f>
        <v>9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1</v>
      </c>
      <c r="D7" s="12">
        <v>2022</v>
      </c>
      <c r="E7" s="13">
        <f>Electricity!I9</f>
        <v>1562.160000000149</v>
      </c>
      <c r="F7" s="3">
        <v>2.1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1</v>
      </c>
      <c r="D8" s="12">
        <v>2022</v>
      </c>
      <c r="E8" s="13">
        <f>Electricity!I10</f>
        <v>1965.1199999973178</v>
      </c>
      <c r="F8" s="3">
        <v>2.1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1</v>
      </c>
      <c r="D9" s="12">
        <v>2022</v>
      </c>
      <c r="E9" s="13">
        <f>Electricity!I11</f>
        <v>1360.6800000015646</v>
      </c>
      <c r="F9" s="3">
        <v>2.1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1</v>
      </c>
      <c r="D10" s="12">
        <v>2022</v>
      </c>
      <c r="E10" s="13">
        <f>Electricity!I12</f>
        <v>1575.9599999990314</v>
      </c>
      <c r="F10" s="3">
        <v>2.1</v>
      </c>
      <c r="G10" s="13">
        <f>Gas!J12</f>
        <v>0</v>
      </c>
      <c r="H10" s="3">
        <v>1.69</v>
      </c>
      <c r="I10" s="13">
        <f>Water!H12</f>
        <v>12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1</v>
      </c>
      <c r="D11" s="12">
        <v>2022</v>
      </c>
      <c r="E11" s="13">
        <f>Electricity!I13</f>
        <v>1167.480000000447</v>
      </c>
      <c r="F11" s="3">
        <v>2.1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1</v>
      </c>
      <c r="D12" s="12">
        <v>2022</v>
      </c>
      <c r="E12" s="13">
        <f>Electricity!I14</f>
        <v>1460.0400000009686</v>
      </c>
      <c r="F12" s="3">
        <v>2.1</v>
      </c>
      <c r="G12" s="13">
        <f>Gas!J14</f>
        <v>0</v>
      </c>
      <c r="H12" s="3">
        <v>1.69</v>
      </c>
      <c r="I12" s="13">
        <f>Water!H14</f>
        <v>2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1</v>
      </c>
      <c r="D13" s="12">
        <v>2022</v>
      </c>
      <c r="E13" s="13">
        <f>Electricity!I15</f>
        <v>1457.2799999974668</v>
      </c>
      <c r="F13" s="3">
        <v>2.1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1</v>
      </c>
      <c r="D14" s="12">
        <v>2022</v>
      </c>
      <c r="E14" s="13">
        <f>Electricity!I16</f>
        <v>1559.4000000022352</v>
      </c>
      <c r="F14" s="3">
        <v>2.1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1</v>
      </c>
      <c r="D15" s="12">
        <v>2022</v>
      </c>
      <c r="E15" s="13">
        <f>Electricity!I17</f>
        <v>1973.4000000003725</v>
      </c>
      <c r="F15" s="3">
        <v>2.1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1</v>
      </c>
      <c r="D16" s="12">
        <v>2022</v>
      </c>
      <c r="E16" s="13">
        <f>Electricity!I18</f>
        <v>1851.9599999990314</v>
      </c>
      <c r="F16" s="3">
        <v>2.1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1</v>
      </c>
      <c r="D17" s="12">
        <v>2022</v>
      </c>
      <c r="E17" s="13">
        <f>Electricity!I19</f>
        <v>1909.9199999999255</v>
      </c>
      <c r="F17" s="3">
        <v>2.1</v>
      </c>
      <c r="G17" s="13">
        <f>Gas!J19</f>
        <v>0</v>
      </c>
      <c r="H17" s="3">
        <v>1.69</v>
      </c>
      <c r="I17" s="13">
        <f>Water!H19</f>
        <v>1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1</v>
      </c>
      <c r="D18" s="12">
        <v>2022</v>
      </c>
      <c r="E18" s="13">
        <f>Electricity!I20</f>
        <v>1636.6800000015646</v>
      </c>
      <c r="F18" s="3">
        <v>2.1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1</v>
      </c>
      <c r="D19" s="12">
        <v>2022</v>
      </c>
      <c r="E19" s="13">
        <f>Electricity!I21</f>
        <v>2050.6799999978393</v>
      </c>
      <c r="F19" s="3">
        <v>2.1</v>
      </c>
      <c r="G19" s="13">
        <f>Gas!J21</f>
        <v>0</v>
      </c>
      <c r="H19" s="3">
        <v>1.69</v>
      </c>
      <c r="I19" s="13">
        <f>Water!H21</f>
        <v>15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1</v>
      </c>
      <c r="D20" s="12">
        <v>2022</v>
      </c>
      <c r="E20" s="13">
        <f>Electricity!I22</f>
        <v>2111.4000000022352</v>
      </c>
      <c r="F20" s="3">
        <v>2.1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1</v>
      </c>
      <c r="D21" s="12">
        <v>2022</v>
      </c>
      <c r="E21" s="13">
        <f>Electricity!I23</f>
        <v>2141.7599999979138</v>
      </c>
      <c r="F21" s="3">
        <v>2.1</v>
      </c>
      <c r="G21" s="13">
        <f>Gas!J23</f>
        <v>0</v>
      </c>
      <c r="H21" s="3">
        <v>1.69</v>
      </c>
      <c r="I21" s="13">
        <f>Water!H23</f>
        <v>1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1</v>
      </c>
      <c r="D22" s="12">
        <v>2022</v>
      </c>
      <c r="E22" s="13">
        <f>Electricity!I24</f>
        <v>2081.0400000009686</v>
      </c>
      <c r="F22" s="3">
        <v>2.1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1</v>
      </c>
      <c r="D23" s="12">
        <v>2022</v>
      </c>
      <c r="E23" s="13">
        <f>Electricity!I25</f>
        <v>2017.5599999986589</v>
      </c>
      <c r="F23" s="3">
        <v>2.1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1</v>
      </c>
      <c r="D24" s="12">
        <v>2022</v>
      </c>
      <c r="E24" s="13">
        <f>Electricity!I26</f>
        <v>2042.4000000022352</v>
      </c>
      <c r="F24" s="3">
        <v>2.1</v>
      </c>
      <c r="G24" s="13">
        <f>Gas!J26</f>
        <v>0</v>
      </c>
      <c r="H24" s="3">
        <v>1.69</v>
      </c>
      <c r="I24" s="13">
        <f>Water!H26</f>
        <v>12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1</v>
      </c>
      <c r="D25" s="12">
        <v>2022</v>
      </c>
      <c r="E25" s="13">
        <f>Electricity!I27</f>
        <v>1774.679999999702</v>
      </c>
      <c r="F25" s="3">
        <v>2.1</v>
      </c>
      <c r="G25" s="13">
        <f>Gas!J27</f>
        <v>0</v>
      </c>
      <c r="H25" s="3">
        <v>1.69</v>
      </c>
      <c r="I25" s="13">
        <f>Water!H27</f>
        <v>22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1</v>
      </c>
      <c r="D26" s="12">
        <v>2022</v>
      </c>
      <c r="E26" s="13">
        <f>Electricity!I28</f>
        <v>2387.4000000003725</v>
      </c>
      <c r="F26" s="3">
        <v>2.1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1</v>
      </c>
      <c r="D27" s="12">
        <v>2022</v>
      </c>
      <c r="E27" s="13">
        <f>Electricity!I29</f>
        <v>2232.839999999851</v>
      </c>
      <c r="F27" s="3">
        <v>2.1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1</v>
      </c>
      <c r="D28" s="12">
        <v>2022</v>
      </c>
      <c r="E28" s="13">
        <f>Electricity!I30</f>
        <v>2067.2400000002235</v>
      </c>
      <c r="F28" s="3">
        <v>2.1</v>
      </c>
      <c r="G28" s="13">
        <f>Gas!J30</f>
        <v>0</v>
      </c>
      <c r="H28" s="3">
        <v>1.69</v>
      </c>
      <c r="I28" s="13">
        <f>Water!H30</f>
        <v>7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1</v>
      </c>
      <c r="D29" s="12">
        <v>2022</v>
      </c>
      <c r="E29" s="13">
        <f>Electricity!I31</f>
        <v>2161.0799999982119</v>
      </c>
      <c r="F29" s="3">
        <v>2.1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1</v>
      </c>
      <c r="D30" s="12">
        <v>2022</v>
      </c>
      <c r="E30" s="13">
        <f>Electricity!I32</f>
        <v>2050.679999999702</v>
      </c>
      <c r="F30" s="3">
        <v>2.1</v>
      </c>
      <c r="G30" s="13">
        <f>Gas!J32</f>
        <v>0</v>
      </c>
      <c r="H30" s="3">
        <v>1.69</v>
      </c>
      <c r="I30" s="13">
        <f>Water!H32</f>
        <v>1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1</v>
      </c>
      <c r="D31" s="12">
        <v>2022</v>
      </c>
      <c r="E31" s="13">
        <f>Electricity!I33</f>
        <v>1923.7200000006706</v>
      </c>
      <c r="F31" s="3">
        <v>2.1</v>
      </c>
      <c r="G31" s="13">
        <f>Gas!J33</f>
        <v>0</v>
      </c>
      <c r="H31" s="3">
        <v>1.69</v>
      </c>
      <c r="I31" s="13">
        <f>Water!H33</f>
        <v>15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1</v>
      </c>
      <c r="D32" s="12">
        <v>2022</v>
      </c>
      <c r="E32" s="13">
        <f>Electricity!I34</f>
        <v>1614.6000000014901</v>
      </c>
      <c r="F32" s="3">
        <v>2.1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workbookViewId="0">
      <selection activeCell="E35" sqref="E3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71" t="s">
        <v>35</v>
      </c>
      <c r="E1" s="71"/>
      <c r="F1" s="71"/>
      <c r="G1" s="71"/>
      <c r="H1" s="71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34">
        <v>44562</v>
      </c>
      <c r="E4" s="24">
        <v>11511</v>
      </c>
      <c r="F4" s="24">
        <v>1065</v>
      </c>
      <c r="G4" s="24">
        <f>E4+F4</f>
        <v>12576</v>
      </c>
      <c r="H4" s="25">
        <f>+(G4-[1]Dec.2021!$G$34)</f>
        <v>8</v>
      </c>
    </row>
    <row r="5" spans="2:9" s="32" customFormat="1" ht="11.25" x14ac:dyDescent="0.25">
      <c r="D5" s="34">
        <v>44563</v>
      </c>
      <c r="E5" s="24">
        <v>11511</v>
      </c>
      <c r="F5" s="24">
        <v>1065</v>
      </c>
      <c r="G5" s="24">
        <f t="shared" ref="G5:G34" si="0">E5+F5</f>
        <v>12576</v>
      </c>
      <c r="H5" s="25">
        <f>G5-G4</f>
        <v>0</v>
      </c>
    </row>
    <row r="6" spans="2:9" s="32" customFormat="1" ht="11.25" x14ac:dyDescent="0.25">
      <c r="D6" s="34">
        <v>44564</v>
      </c>
      <c r="E6" s="24">
        <v>11511</v>
      </c>
      <c r="F6" s="24">
        <v>1065</v>
      </c>
      <c r="G6" s="24">
        <f t="shared" si="0"/>
        <v>12576</v>
      </c>
      <c r="H6" s="25">
        <f t="shared" ref="H6:H34" si="1">G6-G5</f>
        <v>0</v>
      </c>
    </row>
    <row r="7" spans="2:9" s="32" customFormat="1" ht="11.25" x14ac:dyDescent="0.25">
      <c r="D7" s="34">
        <v>44565</v>
      </c>
      <c r="E7" s="24">
        <v>11511</v>
      </c>
      <c r="F7" s="24">
        <v>1065</v>
      </c>
      <c r="G7" s="24">
        <f t="shared" si="0"/>
        <v>12576</v>
      </c>
      <c r="H7" s="25">
        <f t="shared" si="1"/>
        <v>0</v>
      </c>
    </row>
    <row r="8" spans="2:9" s="32" customFormat="1" ht="11.25" x14ac:dyDescent="0.25">
      <c r="D8" s="34">
        <v>44566</v>
      </c>
      <c r="E8" s="24">
        <v>11520</v>
      </c>
      <c r="F8" s="24">
        <v>1065</v>
      </c>
      <c r="G8" s="24">
        <f t="shared" si="0"/>
        <v>12585</v>
      </c>
      <c r="H8" s="25">
        <f t="shared" si="1"/>
        <v>9</v>
      </c>
    </row>
    <row r="9" spans="2:9" s="32" customFormat="1" ht="11.25" x14ac:dyDescent="0.25">
      <c r="D9" s="34">
        <v>44567</v>
      </c>
      <c r="E9" s="24">
        <v>11520</v>
      </c>
      <c r="F9" s="24">
        <v>1065</v>
      </c>
      <c r="G9" s="24">
        <f t="shared" si="0"/>
        <v>12585</v>
      </c>
      <c r="H9" s="25">
        <f t="shared" si="1"/>
        <v>0</v>
      </c>
    </row>
    <row r="10" spans="2:9" s="32" customFormat="1" ht="11.25" x14ac:dyDescent="0.25">
      <c r="D10" s="34">
        <v>44568</v>
      </c>
      <c r="E10" s="24">
        <v>11524</v>
      </c>
      <c r="F10" s="24">
        <v>1065</v>
      </c>
      <c r="G10" s="24">
        <f t="shared" si="0"/>
        <v>12589</v>
      </c>
      <c r="H10" s="25">
        <f t="shared" si="1"/>
        <v>4</v>
      </c>
    </row>
    <row r="11" spans="2:9" s="32" customFormat="1" ht="11.25" x14ac:dyDescent="0.25">
      <c r="D11" s="34">
        <v>44569</v>
      </c>
      <c r="E11" s="24">
        <v>11524</v>
      </c>
      <c r="F11" s="24">
        <v>1065</v>
      </c>
      <c r="G11" s="24">
        <f t="shared" si="0"/>
        <v>12589</v>
      </c>
      <c r="H11" s="25">
        <f t="shared" si="1"/>
        <v>0</v>
      </c>
    </row>
    <row r="12" spans="2:9" s="32" customFormat="1" ht="11.25" x14ac:dyDescent="0.25">
      <c r="D12" s="34">
        <v>44570</v>
      </c>
      <c r="E12" s="24">
        <v>11536</v>
      </c>
      <c r="F12" s="24">
        <v>1065</v>
      </c>
      <c r="G12" s="24">
        <f t="shared" si="0"/>
        <v>12601</v>
      </c>
      <c r="H12" s="25">
        <f t="shared" si="1"/>
        <v>12</v>
      </c>
    </row>
    <row r="13" spans="2:9" s="32" customFormat="1" ht="11.25" x14ac:dyDescent="0.25">
      <c r="D13" s="34">
        <v>44571</v>
      </c>
      <c r="E13" s="24">
        <v>11536</v>
      </c>
      <c r="F13" s="24">
        <v>1065</v>
      </c>
      <c r="G13" s="24">
        <f t="shared" si="0"/>
        <v>12601</v>
      </c>
      <c r="H13" s="25">
        <f t="shared" si="1"/>
        <v>0</v>
      </c>
    </row>
    <row r="14" spans="2:9" s="32" customFormat="1" ht="11.25" x14ac:dyDescent="0.25">
      <c r="D14" s="34">
        <v>44572</v>
      </c>
      <c r="E14" s="24">
        <v>11538</v>
      </c>
      <c r="F14" s="24">
        <v>1065</v>
      </c>
      <c r="G14" s="24">
        <f t="shared" si="0"/>
        <v>12603</v>
      </c>
      <c r="H14" s="25">
        <f t="shared" si="1"/>
        <v>2</v>
      </c>
    </row>
    <row r="15" spans="2:9" s="35" customFormat="1" ht="11.25" x14ac:dyDescent="0.25">
      <c r="D15" s="34">
        <v>44573</v>
      </c>
      <c r="E15" s="24">
        <v>11538</v>
      </c>
      <c r="F15" s="24">
        <v>1065</v>
      </c>
      <c r="G15" s="24">
        <f t="shared" si="0"/>
        <v>12603</v>
      </c>
      <c r="H15" s="25">
        <f t="shared" si="1"/>
        <v>0</v>
      </c>
      <c r="I15" s="35" t="s">
        <v>27</v>
      </c>
    </row>
    <row r="16" spans="2:9" s="32" customFormat="1" ht="11.25" x14ac:dyDescent="0.25">
      <c r="D16" s="34">
        <v>44574</v>
      </c>
      <c r="E16" s="24">
        <v>11538</v>
      </c>
      <c r="F16" s="24">
        <v>1065</v>
      </c>
      <c r="G16" s="24">
        <f t="shared" si="0"/>
        <v>12603</v>
      </c>
      <c r="H16" s="25">
        <f t="shared" si="1"/>
        <v>0</v>
      </c>
    </row>
    <row r="17" spans="4:8" s="32" customFormat="1" ht="11.25" customHeight="1" x14ac:dyDescent="0.25">
      <c r="D17" s="34">
        <v>44575</v>
      </c>
      <c r="E17" s="24">
        <v>11538</v>
      </c>
      <c r="F17" s="24">
        <v>1065</v>
      </c>
      <c r="G17" s="24">
        <f t="shared" si="0"/>
        <v>12603</v>
      </c>
      <c r="H17" s="25">
        <f t="shared" si="1"/>
        <v>0</v>
      </c>
    </row>
    <row r="18" spans="4:8" s="32" customFormat="1" ht="11.25" customHeight="1" x14ac:dyDescent="0.25">
      <c r="D18" s="34">
        <v>44576</v>
      </c>
      <c r="E18" s="24">
        <v>11538</v>
      </c>
      <c r="F18" s="24">
        <v>1065</v>
      </c>
      <c r="G18" s="24">
        <f t="shared" si="0"/>
        <v>12603</v>
      </c>
      <c r="H18" s="25">
        <f t="shared" si="1"/>
        <v>0</v>
      </c>
    </row>
    <row r="19" spans="4:8" s="32" customFormat="1" ht="11.25" customHeight="1" x14ac:dyDescent="0.25">
      <c r="D19" s="34">
        <v>44577</v>
      </c>
      <c r="E19" s="24">
        <v>11539</v>
      </c>
      <c r="F19" s="24">
        <v>1065</v>
      </c>
      <c r="G19" s="24">
        <f t="shared" si="0"/>
        <v>12604</v>
      </c>
      <c r="H19" s="25">
        <f t="shared" si="1"/>
        <v>1</v>
      </c>
    </row>
    <row r="20" spans="4:8" s="32" customFormat="1" ht="11.25" customHeight="1" x14ac:dyDescent="0.25">
      <c r="D20" s="34">
        <v>44578</v>
      </c>
      <c r="E20" s="24">
        <v>11539</v>
      </c>
      <c r="F20" s="24">
        <v>1065</v>
      </c>
      <c r="G20" s="24">
        <f t="shared" si="0"/>
        <v>12604</v>
      </c>
      <c r="H20" s="25">
        <f t="shared" si="1"/>
        <v>0</v>
      </c>
    </row>
    <row r="21" spans="4:8" s="32" customFormat="1" ht="11.25" customHeight="1" x14ac:dyDescent="0.25">
      <c r="D21" s="34">
        <v>44579</v>
      </c>
      <c r="E21" s="24">
        <v>11554</v>
      </c>
      <c r="F21" s="24">
        <v>1065</v>
      </c>
      <c r="G21" s="24">
        <f t="shared" si="0"/>
        <v>12619</v>
      </c>
      <c r="H21" s="25">
        <f t="shared" si="1"/>
        <v>15</v>
      </c>
    </row>
    <row r="22" spans="4:8" s="32" customFormat="1" ht="11.25" customHeight="1" x14ac:dyDescent="0.25">
      <c r="D22" s="34">
        <v>44580</v>
      </c>
      <c r="E22" s="24">
        <v>11556</v>
      </c>
      <c r="F22" s="24">
        <v>1065</v>
      </c>
      <c r="G22" s="24">
        <f t="shared" si="0"/>
        <v>12621</v>
      </c>
      <c r="H22" s="25">
        <f t="shared" si="1"/>
        <v>2</v>
      </c>
    </row>
    <row r="23" spans="4:8" s="32" customFormat="1" ht="11.25" customHeight="1" x14ac:dyDescent="0.25">
      <c r="D23" s="34">
        <v>44581</v>
      </c>
      <c r="E23" s="24">
        <v>11557</v>
      </c>
      <c r="F23" s="24">
        <v>1065</v>
      </c>
      <c r="G23" s="24">
        <f t="shared" si="0"/>
        <v>12622</v>
      </c>
      <c r="H23" s="25">
        <f t="shared" si="1"/>
        <v>1</v>
      </c>
    </row>
    <row r="24" spans="4:8" s="32" customFormat="1" ht="11.25" customHeight="1" x14ac:dyDescent="0.25">
      <c r="D24" s="34">
        <v>44582</v>
      </c>
      <c r="E24" s="24">
        <v>11557</v>
      </c>
      <c r="F24" s="24">
        <v>1065</v>
      </c>
      <c r="G24" s="24">
        <f t="shared" si="0"/>
        <v>12622</v>
      </c>
      <c r="H24" s="25">
        <f t="shared" si="1"/>
        <v>0</v>
      </c>
    </row>
    <row r="25" spans="4:8" s="32" customFormat="1" ht="11.25" customHeight="1" x14ac:dyDescent="0.25">
      <c r="D25" s="34">
        <v>44583</v>
      </c>
      <c r="E25" s="24">
        <v>11557</v>
      </c>
      <c r="F25" s="24">
        <v>1065</v>
      </c>
      <c r="G25" s="24">
        <f t="shared" si="0"/>
        <v>12622</v>
      </c>
      <c r="H25" s="25">
        <f t="shared" si="1"/>
        <v>0</v>
      </c>
    </row>
    <row r="26" spans="4:8" s="32" customFormat="1" ht="11.25" customHeight="1" x14ac:dyDescent="0.25">
      <c r="D26" s="34">
        <v>44584</v>
      </c>
      <c r="E26" s="24">
        <v>11569</v>
      </c>
      <c r="F26" s="24">
        <v>1065</v>
      </c>
      <c r="G26" s="24">
        <f t="shared" si="0"/>
        <v>12634</v>
      </c>
      <c r="H26" s="25">
        <f t="shared" si="1"/>
        <v>12</v>
      </c>
    </row>
    <row r="27" spans="4:8" s="32" customFormat="1" ht="11.25" customHeight="1" x14ac:dyDescent="0.25">
      <c r="D27" s="34">
        <v>44585</v>
      </c>
      <c r="E27" s="24">
        <v>11591</v>
      </c>
      <c r="F27" s="24">
        <v>1065</v>
      </c>
      <c r="G27" s="24">
        <f t="shared" si="0"/>
        <v>12656</v>
      </c>
      <c r="H27" s="25">
        <f t="shared" si="1"/>
        <v>22</v>
      </c>
    </row>
    <row r="28" spans="4:8" s="32" customFormat="1" ht="11.25" customHeight="1" x14ac:dyDescent="0.25">
      <c r="D28" s="34">
        <v>44586</v>
      </c>
      <c r="E28" s="24">
        <v>11591</v>
      </c>
      <c r="F28" s="24">
        <v>1065</v>
      </c>
      <c r="G28" s="24">
        <f t="shared" si="0"/>
        <v>12656</v>
      </c>
      <c r="H28" s="25">
        <f t="shared" si="1"/>
        <v>0</v>
      </c>
    </row>
    <row r="29" spans="4:8" s="32" customFormat="1" ht="11.25" customHeight="1" x14ac:dyDescent="0.25">
      <c r="D29" s="34">
        <v>44587</v>
      </c>
      <c r="E29" s="24">
        <v>11591</v>
      </c>
      <c r="F29" s="24">
        <v>1065</v>
      </c>
      <c r="G29" s="24">
        <f t="shared" si="0"/>
        <v>12656</v>
      </c>
      <c r="H29" s="25">
        <f t="shared" si="1"/>
        <v>0</v>
      </c>
    </row>
    <row r="30" spans="4:8" s="32" customFormat="1" ht="11.25" customHeight="1" x14ac:dyDescent="0.25">
      <c r="D30" s="34">
        <v>44588</v>
      </c>
      <c r="E30" s="24">
        <v>11598</v>
      </c>
      <c r="F30" s="24">
        <v>1065</v>
      </c>
      <c r="G30" s="24">
        <f t="shared" si="0"/>
        <v>12663</v>
      </c>
      <c r="H30" s="25">
        <f t="shared" si="1"/>
        <v>7</v>
      </c>
    </row>
    <row r="31" spans="4:8" s="32" customFormat="1" ht="11.25" customHeight="1" x14ac:dyDescent="0.25">
      <c r="D31" s="34">
        <v>44589</v>
      </c>
      <c r="E31" s="24">
        <v>11598</v>
      </c>
      <c r="F31" s="24">
        <v>1065</v>
      </c>
      <c r="G31" s="24">
        <f t="shared" si="0"/>
        <v>12663</v>
      </c>
      <c r="H31" s="25">
        <f t="shared" si="1"/>
        <v>0</v>
      </c>
    </row>
    <row r="32" spans="4:8" s="32" customFormat="1" ht="11.25" customHeight="1" x14ac:dyDescent="0.25">
      <c r="D32" s="34">
        <v>44590</v>
      </c>
      <c r="E32" s="24">
        <v>11599</v>
      </c>
      <c r="F32" s="24">
        <v>1065</v>
      </c>
      <c r="G32" s="24">
        <f t="shared" si="0"/>
        <v>12664</v>
      </c>
      <c r="H32" s="25">
        <f t="shared" si="1"/>
        <v>1</v>
      </c>
    </row>
    <row r="33" spans="2:8" s="32" customFormat="1" ht="11.25" customHeight="1" x14ac:dyDescent="0.25">
      <c r="B33" s="33"/>
      <c r="C33" s="33"/>
      <c r="D33" s="34">
        <v>44591</v>
      </c>
      <c r="E33" s="24">
        <v>11614</v>
      </c>
      <c r="F33" s="24">
        <v>1065</v>
      </c>
      <c r="G33" s="24">
        <f t="shared" si="0"/>
        <v>12679</v>
      </c>
      <c r="H33" s="25">
        <f t="shared" si="1"/>
        <v>15</v>
      </c>
    </row>
    <row r="34" spans="2:8" s="32" customFormat="1" ht="11.25" customHeight="1" x14ac:dyDescent="0.25">
      <c r="B34" s="33"/>
      <c r="C34" s="33"/>
      <c r="D34" s="34">
        <v>44592</v>
      </c>
      <c r="E34" s="24">
        <v>11614</v>
      </c>
      <c r="F34" s="24">
        <v>1065</v>
      </c>
      <c r="G34" s="24">
        <f t="shared" si="0"/>
        <v>12679</v>
      </c>
      <c r="H34" s="25">
        <f t="shared" si="1"/>
        <v>0</v>
      </c>
    </row>
    <row r="35" spans="2:8" s="32" customFormat="1" ht="11.25" customHeight="1" x14ac:dyDescent="0.25">
      <c r="D35" s="36" t="s">
        <v>28</v>
      </c>
      <c r="E35" s="43"/>
      <c r="F35" s="43"/>
      <c r="G35" s="44"/>
      <c r="H35" s="38">
        <v>0</v>
      </c>
    </row>
    <row r="36" spans="2:8" x14ac:dyDescent="0.25">
      <c r="H36" s="39"/>
    </row>
    <row r="37" spans="2:8" x14ac:dyDescent="0.25">
      <c r="D37" s="40"/>
    </row>
    <row r="39" spans="2:8" x14ac:dyDescent="0.25">
      <c r="D39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workbookViewId="0">
      <selection activeCell="F31" sqref="F31:F3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71" t="s">
        <v>36</v>
      </c>
      <c r="E1" s="71"/>
      <c r="F1" s="71"/>
      <c r="G1" s="71"/>
      <c r="H1" s="71"/>
      <c r="I1" s="71"/>
      <c r="J1" s="71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44562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I4-[2]Dec.2021!$I$34</f>
        <v>0</v>
      </c>
    </row>
    <row r="5" spans="2:10" s="32" customFormat="1" ht="11.25" customHeight="1" x14ac:dyDescent="0.25">
      <c r="D5" s="34">
        <v>44563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</row>
    <row r="6" spans="2:10" s="32" customFormat="1" ht="11.25" customHeight="1" x14ac:dyDescent="0.25">
      <c r="D6" s="34">
        <v>44564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</row>
    <row r="7" spans="2:10" s="32" customFormat="1" ht="11.25" customHeight="1" x14ac:dyDescent="0.25">
      <c r="D7" s="34">
        <v>44565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44566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44567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44568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44569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44570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44571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</row>
    <row r="14" spans="2:10" s="32" customFormat="1" ht="11.25" customHeight="1" x14ac:dyDescent="0.25">
      <c r="D14" s="34">
        <v>44572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</row>
    <row r="15" spans="2:10" s="32" customFormat="1" ht="11.25" customHeight="1" x14ac:dyDescent="0.25">
      <c r="D15" s="34">
        <v>44573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</row>
    <row r="16" spans="2:10" s="32" customFormat="1" ht="11.25" customHeight="1" x14ac:dyDescent="0.25">
      <c r="D16" s="34">
        <v>44574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</row>
    <row r="17" spans="4:10" s="32" customFormat="1" ht="11.25" customHeight="1" x14ac:dyDescent="0.25">
      <c r="D17" s="34">
        <v>44575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</row>
    <row r="18" spans="4:10" s="32" customFormat="1" ht="11.25" customHeight="1" x14ac:dyDescent="0.25">
      <c r="D18" s="34">
        <v>44576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</row>
    <row r="19" spans="4:10" s="32" customFormat="1" ht="11.25" customHeight="1" x14ac:dyDescent="0.25">
      <c r="D19" s="34">
        <v>44577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</row>
    <row r="20" spans="4:10" s="32" customFormat="1" ht="11.25" customHeight="1" x14ac:dyDescent="0.25">
      <c r="D20" s="34">
        <v>44578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</row>
    <row r="21" spans="4:10" s="32" customFormat="1" ht="11.25" customHeight="1" x14ac:dyDescent="0.25">
      <c r="D21" s="34">
        <v>44579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</row>
    <row r="22" spans="4:10" s="32" customFormat="1" ht="11.25" customHeight="1" x14ac:dyDescent="0.25">
      <c r="D22" s="34">
        <v>44580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</row>
    <row r="23" spans="4:10" s="32" customFormat="1" ht="11.25" customHeight="1" x14ac:dyDescent="0.25">
      <c r="D23" s="34">
        <v>44581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</row>
    <row r="24" spans="4:10" s="32" customFormat="1" ht="11.25" customHeight="1" x14ac:dyDescent="0.25">
      <c r="D24" s="34">
        <v>44582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</row>
    <row r="25" spans="4:10" s="32" customFormat="1" ht="11.25" customHeight="1" x14ac:dyDescent="0.25">
      <c r="D25" s="34">
        <v>44583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</row>
    <row r="26" spans="4:10" s="32" customFormat="1" ht="11.25" customHeight="1" x14ac:dyDescent="0.25">
      <c r="D26" s="34">
        <v>44584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</row>
    <row r="27" spans="4:10" s="32" customFormat="1" ht="11.25" customHeight="1" x14ac:dyDescent="0.25">
      <c r="D27" s="34">
        <v>44585</v>
      </c>
      <c r="E27" s="24">
        <v>760788</v>
      </c>
      <c r="F27" s="24">
        <v>172142</v>
      </c>
      <c r="G27" s="24">
        <f t="shared" si="0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</row>
    <row r="28" spans="4:10" s="32" customFormat="1" ht="11.25" customHeight="1" x14ac:dyDescent="0.25">
      <c r="D28" s="34">
        <v>44586</v>
      </c>
      <c r="E28" s="24">
        <v>760788</v>
      </c>
      <c r="F28" s="24">
        <v>172142</v>
      </c>
      <c r="G28" s="24">
        <f t="shared" si="0"/>
        <v>932930</v>
      </c>
      <c r="H28" s="18">
        <v>1.2611239999999999</v>
      </c>
      <c r="I28" s="24">
        <f t="shared" si="1"/>
        <v>1176540.4133199998</v>
      </c>
      <c r="J28" s="25">
        <f t="shared" si="2"/>
        <v>0</v>
      </c>
    </row>
    <row r="29" spans="4:10" s="32" customFormat="1" ht="11.25" customHeight="1" x14ac:dyDescent="0.25">
      <c r="D29" s="34">
        <v>44587</v>
      </c>
      <c r="E29" s="24">
        <v>760788</v>
      </c>
      <c r="F29" s="24">
        <v>172142</v>
      </c>
      <c r="G29" s="24">
        <f t="shared" si="0"/>
        <v>932930</v>
      </c>
      <c r="H29" s="18">
        <v>1.2611239999999999</v>
      </c>
      <c r="I29" s="24">
        <f t="shared" si="1"/>
        <v>1176540.4133199998</v>
      </c>
      <c r="J29" s="25">
        <f t="shared" si="2"/>
        <v>0</v>
      </c>
    </row>
    <row r="30" spans="4:10" s="32" customFormat="1" ht="11.25" customHeight="1" x14ac:dyDescent="0.25">
      <c r="D30" s="34">
        <v>44588</v>
      </c>
      <c r="E30" s="24">
        <v>760788</v>
      </c>
      <c r="F30" s="24">
        <v>172142</v>
      </c>
      <c r="G30" s="24">
        <f t="shared" si="0"/>
        <v>932930</v>
      </c>
      <c r="H30" s="18">
        <v>1.2611239999999999</v>
      </c>
      <c r="I30" s="24">
        <f t="shared" si="1"/>
        <v>1176540.4133199998</v>
      </c>
      <c r="J30" s="25">
        <f t="shared" si="2"/>
        <v>0</v>
      </c>
    </row>
    <row r="31" spans="4:10" s="32" customFormat="1" ht="11.25" customHeight="1" x14ac:dyDescent="0.25">
      <c r="D31" s="34">
        <v>44589</v>
      </c>
      <c r="E31" s="24">
        <v>760788</v>
      </c>
      <c r="F31" s="24">
        <v>172142</v>
      </c>
      <c r="G31" s="24">
        <f t="shared" si="0"/>
        <v>932930</v>
      </c>
      <c r="H31" s="18">
        <v>1.2611239999999999</v>
      </c>
      <c r="I31" s="24">
        <f t="shared" si="1"/>
        <v>1176540.4133199998</v>
      </c>
      <c r="J31" s="25">
        <f t="shared" si="2"/>
        <v>0</v>
      </c>
    </row>
    <row r="32" spans="4:10" s="32" customFormat="1" ht="11.25" customHeight="1" x14ac:dyDescent="0.25">
      <c r="D32" s="34">
        <v>44590</v>
      </c>
      <c r="E32" s="24">
        <v>760788</v>
      </c>
      <c r="F32" s="24">
        <v>172142</v>
      </c>
      <c r="G32" s="24">
        <f t="shared" si="0"/>
        <v>932930</v>
      </c>
      <c r="H32" s="18">
        <v>1.2611239999999999</v>
      </c>
      <c r="I32" s="24">
        <f t="shared" si="1"/>
        <v>1176540.4133199998</v>
      </c>
      <c r="J32" s="25">
        <f t="shared" si="2"/>
        <v>0</v>
      </c>
    </row>
    <row r="33" spans="4:10" s="32" customFormat="1" ht="11.25" customHeight="1" x14ac:dyDescent="0.25">
      <c r="D33" s="34">
        <v>44591</v>
      </c>
      <c r="E33" s="24">
        <v>760788</v>
      </c>
      <c r="F33" s="24">
        <v>172142</v>
      </c>
      <c r="G33" s="24">
        <f t="shared" si="0"/>
        <v>932930</v>
      </c>
      <c r="H33" s="18">
        <v>1.2611239999999999</v>
      </c>
      <c r="I33" s="24">
        <f t="shared" si="1"/>
        <v>1176540.4133199998</v>
      </c>
      <c r="J33" s="25">
        <f t="shared" si="2"/>
        <v>0</v>
      </c>
    </row>
    <row r="34" spans="4:10" s="32" customFormat="1" ht="11.25" customHeight="1" x14ac:dyDescent="0.25">
      <c r="D34" s="34">
        <v>44592</v>
      </c>
      <c r="E34" s="24">
        <v>760788</v>
      </c>
      <c r="F34" s="24">
        <v>172142</v>
      </c>
      <c r="G34" s="24">
        <f t="shared" si="0"/>
        <v>932930</v>
      </c>
      <c r="H34" s="18">
        <v>1.2611239999999999</v>
      </c>
      <c r="I34" s="24">
        <f t="shared" si="1"/>
        <v>1176540.4133199998</v>
      </c>
      <c r="J34" s="25">
        <f t="shared" si="2"/>
        <v>0</v>
      </c>
    </row>
    <row r="35" spans="4:10" s="32" customFormat="1" ht="11.25" customHeight="1" x14ac:dyDescent="0.25">
      <c r="D35" s="36" t="s">
        <v>28</v>
      </c>
      <c r="E35" s="43"/>
      <c r="F35" s="43"/>
      <c r="G35" s="43"/>
      <c r="H35" s="43"/>
      <c r="I35" s="44"/>
      <c r="J35" s="38">
        <v>0</v>
      </c>
    </row>
    <row r="36" spans="4:10" ht="12" customHeight="1" x14ac:dyDescent="0.25"/>
    <row r="37" spans="4:10" ht="12.75" customHeight="1" x14ac:dyDescent="0.25"/>
    <row r="38" spans="4:10" ht="12.75" customHeight="1" x14ac:dyDescent="0.25">
      <c r="D38" s="40"/>
    </row>
    <row r="39" spans="4:10" ht="12.75" customHeight="1" x14ac:dyDescent="0.25">
      <c r="D39" s="41"/>
    </row>
    <row r="40" spans="4:10" ht="12.75" customHeight="1" x14ac:dyDescent="0.25"/>
    <row r="41" spans="4:10" ht="12.75" customHeight="1" x14ac:dyDescent="0.25"/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4"/>
  <sheetViews>
    <sheetView topLeftCell="A4" workbookViewId="0">
      <selection activeCell="F35" sqref="F35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71" t="s">
        <v>37</v>
      </c>
      <c r="F1" s="71"/>
      <c r="G1" s="71"/>
      <c r="H1" s="71"/>
      <c r="I1" s="71"/>
      <c r="J1" s="17"/>
      <c r="K1" s="17"/>
      <c r="L1" s="71"/>
      <c r="M1" s="71"/>
      <c r="N1" s="71"/>
      <c r="O1" s="71"/>
      <c r="P1" s="71"/>
      <c r="Q1" s="71"/>
      <c r="R1" s="71"/>
      <c r="S1" s="71"/>
      <c r="T1" s="17"/>
      <c r="U1" s="71"/>
      <c r="V1" s="71"/>
      <c r="W1" s="71"/>
      <c r="X1" s="71"/>
      <c r="Y1" s="71"/>
      <c r="Z1" s="71"/>
      <c r="AA1" s="71"/>
      <c r="AB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72"/>
      <c r="AK3" s="73"/>
      <c r="AL3" s="72"/>
      <c r="AM3" s="73"/>
      <c r="AN3" s="72"/>
      <c r="AO3" s="73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44562</v>
      </c>
      <c r="F4" s="68">
        <v>4780.3329999999996</v>
      </c>
      <c r="G4" s="23">
        <v>2760</v>
      </c>
      <c r="H4" s="24">
        <f>G4*F4</f>
        <v>13193719.079999998</v>
      </c>
      <c r="I4" s="25">
        <f>H4-'[3]Aralık 2021   '!$H$34</f>
        <v>1393.7999999970198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44563</v>
      </c>
      <c r="F5" s="68">
        <v>4780.7650000000003</v>
      </c>
      <c r="G5" s="23">
        <v>2760</v>
      </c>
      <c r="H5" s="24">
        <f t="shared" ref="H5:H34" si="0">G5*F5</f>
        <v>13194911.4</v>
      </c>
      <c r="I5" s="25">
        <f>+(H5-H4)</f>
        <v>1192.3200000021607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44564</v>
      </c>
      <c r="F6" s="68">
        <v>4781.1469999999999</v>
      </c>
      <c r="G6" s="23">
        <v>2760</v>
      </c>
      <c r="H6" s="24">
        <f t="shared" si="0"/>
        <v>13195965.720000001</v>
      </c>
      <c r="I6" s="25">
        <f t="shared" ref="I6:I34" si="1">+(H6-H5)</f>
        <v>1054.320000000298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44565</v>
      </c>
      <c r="F7" s="68">
        <v>4781.7269999999999</v>
      </c>
      <c r="G7" s="23">
        <v>2760</v>
      </c>
      <c r="H7" s="24">
        <f t="shared" si="0"/>
        <v>13197566.52</v>
      </c>
      <c r="I7" s="25">
        <f t="shared" si="1"/>
        <v>1600.7999999988824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44566</v>
      </c>
      <c r="F8" s="68">
        <v>4782.1940000000004</v>
      </c>
      <c r="G8" s="23">
        <v>2760</v>
      </c>
      <c r="H8" s="24">
        <f t="shared" si="0"/>
        <v>13198855.440000001</v>
      </c>
      <c r="I8" s="25">
        <f t="shared" si="1"/>
        <v>1288.9200000017881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44567</v>
      </c>
      <c r="F9" s="68">
        <v>4782.76</v>
      </c>
      <c r="G9" s="23">
        <v>2760</v>
      </c>
      <c r="H9" s="24">
        <f t="shared" si="0"/>
        <v>13200417.600000001</v>
      </c>
      <c r="I9" s="25">
        <f t="shared" si="1"/>
        <v>1562.160000000149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44568</v>
      </c>
      <c r="F10" s="68">
        <v>4783.4719999999998</v>
      </c>
      <c r="G10" s="23">
        <v>2760</v>
      </c>
      <c r="H10" s="24">
        <f t="shared" si="0"/>
        <v>13202382.719999999</v>
      </c>
      <c r="I10" s="25">
        <f t="shared" si="1"/>
        <v>1965.1199999973178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44569</v>
      </c>
      <c r="F11" s="68">
        <v>4783.9650000000001</v>
      </c>
      <c r="G11" s="23">
        <v>2760</v>
      </c>
      <c r="H11" s="24">
        <f t="shared" si="0"/>
        <v>13203743.4</v>
      </c>
      <c r="I11" s="25">
        <f t="shared" si="1"/>
        <v>1360.6800000015646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44570</v>
      </c>
      <c r="F12" s="68">
        <v>4784.5360000000001</v>
      </c>
      <c r="G12" s="23">
        <v>2760</v>
      </c>
      <c r="H12" s="24">
        <f t="shared" si="0"/>
        <v>13205319.359999999</v>
      </c>
      <c r="I12" s="25">
        <f t="shared" si="1"/>
        <v>1575.9599999990314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44571</v>
      </c>
      <c r="F13" s="68">
        <v>4784.9589999999998</v>
      </c>
      <c r="G13" s="23">
        <v>2760</v>
      </c>
      <c r="H13" s="24">
        <f t="shared" si="0"/>
        <v>13206486.84</v>
      </c>
      <c r="I13" s="25">
        <f t="shared" si="1"/>
        <v>1167.480000000447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44572</v>
      </c>
      <c r="F14" s="68">
        <v>4785.4880000000003</v>
      </c>
      <c r="G14" s="23">
        <v>2760</v>
      </c>
      <c r="H14" s="24">
        <f t="shared" si="0"/>
        <v>13207946.880000001</v>
      </c>
      <c r="I14" s="25">
        <f t="shared" si="1"/>
        <v>1460.0400000009686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44573</v>
      </c>
      <c r="F15" s="68">
        <v>4786.0159999999996</v>
      </c>
      <c r="G15" s="23">
        <v>2760</v>
      </c>
      <c r="H15" s="24">
        <f t="shared" si="0"/>
        <v>13209404.159999998</v>
      </c>
      <c r="I15" s="25">
        <f t="shared" si="1"/>
        <v>1457.2799999974668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44574</v>
      </c>
      <c r="F16" s="68">
        <v>4786.5810000000001</v>
      </c>
      <c r="G16" s="23">
        <v>2760</v>
      </c>
      <c r="H16" s="24">
        <f t="shared" si="0"/>
        <v>13210963.560000001</v>
      </c>
      <c r="I16" s="25">
        <f t="shared" si="1"/>
        <v>1559.4000000022352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44575</v>
      </c>
      <c r="F17" s="68">
        <v>4787.2960000000003</v>
      </c>
      <c r="G17" s="23">
        <v>2760</v>
      </c>
      <c r="H17" s="24">
        <f t="shared" si="0"/>
        <v>13212936.960000001</v>
      </c>
      <c r="I17" s="25">
        <f t="shared" si="1"/>
        <v>1973.4000000003725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44576</v>
      </c>
      <c r="F18" s="68">
        <v>4787.9669999999996</v>
      </c>
      <c r="G18" s="23">
        <v>2760</v>
      </c>
      <c r="H18" s="24">
        <f t="shared" si="0"/>
        <v>13214788.92</v>
      </c>
      <c r="I18" s="25">
        <f t="shared" si="1"/>
        <v>1851.9599999990314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44577</v>
      </c>
      <c r="F19" s="68">
        <v>4788.6589999999997</v>
      </c>
      <c r="G19" s="23">
        <v>2760</v>
      </c>
      <c r="H19" s="24">
        <f t="shared" si="0"/>
        <v>13216698.84</v>
      </c>
      <c r="I19" s="25">
        <f t="shared" si="1"/>
        <v>1909.9199999999255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44578</v>
      </c>
      <c r="F20" s="68">
        <v>4789.2520000000004</v>
      </c>
      <c r="G20" s="23">
        <v>2760</v>
      </c>
      <c r="H20" s="24">
        <f t="shared" si="0"/>
        <v>13218335.520000001</v>
      </c>
      <c r="I20" s="25">
        <f t="shared" si="1"/>
        <v>1636.6800000015646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44579</v>
      </c>
      <c r="F21" s="68">
        <v>4789.9949999999999</v>
      </c>
      <c r="G21" s="23">
        <v>2760</v>
      </c>
      <c r="H21" s="24">
        <f t="shared" si="0"/>
        <v>13220386.199999999</v>
      </c>
      <c r="I21" s="25">
        <f t="shared" si="1"/>
        <v>2050.6799999978393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44580</v>
      </c>
      <c r="F22" s="68">
        <v>4790.76</v>
      </c>
      <c r="G22" s="23">
        <v>2760</v>
      </c>
      <c r="H22" s="24">
        <f t="shared" si="0"/>
        <v>13222497.600000001</v>
      </c>
      <c r="I22" s="25">
        <f t="shared" si="1"/>
        <v>2111.4000000022352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44581</v>
      </c>
      <c r="F23" s="68">
        <v>4791.5360000000001</v>
      </c>
      <c r="G23" s="23">
        <v>2760</v>
      </c>
      <c r="H23" s="24">
        <f t="shared" si="0"/>
        <v>13224639.359999999</v>
      </c>
      <c r="I23" s="25">
        <f t="shared" si="1"/>
        <v>2141.7599999979138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44582</v>
      </c>
      <c r="F24" s="68">
        <v>4792.29</v>
      </c>
      <c r="G24" s="23">
        <v>2760</v>
      </c>
      <c r="H24" s="24">
        <f t="shared" si="0"/>
        <v>13226720.4</v>
      </c>
      <c r="I24" s="25">
        <f t="shared" si="1"/>
        <v>2081.0400000009686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44583</v>
      </c>
      <c r="F25" s="68">
        <v>4793.0209999999997</v>
      </c>
      <c r="G25" s="23">
        <v>2760</v>
      </c>
      <c r="H25" s="24">
        <f t="shared" si="0"/>
        <v>13228737.959999999</v>
      </c>
      <c r="I25" s="25">
        <f t="shared" si="1"/>
        <v>2017.5599999986589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44584</v>
      </c>
      <c r="F26" s="68">
        <v>4793.7610000000004</v>
      </c>
      <c r="G26" s="23">
        <v>2760</v>
      </c>
      <c r="H26" s="24">
        <f t="shared" si="0"/>
        <v>13230780.360000001</v>
      </c>
      <c r="I26" s="25">
        <f t="shared" si="1"/>
        <v>2042.4000000022352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44585</v>
      </c>
      <c r="F27" s="68">
        <v>4794.4040000000005</v>
      </c>
      <c r="G27" s="23">
        <v>2760</v>
      </c>
      <c r="H27" s="24">
        <f t="shared" si="0"/>
        <v>13232555.040000001</v>
      </c>
      <c r="I27" s="25">
        <f t="shared" si="1"/>
        <v>1774.679999999702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44586</v>
      </c>
      <c r="F28" s="68">
        <v>4795.2690000000002</v>
      </c>
      <c r="G28" s="23">
        <v>2760</v>
      </c>
      <c r="H28" s="24">
        <f t="shared" si="0"/>
        <v>13234942.440000001</v>
      </c>
      <c r="I28" s="25">
        <f t="shared" si="1"/>
        <v>2387.4000000003725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44587</v>
      </c>
      <c r="F29" s="70">
        <v>4796.0780000000004</v>
      </c>
      <c r="G29" s="23">
        <v>2760</v>
      </c>
      <c r="H29" s="24">
        <f t="shared" si="0"/>
        <v>13237175.280000001</v>
      </c>
      <c r="I29" s="25">
        <f t="shared" si="1"/>
        <v>2232.839999999851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44588</v>
      </c>
      <c r="F30" s="68">
        <v>4796.8270000000002</v>
      </c>
      <c r="G30" s="23">
        <v>2760</v>
      </c>
      <c r="H30" s="24">
        <f t="shared" si="0"/>
        <v>13239242.520000001</v>
      </c>
      <c r="I30" s="25">
        <f t="shared" si="1"/>
        <v>2067.2400000002235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44589</v>
      </c>
      <c r="F31" s="68">
        <v>4797.6099999999997</v>
      </c>
      <c r="G31" s="23">
        <v>2760</v>
      </c>
      <c r="H31" s="24">
        <f t="shared" si="0"/>
        <v>13241403.6</v>
      </c>
      <c r="I31" s="25">
        <f t="shared" si="1"/>
        <v>2161.0799999982119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>
        <v>44590</v>
      </c>
      <c r="F32" s="68">
        <v>4798.3530000000001</v>
      </c>
      <c r="G32" s="23">
        <v>2760</v>
      </c>
      <c r="H32" s="24">
        <f t="shared" si="0"/>
        <v>13243454.279999999</v>
      </c>
      <c r="I32" s="25">
        <f t="shared" si="1"/>
        <v>2050.679999999702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>
        <v>44591</v>
      </c>
      <c r="F33" s="68">
        <v>4799.05</v>
      </c>
      <c r="G33" s="23">
        <v>2760</v>
      </c>
      <c r="H33" s="24">
        <f t="shared" si="0"/>
        <v>13245378</v>
      </c>
      <c r="I33" s="25">
        <f t="shared" si="1"/>
        <v>1923.7200000006706</v>
      </c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4">
        <v>44592</v>
      </c>
      <c r="F34" s="68">
        <v>4799.6350000000002</v>
      </c>
      <c r="G34" s="23">
        <v>2760</v>
      </c>
      <c r="H34" s="24">
        <f t="shared" si="0"/>
        <v>13246992.600000001</v>
      </c>
      <c r="I34" s="25">
        <f t="shared" si="1"/>
        <v>1614.6000000014901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 t="s">
        <v>28</v>
      </c>
      <c r="F35" s="37"/>
      <c r="G35" s="37"/>
      <c r="H35" s="29"/>
      <c r="I35" s="69">
        <v>-12616180.799999999</v>
      </c>
      <c r="J35" s="60"/>
      <c r="K35" s="61"/>
      <c r="L35" s="65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E36" s="17"/>
      <c r="F36" s="17"/>
      <c r="G36" s="17"/>
      <c r="H36" s="17"/>
      <c r="I36" s="39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32"/>
      <c r="U36" s="17"/>
      <c r="V36" s="17"/>
      <c r="W36" s="17"/>
      <c r="Z36" s="6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39"/>
      <c r="AS36" s="17"/>
    </row>
    <row r="37" spans="3:45" x14ac:dyDescent="0.25">
      <c r="D37" s="40" t="s">
        <v>33</v>
      </c>
      <c r="E37" s="40"/>
      <c r="F37" s="67"/>
      <c r="G37" s="31"/>
      <c r="H37" s="17"/>
      <c r="I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AD37" s="17"/>
      <c r="AE37" s="40"/>
      <c r="AF37" s="40"/>
      <c r="AG37" s="40"/>
      <c r="AH37" s="40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39"/>
    </row>
    <row r="38" spans="3:45" x14ac:dyDescent="0.25"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V38" s="17"/>
      <c r="W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4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41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41"/>
      <c r="F65" s="17"/>
      <c r="G65" s="17"/>
      <c r="H65" s="17"/>
      <c r="I65" s="17"/>
      <c r="J65" s="17"/>
      <c r="K65" s="17"/>
      <c r="L65" s="4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41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41"/>
      <c r="F67" s="17"/>
      <c r="G67" s="17"/>
      <c r="H67" s="17"/>
      <c r="I67" s="17"/>
      <c r="J67" s="17"/>
      <c r="K67" s="17"/>
      <c r="L67" s="4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41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2022-03-01T14:31:04Z</dcterms:modified>
</cp:coreProperties>
</file>