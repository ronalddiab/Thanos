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5460B6C7-88D4-4536-A298-7AED44690310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30" i="1"/>
  <c r="C29" i="1"/>
  <c r="C28" i="1"/>
  <c r="C27" i="1"/>
  <c r="C26" i="1"/>
  <c r="C25" i="1"/>
  <c r="C24" i="1"/>
  <c r="C22" i="1"/>
  <c r="C21" i="1"/>
  <c r="C20" i="1"/>
  <c r="C19" i="1"/>
  <c r="C18" i="1"/>
  <c r="C17" i="1"/>
  <c r="C14" i="1"/>
  <c r="C13" i="1"/>
  <c r="C12" i="1"/>
  <c r="C11" i="1"/>
  <c r="C10" i="1"/>
  <c r="C8" i="1"/>
  <c r="C7" i="1"/>
  <c r="C6" i="1"/>
  <c r="C5" i="1"/>
  <c r="C4" i="1"/>
  <c r="R33" i="1" l="1"/>
  <c r="L33" i="1"/>
  <c r="L27" i="1" l="1"/>
  <c r="D30" i="1"/>
  <c r="D31" i="1"/>
  <c r="AC32" i="1"/>
  <c r="E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N26" i="1" s="1"/>
  <c r="L28" i="1"/>
  <c r="L29" i="1"/>
  <c r="N28" i="1" s="1"/>
  <c r="L30" i="1"/>
  <c r="L31" i="1"/>
  <c r="N24" i="1" l="1"/>
  <c r="N14" i="1"/>
  <c r="N12" i="1"/>
  <c r="N23" i="1"/>
  <c r="N22" i="1"/>
  <c r="N21" i="1"/>
  <c r="N16" i="1"/>
  <c r="N11" i="1"/>
  <c r="N10" i="1"/>
  <c r="N6" i="1"/>
  <c r="N17" i="1"/>
  <c r="N5" i="1"/>
  <c r="N15" i="1"/>
  <c r="N3" i="1"/>
  <c r="N25" i="1"/>
  <c r="N13" i="1"/>
  <c r="N29" i="1"/>
  <c r="N30" i="1"/>
  <c r="N20" i="1"/>
  <c r="N18" i="1"/>
  <c r="N19" i="1"/>
  <c r="N9" i="1"/>
  <c r="N7" i="1"/>
  <c r="N8" i="1"/>
  <c r="N4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5" i="1" l="1"/>
  <c r="T16" i="1"/>
  <c r="T9" i="1"/>
  <c r="T10" i="1"/>
  <c r="T11" i="1"/>
  <c r="T12" i="1"/>
  <c r="T24" i="1"/>
  <c r="T17" i="1"/>
  <c r="T18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8" i="1"/>
  <c r="T19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N32" i="1" l="1"/>
  <c r="N31" i="1"/>
  <c r="U31" i="1" s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<sst xmlns="http://schemas.openxmlformats.org/spreadsheetml/2006/main" count="79" uniqueCount="39">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</sst>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dashed">
        <color indexed="64"/>
      </bottom>
      <diagonal/>
    </border>
    <border>
      <left style="double">
        <color auto="1"/>
      </left>
      <right style="dotted">
        <color auto="1"/>
      </right>
      <top/>
      <bottom style="dashed">
        <color indexed="64"/>
      </bottom>
      <diagonal/>
    </border>
    <border>
      <left style="dotted">
        <color auto="1"/>
      </left>
      <right style="dotted">
        <color auto="1"/>
      </right>
      <top/>
      <bottom style="dashed">
        <color indexed="64"/>
      </bottom>
      <diagonal/>
    </border>
    <border>
      <left style="thin">
        <color auto="1"/>
      </left>
      <right style="dotted">
        <color auto="1"/>
      </right>
      <top/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/>
      <bottom style="dotted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indexed="64"/>
      </bottom>
      <diagonal/>
    </border>
    <border>
      <left style="dotted">
        <color auto="1"/>
      </left>
      <right style="thin">
        <color auto="1"/>
      </right>
      <top/>
      <bottom style="dotted">
        <color indexed="64"/>
      </bottom>
      <diagonal/>
    </border>
    <border>
      <left style="thin">
        <color auto="1"/>
      </left>
      <right style="dotted">
        <color auto="1"/>
      </right>
      <top/>
      <bottom style="dotted">
        <color indexed="64"/>
      </bottom>
      <diagonal/>
    </border>
    <border>
      <left/>
      <right style="thin">
        <color auto="1"/>
      </right>
      <top/>
      <bottom style="dotted">
        <color indexed="64"/>
      </bottom>
      <diagonal/>
    </border>
    <border>
      <left style="dotted">
        <color auto="1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21" fillId="5" borderId="6" xfId="0" applyNumberFormat="1" applyFont="1" applyFill="1" applyBorder="1" applyAlignment="1">
      <alignment horizontal="center" vertical="center" wrapText="1"/>
    </xf>
    <xf numFmtId="165" fontId="21" fillId="5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" xfId="0" applyNumberFormat="1" applyFont="1" applyFill="1" applyBorder="1" applyAlignment="1">
      <alignment horizontal="center" vertical="center" wrapText="1"/>
    </xf>
    <xf numFmtId="166" fontId="24" fillId="9" borderId="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3" fontId="2" fillId="2" borderId="14" xfId="0" applyNumberFormat="1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 vertical="center"/>
    </xf>
    <xf numFmtId="1" fontId="4" fillId="3" borderId="22" xfId="0" applyNumberFormat="1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3" fontId="2" fillId="2" borderId="26" xfId="0" applyNumberFormat="1" applyFont="1" applyFill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1" fontId="4" fillId="3" borderId="25" xfId="0" applyNumberFormat="1" applyFont="1" applyFill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3" fontId="2" fillId="2" borderId="32" xfId="0" applyNumberFormat="1" applyFont="1" applyFill="1" applyBorder="1" applyAlignment="1">
      <alignment horizontal="center" vertical="center" wrapText="1"/>
    </xf>
    <xf numFmtId="9" fontId="4" fillId="0" borderId="33" xfId="0" applyNumberFormat="1" applyFont="1" applyBorder="1" applyAlignment="1">
      <alignment horizontal="center" vertical="center"/>
    </xf>
    <xf numFmtId="9" fontId="4" fillId="0" borderId="31" xfId="0" applyNumberFormat="1" applyFont="1" applyBorder="1" applyAlignment="1">
      <alignment horizontal="center" vertical="center"/>
    </xf>
    <xf numFmtId="1" fontId="4" fillId="3" borderId="31" xfId="0" applyNumberFormat="1" applyFont="1" applyFill="1" applyBorder="1" applyAlignment="1">
      <alignment horizontal="center" vertical="center"/>
    </xf>
    <xf numFmtId="1" fontId="4" fillId="0" borderId="31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3" fontId="2" fillId="2" borderId="38" xfId="0" applyNumberFormat="1" applyFont="1" applyFill="1" applyBorder="1" applyAlignment="1">
      <alignment horizontal="center"/>
    </xf>
    <xf numFmtId="1" fontId="5" fillId="0" borderId="39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3" fontId="2" fillId="2" borderId="38" xfId="0" applyNumberFormat="1" applyFont="1" applyFill="1" applyBorder="1" applyAlignment="1">
      <alignment horizontal="center" vertical="center" wrapText="1"/>
    </xf>
    <xf numFmtId="9" fontId="4" fillId="0" borderId="39" xfId="0" applyNumberFormat="1" applyFont="1" applyBorder="1" applyAlignment="1">
      <alignment horizontal="center" vertical="center"/>
    </xf>
    <xf numFmtId="9" fontId="4" fillId="0" borderId="37" xfId="0" applyNumberFormat="1" applyFont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/>
    </xf>
    <xf numFmtId="3" fontId="2" fillId="2" borderId="40" xfId="0" applyNumberFormat="1" applyFont="1" applyFill="1" applyBorder="1" applyAlignment="1">
      <alignment horizontal="center" vertical="center" wrapText="1"/>
    </xf>
    <xf numFmtId="1" fontId="3" fillId="0" borderId="39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6" fillId="0" borderId="39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" fillId="2" borderId="26" xfId="0" applyNumberFormat="1" applyFont="1" applyFill="1" applyBorder="1" applyAlignment="1">
      <alignment horizontal="center"/>
    </xf>
    <xf numFmtId="164" fontId="0" fillId="3" borderId="43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5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9" fontId="4" fillId="0" borderId="47" xfId="0" applyNumberFormat="1" applyFont="1" applyBorder="1" applyAlignment="1">
      <alignment horizontal="center" vertical="center"/>
    </xf>
    <xf numFmtId="9" fontId="4" fillId="0" borderId="45" xfId="0" applyNumberFormat="1" applyFont="1" applyBorder="1" applyAlignment="1">
      <alignment horizontal="center" vertical="center"/>
    </xf>
    <xf numFmtId="1" fontId="4" fillId="3" borderId="45" xfId="0" applyNumberFormat="1" applyFont="1" applyFill="1" applyBorder="1" applyAlignment="1">
      <alignment horizontal="center" vertical="center"/>
    </xf>
    <xf numFmtId="1" fontId="4" fillId="0" borderId="45" xfId="0" applyNumberFormat="1" applyFont="1" applyBorder="1" applyAlignment="1">
      <alignment horizontal="center"/>
    </xf>
    <xf numFmtId="3" fontId="2" fillId="2" borderId="48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4" fontId="0" fillId="3" borderId="50" xfId="0" applyNumberFormat="1" applyFill="1" applyBorder="1" applyAlignment="1">
      <alignment horizontal="right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3" fontId="2" fillId="2" borderId="53" xfId="0" applyNumberFormat="1" applyFont="1" applyFill="1" applyBorder="1" applyAlignment="1">
      <alignment horizontal="center" vertical="center" wrapText="1"/>
    </xf>
    <xf numFmtId="1" fontId="5" fillId="0" borderId="54" xfId="0" applyNumberFormat="1" applyFont="1" applyBorder="1" applyAlignment="1">
      <alignment horizontal="center"/>
    </xf>
    <xf numFmtId="1" fontId="5" fillId="0" borderId="52" xfId="0" applyNumberFormat="1" applyFont="1" applyBorder="1" applyAlignment="1">
      <alignment horizontal="center"/>
    </xf>
    <xf numFmtId="9" fontId="4" fillId="0" borderId="54" xfId="0" applyNumberFormat="1" applyFont="1" applyBorder="1" applyAlignment="1">
      <alignment horizontal="center" vertical="center"/>
    </xf>
    <xf numFmtId="9" fontId="4" fillId="0" borderId="52" xfId="0" applyNumberFormat="1" applyFont="1" applyBorder="1" applyAlignment="1">
      <alignment horizontal="center" vertical="center"/>
    </xf>
    <xf numFmtId="1" fontId="4" fillId="3" borderId="52" xfId="0" applyNumberFormat="1" applyFont="1" applyFill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/>
    </xf>
    <xf numFmtId="3" fontId="2" fillId="2" borderId="55" xfId="0" applyNumberFormat="1" applyFont="1" applyFill="1" applyBorder="1" applyAlignment="1">
      <alignment horizontal="center" vertical="center" wrapText="1"/>
    </xf>
    <xf numFmtId="1" fontId="3" fillId="0" borderId="54" xfId="0" applyNumberFormat="1" applyFont="1" applyBorder="1" applyAlignment="1">
      <alignment horizontal="center" vertical="center"/>
    </xf>
    <xf numFmtId="1" fontId="3" fillId="0" borderId="52" xfId="0" applyNumberFormat="1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64" fontId="0" fillId="3" borderId="57" xfId="0" applyNumberFormat="1" applyFill="1" applyBorder="1" applyAlignment="1">
      <alignment horizontal="right" vertical="center"/>
    </xf>
    <xf numFmtId="164" fontId="0" fillId="3" borderId="58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F17" sqref="F17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30" customWidth="1"/>
    <col min="6" max="6" width="12.5703125" style="42" customWidth="1"/>
    <col min="7" max="7" width="8.85546875" style="32"/>
    <col min="8" max="8" width="8.85546875" style="38"/>
    <col min="9" max="9" width="8.85546875" style="34" customWidth="1"/>
    <col min="10" max="10" width="8.85546875" style="47"/>
    <col min="11" max="12" width="8.85546875" style="40"/>
    <col min="13" max="14" width="12.28515625" style="50" bestFit="1" customWidth="1"/>
    <col min="15" max="15" width="8.85546875" style="41"/>
    <col min="16" max="16" width="11.5703125" style="41" customWidth="1"/>
    <col min="17" max="16384" width="8.85546875" style="4"/>
  </cols>
  <sheetData>
    <row r="1" spans="1:16" ht="75.75" thickBot="1" x14ac:dyDescent="0.25">
      <c r="A1" s="21" t="s">
        <v>22</v>
      </c>
      <c r="B1" s="21" t="s">
        <v>23</v>
      </c>
      <c r="C1" s="21" t="s">
        <v>24</v>
      </c>
      <c r="D1" s="21" t="s">
        <v>25</v>
      </c>
      <c r="E1" s="22" t="s">
        <v>26</v>
      </c>
      <c r="F1" s="23" t="s">
        <v>27</v>
      </c>
      <c r="G1" s="24" t="s">
        <v>28</v>
      </c>
      <c r="H1" s="25" t="s">
        <v>38</v>
      </c>
      <c r="I1" s="43" t="s">
        <v>36</v>
      </c>
      <c r="J1" s="44" t="s">
        <v>37</v>
      </c>
      <c r="K1" s="26" t="s">
        <v>29</v>
      </c>
      <c r="L1" s="26" t="s">
        <v>30</v>
      </c>
      <c r="M1" s="27" t="s">
        <v>31</v>
      </c>
      <c r="N1" s="27" t="s">
        <v>32</v>
      </c>
      <c r="O1" s="28" t="s">
        <v>0</v>
      </c>
      <c r="P1" s="28" t="s">
        <v>33</v>
      </c>
    </row>
    <row r="2" spans="1:16" ht="15.75" thickTop="1" x14ac:dyDescent="0.25">
      <c r="A2" s="29" t="s">
        <v>34</v>
      </c>
      <c r="B2" s="4">
        <v>1</v>
      </c>
      <c r="C2" s="4">
        <v>12</v>
      </c>
      <c r="D2" s="3">
        <v>2025</v>
      </c>
      <c r="E2" s="30">
        <f>Anassa!D3-Anassa!D2</f>
        <v>2130</v>
      </c>
      <c r="F2" s="31">
        <f>0.2563</f>
        <v>0.25629999999999997</v>
      </c>
      <c r="G2" s="32">
        <f>Anassa!N2</f>
        <v>0</v>
      </c>
      <c r="H2" s="33">
        <v>0.626</v>
      </c>
      <c r="I2" s="45">
        <f>Anassa!AC2*5.04</f>
        <v>0</v>
      </c>
      <c r="J2" s="46">
        <v>8.2900000000000001E-2</v>
      </c>
      <c r="K2" s="34">
        <f>Anassa!Z2</f>
        <v>103</v>
      </c>
      <c r="L2" s="35">
        <v>1.25</v>
      </c>
      <c r="M2" s="48">
        <f>Anassa!H2</f>
        <v>0</v>
      </c>
      <c r="N2" s="49">
        <v>0.88</v>
      </c>
      <c r="O2" s="36">
        <f>Anassa!AD2</f>
        <v>0</v>
      </c>
      <c r="P2" s="36">
        <f>Anassa!AE2</f>
        <v>0</v>
      </c>
    </row>
    <row r="3" spans="1:16" ht="15" x14ac:dyDescent="0.25">
      <c r="A3" s="29" t="s">
        <v>34</v>
      </c>
      <c r="B3" s="4">
        <f>B2+1</f>
        <v>2</v>
      </c>
      <c r="C3" s="4">
        <v>12</v>
      </c>
      <c r="D3" s="3">
        <v>2025</v>
      </c>
      <c r="E3" s="30">
        <f>Anassa!D4-Anassa!D3</f>
        <v>2485.6999999992549</v>
      </c>
      <c r="F3" s="31">
        <f t="shared" ref="F3:F32" si="0">0.2563</f>
        <v>0.25629999999999997</v>
      </c>
      <c r="G3" s="32">
        <f>Anassa!N3</f>
        <v>0</v>
      </c>
      <c r="H3" s="33">
        <v>0.626</v>
      </c>
      <c r="I3" s="45">
        <f>Anassa!AC3*5.04</f>
        <v>0</v>
      </c>
      <c r="J3" s="46">
        <v>8.2900000000000001E-2</v>
      </c>
      <c r="K3" s="34">
        <f>Anassa!Z3</f>
        <v>110</v>
      </c>
      <c r="L3" s="35">
        <v>1.25</v>
      </c>
      <c r="M3" s="48">
        <f>Anassa!H3</f>
        <v>0</v>
      </c>
      <c r="N3" s="49">
        <v>0.88</v>
      </c>
      <c r="O3" s="36">
        <f>Anassa!AD3</f>
        <v>0</v>
      </c>
      <c r="P3" s="36">
        <f>Anassa!AE3</f>
        <v>0</v>
      </c>
    </row>
    <row r="4" spans="1:16" ht="15" x14ac:dyDescent="0.25">
      <c r="A4" s="29" t="s">
        <v>34</v>
      </c>
      <c r="B4" s="4">
        <f t="shared" ref="B4:B32" si="1">B3+1</f>
        <v>3</v>
      </c>
      <c r="C4" s="4">
        <v>12</v>
      </c>
      <c r="D4" s="3">
        <v>2025</v>
      </c>
      <c r="E4" s="30">
        <f>Anassa!D5-Anassa!D4</f>
        <v>2239.8000000007451</v>
      </c>
      <c r="F4" s="31">
        <f t="shared" si="0"/>
        <v>0.25629999999999997</v>
      </c>
      <c r="G4" s="32">
        <f>Anassa!N4</f>
        <v>50</v>
      </c>
      <c r="H4" s="33">
        <v>0.626</v>
      </c>
      <c r="I4" s="45">
        <f>Anassa!AC4*5.04</f>
        <v>0</v>
      </c>
      <c r="J4" s="46">
        <v>8.2900000000000001E-2</v>
      </c>
      <c r="K4" s="34">
        <f>Anassa!Z4</f>
        <v>12</v>
      </c>
      <c r="L4" s="35">
        <v>1.25</v>
      </c>
      <c r="M4" s="48">
        <f>Anassa!H4</f>
        <v>0</v>
      </c>
      <c r="N4" s="49">
        <v>0.88</v>
      </c>
      <c r="O4" s="36">
        <f>Anassa!AD4</f>
        <v>0</v>
      </c>
      <c r="P4" s="36">
        <f>Anassa!AE4</f>
        <v>0</v>
      </c>
    </row>
    <row r="5" spans="1:16" ht="15" x14ac:dyDescent="0.25">
      <c r="A5" s="29" t="s">
        <v>34</v>
      </c>
      <c r="B5" s="4">
        <f t="shared" si="1"/>
        <v>4</v>
      </c>
      <c r="C5" s="4">
        <v>12</v>
      </c>
      <c r="D5" s="3">
        <v>2025</v>
      </c>
      <c r="E5" s="30">
        <f>Anassa!D6-Anassa!D5</f>
        <v>2449.3000000007451</v>
      </c>
      <c r="F5" s="31">
        <f t="shared" si="0"/>
        <v>0.25629999999999997</v>
      </c>
      <c r="G5" s="32">
        <f>Anassa!N5</f>
        <v>-50</v>
      </c>
      <c r="H5" s="33">
        <v>0.626</v>
      </c>
      <c r="I5" s="45">
        <f>Anassa!AC5*5.04</f>
        <v>0</v>
      </c>
      <c r="J5" s="46">
        <v>8.2900000000000001E-2</v>
      </c>
      <c r="K5" s="34">
        <f>Anassa!Z5</f>
        <v>20</v>
      </c>
      <c r="L5" s="35">
        <v>1.25</v>
      </c>
      <c r="M5" s="48">
        <f>Anassa!H5</f>
        <v>0</v>
      </c>
      <c r="N5" s="49">
        <v>0.88</v>
      </c>
      <c r="O5" s="36">
        <f>Anassa!AD5</f>
        <v>0</v>
      </c>
      <c r="P5" s="36">
        <f>Anassa!AE5</f>
        <v>0</v>
      </c>
    </row>
    <row r="6" spans="1:16" ht="15" x14ac:dyDescent="0.25">
      <c r="A6" s="29" t="s">
        <v>34</v>
      </c>
      <c r="B6" s="4">
        <f t="shared" si="1"/>
        <v>5</v>
      </c>
      <c r="C6" s="4">
        <v>12</v>
      </c>
      <c r="D6" s="3">
        <v>2025</v>
      </c>
      <c r="E6" s="30">
        <f>Anassa!D7-Anassa!D6</f>
        <v>2339.5999999977648</v>
      </c>
      <c r="F6" s="31">
        <f t="shared" si="0"/>
        <v>0.25629999999999997</v>
      </c>
      <c r="G6" s="32">
        <f>Anassa!N6</f>
        <v>74.999999999999545</v>
      </c>
      <c r="H6" s="33">
        <v>0.626</v>
      </c>
      <c r="I6" s="45">
        <f>Anassa!AC6*5.04</f>
        <v>0</v>
      </c>
      <c r="J6" s="46">
        <v>8.2900000000000001E-2</v>
      </c>
      <c r="K6" s="34">
        <f>Anassa!Z6</f>
        <v>27</v>
      </c>
      <c r="L6" s="35">
        <v>1.25</v>
      </c>
      <c r="M6" s="48">
        <f>Anassa!H6</f>
        <v>0</v>
      </c>
      <c r="N6" s="49">
        <v>0.88</v>
      </c>
      <c r="O6" s="36">
        <f>Anassa!AD6</f>
        <v>0</v>
      </c>
      <c r="P6" s="36">
        <f>Anassa!AE6</f>
        <v>0</v>
      </c>
    </row>
    <row r="7" spans="1:16" ht="15" x14ac:dyDescent="0.25">
      <c r="A7" s="29" t="s">
        <v>34</v>
      </c>
      <c r="B7" s="4">
        <f t="shared" si="1"/>
        <v>6</v>
      </c>
      <c r="C7" s="4">
        <v>12</v>
      </c>
      <c r="D7" s="3">
        <v>2025</v>
      </c>
      <c r="E7" s="30">
        <f>Anassa!D8-Anassa!D7</f>
        <v>2718</v>
      </c>
      <c r="F7" s="31">
        <f t="shared" si="0"/>
        <v>0.25629999999999997</v>
      </c>
      <c r="G7" s="32">
        <f>Anassa!N7</f>
        <v>0</v>
      </c>
      <c r="H7" s="33">
        <v>0.626</v>
      </c>
      <c r="I7" s="45">
        <f>Anassa!AC7*5.04</f>
        <v>0</v>
      </c>
      <c r="J7" s="46">
        <v>8.2900000000000001E-2</v>
      </c>
      <c r="K7" s="34">
        <f>Anassa!Z7</f>
        <v>92</v>
      </c>
      <c r="L7" s="35">
        <v>1.25</v>
      </c>
      <c r="M7" s="48">
        <f>Anassa!H7</f>
        <v>0</v>
      </c>
      <c r="N7" s="49">
        <v>0.88</v>
      </c>
      <c r="O7" s="36">
        <f>Anassa!AD7</f>
        <v>0</v>
      </c>
      <c r="P7" s="36">
        <f>Anassa!AE7</f>
        <v>0</v>
      </c>
    </row>
    <row r="8" spans="1:16" ht="15" x14ac:dyDescent="0.25">
      <c r="A8" s="29" t="s">
        <v>34</v>
      </c>
      <c r="B8" s="4">
        <f t="shared" si="1"/>
        <v>7</v>
      </c>
      <c r="C8" s="4">
        <v>12</v>
      </c>
      <c r="D8" s="3">
        <v>2025</v>
      </c>
      <c r="E8" s="30">
        <f>Anassa!D9-Anassa!D8</f>
        <v>2708.6000000014901</v>
      </c>
      <c r="F8" s="31">
        <f t="shared" si="0"/>
        <v>0.25629999999999997</v>
      </c>
      <c r="G8" s="32">
        <f>Anassa!N8</f>
        <v>0</v>
      </c>
      <c r="H8" s="33">
        <v>0.626</v>
      </c>
      <c r="I8" s="45">
        <f>Anassa!AC8*5.04</f>
        <v>0</v>
      </c>
      <c r="J8" s="46">
        <v>8.2900000000000001E-2</v>
      </c>
      <c r="K8" s="34">
        <f>Anassa!Z8</f>
        <v>9</v>
      </c>
      <c r="L8" s="35">
        <v>1.25</v>
      </c>
      <c r="M8" s="48">
        <f>Anassa!H8</f>
        <v>0</v>
      </c>
      <c r="N8" s="49">
        <v>0.88</v>
      </c>
      <c r="O8" s="36">
        <f>Anassa!AD8</f>
        <v>0</v>
      </c>
      <c r="P8" s="36">
        <f>Anassa!AE8</f>
        <v>0</v>
      </c>
    </row>
    <row r="9" spans="1:16" ht="15" x14ac:dyDescent="0.25">
      <c r="A9" s="29" t="s">
        <v>34</v>
      </c>
      <c r="B9" s="4">
        <f t="shared" si="1"/>
        <v>8</v>
      </c>
      <c r="C9" s="4">
        <v>12</v>
      </c>
      <c r="D9" s="3">
        <v>2025</v>
      </c>
      <c r="E9" s="30">
        <f>Anassa!D10-Anassa!D9</f>
        <v>2711.3000000007451</v>
      </c>
      <c r="F9" s="31">
        <f t="shared" si="0"/>
        <v>0.25629999999999997</v>
      </c>
      <c r="G9" s="32">
        <f>Anassa!N9</f>
        <v>0</v>
      </c>
      <c r="H9" s="33">
        <v>0.626</v>
      </c>
      <c r="I9" s="45">
        <f>Anassa!AC9*5.04</f>
        <v>0</v>
      </c>
      <c r="J9" s="46">
        <v>8.2900000000000001E-2</v>
      </c>
      <c r="K9" s="34">
        <f>Anassa!Z9</f>
        <v>10</v>
      </c>
      <c r="L9" s="35">
        <v>1.25</v>
      </c>
      <c r="M9" s="48">
        <f>Anassa!H9</f>
        <v>126</v>
      </c>
      <c r="N9" s="49">
        <v>0.88</v>
      </c>
      <c r="O9" s="36">
        <f>Anassa!AD9</f>
        <v>0</v>
      </c>
      <c r="P9" s="36">
        <f>Anassa!AE9</f>
        <v>0</v>
      </c>
    </row>
    <row r="10" spans="1:16" ht="15" x14ac:dyDescent="0.25">
      <c r="A10" s="29" t="s">
        <v>34</v>
      </c>
      <c r="B10" s="4">
        <f t="shared" si="1"/>
        <v>9</v>
      </c>
      <c r="C10" s="4">
        <v>12</v>
      </c>
      <c r="D10" s="3">
        <v>2025</v>
      </c>
      <c r="E10" s="30">
        <f>Anassa!D11-Anassa!D10</f>
        <v>2713.5</v>
      </c>
      <c r="F10" s="31">
        <f t="shared" si="0"/>
        <v>0.25629999999999997</v>
      </c>
      <c r="G10" s="32">
        <f>Anassa!N10</f>
        <v>0</v>
      </c>
      <c r="H10" s="33">
        <v>0.626</v>
      </c>
      <c r="I10" s="45">
        <f>Anassa!AC10*5.04</f>
        <v>0</v>
      </c>
      <c r="J10" s="46">
        <v>8.2900000000000001E-2</v>
      </c>
      <c r="K10" s="34">
        <f>Anassa!Z10</f>
        <v>33</v>
      </c>
      <c r="L10" s="35">
        <v>1.25</v>
      </c>
      <c r="M10" s="48">
        <f>Anassa!H10</f>
        <v>0</v>
      </c>
      <c r="N10" s="49">
        <v>0.88</v>
      </c>
      <c r="O10" s="36">
        <f>Anassa!AD10</f>
        <v>0</v>
      </c>
      <c r="P10" s="36">
        <f>Anassa!AE10</f>
        <v>0</v>
      </c>
    </row>
    <row r="11" spans="1:16" ht="15" x14ac:dyDescent="0.25">
      <c r="A11" s="29" t="s">
        <v>34</v>
      </c>
      <c r="B11" s="4">
        <f t="shared" si="1"/>
        <v>10</v>
      </c>
      <c r="C11" s="4">
        <v>12</v>
      </c>
      <c r="D11" s="3">
        <v>2025</v>
      </c>
      <c r="E11" s="30">
        <f>Anassa!D12-Anassa!D11</f>
        <v>2219.6999999992549</v>
      </c>
      <c r="F11" s="31">
        <f t="shared" si="0"/>
        <v>0.25629999999999997</v>
      </c>
      <c r="G11" s="32">
        <f>Anassa!N11</f>
        <v>0</v>
      </c>
      <c r="H11" s="33">
        <v>0.626</v>
      </c>
      <c r="I11" s="45">
        <f>Anassa!AC11*5.04</f>
        <v>0</v>
      </c>
      <c r="J11" s="46">
        <v>8.2900000000000001E-2</v>
      </c>
      <c r="K11" s="34">
        <f>Anassa!Z11</f>
        <v>44</v>
      </c>
      <c r="L11" s="35">
        <v>1.25</v>
      </c>
      <c r="M11" s="48">
        <f>Anassa!H11</f>
        <v>0</v>
      </c>
      <c r="N11" s="49">
        <v>0.88</v>
      </c>
      <c r="O11" s="36">
        <f>Anassa!AD11</f>
        <v>0</v>
      </c>
      <c r="P11" s="36">
        <f>Anassa!AE11</f>
        <v>0</v>
      </c>
    </row>
    <row r="12" spans="1:16" ht="15" x14ac:dyDescent="0.25">
      <c r="A12" s="29" t="s">
        <v>34</v>
      </c>
      <c r="B12" s="4">
        <f t="shared" si="1"/>
        <v>11</v>
      </c>
      <c r="C12" s="4">
        <v>12</v>
      </c>
      <c r="D12" s="3">
        <v>2025</v>
      </c>
      <c r="E12" s="30">
        <f>Anassa!D13-Anassa!D12</f>
        <v>3724.5</v>
      </c>
      <c r="F12" s="31">
        <f t="shared" si="0"/>
        <v>0.25629999999999997</v>
      </c>
      <c r="G12" s="32">
        <f>Anassa!N12</f>
        <v>0</v>
      </c>
      <c r="H12" s="33">
        <v>0.626</v>
      </c>
      <c r="I12" s="45">
        <f>Anassa!AC12*5.04</f>
        <v>0</v>
      </c>
      <c r="J12" s="46">
        <v>8.2900000000000001E-2</v>
      </c>
      <c r="K12" s="34">
        <f>Anassa!Z12</f>
        <v>63</v>
      </c>
      <c r="L12" s="35">
        <v>1.25</v>
      </c>
      <c r="M12" s="48">
        <f>Anassa!H12</f>
        <v>0</v>
      </c>
      <c r="N12" s="49">
        <v>0.88</v>
      </c>
      <c r="O12" s="36">
        <f>Anassa!AD12</f>
        <v>0</v>
      </c>
      <c r="P12" s="36">
        <f>Anassa!AE12</f>
        <v>0</v>
      </c>
    </row>
    <row r="13" spans="1:16" ht="15" x14ac:dyDescent="0.25">
      <c r="A13" s="29" t="s">
        <v>34</v>
      </c>
      <c r="B13" s="4">
        <f t="shared" si="1"/>
        <v>12</v>
      </c>
      <c r="C13" s="4">
        <v>12</v>
      </c>
      <c r="D13" s="3">
        <v>2025</v>
      </c>
      <c r="E13" s="30">
        <f>Anassa!D14-Anassa!D13</f>
        <v>3206.1999999992549</v>
      </c>
      <c r="F13" s="31">
        <f t="shared" si="0"/>
        <v>0.25629999999999997</v>
      </c>
      <c r="G13" s="32">
        <f>Anassa!N13</f>
        <v>0</v>
      </c>
      <c r="H13" s="33">
        <v>0.626</v>
      </c>
      <c r="I13" s="45">
        <f>Anassa!AC13*5.04</f>
        <v>0</v>
      </c>
      <c r="J13" s="46">
        <v>8.2900000000000001E-2</v>
      </c>
      <c r="K13" s="34">
        <f>Anassa!Z13</f>
        <v>14</v>
      </c>
      <c r="L13" s="35">
        <v>1.25</v>
      </c>
      <c r="M13" s="48">
        <f>Anassa!H13</f>
        <v>211</v>
      </c>
      <c r="N13" s="49">
        <v>0.88</v>
      </c>
      <c r="O13" s="36">
        <f>Anassa!AD13</f>
        <v>0</v>
      </c>
      <c r="P13" s="36">
        <f>Anassa!AE13</f>
        <v>0</v>
      </c>
    </row>
    <row r="14" spans="1:16" ht="15" x14ac:dyDescent="0.25">
      <c r="A14" s="29" t="s">
        <v>34</v>
      </c>
      <c r="B14" s="4">
        <f t="shared" si="1"/>
        <v>13</v>
      </c>
      <c r="C14" s="4">
        <v>12</v>
      </c>
      <c r="D14" s="3">
        <v>2025</v>
      </c>
      <c r="E14" s="30">
        <f>Anassa!D15-Anassa!D14</f>
        <v>3094.8000000007451</v>
      </c>
      <c r="F14" s="31">
        <f t="shared" si="0"/>
        <v>0.25629999999999997</v>
      </c>
      <c r="G14" s="32">
        <f>Anassa!N14</f>
        <v>0</v>
      </c>
      <c r="H14" s="33">
        <v>0.626</v>
      </c>
      <c r="I14" s="45">
        <f>Anassa!AC14*5.04</f>
        <v>0</v>
      </c>
      <c r="J14" s="46">
        <v>8.2900000000000001E-2</v>
      </c>
      <c r="K14" s="34">
        <f>Anassa!Z14</f>
        <v>35</v>
      </c>
      <c r="L14" s="35">
        <v>1.25</v>
      </c>
      <c r="M14" s="48">
        <f>Anassa!H14</f>
        <v>0</v>
      </c>
      <c r="N14" s="49">
        <v>0.88</v>
      </c>
      <c r="O14" s="36">
        <f>Anassa!AD14</f>
        <v>0</v>
      </c>
      <c r="P14" s="36">
        <f>Anassa!AE14</f>
        <v>0</v>
      </c>
    </row>
    <row r="15" spans="1:16" ht="15" x14ac:dyDescent="0.25">
      <c r="A15" s="29" t="s">
        <v>34</v>
      </c>
      <c r="B15" s="4">
        <f t="shared" si="1"/>
        <v>14</v>
      </c>
      <c r="C15" s="4">
        <v>12</v>
      </c>
      <c r="D15" s="3">
        <v>2025</v>
      </c>
      <c r="E15" s="30">
        <f>Anassa!D16-Anassa!D15</f>
        <v>3096</v>
      </c>
      <c r="F15" s="31">
        <f t="shared" si="0"/>
        <v>0.25629999999999997</v>
      </c>
      <c r="G15" s="32">
        <f>Anassa!N15</f>
        <v>0</v>
      </c>
      <c r="H15" s="33">
        <v>0.626</v>
      </c>
      <c r="I15" s="45">
        <f>Anassa!AC15*5.04</f>
        <v>0</v>
      </c>
      <c r="J15" s="46">
        <v>8.2900000000000001E-2</v>
      </c>
      <c r="K15" s="34">
        <f>Anassa!Z15</f>
        <v>35</v>
      </c>
      <c r="L15" s="35">
        <v>1.25</v>
      </c>
      <c r="M15" s="48">
        <f>Anassa!H15</f>
        <v>0</v>
      </c>
      <c r="N15" s="49">
        <v>0.88</v>
      </c>
      <c r="O15" s="36">
        <f>Anassa!AD15</f>
        <v>0</v>
      </c>
      <c r="P15" s="36">
        <f>Anassa!AE15</f>
        <v>0</v>
      </c>
    </row>
    <row r="16" spans="1:16" ht="15" x14ac:dyDescent="0.25">
      <c r="A16" s="29" t="s">
        <v>34</v>
      </c>
      <c r="B16" s="4">
        <f t="shared" si="1"/>
        <v>15</v>
      </c>
      <c r="C16" s="4">
        <v>12</v>
      </c>
      <c r="D16" s="3">
        <v>2025</v>
      </c>
      <c r="E16" s="30">
        <f>Anassa!D17-Anassa!D16</f>
        <v>3095.3000000007451</v>
      </c>
      <c r="F16" s="31">
        <f t="shared" si="0"/>
        <v>0.25629999999999997</v>
      </c>
      <c r="G16" s="32">
        <f>Anassa!N16</f>
        <v>75.000000000000909</v>
      </c>
      <c r="H16" s="33">
        <v>0.626</v>
      </c>
      <c r="I16" s="45">
        <f>Anassa!AC16*5.04</f>
        <v>0</v>
      </c>
      <c r="J16" s="46">
        <v>8.2900000000000001E-2</v>
      </c>
      <c r="K16" s="34">
        <f>Anassa!Z16</f>
        <v>35</v>
      </c>
      <c r="L16" s="35">
        <v>1.25</v>
      </c>
      <c r="M16" s="48">
        <f>Anassa!H16</f>
        <v>271</v>
      </c>
      <c r="N16" s="49">
        <v>1.25</v>
      </c>
      <c r="O16" s="36">
        <f>Anassa!AD16</f>
        <v>0</v>
      </c>
      <c r="P16" s="36">
        <f>Anassa!AE16</f>
        <v>0</v>
      </c>
    </row>
    <row r="17" spans="1:16" ht="15" x14ac:dyDescent="0.25">
      <c r="A17" s="29" t="s">
        <v>34</v>
      </c>
      <c r="B17" s="4">
        <f t="shared" si="1"/>
        <v>16</v>
      </c>
      <c r="C17" s="4">
        <v>12</v>
      </c>
      <c r="D17" s="3">
        <v>2025</v>
      </c>
      <c r="E17" s="30">
        <f>Anassa!D18-Anassa!D17</f>
        <v>3053.8000000007451</v>
      </c>
      <c r="F17" s="31">
        <f t="shared" si="0"/>
        <v>0.25629999999999997</v>
      </c>
      <c r="G17" s="32">
        <f>Anassa!N17</f>
        <v>0</v>
      </c>
      <c r="H17" s="33">
        <v>0.626</v>
      </c>
      <c r="I17" s="45">
        <f>Anassa!AC17*5.04</f>
        <v>0</v>
      </c>
      <c r="J17" s="46">
        <v>8.2900000000000001E-2</v>
      </c>
      <c r="K17" s="34">
        <f>Anassa!Z17</f>
        <v>31</v>
      </c>
      <c r="L17" s="35">
        <v>1.25</v>
      </c>
      <c r="M17" s="48">
        <f>Anassa!H17</f>
        <v>0</v>
      </c>
      <c r="N17" s="49">
        <v>0.88</v>
      </c>
      <c r="O17" s="36">
        <f>Anassa!AD17</f>
        <v>0</v>
      </c>
      <c r="P17" s="36">
        <f>Anassa!AE17</f>
        <v>0</v>
      </c>
    </row>
    <row r="18" spans="1:16" ht="15" x14ac:dyDescent="0.25">
      <c r="A18" s="29" t="s">
        <v>34</v>
      </c>
      <c r="B18" s="4">
        <f t="shared" si="1"/>
        <v>17</v>
      </c>
      <c r="C18" s="4">
        <v>12</v>
      </c>
      <c r="D18" s="3">
        <v>2025</v>
      </c>
      <c r="E18" s="30">
        <f>Anassa!D19-Anassa!D18</f>
        <v>3264.5</v>
      </c>
      <c r="F18" s="31">
        <f t="shared" si="0"/>
        <v>0.25629999999999997</v>
      </c>
      <c r="G18" s="32">
        <f>Anassa!N18</f>
        <v>49.999999999999545</v>
      </c>
      <c r="H18" s="33">
        <v>0.626</v>
      </c>
      <c r="I18" s="45">
        <f>Anassa!AC18*5.04</f>
        <v>0</v>
      </c>
      <c r="J18" s="46">
        <v>8.2900000000000001E-2</v>
      </c>
      <c r="K18" s="34">
        <f>Anassa!Z18</f>
        <v>217</v>
      </c>
      <c r="L18" s="35">
        <v>1.25</v>
      </c>
      <c r="M18" s="48">
        <f>Anassa!H18</f>
        <v>0</v>
      </c>
      <c r="N18" s="49">
        <v>0.88</v>
      </c>
      <c r="O18" s="36">
        <f>Anassa!AD18</f>
        <v>0</v>
      </c>
      <c r="P18" s="36">
        <f>Anassa!AE18</f>
        <v>0</v>
      </c>
    </row>
    <row r="19" spans="1:16" ht="15" x14ac:dyDescent="0.25">
      <c r="A19" s="29" t="s">
        <v>34</v>
      </c>
      <c r="B19" s="4">
        <f t="shared" si="1"/>
        <v>18</v>
      </c>
      <c r="C19" s="4">
        <v>12</v>
      </c>
      <c r="D19" s="3">
        <v>2025</v>
      </c>
      <c r="E19" s="30">
        <f>Anassa!D20-Anassa!D19</f>
        <v>3434</v>
      </c>
      <c r="F19" s="31">
        <f t="shared" si="0"/>
        <v>0.25629999999999997</v>
      </c>
      <c r="G19" s="32">
        <f>Anassa!N19</f>
        <v>0</v>
      </c>
      <c r="H19" s="33">
        <v>0.626</v>
      </c>
      <c r="I19" s="45">
        <f>Anassa!AC19*5.04</f>
        <v>0</v>
      </c>
      <c r="J19" s="46">
        <v>8.2900000000000001E-2</v>
      </c>
      <c r="K19" s="34">
        <f>Anassa!Z19</f>
        <v>49</v>
      </c>
      <c r="L19" s="35">
        <v>1.25</v>
      </c>
      <c r="M19" s="48">
        <f>Anassa!H19</f>
        <v>0</v>
      </c>
      <c r="N19" s="49">
        <v>0.88</v>
      </c>
      <c r="O19" s="36">
        <f>Anassa!AD19</f>
        <v>0</v>
      </c>
      <c r="P19" s="36">
        <f>Anassa!AE19</f>
        <v>0</v>
      </c>
    </row>
    <row r="20" spans="1:16" ht="15" x14ac:dyDescent="0.25">
      <c r="A20" s="29" t="s">
        <v>34</v>
      </c>
      <c r="B20" s="4">
        <f t="shared" si="1"/>
        <v>19</v>
      </c>
      <c r="C20" s="4">
        <v>12</v>
      </c>
      <c r="D20" s="3">
        <v>2025</v>
      </c>
      <c r="E20" s="30">
        <f>Anassa!D21-Anassa!D20</f>
        <v>3674.5999999977648</v>
      </c>
      <c r="F20" s="31">
        <f t="shared" si="0"/>
        <v>0.25629999999999997</v>
      </c>
      <c r="G20" s="32">
        <f>Anassa!N20</f>
        <v>75</v>
      </c>
      <c r="H20" s="33">
        <v>0.626</v>
      </c>
      <c r="I20" s="45">
        <f>Anassa!AC20*5.04</f>
        <v>0</v>
      </c>
      <c r="J20" s="46">
        <v>8.2900000000000001E-2</v>
      </c>
      <c r="K20" s="34">
        <f>Anassa!Z20</f>
        <v>177</v>
      </c>
      <c r="L20" s="35">
        <v>1.25</v>
      </c>
      <c r="M20" s="48">
        <f>Anassa!H20</f>
        <v>0</v>
      </c>
      <c r="N20" s="49">
        <v>0.88</v>
      </c>
      <c r="O20" s="36">
        <f>Anassa!AD20</f>
        <v>0</v>
      </c>
      <c r="P20" s="36">
        <f>Anassa!AE20</f>
        <v>0</v>
      </c>
    </row>
    <row r="21" spans="1:16" ht="15" x14ac:dyDescent="0.25">
      <c r="A21" s="29" t="s">
        <v>34</v>
      </c>
      <c r="B21" s="4">
        <f t="shared" si="1"/>
        <v>20</v>
      </c>
      <c r="C21" s="4">
        <v>12</v>
      </c>
      <c r="D21" s="3">
        <v>2025</v>
      </c>
      <c r="E21" s="30">
        <f>Anassa!D22-Anassa!D21</f>
        <v>4071.1999999992549</v>
      </c>
      <c r="F21" s="31">
        <f t="shared" si="0"/>
        <v>0.25629999999999997</v>
      </c>
      <c r="G21" s="32">
        <f>Anassa!N21</f>
        <v>0</v>
      </c>
      <c r="H21" s="33">
        <v>0.626</v>
      </c>
      <c r="I21" s="45">
        <f>Anassa!AC21*5.04</f>
        <v>0</v>
      </c>
      <c r="J21" s="46">
        <v>8.2900000000000001E-2</v>
      </c>
      <c r="K21" s="34">
        <f>Anassa!Z21</f>
        <v>114</v>
      </c>
      <c r="L21" s="35">
        <v>1.25</v>
      </c>
      <c r="M21" s="48">
        <f>Anassa!H21</f>
        <v>0</v>
      </c>
      <c r="N21" s="49">
        <v>0.88</v>
      </c>
      <c r="O21" s="36">
        <f>Anassa!AD21</f>
        <v>0</v>
      </c>
      <c r="P21" s="36">
        <f>Anassa!AE21</f>
        <v>0</v>
      </c>
    </row>
    <row r="22" spans="1:16" ht="15" x14ac:dyDescent="0.25">
      <c r="A22" s="29" t="s">
        <v>34</v>
      </c>
      <c r="B22" s="4">
        <f t="shared" si="1"/>
        <v>21</v>
      </c>
      <c r="C22" s="4">
        <v>12</v>
      </c>
      <c r="D22" s="3">
        <v>2025</v>
      </c>
      <c r="E22" s="30">
        <f>Anassa!D23-Anassa!D22</f>
        <v>3840.6000000014901</v>
      </c>
      <c r="F22" s="31">
        <f t="shared" si="0"/>
        <v>0.25629999999999997</v>
      </c>
      <c r="G22" s="32">
        <f>Anassa!N22</f>
        <v>50</v>
      </c>
      <c r="H22" s="33">
        <v>0.626</v>
      </c>
      <c r="I22" s="45">
        <f>Anassa!AC22*5.04</f>
        <v>0</v>
      </c>
      <c r="J22" s="46">
        <v>8.2900000000000001E-2</v>
      </c>
      <c r="K22" s="34">
        <f>Anassa!Z22</f>
        <v>58</v>
      </c>
      <c r="L22" s="35">
        <v>1.25</v>
      </c>
      <c r="M22" s="48">
        <f>Anassa!H22</f>
        <v>0</v>
      </c>
      <c r="N22" s="49">
        <v>0.88</v>
      </c>
      <c r="O22" s="36">
        <f>Anassa!AD22</f>
        <v>0</v>
      </c>
      <c r="P22" s="36">
        <f>Anassa!AE22</f>
        <v>0</v>
      </c>
    </row>
    <row r="23" spans="1:16" ht="15" x14ac:dyDescent="0.25">
      <c r="A23" s="29" t="s">
        <v>34</v>
      </c>
      <c r="B23" s="4">
        <f t="shared" si="1"/>
        <v>22</v>
      </c>
      <c r="C23" s="4">
        <v>12</v>
      </c>
      <c r="D23" s="3">
        <v>2025</v>
      </c>
      <c r="E23" s="30">
        <f>Anassa!D24-Anassa!D23</f>
        <v>3840.1000000014901</v>
      </c>
      <c r="F23" s="31">
        <f t="shared" si="0"/>
        <v>0.25629999999999997</v>
      </c>
      <c r="G23" s="32">
        <f>Anassa!N23</f>
        <v>25.000000000000455</v>
      </c>
      <c r="H23" s="33">
        <v>0.626</v>
      </c>
      <c r="I23" s="45">
        <f>Anassa!AC23*5.04</f>
        <v>0</v>
      </c>
      <c r="J23" s="46">
        <v>8.2900000000000001E-2</v>
      </c>
      <c r="K23" s="34">
        <f>Anassa!Z23</f>
        <v>57</v>
      </c>
      <c r="L23" s="35">
        <v>1.25</v>
      </c>
      <c r="M23" s="48">
        <f>Anassa!H23</f>
        <v>0</v>
      </c>
      <c r="N23" s="49">
        <v>0.88</v>
      </c>
      <c r="O23" s="36">
        <f>Anassa!AD23</f>
        <v>0</v>
      </c>
      <c r="P23" s="36">
        <f>Anassa!AE23</f>
        <v>0</v>
      </c>
    </row>
    <row r="24" spans="1:16" ht="15" x14ac:dyDescent="0.25">
      <c r="A24" s="29" t="s">
        <v>34</v>
      </c>
      <c r="B24" s="4">
        <f t="shared" si="1"/>
        <v>23</v>
      </c>
      <c r="C24" s="4">
        <v>12</v>
      </c>
      <c r="D24" s="3">
        <v>2025</v>
      </c>
      <c r="E24" s="30">
        <f>Anassa!D25-Anassa!D24</f>
        <v>6044.7999999970198</v>
      </c>
      <c r="F24" s="31">
        <f t="shared" si="0"/>
        <v>0.25629999999999997</v>
      </c>
      <c r="G24" s="32">
        <f>Anassa!N24</f>
        <v>24.999999999999091</v>
      </c>
      <c r="H24" s="33">
        <v>0.626</v>
      </c>
      <c r="I24" s="45">
        <f>Anassa!AC24*5.04</f>
        <v>0</v>
      </c>
      <c r="J24" s="46">
        <v>8.2900000000000001E-2</v>
      </c>
      <c r="K24" s="34">
        <f>Anassa!Z24</f>
        <v>119</v>
      </c>
      <c r="L24" s="35">
        <v>1.25</v>
      </c>
      <c r="M24" s="48">
        <f>Anassa!H24</f>
        <v>1371</v>
      </c>
      <c r="N24" s="49">
        <v>0.88</v>
      </c>
      <c r="O24" s="36">
        <f>Anassa!AD24</f>
        <v>1</v>
      </c>
      <c r="P24" s="36">
        <f>Anassa!AE24</f>
        <v>1</v>
      </c>
    </row>
    <row r="25" spans="1:16" ht="15" x14ac:dyDescent="0.25">
      <c r="A25" s="29" t="s">
        <v>34</v>
      </c>
      <c r="B25" s="4">
        <f t="shared" si="1"/>
        <v>24</v>
      </c>
      <c r="C25" s="4">
        <v>12</v>
      </c>
      <c r="D25" s="3">
        <v>2025</v>
      </c>
      <c r="E25" s="30">
        <f>Anassa!D26-Anassa!D25</f>
        <v>6615.8000000007451</v>
      </c>
      <c r="F25" s="31">
        <f t="shared" si="0"/>
        <v>0.25629999999999997</v>
      </c>
      <c r="G25" s="32">
        <f>Anassa!N25</f>
        <v>75.000000000000909</v>
      </c>
      <c r="H25" s="33">
        <v>0.626</v>
      </c>
      <c r="I25" s="45">
        <f>Anassa!AC25*5.04</f>
        <v>0</v>
      </c>
      <c r="J25" s="46">
        <v>8.2900000000000001E-2</v>
      </c>
      <c r="K25" s="34">
        <f>Anassa!Z25</f>
        <v>94</v>
      </c>
      <c r="L25" s="35">
        <v>1.25</v>
      </c>
      <c r="M25" s="48">
        <f>Anassa!H25</f>
        <v>1296</v>
      </c>
      <c r="N25" s="49">
        <v>0.88</v>
      </c>
      <c r="O25" s="36">
        <f>Anassa!AD25</f>
        <v>4</v>
      </c>
      <c r="P25" s="36">
        <f>Anassa!AE25</f>
        <v>5</v>
      </c>
    </row>
    <row r="26" spans="1:16" ht="15" x14ac:dyDescent="0.25">
      <c r="A26" s="29" t="s">
        <v>34</v>
      </c>
      <c r="B26" s="4">
        <f>B25+1</f>
        <v>25</v>
      </c>
      <c r="C26" s="4">
        <v>12</v>
      </c>
      <c r="D26" s="3">
        <v>2025</v>
      </c>
      <c r="E26" s="30">
        <f>Anassa!D27-Anassa!D26</f>
        <v>5890.6000000014901</v>
      </c>
      <c r="F26" s="31">
        <f t="shared" si="0"/>
        <v>0.25629999999999997</v>
      </c>
      <c r="G26" s="32">
        <f>Anassa!N26</f>
        <v>0</v>
      </c>
      <c r="H26" s="33">
        <v>0.626</v>
      </c>
      <c r="I26" s="45">
        <f>Anassa!AC26*5.04</f>
        <v>0</v>
      </c>
      <c r="J26" s="46">
        <v>8.2900000000000001E-2</v>
      </c>
      <c r="K26" s="34">
        <f>Anassa!Z26</f>
        <v>25</v>
      </c>
      <c r="L26" s="35">
        <v>1.25</v>
      </c>
      <c r="M26" s="48">
        <f>Anassa!H26</f>
        <v>1227</v>
      </c>
      <c r="N26" s="49">
        <v>0.88</v>
      </c>
      <c r="O26" s="36">
        <f>Anassa!AD26</f>
        <v>4</v>
      </c>
      <c r="P26" s="36">
        <f>Anassa!AE26</f>
        <v>5</v>
      </c>
    </row>
    <row r="27" spans="1:16" ht="15" x14ac:dyDescent="0.25">
      <c r="A27" s="29" t="s">
        <v>34</v>
      </c>
      <c r="B27" s="4">
        <f t="shared" si="1"/>
        <v>26</v>
      </c>
      <c r="C27" s="4">
        <v>12</v>
      </c>
      <c r="D27" s="3">
        <v>2025</v>
      </c>
      <c r="E27" s="30">
        <f>Anassa!D28-Anassa!D27</f>
        <v>7033.6999999992549</v>
      </c>
      <c r="F27" s="31">
        <f t="shared" si="0"/>
        <v>0.25629999999999997</v>
      </c>
      <c r="G27" s="32">
        <f>Anassa!N27</f>
        <v>2338</v>
      </c>
      <c r="H27" s="33">
        <v>0.626</v>
      </c>
      <c r="I27" s="45">
        <f>Anassa!AC27*5.04</f>
        <v>0</v>
      </c>
      <c r="J27" s="46">
        <v>8.2900000000000001E-2</v>
      </c>
      <c r="K27" s="34">
        <f>Anassa!Z27</f>
        <v>77</v>
      </c>
      <c r="L27" s="35">
        <v>1.25</v>
      </c>
      <c r="M27" s="48">
        <f>Anassa!H27</f>
        <v>1409</v>
      </c>
      <c r="N27" s="49">
        <v>0.88</v>
      </c>
      <c r="O27" s="36">
        <f>Anassa!AD27</f>
        <v>4</v>
      </c>
      <c r="P27" s="36">
        <f>Anassa!AE27</f>
        <v>5</v>
      </c>
    </row>
    <row r="28" spans="1:16" ht="15" x14ac:dyDescent="0.25">
      <c r="A28" s="29" t="s">
        <v>34</v>
      </c>
      <c r="B28" s="4">
        <f t="shared" si="1"/>
        <v>27</v>
      </c>
      <c r="C28" s="4">
        <v>12</v>
      </c>
      <c r="D28" s="3">
        <v>2025</v>
      </c>
      <c r="E28" s="30">
        <f>Anassa!D29-Anassa!D28</f>
        <v>8203.6999999992549</v>
      </c>
      <c r="F28" s="31">
        <f t="shared" si="0"/>
        <v>0.25629999999999997</v>
      </c>
      <c r="G28" s="32">
        <f>Anassa!N28</f>
        <v>1789.3400000000001</v>
      </c>
      <c r="H28" s="33">
        <v>0.626</v>
      </c>
      <c r="I28" s="45">
        <f>Anassa!AC28*5.04</f>
        <v>0</v>
      </c>
      <c r="J28" s="46">
        <v>8.2900000000000001E-2</v>
      </c>
      <c r="K28" s="34">
        <f>Anassa!Z28</f>
        <v>58</v>
      </c>
      <c r="L28" s="35">
        <v>1.25</v>
      </c>
      <c r="M28" s="48">
        <f>Anassa!H28</f>
        <v>1400</v>
      </c>
      <c r="N28" s="49">
        <v>0.88</v>
      </c>
      <c r="O28" s="36">
        <f>Anassa!AD28</f>
        <v>19</v>
      </c>
      <c r="P28" s="36">
        <f>Anassa!AE28</f>
        <v>30</v>
      </c>
    </row>
    <row r="29" spans="1:16" ht="15" x14ac:dyDescent="0.25">
      <c r="A29" s="29" t="s">
        <v>34</v>
      </c>
      <c r="B29" s="4">
        <f t="shared" si="1"/>
        <v>28</v>
      </c>
      <c r="C29" s="4">
        <v>12</v>
      </c>
      <c r="D29" s="3">
        <v>2025</v>
      </c>
      <c r="E29" s="30">
        <f>Anassa!D30-Anassa!D29</f>
        <v>7236.1999999992549</v>
      </c>
      <c r="F29" s="31">
        <f t="shared" si="0"/>
        <v>0.25629999999999997</v>
      </c>
      <c r="G29" s="32">
        <f>Anassa!N29</f>
        <v>749.99999999999909</v>
      </c>
      <c r="H29" s="33">
        <v>0.626</v>
      </c>
      <c r="I29" s="45">
        <f>Anassa!AC29*5.04</f>
        <v>0</v>
      </c>
      <c r="J29" s="46">
        <v>8.2900000000000001E-2</v>
      </c>
      <c r="K29" s="34">
        <f>Anassa!Z29</f>
        <v>74</v>
      </c>
      <c r="L29" s="35">
        <v>1.25</v>
      </c>
      <c r="M29" s="48">
        <f>Anassa!H29</f>
        <v>1785</v>
      </c>
      <c r="N29" s="49">
        <v>0.88</v>
      </c>
      <c r="O29" s="36">
        <f>Anassa!AD29</f>
        <v>37</v>
      </c>
      <c r="P29" s="36">
        <f>Anassa!AE29</f>
        <v>63</v>
      </c>
    </row>
    <row r="30" spans="1:16" ht="15" x14ac:dyDescent="0.25">
      <c r="A30" s="29" t="s">
        <v>34</v>
      </c>
      <c r="B30" s="4">
        <f t="shared" si="1"/>
        <v>29</v>
      </c>
      <c r="C30" s="4">
        <v>12</v>
      </c>
      <c r="D30" s="3">
        <v>2025</v>
      </c>
      <c r="E30" s="30">
        <f>Anassa!D31-Anassa!D30</f>
        <v>7228.9000000022352</v>
      </c>
      <c r="F30" s="31">
        <f t="shared" si="0"/>
        <v>0.25629999999999997</v>
      </c>
      <c r="G30" s="32">
        <f>Anassa!N30</f>
        <v>0</v>
      </c>
      <c r="H30" s="33">
        <v>0.626</v>
      </c>
      <c r="I30" s="45">
        <f>Anassa!AC30*5.04</f>
        <v>0</v>
      </c>
      <c r="J30" s="46">
        <v>8.2900000000000001E-2</v>
      </c>
      <c r="K30" s="34">
        <f>Anassa!Z30</f>
        <v>108</v>
      </c>
      <c r="L30" s="35">
        <v>1.25</v>
      </c>
      <c r="M30" s="48">
        <f>Anassa!H30</f>
        <v>1846</v>
      </c>
      <c r="N30" s="49">
        <v>0.88</v>
      </c>
      <c r="O30" s="36">
        <f>Anassa!AD30</f>
        <v>38</v>
      </c>
      <c r="P30" s="36">
        <f>Anassa!AE30</f>
        <v>70</v>
      </c>
    </row>
    <row r="31" spans="1:16" ht="15" x14ac:dyDescent="0.25">
      <c r="A31" s="29" t="s">
        <v>34</v>
      </c>
      <c r="B31" s="4">
        <f t="shared" si="1"/>
        <v>30</v>
      </c>
      <c r="C31" s="4">
        <v>12</v>
      </c>
      <c r="D31" s="3">
        <v>2025</v>
      </c>
      <c r="E31" s="30">
        <f>Anassa!D32-Anassa!D31</f>
        <v>7848.8999999985099</v>
      </c>
      <c r="F31" s="31">
        <f t="shared" si="0"/>
        <v>0.25629999999999997</v>
      </c>
      <c r="G31" s="32">
        <f>Anassa!N31</f>
        <v>575.00000000000182</v>
      </c>
      <c r="H31" s="33">
        <v>0.626</v>
      </c>
      <c r="I31" s="45">
        <f>Anassa!AC31*5.04</f>
        <v>0</v>
      </c>
      <c r="J31" s="46">
        <v>8.2900000000000001E-2</v>
      </c>
      <c r="K31" s="34">
        <f>Anassa!Z31</f>
        <v>83</v>
      </c>
      <c r="L31" s="35">
        <v>1.25</v>
      </c>
      <c r="M31" s="48">
        <f>Anassa!H31</f>
        <v>1690</v>
      </c>
      <c r="N31" s="49">
        <v>0.88</v>
      </c>
      <c r="O31" s="36">
        <f>Anassa!AD31</f>
        <v>37</v>
      </c>
      <c r="P31" s="36">
        <f>Anassa!AE31</f>
        <v>69</v>
      </c>
    </row>
    <row r="32" spans="1:16" ht="15" x14ac:dyDescent="0.25">
      <c r="A32" s="29" t="s">
        <v>34</v>
      </c>
      <c r="B32" s="4">
        <f t="shared" si="1"/>
        <v>31</v>
      </c>
      <c r="C32" s="4">
        <v>12</v>
      </c>
      <c r="D32" s="3">
        <v>2025</v>
      </c>
      <c r="E32" s="30">
        <f>Anassa!D33-Anassa!D32</f>
        <v>8697.6999999992549</v>
      </c>
      <c r="F32" s="31">
        <f t="shared" si="0"/>
        <v>0.25629999999999997</v>
      </c>
      <c r="G32" s="32">
        <f>Anassa!N32</f>
        <v>99.999999999999091</v>
      </c>
      <c r="H32" s="33">
        <v>0.626</v>
      </c>
      <c r="I32" s="45">
        <f>Anassa!AC32*5.04</f>
        <v>0</v>
      </c>
      <c r="J32" s="46">
        <v>8.2900000000000001E-2</v>
      </c>
      <c r="K32" s="34">
        <f>Anassa!Z32</f>
        <v>0</v>
      </c>
      <c r="L32" s="35">
        <v>1.25</v>
      </c>
      <c r="M32" s="48">
        <f>Anassa!H32</f>
        <v>0</v>
      </c>
      <c r="N32" s="49">
        <v>0.88</v>
      </c>
      <c r="O32" s="36">
        <f>Anassa!AD32</f>
        <v>38</v>
      </c>
      <c r="P32" s="36">
        <f>Anassa!AE32</f>
        <v>72</v>
      </c>
    </row>
    <row r="33" spans="4:16" x14ac:dyDescent="0.2">
      <c r="D33" s="37"/>
      <c r="E33" s="30" t="s">
        <v>35</v>
      </c>
      <c r="F33" s="31"/>
      <c r="I33" s="45"/>
      <c r="J33" s="46"/>
      <c r="K33" s="35"/>
      <c r="L33" s="35"/>
      <c r="O33" s="39"/>
      <c r="P33" s="39"/>
    </row>
    <row r="34" spans="4:16" x14ac:dyDescent="0.2">
      <c r="D34" s="37"/>
      <c r="F34" s="31"/>
      <c r="I34" s="45"/>
      <c r="J34" s="46"/>
      <c r="K34" s="35"/>
      <c r="L34" s="35"/>
      <c r="O34" s="39"/>
      <c r="P34" s="39"/>
    </row>
    <row r="35" spans="4:16" x14ac:dyDescent="0.2">
      <c r="D35" s="37"/>
      <c r="F35" s="31"/>
      <c r="I35" s="45"/>
      <c r="J35" s="46"/>
      <c r="K35" s="35"/>
      <c r="L35" s="35"/>
      <c r="O35" s="39"/>
      <c r="P35" s="39"/>
    </row>
    <row r="36" spans="4:16" x14ac:dyDescent="0.2">
      <c r="D36" s="37"/>
      <c r="F36" s="31"/>
      <c r="I36" s="45"/>
      <c r="J36" s="46"/>
      <c r="K36" s="35"/>
      <c r="L36" s="35"/>
      <c r="O36" s="39"/>
      <c r="P36" s="39"/>
    </row>
    <row r="37" spans="4:16" x14ac:dyDescent="0.2">
      <c r="D37" s="37"/>
      <c r="F37" s="31"/>
      <c r="I37" s="45"/>
      <c r="J37" s="46"/>
      <c r="K37" s="35"/>
      <c r="L37" s="35"/>
      <c r="O37" s="39"/>
      <c r="P37" s="39"/>
    </row>
    <row r="38" spans="4:16" x14ac:dyDescent="0.2">
      <c r="D38" s="37"/>
      <c r="F38" s="31"/>
      <c r="I38" s="45"/>
      <c r="J38" s="46"/>
      <c r="K38" s="35"/>
      <c r="L38" s="35"/>
      <c r="O38" s="39"/>
      <c r="P38" s="39"/>
    </row>
    <row r="39" spans="4:16" x14ac:dyDescent="0.2">
      <c r="D39" s="37"/>
      <c r="F39" s="31"/>
      <c r="I39" s="45"/>
      <c r="J39" s="46"/>
      <c r="K39" s="35"/>
      <c r="L39" s="35"/>
      <c r="O39" s="39"/>
      <c r="P39" s="39"/>
    </row>
    <row r="40" spans="4:16" x14ac:dyDescent="0.2">
      <c r="F40" s="31"/>
      <c r="I40" s="45"/>
      <c r="J40" s="46"/>
    </row>
    <row r="41" spans="4:16" x14ac:dyDescent="0.2">
      <c r="F41" s="31"/>
      <c r="I41" s="45"/>
      <c r="J41" s="46"/>
    </row>
    <row r="42" spans="4:16" x14ac:dyDescent="0.2">
      <c r="F42" s="31"/>
      <c r="I42" s="45"/>
      <c r="J42" s="46"/>
    </row>
    <row r="43" spans="4:16" x14ac:dyDescent="0.2">
      <c r="F43" s="31"/>
      <c r="I43" s="45"/>
      <c r="J43" s="46"/>
    </row>
    <row r="44" spans="4:16" x14ac:dyDescent="0.2">
      <c r="I44" s="45"/>
      <c r="J4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AE25" sqref="AE25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8" t="s">
        <v>1</v>
      </c>
      <c r="B1" s="51" t="s">
        <v>19</v>
      </c>
      <c r="C1" s="52" t="s">
        <v>20</v>
      </c>
      <c r="D1" s="53" t="s">
        <v>12</v>
      </c>
      <c r="E1" s="54" t="s">
        <v>3</v>
      </c>
      <c r="F1" s="55" t="s">
        <v>2</v>
      </c>
      <c r="G1" s="56" t="s">
        <v>8</v>
      </c>
      <c r="H1" s="54" t="s">
        <v>3</v>
      </c>
      <c r="I1" s="57" t="s">
        <v>4</v>
      </c>
      <c r="J1" s="58" t="s">
        <v>5</v>
      </c>
      <c r="K1" s="58" t="s">
        <v>13</v>
      </c>
      <c r="L1" s="59" t="s">
        <v>9</v>
      </c>
      <c r="M1" s="60" t="s">
        <v>7</v>
      </c>
      <c r="N1" s="54" t="s">
        <v>3</v>
      </c>
      <c r="O1" s="57" t="s">
        <v>4</v>
      </c>
      <c r="P1" s="58" t="s">
        <v>5</v>
      </c>
      <c r="Q1" s="58" t="s">
        <v>13</v>
      </c>
      <c r="R1" s="59" t="s">
        <v>14</v>
      </c>
      <c r="S1" s="60" t="s">
        <v>7</v>
      </c>
      <c r="T1" s="54" t="s">
        <v>3</v>
      </c>
      <c r="U1" s="54" t="s">
        <v>21</v>
      </c>
      <c r="V1" s="61" t="s">
        <v>15</v>
      </c>
      <c r="W1" s="62" t="s">
        <v>16</v>
      </c>
      <c r="X1" s="62" t="s">
        <v>17</v>
      </c>
      <c r="Y1" s="63" t="s">
        <v>18</v>
      </c>
      <c r="Z1" s="54" t="s">
        <v>3</v>
      </c>
      <c r="AA1" s="64" t="s">
        <v>10</v>
      </c>
      <c r="AB1" s="65" t="s">
        <v>11</v>
      </c>
      <c r="AC1" s="54" t="s">
        <v>3</v>
      </c>
      <c r="AD1" s="66" t="s">
        <v>0</v>
      </c>
      <c r="AE1" s="67" t="s">
        <v>6</v>
      </c>
    </row>
    <row r="2" spans="1:31" ht="13.5" thickBot="1" x14ac:dyDescent="0.25">
      <c r="A2" s="171">
        <v>46082</v>
      </c>
      <c r="B2" s="172">
        <v>20145468</v>
      </c>
      <c r="C2" s="173">
        <v>2739283</v>
      </c>
      <c r="D2" s="173">
        <v>17406185</v>
      </c>
      <c r="E2" s="174">
        <f t="shared" ref="E2:E32" si="0">B3-B2</f>
        <v>2337</v>
      </c>
      <c r="F2" s="175">
        <v>5298</v>
      </c>
      <c r="G2" s="176"/>
      <c r="H2" s="174">
        <f>F2+G2-F3</f>
        <v>0</v>
      </c>
      <c r="I2" s="177">
        <v>0.42</v>
      </c>
      <c r="J2" s="178">
        <v>0.4</v>
      </c>
      <c r="K2" s="178">
        <v>0.41</v>
      </c>
      <c r="L2" s="179">
        <f>SUM(I2:K2)/3*7500</f>
        <v>3075</v>
      </c>
      <c r="M2" s="180"/>
      <c r="N2" s="174">
        <f>SUM(L2+M2-L3)</f>
        <v>0</v>
      </c>
      <c r="O2" s="177">
        <v>0.35</v>
      </c>
      <c r="P2" s="178">
        <v>0.35</v>
      </c>
      <c r="Q2" s="178">
        <v>0.35</v>
      </c>
      <c r="R2" s="179">
        <f>SUM(O2:Q2)/3*1500</f>
        <v>524.99999999999989</v>
      </c>
      <c r="S2" s="180"/>
      <c r="T2" s="174">
        <f>SUM(R2+S2-R3)</f>
        <v>0</v>
      </c>
      <c r="U2" s="181">
        <f>SUM(N2+T2)</f>
        <v>0</v>
      </c>
      <c r="V2" s="182">
        <v>707631</v>
      </c>
      <c r="W2" s="183">
        <v>2060</v>
      </c>
      <c r="X2" s="183">
        <v>18550</v>
      </c>
      <c r="Y2" s="183">
        <f>SUM(V2-W2-X2)</f>
        <v>687021</v>
      </c>
      <c r="Z2" s="174">
        <f t="shared" ref="Z2:Z31" si="1">SUM(Y3-Y2)</f>
        <v>103</v>
      </c>
      <c r="AA2" s="184">
        <v>0</v>
      </c>
      <c r="AB2" s="185">
        <v>0</v>
      </c>
      <c r="AC2" s="174">
        <f>SUM(AA2+AB2-AA3)</f>
        <v>0</v>
      </c>
      <c r="AD2" s="186">
        <v>0</v>
      </c>
      <c r="AE2" s="187">
        <v>0</v>
      </c>
    </row>
    <row r="3" spans="1:31" x14ac:dyDescent="0.2">
      <c r="A3" s="188">
        <v>46083</v>
      </c>
      <c r="B3" s="154">
        <v>20147805</v>
      </c>
      <c r="C3" s="155">
        <v>2739490</v>
      </c>
      <c r="D3" s="155">
        <f t="shared" ref="D3:D33" si="2">B3-C3</f>
        <v>17408315</v>
      </c>
      <c r="E3" s="156">
        <f t="shared" si="0"/>
        <v>2855</v>
      </c>
      <c r="F3" s="157">
        <v>5298</v>
      </c>
      <c r="G3" s="158"/>
      <c r="H3" s="159">
        <f t="shared" ref="H3:H31" si="3">F3+G3-F4</f>
        <v>0</v>
      </c>
      <c r="I3" s="160">
        <v>0.42</v>
      </c>
      <c r="J3" s="161">
        <v>0.4</v>
      </c>
      <c r="K3" s="161">
        <v>0.41</v>
      </c>
      <c r="L3" s="162">
        <f>SUM(I3:K3)/3*7500</f>
        <v>3075</v>
      </c>
      <c r="M3" s="163"/>
      <c r="N3" s="159">
        <f>SUM(L3+M3-L4)</f>
        <v>0</v>
      </c>
      <c r="O3" s="160">
        <v>0.35</v>
      </c>
      <c r="P3" s="161">
        <v>0.35</v>
      </c>
      <c r="Q3" s="161">
        <v>0.35</v>
      </c>
      <c r="R3" s="162">
        <f t="shared" ref="R3:R33" si="4">SUM(O3:Q3)/3*1500</f>
        <v>524.99999999999989</v>
      </c>
      <c r="S3" s="163"/>
      <c r="T3" s="159">
        <f t="shared" ref="T3:T31" si="5">SUM(R3+S3-R4)</f>
        <v>0</v>
      </c>
      <c r="U3" s="164">
        <f t="shared" ref="U3:U31" si="6">SUM(N3+T3)</f>
        <v>0</v>
      </c>
      <c r="V3" s="165">
        <v>707768</v>
      </c>
      <c r="W3" s="166">
        <v>2089</v>
      </c>
      <c r="X3" s="166">
        <v>18555</v>
      </c>
      <c r="Y3" s="166">
        <f t="shared" ref="Y3:Y10" si="7">SUM(V3-W3-X3)</f>
        <v>687124</v>
      </c>
      <c r="Z3" s="159">
        <f t="shared" si="1"/>
        <v>110</v>
      </c>
      <c r="AA3" s="167">
        <v>0</v>
      </c>
      <c r="AB3" s="168">
        <v>0</v>
      </c>
      <c r="AC3" s="159">
        <f>SUM(AA3+AB3-AA4)</f>
        <v>0</v>
      </c>
      <c r="AD3" s="169">
        <v>0</v>
      </c>
      <c r="AE3" s="170">
        <v>0</v>
      </c>
    </row>
    <row r="4" spans="1:31" x14ac:dyDescent="0.2">
      <c r="A4" s="152">
        <v>46084</v>
      </c>
      <c r="B4" s="117">
        <v>20150660</v>
      </c>
      <c r="C4" s="118">
        <f>SUM(4263.9+1820923.2+591772+10091.2+281719+31090)</f>
        <v>2739859.3</v>
      </c>
      <c r="D4" s="118">
        <f t="shared" si="2"/>
        <v>17410800.699999999</v>
      </c>
      <c r="E4" s="119">
        <f t="shared" si="0"/>
        <v>2536</v>
      </c>
      <c r="F4" s="120">
        <v>5298</v>
      </c>
      <c r="G4" s="121"/>
      <c r="H4" s="122">
        <f t="shared" si="3"/>
        <v>0</v>
      </c>
      <c r="I4" s="123">
        <v>0.42</v>
      </c>
      <c r="J4" s="124">
        <v>0.4</v>
      </c>
      <c r="K4" s="124">
        <v>0.41</v>
      </c>
      <c r="L4" s="125">
        <f t="shared" ref="L4:L33" si="8">SUM(I4:K4)/3*7500</f>
        <v>3075</v>
      </c>
      <c r="M4" s="126"/>
      <c r="N4" s="122">
        <f t="shared" ref="N4:N32" si="9">SUM(L4+M4-L5)</f>
        <v>50</v>
      </c>
      <c r="O4" s="123">
        <v>0.35</v>
      </c>
      <c r="P4" s="124">
        <v>0.35</v>
      </c>
      <c r="Q4" s="124">
        <v>0.35</v>
      </c>
      <c r="R4" s="125">
        <f t="shared" si="4"/>
        <v>524.99999999999989</v>
      </c>
      <c r="S4" s="126"/>
      <c r="T4" s="122">
        <f t="shared" si="5"/>
        <v>0</v>
      </c>
      <c r="U4" s="127">
        <f t="shared" si="6"/>
        <v>50</v>
      </c>
      <c r="V4" s="128">
        <v>707946</v>
      </c>
      <c r="W4" s="129">
        <v>2148</v>
      </c>
      <c r="X4" s="129">
        <v>18564</v>
      </c>
      <c r="Y4" s="129">
        <f t="shared" si="7"/>
        <v>687234</v>
      </c>
      <c r="Z4" s="122">
        <f t="shared" si="1"/>
        <v>12</v>
      </c>
      <c r="AA4" s="130">
        <v>0</v>
      </c>
      <c r="AB4" s="131">
        <v>0</v>
      </c>
      <c r="AC4" s="122">
        <f t="shared" ref="AC4" si="10">AA4-AA5</f>
        <v>0</v>
      </c>
      <c r="AD4" s="132">
        <v>0</v>
      </c>
      <c r="AE4" s="133">
        <v>0</v>
      </c>
    </row>
    <row r="5" spans="1:31" x14ac:dyDescent="0.2">
      <c r="A5" s="152">
        <v>46085</v>
      </c>
      <c r="B5" s="117">
        <v>20153196</v>
      </c>
      <c r="C5" s="118">
        <f>SUM(4264.4+1821123.7+591772+10091.4+281800+31104)</f>
        <v>2740155.4999999995</v>
      </c>
      <c r="D5" s="118">
        <f t="shared" si="2"/>
        <v>17413040.5</v>
      </c>
      <c r="E5" s="119">
        <f t="shared" si="0"/>
        <v>2744</v>
      </c>
      <c r="F5" s="120">
        <v>5298</v>
      </c>
      <c r="G5" s="121"/>
      <c r="H5" s="122">
        <f t="shared" si="3"/>
        <v>0</v>
      </c>
      <c r="I5" s="123">
        <v>0.4</v>
      </c>
      <c r="J5" s="124">
        <v>0.4</v>
      </c>
      <c r="K5" s="124">
        <v>0.41</v>
      </c>
      <c r="L5" s="125">
        <f t="shared" si="8"/>
        <v>3025</v>
      </c>
      <c r="M5" s="126"/>
      <c r="N5" s="122">
        <f t="shared" si="9"/>
        <v>-50</v>
      </c>
      <c r="O5" s="123">
        <v>0.35</v>
      </c>
      <c r="P5" s="124">
        <v>0.35</v>
      </c>
      <c r="Q5" s="124">
        <v>0.35</v>
      </c>
      <c r="R5" s="125">
        <f t="shared" si="4"/>
        <v>524.99999999999989</v>
      </c>
      <c r="S5" s="126"/>
      <c r="T5" s="122">
        <f t="shared" si="5"/>
        <v>0</v>
      </c>
      <c r="U5" s="127">
        <f t="shared" si="6"/>
        <v>-50</v>
      </c>
      <c r="V5" s="128">
        <v>708021</v>
      </c>
      <c r="W5" s="129">
        <v>2201</v>
      </c>
      <c r="X5" s="129">
        <v>18574</v>
      </c>
      <c r="Y5" s="129">
        <f t="shared" si="7"/>
        <v>687246</v>
      </c>
      <c r="Z5" s="122">
        <f t="shared" si="1"/>
        <v>20</v>
      </c>
      <c r="AA5" s="130">
        <v>0</v>
      </c>
      <c r="AB5" s="131">
        <v>0</v>
      </c>
      <c r="AC5" s="122">
        <f>SUM(AA5+AB5-AA6)</f>
        <v>0</v>
      </c>
      <c r="AD5" s="132">
        <v>0</v>
      </c>
      <c r="AE5" s="133">
        <v>0</v>
      </c>
    </row>
    <row r="6" spans="1:31" x14ac:dyDescent="0.2">
      <c r="A6" s="152">
        <v>46086</v>
      </c>
      <c r="B6" s="117">
        <v>20155940</v>
      </c>
      <c r="C6" s="118">
        <f>SUM(4265.2+1821333.4+591772+10091.6+281869+31119)</f>
        <v>2740450.1999999997</v>
      </c>
      <c r="D6" s="118">
        <f t="shared" si="2"/>
        <v>17415489.800000001</v>
      </c>
      <c r="E6" s="119">
        <f t="shared" si="0"/>
        <v>2614</v>
      </c>
      <c r="F6" s="120">
        <v>5298</v>
      </c>
      <c r="G6" s="121"/>
      <c r="H6" s="122">
        <f t="shared" si="3"/>
        <v>0</v>
      </c>
      <c r="I6" s="123">
        <v>0.42</v>
      </c>
      <c r="J6" s="124">
        <v>0.4</v>
      </c>
      <c r="K6" s="124">
        <v>0.41</v>
      </c>
      <c r="L6" s="125">
        <f t="shared" si="8"/>
        <v>3075</v>
      </c>
      <c r="M6" s="126"/>
      <c r="N6" s="122">
        <f t="shared" si="9"/>
        <v>74.999999999999545</v>
      </c>
      <c r="O6" s="123">
        <v>0.35</v>
      </c>
      <c r="P6" s="124">
        <v>0.35</v>
      </c>
      <c r="Q6" s="124">
        <v>0.35</v>
      </c>
      <c r="R6" s="125">
        <f t="shared" si="4"/>
        <v>524.99999999999989</v>
      </c>
      <c r="S6" s="126"/>
      <c r="T6" s="122">
        <f t="shared" si="5"/>
        <v>0</v>
      </c>
      <c r="U6" s="127">
        <f t="shared" si="6"/>
        <v>74.999999999999545</v>
      </c>
      <c r="V6" s="128">
        <v>708094</v>
      </c>
      <c r="W6" s="129">
        <v>2247</v>
      </c>
      <c r="X6" s="129">
        <v>18581</v>
      </c>
      <c r="Y6" s="129">
        <f t="shared" si="7"/>
        <v>687266</v>
      </c>
      <c r="Z6" s="122">
        <f t="shared" si="1"/>
        <v>27</v>
      </c>
      <c r="AA6" s="130">
        <v>0</v>
      </c>
      <c r="AB6" s="131">
        <v>0</v>
      </c>
      <c r="AC6" s="122">
        <f>SUM(AA6+AB6-AA7)</f>
        <v>0</v>
      </c>
      <c r="AD6" s="132">
        <v>0</v>
      </c>
      <c r="AE6" s="133">
        <v>0</v>
      </c>
    </row>
    <row r="7" spans="1:31" x14ac:dyDescent="0.2">
      <c r="A7" s="152">
        <v>46087</v>
      </c>
      <c r="B7" s="117">
        <v>20158554</v>
      </c>
      <c r="C7" s="118">
        <f>SUM(4265.7+1821522.1+591772+10091.8+281942+31131)</f>
        <v>2740724.5999999996</v>
      </c>
      <c r="D7" s="118">
        <f>B7-C7</f>
        <v>17417829.399999999</v>
      </c>
      <c r="E7" s="119">
        <f t="shared" si="0"/>
        <v>2944</v>
      </c>
      <c r="F7" s="120">
        <v>5298</v>
      </c>
      <c r="G7" s="121"/>
      <c r="H7" s="122">
        <f t="shared" si="3"/>
        <v>0</v>
      </c>
      <c r="I7" s="123">
        <v>0.4</v>
      </c>
      <c r="J7" s="124">
        <v>0.4</v>
      </c>
      <c r="K7" s="124">
        <v>0.4</v>
      </c>
      <c r="L7" s="125">
        <f t="shared" si="8"/>
        <v>3000.0000000000005</v>
      </c>
      <c r="M7" s="126"/>
      <c r="N7" s="122">
        <f t="shared" si="9"/>
        <v>0</v>
      </c>
      <c r="O7" s="123">
        <v>0.35</v>
      </c>
      <c r="P7" s="124">
        <v>0.35</v>
      </c>
      <c r="Q7" s="124">
        <v>0.35</v>
      </c>
      <c r="R7" s="125">
        <f t="shared" si="4"/>
        <v>524.99999999999989</v>
      </c>
      <c r="S7" s="126"/>
      <c r="T7" s="122">
        <f t="shared" si="5"/>
        <v>0</v>
      </c>
      <c r="U7" s="127">
        <f t="shared" si="6"/>
        <v>0</v>
      </c>
      <c r="V7" s="128">
        <v>708177</v>
      </c>
      <c r="W7" s="129">
        <v>2296</v>
      </c>
      <c r="X7" s="129">
        <v>18588</v>
      </c>
      <c r="Y7" s="129">
        <f t="shared" si="7"/>
        <v>687293</v>
      </c>
      <c r="Z7" s="122">
        <f t="shared" si="1"/>
        <v>92</v>
      </c>
      <c r="AA7" s="130">
        <v>0</v>
      </c>
      <c r="AB7" s="131">
        <v>0</v>
      </c>
      <c r="AC7" s="122">
        <f>SUM(AA7+AB7-AA8)</f>
        <v>0</v>
      </c>
      <c r="AD7" s="132">
        <v>0</v>
      </c>
      <c r="AE7" s="133">
        <v>0</v>
      </c>
    </row>
    <row r="8" spans="1:31" x14ac:dyDescent="0.2">
      <c r="A8" s="152">
        <v>46088</v>
      </c>
      <c r="B8" s="117">
        <v>20161498</v>
      </c>
      <c r="C8" s="118">
        <f>SUM(4266.2+1821670.5+591772+10091.9+282007+31143)</f>
        <v>2740950.6</v>
      </c>
      <c r="D8" s="118">
        <f t="shared" si="2"/>
        <v>17420547.399999999</v>
      </c>
      <c r="E8" s="119">
        <f t="shared" si="0"/>
        <v>2894</v>
      </c>
      <c r="F8" s="120">
        <v>5298</v>
      </c>
      <c r="G8" s="121"/>
      <c r="H8" s="122">
        <f t="shared" si="3"/>
        <v>0</v>
      </c>
      <c r="I8" s="123">
        <v>0.4</v>
      </c>
      <c r="J8" s="124">
        <v>0.4</v>
      </c>
      <c r="K8" s="124">
        <v>0.4</v>
      </c>
      <c r="L8" s="125">
        <f t="shared" si="8"/>
        <v>3000.0000000000005</v>
      </c>
      <c r="M8" s="126"/>
      <c r="N8" s="122">
        <f t="shared" si="9"/>
        <v>0</v>
      </c>
      <c r="O8" s="123">
        <v>0.35</v>
      </c>
      <c r="P8" s="124">
        <v>0.35</v>
      </c>
      <c r="Q8" s="124">
        <v>0.35</v>
      </c>
      <c r="R8" s="125">
        <f t="shared" si="4"/>
        <v>524.99999999999989</v>
      </c>
      <c r="S8" s="126"/>
      <c r="T8" s="122">
        <f t="shared" si="5"/>
        <v>0</v>
      </c>
      <c r="U8" s="127">
        <f t="shared" si="6"/>
        <v>0</v>
      </c>
      <c r="V8" s="128">
        <v>708318</v>
      </c>
      <c r="W8" s="129">
        <v>2338</v>
      </c>
      <c r="X8" s="129">
        <v>18595</v>
      </c>
      <c r="Y8" s="129">
        <f t="shared" si="7"/>
        <v>687385</v>
      </c>
      <c r="Z8" s="122">
        <f t="shared" si="1"/>
        <v>9</v>
      </c>
      <c r="AA8" s="130">
        <v>0</v>
      </c>
      <c r="AB8" s="131">
        <v>0</v>
      </c>
      <c r="AC8" s="122">
        <f t="shared" ref="AC8:AC32" si="11">SUM(AA8+AB8-AA9)</f>
        <v>0</v>
      </c>
      <c r="AD8" s="132">
        <v>0</v>
      </c>
      <c r="AE8" s="133">
        <v>0</v>
      </c>
    </row>
    <row r="9" spans="1:31" ht="13.5" thickBot="1" x14ac:dyDescent="0.25">
      <c r="A9" s="189">
        <v>46089</v>
      </c>
      <c r="B9" s="134">
        <v>20164392</v>
      </c>
      <c r="C9" s="135">
        <v>2741136</v>
      </c>
      <c r="D9" s="135">
        <f t="shared" si="2"/>
        <v>17423256</v>
      </c>
      <c r="E9" s="136">
        <f t="shared" si="0"/>
        <v>2895</v>
      </c>
      <c r="F9" s="137">
        <v>5298</v>
      </c>
      <c r="G9" s="138"/>
      <c r="H9" s="139">
        <f t="shared" si="3"/>
        <v>126</v>
      </c>
      <c r="I9" s="140">
        <v>0.4</v>
      </c>
      <c r="J9" s="141">
        <v>0.4</v>
      </c>
      <c r="K9" s="141">
        <v>0.4</v>
      </c>
      <c r="L9" s="142">
        <f t="shared" si="8"/>
        <v>3000.0000000000005</v>
      </c>
      <c r="M9" s="143"/>
      <c r="N9" s="139">
        <f t="shared" si="9"/>
        <v>0</v>
      </c>
      <c r="O9" s="140">
        <v>0.35</v>
      </c>
      <c r="P9" s="141">
        <v>0.35</v>
      </c>
      <c r="Q9" s="141">
        <v>0.35</v>
      </c>
      <c r="R9" s="142">
        <f t="shared" si="4"/>
        <v>524.99999999999989</v>
      </c>
      <c r="S9" s="143"/>
      <c r="T9" s="139">
        <f t="shared" si="5"/>
        <v>0</v>
      </c>
      <c r="U9" s="144">
        <f t="shared" si="6"/>
        <v>0</v>
      </c>
      <c r="V9" s="145">
        <v>708358</v>
      </c>
      <c r="W9" s="146">
        <v>2364</v>
      </c>
      <c r="X9" s="146">
        <v>18600</v>
      </c>
      <c r="Y9" s="146">
        <f t="shared" si="7"/>
        <v>687394</v>
      </c>
      <c r="Z9" s="139">
        <f t="shared" si="1"/>
        <v>10</v>
      </c>
      <c r="AA9" s="147">
        <v>0</v>
      </c>
      <c r="AB9" s="148">
        <v>0</v>
      </c>
      <c r="AC9" s="139">
        <f t="shared" si="11"/>
        <v>0</v>
      </c>
      <c r="AD9" s="149">
        <v>0</v>
      </c>
      <c r="AE9" s="150">
        <v>0</v>
      </c>
    </row>
    <row r="10" spans="1:31" x14ac:dyDescent="0.2">
      <c r="A10" s="188">
        <v>46090</v>
      </c>
      <c r="B10" s="154">
        <v>20167287</v>
      </c>
      <c r="C10" s="155">
        <f>SUM(4267+1821922.4+591772+10092.3+282105+31161)</f>
        <v>2741319.6999999997</v>
      </c>
      <c r="D10" s="155">
        <f t="shared" si="2"/>
        <v>17425967.300000001</v>
      </c>
      <c r="E10" s="156">
        <f t="shared" si="0"/>
        <v>3378</v>
      </c>
      <c r="F10" s="157">
        <v>5172</v>
      </c>
      <c r="G10" s="158"/>
      <c r="H10" s="159">
        <f t="shared" si="3"/>
        <v>0</v>
      </c>
      <c r="I10" s="160">
        <v>0.4</v>
      </c>
      <c r="J10" s="161">
        <v>0.4</v>
      </c>
      <c r="K10" s="161">
        <v>0.4</v>
      </c>
      <c r="L10" s="162">
        <f t="shared" si="8"/>
        <v>3000.0000000000005</v>
      </c>
      <c r="M10" s="163"/>
      <c r="N10" s="159">
        <f t="shared" si="9"/>
        <v>0</v>
      </c>
      <c r="O10" s="160">
        <v>0.35</v>
      </c>
      <c r="P10" s="161">
        <v>0.35</v>
      </c>
      <c r="Q10" s="161">
        <v>0.35</v>
      </c>
      <c r="R10" s="162">
        <f t="shared" si="4"/>
        <v>524.99999999999989</v>
      </c>
      <c r="S10" s="163"/>
      <c r="T10" s="159">
        <f>SUM(R11-S10-R10)</f>
        <v>0</v>
      </c>
      <c r="U10" s="164">
        <f t="shared" si="6"/>
        <v>0</v>
      </c>
      <c r="V10" s="165">
        <v>708398</v>
      </c>
      <c r="W10" s="166">
        <v>2389</v>
      </c>
      <c r="X10" s="166">
        <v>18605</v>
      </c>
      <c r="Y10" s="166">
        <f t="shared" si="7"/>
        <v>687404</v>
      </c>
      <c r="Z10" s="159">
        <f t="shared" si="1"/>
        <v>33</v>
      </c>
      <c r="AA10" s="167">
        <v>0</v>
      </c>
      <c r="AB10" s="168">
        <v>0</v>
      </c>
      <c r="AC10" s="159">
        <f t="shared" si="11"/>
        <v>0</v>
      </c>
      <c r="AD10" s="169">
        <v>0</v>
      </c>
      <c r="AE10" s="170">
        <v>0</v>
      </c>
    </row>
    <row r="11" spans="1:31" x14ac:dyDescent="0.2">
      <c r="A11" s="152">
        <v>46091</v>
      </c>
      <c r="B11" s="117">
        <v>20170665</v>
      </c>
      <c r="C11" s="118">
        <f>SUM(4267.6+1822487.1+591772+10092.5+282187+31178)</f>
        <v>2741984.2</v>
      </c>
      <c r="D11" s="118">
        <f t="shared" si="2"/>
        <v>17428680.800000001</v>
      </c>
      <c r="E11" s="119">
        <f t="shared" si="0"/>
        <v>3230</v>
      </c>
      <c r="F11" s="120">
        <v>5172</v>
      </c>
      <c r="G11" s="121"/>
      <c r="H11" s="122">
        <f t="shared" si="3"/>
        <v>0</v>
      </c>
      <c r="I11" s="123">
        <v>0.4</v>
      </c>
      <c r="J11" s="124">
        <v>0.4</v>
      </c>
      <c r="K11" s="124">
        <v>0.4</v>
      </c>
      <c r="L11" s="125">
        <f t="shared" si="8"/>
        <v>3000.0000000000005</v>
      </c>
      <c r="M11" s="126"/>
      <c r="N11" s="122">
        <f t="shared" si="9"/>
        <v>0</v>
      </c>
      <c r="O11" s="123">
        <v>0.35</v>
      </c>
      <c r="P11" s="124">
        <v>0.35</v>
      </c>
      <c r="Q11" s="124">
        <v>0.35</v>
      </c>
      <c r="R11" s="125">
        <f t="shared" si="4"/>
        <v>524.99999999999989</v>
      </c>
      <c r="S11" s="126"/>
      <c r="T11" s="122">
        <f t="shared" si="5"/>
        <v>0</v>
      </c>
      <c r="U11" s="127">
        <f t="shared" si="6"/>
        <v>0</v>
      </c>
      <c r="V11" s="128">
        <v>708500</v>
      </c>
      <c r="W11" s="129">
        <v>2451</v>
      </c>
      <c r="X11" s="129">
        <v>18612</v>
      </c>
      <c r="Y11" s="129">
        <f t="shared" ref="Y11:Y33" si="12">SUM(V11-W11-X11)</f>
        <v>687437</v>
      </c>
      <c r="Z11" s="122">
        <f t="shared" si="1"/>
        <v>44</v>
      </c>
      <c r="AA11" s="130">
        <v>0</v>
      </c>
      <c r="AB11" s="131">
        <v>0</v>
      </c>
      <c r="AC11" s="122">
        <f t="shared" si="11"/>
        <v>0</v>
      </c>
      <c r="AD11" s="132">
        <v>0</v>
      </c>
      <c r="AE11" s="133">
        <v>0</v>
      </c>
    </row>
    <row r="12" spans="1:31" x14ac:dyDescent="0.2">
      <c r="A12" s="152">
        <v>46092</v>
      </c>
      <c r="B12" s="117">
        <v>20173895</v>
      </c>
      <c r="C12" s="118">
        <f>SUM(4268.1+1822401.7+591772+11092.7+282268+31192)</f>
        <v>2742994.5</v>
      </c>
      <c r="D12" s="118">
        <f t="shared" si="2"/>
        <v>17430900.5</v>
      </c>
      <c r="E12" s="119">
        <f t="shared" si="0"/>
        <v>2884</v>
      </c>
      <c r="F12" s="120">
        <v>5172</v>
      </c>
      <c r="G12" s="121"/>
      <c r="H12" s="122">
        <f t="shared" si="3"/>
        <v>0</v>
      </c>
      <c r="I12" s="123">
        <v>0.4</v>
      </c>
      <c r="J12" s="124">
        <v>0.4</v>
      </c>
      <c r="K12" s="124">
        <v>0.4</v>
      </c>
      <c r="L12" s="125">
        <f t="shared" si="8"/>
        <v>3000.0000000000005</v>
      </c>
      <c r="M12" s="126"/>
      <c r="N12" s="122">
        <f t="shared" si="9"/>
        <v>0</v>
      </c>
      <c r="O12" s="123">
        <v>0.35</v>
      </c>
      <c r="P12" s="124">
        <v>0.35</v>
      </c>
      <c r="Q12" s="124">
        <v>0.35</v>
      </c>
      <c r="R12" s="125">
        <f t="shared" si="4"/>
        <v>524.99999999999989</v>
      </c>
      <c r="S12" s="126"/>
      <c r="T12" s="122">
        <f t="shared" si="5"/>
        <v>0</v>
      </c>
      <c r="U12" s="127">
        <f t="shared" si="6"/>
        <v>0</v>
      </c>
      <c r="V12" s="128">
        <v>708604</v>
      </c>
      <c r="W12" s="129">
        <v>2505</v>
      </c>
      <c r="X12" s="129">
        <v>18618</v>
      </c>
      <c r="Y12" s="129">
        <f t="shared" si="12"/>
        <v>687481</v>
      </c>
      <c r="Z12" s="122">
        <f t="shared" si="1"/>
        <v>63</v>
      </c>
      <c r="AA12" s="130">
        <v>0</v>
      </c>
      <c r="AB12" s="131">
        <v>0</v>
      </c>
      <c r="AC12" s="122">
        <f t="shared" si="11"/>
        <v>0</v>
      </c>
      <c r="AD12" s="132">
        <v>0</v>
      </c>
      <c r="AE12" s="133">
        <v>0</v>
      </c>
    </row>
    <row r="13" spans="1:31" x14ac:dyDescent="0.2">
      <c r="A13" s="152">
        <v>46093</v>
      </c>
      <c r="B13" s="117">
        <v>20176779</v>
      </c>
      <c r="C13" s="118">
        <f>SUM(4268.4+1822515.7+591772+10092.9+282307+31198)</f>
        <v>2742153.9999999995</v>
      </c>
      <c r="D13" s="118">
        <f t="shared" si="2"/>
        <v>17434625</v>
      </c>
      <c r="E13" s="119">
        <f t="shared" si="0"/>
        <v>3505</v>
      </c>
      <c r="F13" s="120">
        <v>5172</v>
      </c>
      <c r="G13" s="121">
        <v>11450</v>
      </c>
      <c r="H13" s="122">
        <f t="shared" si="3"/>
        <v>211</v>
      </c>
      <c r="I13" s="123">
        <v>0.4</v>
      </c>
      <c r="J13" s="124">
        <v>0.4</v>
      </c>
      <c r="K13" s="124">
        <v>0.4</v>
      </c>
      <c r="L13" s="125">
        <f t="shared" si="8"/>
        <v>3000.0000000000005</v>
      </c>
      <c r="M13" s="126"/>
      <c r="N13" s="122">
        <f t="shared" si="9"/>
        <v>0</v>
      </c>
      <c r="O13" s="123">
        <v>0.35</v>
      </c>
      <c r="P13" s="124">
        <v>0.35</v>
      </c>
      <c r="Q13" s="124">
        <v>0.35</v>
      </c>
      <c r="R13" s="125">
        <f t="shared" si="4"/>
        <v>524.99999999999989</v>
      </c>
      <c r="S13" s="126"/>
      <c r="T13" s="122">
        <f t="shared" si="5"/>
        <v>0</v>
      </c>
      <c r="U13" s="127">
        <f t="shared" si="6"/>
        <v>0</v>
      </c>
      <c r="V13" s="128">
        <v>708693</v>
      </c>
      <c r="W13" s="129">
        <v>2527</v>
      </c>
      <c r="X13" s="129">
        <v>18622</v>
      </c>
      <c r="Y13" s="129">
        <f t="shared" si="12"/>
        <v>687544</v>
      </c>
      <c r="Z13" s="122">
        <f t="shared" si="1"/>
        <v>14</v>
      </c>
      <c r="AA13" s="130">
        <v>0</v>
      </c>
      <c r="AB13" s="131">
        <v>0</v>
      </c>
      <c r="AC13" s="122">
        <f t="shared" si="11"/>
        <v>0</v>
      </c>
      <c r="AD13" s="132">
        <v>0</v>
      </c>
      <c r="AE13" s="133">
        <v>0</v>
      </c>
    </row>
    <row r="14" spans="1:31" x14ac:dyDescent="0.2">
      <c r="A14" s="152">
        <v>46094</v>
      </c>
      <c r="B14" s="117">
        <v>20180284</v>
      </c>
      <c r="C14" s="118">
        <f>SUM(4269+1822691.7+591772+10093.1+282416+31211)</f>
        <v>2742452.8000000003</v>
      </c>
      <c r="D14" s="118">
        <f t="shared" si="2"/>
        <v>17437831.199999999</v>
      </c>
      <c r="E14" s="119">
        <f t="shared" si="0"/>
        <v>3291</v>
      </c>
      <c r="F14" s="120">
        <v>16411</v>
      </c>
      <c r="G14" s="121"/>
      <c r="H14" s="122">
        <f t="shared" si="3"/>
        <v>0</v>
      </c>
      <c r="I14" s="123">
        <v>0.4</v>
      </c>
      <c r="J14" s="124">
        <v>0.4</v>
      </c>
      <c r="K14" s="124">
        <v>0.4</v>
      </c>
      <c r="L14" s="125">
        <f t="shared" si="8"/>
        <v>3000.0000000000005</v>
      </c>
      <c r="M14" s="126"/>
      <c r="N14" s="122">
        <f t="shared" si="9"/>
        <v>0</v>
      </c>
      <c r="O14" s="123">
        <v>0.35</v>
      </c>
      <c r="P14" s="124">
        <v>0.35</v>
      </c>
      <c r="Q14" s="124">
        <v>0.35</v>
      </c>
      <c r="R14" s="125">
        <f t="shared" si="4"/>
        <v>524.99999999999989</v>
      </c>
      <c r="S14" s="126"/>
      <c r="T14" s="122">
        <f t="shared" si="5"/>
        <v>0</v>
      </c>
      <c r="U14" s="127">
        <f t="shared" si="6"/>
        <v>0</v>
      </c>
      <c r="V14" s="128">
        <v>708762</v>
      </c>
      <c r="W14" s="129">
        <v>2576</v>
      </c>
      <c r="X14" s="129">
        <v>18628</v>
      </c>
      <c r="Y14" s="129">
        <f t="shared" si="12"/>
        <v>687558</v>
      </c>
      <c r="Z14" s="122">
        <f t="shared" si="1"/>
        <v>35</v>
      </c>
      <c r="AA14" s="130">
        <v>0</v>
      </c>
      <c r="AB14" s="131">
        <v>0</v>
      </c>
      <c r="AC14" s="122">
        <f t="shared" si="11"/>
        <v>0</v>
      </c>
      <c r="AD14" s="132">
        <v>0</v>
      </c>
      <c r="AE14" s="133">
        <v>0</v>
      </c>
    </row>
    <row r="15" spans="1:31" x14ac:dyDescent="0.2">
      <c r="A15" s="152">
        <v>46095</v>
      </c>
      <c r="B15" s="117">
        <v>20183575</v>
      </c>
      <c r="C15" s="118">
        <v>2742649</v>
      </c>
      <c r="D15" s="118">
        <f t="shared" si="2"/>
        <v>17440926</v>
      </c>
      <c r="E15" s="119">
        <f t="shared" si="0"/>
        <v>3291</v>
      </c>
      <c r="F15" s="120">
        <v>16411</v>
      </c>
      <c r="G15" s="121"/>
      <c r="H15" s="122">
        <f t="shared" si="3"/>
        <v>0</v>
      </c>
      <c r="I15" s="123">
        <v>0.4</v>
      </c>
      <c r="J15" s="124">
        <v>0.4</v>
      </c>
      <c r="K15" s="124">
        <v>0.4</v>
      </c>
      <c r="L15" s="125">
        <f t="shared" si="8"/>
        <v>3000.0000000000005</v>
      </c>
      <c r="M15" s="126"/>
      <c r="N15" s="122">
        <f t="shared" si="9"/>
        <v>0</v>
      </c>
      <c r="O15" s="123">
        <v>0.35</v>
      </c>
      <c r="P15" s="124">
        <v>0.35</v>
      </c>
      <c r="Q15" s="124">
        <v>0.35</v>
      </c>
      <c r="R15" s="125">
        <f t="shared" si="4"/>
        <v>524.99999999999989</v>
      </c>
      <c r="S15" s="126"/>
      <c r="T15" s="122">
        <f t="shared" si="5"/>
        <v>0</v>
      </c>
      <c r="U15" s="127">
        <f t="shared" si="6"/>
        <v>0</v>
      </c>
      <c r="V15" s="128">
        <v>708824</v>
      </c>
      <c r="W15" s="129">
        <v>2599</v>
      </c>
      <c r="X15" s="129">
        <v>18632</v>
      </c>
      <c r="Y15" s="129">
        <f t="shared" si="12"/>
        <v>687593</v>
      </c>
      <c r="Z15" s="122">
        <f t="shared" si="1"/>
        <v>35</v>
      </c>
      <c r="AA15" s="130">
        <v>0</v>
      </c>
      <c r="AB15" s="131">
        <v>0</v>
      </c>
      <c r="AC15" s="122">
        <f t="shared" si="11"/>
        <v>0</v>
      </c>
      <c r="AD15" s="132">
        <v>0</v>
      </c>
      <c r="AE15" s="133">
        <v>0</v>
      </c>
    </row>
    <row r="16" spans="1:31" ht="13.5" thickBot="1" x14ac:dyDescent="0.25">
      <c r="A16" s="189">
        <v>46096</v>
      </c>
      <c r="B16" s="134">
        <v>20186866</v>
      </c>
      <c r="C16" s="135">
        <v>2742844</v>
      </c>
      <c r="D16" s="135">
        <f t="shared" si="2"/>
        <v>17444022</v>
      </c>
      <c r="E16" s="136">
        <f t="shared" si="0"/>
        <v>3291</v>
      </c>
      <c r="F16" s="137">
        <v>16411</v>
      </c>
      <c r="G16" s="138"/>
      <c r="H16" s="139">
        <f t="shared" si="3"/>
        <v>271</v>
      </c>
      <c r="I16" s="140">
        <v>0.4</v>
      </c>
      <c r="J16" s="141">
        <v>0.4</v>
      </c>
      <c r="K16" s="141">
        <v>0.4</v>
      </c>
      <c r="L16" s="142">
        <f t="shared" si="8"/>
        <v>3000.0000000000005</v>
      </c>
      <c r="M16" s="143"/>
      <c r="N16" s="139">
        <f t="shared" si="9"/>
        <v>75.000000000000909</v>
      </c>
      <c r="O16" s="140">
        <v>0.35</v>
      </c>
      <c r="P16" s="141">
        <v>0.35</v>
      </c>
      <c r="Q16" s="141">
        <v>0.35</v>
      </c>
      <c r="R16" s="142">
        <f t="shared" si="4"/>
        <v>524.99999999999989</v>
      </c>
      <c r="S16" s="143"/>
      <c r="T16" s="139">
        <f t="shared" si="5"/>
        <v>0</v>
      </c>
      <c r="U16" s="144">
        <f t="shared" si="6"/>
        <v>75.000000000000909</v>
      </c>
      <c r="V16" s="145">
        <v>708887</v>
      </c>
      <c r="W16" s="146">
        <v>2622</v>
      </c>
      <c r="X16" s="146">
        <v>18637</v>
      </c>
      <c r="Y16" s="146">
        <f t="shared" si="12"/>
        <v>687628</v>
      </c>
      <c r="Z16" s="139">
        <f t="shared" si="1"/>
        <v>35</v>
      </c>
      <c r="AA16" s="147">
        <v>0</v>
      </c>
      <c r="AB16" s="148">
        <v>0</v>
      </c>
      <c r="AC16" s="139">
        <f t="shared" si="11"/>
        <v>0</v>
      </c>
      <c r="AD16" s="149">
        <v>0</v>
      </c>
      <c r="AE16" s="150">
        <v>0</v>
      </c>
    </row>
    <row r="17" spans="1:31" x14ac:dyDescent="0.2">
      <c r="A17" s="188">
        <v>46097</v>
      </c>
      <c r="B17" s="154">
        <v>20190157</v>
      </c>
      <c r="C17" s="155">
        <f>SUM(4270.1+1822955.1+591772+10094.5+282717+31231)</f>
        <v>2743039.7</v>
      </c>
      <c r="D17" s="155">
        <f t="shared" si="2"/>
        <v>17447117.300000001</v>
      </c>
      <c r="E17" s="156">
        <f t="shared" si="0"/>
        <v>3376</v>
      </c>
      <c r="F17" s="157">
        <v>16140</v>
      </c>
      <c r="G17" s="158"/>
      <c r="H17" s="159">
        <f t="shared" si="3"/>
        <v>0</v>
      </c>
      <c r="I17" s="160">
        <v>0.39</v>
      </c>
      <c r="J17" s="161">
        <v>0.39</v>
      </c>
      <c r="K17" s="161">
        <v>0.39</v>
      </c>
      <c r="L17" s="162">
        <f t="shared" si="8"/>
        <v>2924.9999999999995</v>
      </c>
      <c r="M17" s="163"/>
      <c r="N17" s="159">
        <f t="shared" si="9"/>
        <v>0</v>
      </c>
      <c r="O17" s="160">
        <v>0.35</v>
      </c>
      <c r="P17" s="161">
        <v>0.35</v>
      </c>
      <c r="Q17" s="161">
        <v>0.35</v>
      </c>
      <c r="R17" s="162">
        <f t="shared" si="4"/>
        <v>524.99999999999989</v>
      </c>
      <c r="S17" s="163"/>
      <c r="T17" s="159">
        <f>SUM(R18-S17-R17)</f>
        <v>0</v>
      </c>
      <c r="U17" s="164">
        <f t="shared" si="6"/>
        <v>0</v>
      </c>
      <c r="V17" s="165">
        <v>708949</v>
      </c>
      <c r="W17" s="166">
        <v>2645</v>
      </c>
      <c r="X17" s="166">
        <v>18641</v>
      </c>
      <c r="Y17" s="166">
        <f t="shared" si="12"/>
        <v>687663</v>
      </c>
      <c r="Z17" s="159">
        <f t="shared" si="1"/>
        <v>31</v>
      </c>
      <c r="AA17" s="167">
        <v>0</v>
      </c>
      <c r="AB17" s="168">
        <v>0</v>
      </c>
      <c r="AC17" s="159">
        <f t="shared" si="11"/>
        <v>0</v>
      </c>
      <c r="AD17" s="169">
        <v>0</v>
      </c>
      <c r="AE17" s="170">
        <v>0</v>
      </c>
    </row>
    <row r="18" spans="1:31" x14ac:dyDescent="0.2">
      <c r="A18" s="152">
        <v>46098</v>
      </c>
      <c r="B18" s="117">
        <v>20193533</v>
      </c>
      <c r="C18" s="118">
        <f>SUM(4270.6+1823182.6+591772+10094.7+282796+31246)</f>
        <v>2743361.9000000004</v>
      </c>
      <c r="D18" s="118">
        <f t="shared" si="2"/>
        <v>17450171.100000001</v>
      </c>
      <c r="E18" s="119">
        <f t="shared" si="0"/>
        <v>3472</v>
      </c>
      <c r="F18" s="120">
        <v>16140</v>
      </c>
      <c r="G18" s="121"/>
      <c r="H18" s="122">
        <f>F18+G18-F19</f>
        <v>0</v>
      </c>
      <c r="I18" s="123">
        <v>0.39</v>
      </c>
      <c r="J18" s="124">
        <v>0.39</v>
      </c>
      <c r="K18" s="124">
        <v>0.39</v>
      </c>
      <c r="L18" s="125">
        <f t="shared" si="8"/>
        <v>2924.9999999999995</v>
      </c>
      <c r="M18" s="126"/>
      <c r="N18" s="122">
        <f t="shared" si="9"/>
        <v>49.999999999999545</v>
      </c>
      <c r="O18" s="123">
        <v>0.35</v>
      </c>
      <c r="P18" s="124">
        <v>0.35</v>
      </c>
      <c r="Q18" s="124">
        <v>0.35</v>
      </c>
      <c r="R18" s="125">
        <f t="shared" si="4"/>
        <v>524.99999999999989</v>
      </c>
      <c r="S18" s="126"/>
      <c r="T18" s="122">
        <f t="shared" si="5"/>
        <v>0</v>
      </c>
      <c r="U18" s="127">
        <f t="shared" si="6"/>
        <v>49.999999999999545</v>
      </c>
      <c r="V18" s="128">
        <v>709038</v>
      </c>
      <c r="W18" s="129">
        <v>2696</v>
      </c>
      <c r="X18" s="129">
        <v>18648</v>
      </c>
      <c r="Y18" s="129">
        <f t="shared" si="12"/>
        <v>687694</v>
      </c>
      <c r="Z18" s="122">
        <f t="shared" si="1"/>
        <v>217</v>
      </c>
      <c r="AA18" s="130">
        <v>0</v>
      </c>
      <c r="AB18" s="131">
        <v>0</v>
      </c>
      <c r="AC18" s="122">
        <f t="shared" si="11"/>
        <v>0</v>
      </c>
      <c r="AD18" s="132">
        <v>0</v>
      </c>
      <c r="AE18" s="133">
        <v>0</v>
      </c>
    </row>
    <row r="19" spans="1:31" x14ac:dyDescent="0.2">
      <c r="A19" s="152">
        <v>46099</v>
      </c>
      <c r="B19" s="117">
        <v>20197005</v>
      </c>
      <c r="C19" s="118">
        <f>SUM(4271.1+1823316.4+591774+10094.9+282855+31258)</f>
        <v>2743569.4</v>
      </c>
      <c r="D19" s="118">
        <f t="shared" si="2"/>
        <v>17453435.600000001</v>
      </c>
      <c r="E19" s="119">
        <f t="shared" si="0"/>
        <v>3620</v>
      </c>
      <c r="F19" s="120">
        <v>16140</v>
      </c>
      <c r="G19" s="121"/>
      <c r="H19" s="122">
        <f t="shared" si="3"/>
        <v>0</v>
      </c>
      <c r="I19" s="123">
        <v>0.38</v>
      </c>
      <c r="J19" s="124">
        <v>0.38</v>
      </c>
      <c r="K19" s="124">
        <v>0.39</v>
      </c>
      <c r="L19" s="125">
        <f t="shared" si="8"/>
        <v>2875</v>
      </c>
      <c r="M19" s="126"/>
      <c r="N19" s="122">
        <f t="shared" si="9"/>
        <v>0</v>
      </c>
      <c r="O19" s="123">
        <v>0.35</v>
      </c>
      <c r="P19" s="124">
        <v>0.35</v>
      </c>
      <c r="Q19" s="124">
        <v>0.35</v>
      </c>
      <c r="R19" s="125">
        <f t="shared" si="4"/>
        <v>524.99999999999989</v>
      </c>
      <c r="S19" s="126"/>
      <c r="T19" s="122">
        <f t="shared" si="5"/>
        <v>0</v>
      </c>
      <c r="U19" s="127">
        <f t="shared" si="6"/>
        <v>0</v>
      </c>
      <c r="V19" s="128">
        <v>709286</v>
      </c>
      <c r="W19" s="129">
        <v>2723</v>
      </c>
      <c r="X19" s="129">
        <v>18652</v>
      </c>
      <c r="Y19" s="129">
        <f t="shared" si="12"/>
        <v>687911</v>
      </c>
      <c r="Z19" s="122">
        <f t="shared" si="1"/>
        <v>49</v>
      </c>
      <c r="AA19" s="130">
        <v>0</v>
      </c>
      <c r="AB19" s="131">
        <v>0</v>
      </c>
      <c r="AC19" s="122">
        <f t="shared" si="11"/>
        <v>0</v>
      </c>
      <c r="AD19" s="132">
        <v>0</v>
      </c>
      <c r="AE19" s="133">
        <v>0</v>
      </c>
    </row>
    <row r="20" spans="1:31" x14ac:dyDescent="0.2">
      <c r="A20" s="152">
        <v>46100</v>
      </c>
      <c r="B20" s="117">
        <v>20200625</v>
      </c>
      <c r="C20" s="118">
        <f>SUM(4271.4+1823436.9+591774+10095.1+282909+31269)</f>
        <v>2743755.4</v>
      </c>
      <c r="D20" s="118">
        <f t="shared" si="2"/>
        <v>17456869.600000001</v>
      </c>
      <c r="E20" s="119">
        <f t="shared" si="0"/>
        <v>3838</v>
      </c>
      <c r="F20" s="120">
        <v>16140</v>
      </c>
      <c r="G20" s="121"/>
      <c r="H20" s="122">
        <f t="shared" si="3"/>
        <v>0</v>
      </c>
      <c r="I20" s="123">
        <v>0.38</v>
      </c>
      <c r="J20" s="124">
        <v>0.38</v>
      </c>
      <c r="K20" s="124">
        <v>0.39</v>
      </c>
      <c r="L20" s="125">
        <f t="shared" si="8"/>
        <v>2875</v>
      </c>
      <c r="M20" s="126"/>
      <c r="N20" s="122">
        <f t="shared" si="9"/>
        <v>75</v>
      </c>
      <c r="O20" s="123">
        <v>0.35</v>
      </c>
      <c r="P20" s="124">
        <v>0.35</v>
      </c>
      <c r="Q20" s="124">
        <v>0.35</v>
      </c>
      <c r="R20" s="125">
        <f t="shared" si="4"/>
        <v>524.99999999999989</v>
      </c>
      <c r="S20" s="126"/>
      <c r="T20" s="122">
        <f t="shared" si="5"/>
        <v>0</v>
      </c>
      <c r="U20" s="127">
        <f t="shared" si="6"/>
        <v>75</v>
      </c>
      <c r="V20" s="128">
        <v>709370</v>
      </c>
      <c r="W20" s="129">
        <v>2754</v>
      </c>
      <c r="X20" s="129">
        <v>18656</v>
      </c>
      <c r="Y20" s="129">
        <f t="shared" si="12"/>
        <v>687960</v>
      </c>
      <c r="Z20" s="122">
        <f t="shared" si="1"/>
        <v>177</v>
      </c>
      <c r="AA20" s="130">
        <v>0</v>
      </c>
      <c r="AB20" s="131">
        <v>0</v>
      </c>
      <c r="AC20" s="122">
        <f t="shared" si="11"/>
        <v>0</v>
      </c>
      <c r="AD20" s="132">
        <v>0</v>
      </c>
      <c r="AE20" s="133">
        <v>0</v>
      </c>
    </row>
    <row r="21" spans="1:31" x14ac:dyDescent="0.2">
      <c r="A21" s="152">
        <v>46101</v>
      </c>
      <c r="B21" s="117">
        <v>20204463</v>
      </c>
      <c r="C21" s="118">
        <f>SUM(4271.9+1823543.6+591774+10095.3+282954+31280)</f>
        <v>2743918.8</v>
      </c>
      <c r="D21" s="118">
        <f t="shared" si="2"/>
        <v>17460544.199999999</v>
      </c>
      <c r="E21" s="119">
        <f t="shared" si="0"/>
        <v>4302</v>
      </c>
      <c r="F21" s="120">
        <v>16140</v>
      </c>
      <c r="G21" s="121"/>
      <c r="H21" s="122">
        <f t="shared" si="3"/>
        <v>0</v>
      </c>
      <c r="I21" s="123">
        <v>0.37</v>
      </c>
      <c r="J21" s="124">
        <v>0.37</v>
      </c>
      <c r="K21" s="124">
        <v>0.38</v>
      </c>
      <c r="L21" s="125">
        <f t="shared" si="8"/>
        <v>2800</v>
      </c>
      <c r="M21" s="126"/>
      <c r="N21" s="122">
        <f t="shared" si="9"/>
        <v>0</v>
      </c>
      <c r="O21" s="123">
        <v>0.35</v>
      </c>
      <c r="P21" s="124">
        <v>0.35</v>
      </c>
      <c r="Q21" s="124">
        <v>0.35</v>
      </c>
      <c r="R21" s="125">
        <f t="shared" si="4"/>
        <v>524.99999999999989</v>
      </c>
      <c r="S21" s="126"/>
      <c r="T21" s="122">
        <f t="shared" si="5"/>
        <v>0</v>
      </c>
      <c r="U21" s="127">
        <f t="shared" si="6"/>
        <v>0</v>
      </c>
      <c r="V21" s="128">
        <v>709578</v>
      </c>
      <c r="W21" s="129">
        <v>2780</v>
      </c>
      <c r="X21" s="129">
        <v>18661</v>
      </c>
      <c r="Y21" s="129">
        <f t="shared" si="12"/>
        <v>688137</v>
      </c>
      <c r="Z21" s="122">
        <f t="shared" si="1"/>
        <v>114</v>
      </c>
      <c r="AA21" s="130">
        <v>0</v>
      </c>
      <c r="AB21" s="131">
        <v>0</v>
      </c>
      <c r="AC21" s="122">
        <f t="shared" si="11"/>
        <v>0</v>
      </c>
      <c r="AD21" s="132">
        <v>0</v>
      </c>
      <c r="AE21" s="133">
        <v>0</v>
      </c>
    </row>
    <row r="22" spans="1:31" x14ac:dyDescent="0.2">
      <c r="A22" s="152">
        <v>46102</v>
      </c>
      <c r="B22" s="117">
        <v>20208765</v>
      </c>
      <c r="C22" s="118">
        <f>SUM(4272.5+1823685.6+591774+10095.5+283026+31296)</f>
        <v>2744149.6</v>
      </c>
      <c r="D22" s="118">
        <f t="shared" si="2"/>
        <v>17464615.399999999</v>
      </c>
      <c r="E22" s="119">
        <f t="shared" si="0"/>
        <v>4004</v>
      </c>
      <c r="F22" s="120">
        <v>16140</v>
      </c>
      <c r="G22" s="121"/>
      <c r="H22" s="122">
        <f t="shared" si="3"/>
        <v>0</v>
      </c>
      <c r="I22" s="123">
        <v>0.37</v>
      </c>
      <c r="J22" s="124">
        <v>0.37</v>
      </c>
      <c r="K22" s="124">
        <v>0.38</v>
      </c>
      <c r="L22" s="125">
        <f t="shared" si="8"/>
        <v>2800</v>
      </c>
      <c r="M22" s="126"/>
      <c r="N22" s="122">
        <f t="shared" si="9"/>
        <v>50</v>
      </c>
      <c r="O22" s="123">
        <v>0.35</v>
      </c>
      <c r="P22" s="124">
        <v>0.35</v>
      </c>
      <c r="Q22" s="124">
        <v>0.35</v>
      </c>
      <c r="R22" s="125">
        <f>SUM(O22:Q22)/3*1500</f>
        <v>524.99999999999989</v>
      </c>
      <c r="S22" s="126"/>
      <c r="T22" s="122">
        <f t="shared" si="5"/>
        <v>0</v>
      </c>
      <c r="U22" s="127">
        <f t="shared" si="6"/>
        <v>50</v>
      </c>
      <c r="V22" s="128">
        <v>709733</v>
      </c>
      <c r="W22" s="129">
        <v>2816</v>
      </c>
      <c r="X22" s="129">
        <v>18666</v>
      </c>
      <c r="Y22" s="129">
        <f t="shared" si="12"/>
        <v>688251</v>
      </c>
      <c r="Z22" s="122">
        <f t="shared" si="1"/>
        <v>58</v>
      </c>
      <c r="AA22" s="130">
        <v>0</v>
      </c>
      <c r="AB22" s="131">
        <v>0</v>
      </c>
      <c r="AC22" s="122">
        <f t="shared" si="11"/>
        <v>0</v>
      </c>
      <c r="AD22" s="132">
        <v>0</v>
      </c>
      <c r="AE22" s="133">
        <v>0</v>
      </c>
    </row>
    <row r="23" spans="1:31" ht="13.5" thickBot="1" x14ac:dyDescent="0.25">
      <c r="A23" s="189">
        <v>46103</v>
      </c>
      <c r="B23" s="134">
        <v>20212769</v>
      </c>
      <c r="C23" s="135">
        <v>2744313</v>
      </c>
      <c r="D23" s="135">
        <f t="shared" si="2"/>
        <v>17468456</v>
      </c>
      <c r="E23" s="136">
        <f t="shared" si="0"/>
        <v>4003</v>
      </c>
      <c r="F23" s="137">
        <v>16140</v>
      </c>
      <c r="G23" s="138"/>
      <c r="H23" s="139">
        <f t="shared" si="3"/>
        <v>0</v>
      </c>
      <c r="I23" s="140">
        <v>0.36</v>
      </c>
      <c r="J23" s="141">
        <v>0.37</v>
      </c>
      <c r="K23" s="141">
        <v>0.37</v>
      </c>
      <c r="L23" s="142">
        <f t="shared" si="8"/>
        <v>2750</v>
      </c>
      <c r="M23" s="143"/>
      <c r="N23" s="139">
        <f t="shared" si="9"/>
        <v>25.000000000000455</v>
      </c>
      <c r="O23" s="140">
        <v>0.35</v>
      </c>
      <c r="P23" s="141">
        <v>0.35</v>
      </c>
      <c r="Q23" s="141">
        <v>0.35</v>
      </c>
      <c r="R23" s="142">
        <f t="shared" si="4"/>
        <v>524.99999999999989</v>
      </c>
      <c r="S23" s="143"/>
      <c r="T23" s="139">
        <f t="shared" si="5"/>
        <v>0</v>
      </c>
      <c r="U23" s="144">
        <f t="shared" si="6"/>
        <v>25.000000000000455</v>
      </c>
      <c r="V23" s="145">
        <v>709818</v>
      </c>
      <c r="W23" s="146">
        <v>2839</v>
      </c>
      <c r="X23" s="146">
        <v>18670</v>
      </c>
      <c r="Y23" s="146">
        <f t="shared" si="12"/>
        <v>688309</v>
      </c>
      <c r="Z23" s="139">
        <f t="shared" si="1"/>
        <v>57</v>
      </c>
      <c r="AA23" s="147">
        <v>0</v>
      </c>
      <c r="AB23" s="148">
        <v>0</v>
      </c>
      <c r="AC23" s="139">
        <f t="shared" si="11"/>
        <v>0</v>
      </c>
      <c r="AD23" s="149">
        <v>0</v>
      </c>
      <c r="AE23" s="150">
        <v>0</v>
      </c>
    </row>
    <row r="24" spans="1:31" x14ac:dyDescent="0.2">
      <c r="A24" s="188">
        <v>46104</v>
      </c>
      <c r="B24" s="154">
        <v>20216772</v>
      </c>
      <c r="C24" s="155">
        <f>SUM(4272.9+1823895.2+591774+10095.8+283120+31318)</f>
        <v>2744475.8999999994</v>
      </c>
      <c r="D24" s="155">
        <f t="shared" si="2"/>
        <v>17472296.100000001</v>
      </c>
      <c r="E24" s="156">
        <f t="shared" si="0"/>
        <v>6410</v>
      </c>
      <c r="F24" s="157">
        <v>16140</v>
      </c>
      <c r="G24" s="158"/>
      <c r="H24" s="159">
        <f t="shared" si="3"/>
        <v>1371</v>
      </c>
      <c r="I24" s="160">
        <v>0.35</v>
      </c>
      <c r="J24" s="161">
        <v>0.37</v>
      </c>
      <c r="K24" s="161">
        <v>0.37</v>
      </c>
      <c r="L24" s="162">
        <f t="shared" si="8"/>
        <v>2724.9999999999995</v>
      </c>
      <c r="M24" s="163"/>
      <c r="N24" s="159">
        <f t="shared" si="9"/>
        <v>24.999999999999091</v>
      </c>
      <c r="O24" s="160">
        <v>0.35</v>
      </c>
      <c r="P24" s="161">
        <v>0.35</v>
      </c>
      <c r="Q24" s="161">
        <v>0.35</v>
      </c>
      <c r="R24" s="162">
        <f t="shared" si="4"/>
        <v>524.99999999999989</v>
      </c>
      <c r="S24" s="163"/>
      <c r="T24" s="159">
        <f>SUM(R25-S24-R24)</f>
        <v>0</v>
      </c>
      <c r="U24" s="164">
        <f t="shared" si="6"/>
        <v>24.999999999999091</v>
      </c>
      <c r="V24" s="165">
        <v>709902</v>
      </c>
      <c r="W24" s="166">
        <v>2862</v>
      </c>
      <c r="X24" s="166">
        <v>18674</v>
      </c>
      <c r="Y24" s="166">
        <f t="shared" si="12"/>
        <v>688366</v>
      </c>
      <c r="Z24" s="159">
        <f t="shared" si="1"/>
        <v>119</v>
      </c>
      <c r="AA24" s="167">
        <v>0</v>
      </c>
      <c r="AB24" s="168">
        <v>0</v>
      </c>
      <c r="AC24" s="159">
        <f t="shared" si="11"/>
        <v>0</v>
      </c>
      <c r="AD24" s="169">
        <v>1</v>
      </c>
      <c r="AE24" s="170">
        <v>1</v>
      </c>
    </row>
    <row r="25" spans="1:31" x14ac:dyDescent="0.2">
      <c r="A25" s="152">
        <v>46105</v>
      </c>
      <c r="B25" s="117">
        <v>20223182</v>
      </c>
      <c r="C25" s="118">
        <f>SUM(4273.4+1824150.7+591774+10096+283209+31338)</f>
        <v>2744841.0999999996</v>
      </c>
      <c r="D25" s="118">
        <f t="shared" si="2"/>
        <v>17478340.899999999</v>
      </c>
      <c r="E25" s="119">
        <f t="shared" si="0"/>
        <v>6788</v>
      </c>
      <c r="F25" s="120">
        <v>14769</v>
      </c>
      <c r="G25" s="121"/>
      <c r="H25" s="122">
        <f t="shared" si="3"/>
        <v>1296</v>
      </c>
      <c r="I25" s="123">
        <v>0.36</v>
      </c>
      <c r="J25" s="124">
        <v>0.36</v>
      </c>
      <c r="K25" s="124">
        <v>0.36</v>
      </c>
      <c r="L25" s="125">
        <f t="shared" si="8"/>
        <v>2700.0000000000005</v>
      </c>
      <c r="M25" s="126"/>
      <c r="N25" s="122">
        <f t="shared" si="9"/>
        <v>75.000000000000909</v>
      </c>
      <c r="O25" s="123">
        <v>0.35</v>
      </c>
      <c r="P25" s="124">
        <v>0.35</v>
      </c>
      <c r="Q25" s="124">
        <v>0.35</v>
      </c>
      <c r="R25" s="125">
        <f t="shared" si="4"/>
        <v>524.99999999999989</v>
      </c>
      <c r="S25" s="126"/>
      <c r="T25" s="122">
        <f t="shared" si="5"/>
        <v>0</v>
      </c>
      <c r="U25" s="127">
        <f t="shared" si="6"/>
        <v>75.000000000000909</v>
      </c>
      <c r="V25" s="128">
        <v>710081</v>
      </c>
      <c r="W25" s="129">
        <v>2916</v>
      </c>
      <c r="X25" s="129">
        <v>18680</v>
      </c>
      <c r="Y25" s="129">
        <f t="shared" si="12"/>
        <v>688485</v>
      </c>
      <c r="Z25" s="122">
        <f t="shared" si="1"/>
        <v>94</v>
      </c>
      <c r="AA25" s="130">
        <v>0</v>
      </c>
      <c r="AB25" s="131">
        <v>0</v>
      </c>
      <c r="AC25" s="122">
        <f t="shared" si="11"/>
        <v>0</v>
      </c>
      <c r="AD25" s="132">
        <v>4</v>
      </c>
      <c r="AE25" s="133">
        <v>5</v>
      </c>
    </row>
    <row r="26" spans="1:31" x14ac:dyDescent="0.2">
      <c r="A26" s="152">
        <v>46106</v>
      </c>
      <c r="B26" s="117">
        <v>20229970</v>
      </c>
      <c r="C26" s="118">
        <f>SUM(4273.8+1824266.3+591774+10096.2+283253+31350)</f>
        <v>2745013.3000000003</v>
      </c>
      <c r="D26" s="118">
        <f t="shared" si="2"/>
        <v>17484956.699999999</v>
      </c>
      <c r="E26" s="119">
        <f t="shared" si="0"/>
        <v>5924</v>
      </c>
      <c r="F26" s="120">
        <v>13473</v>
      </c>
      <c r="G26" s="121"/>
      <c r="H26" s="122">
        <f t="shared" si="3"/>
        <v>1227</v>
      </c>
      <c r="I26" s="123">
        <v>0.35</v>
      </c>
      <c r="J26" s="124">
        <v>0.35</v>
      </c>
      <c r="K26" s="124">
        <v>0.35</v>
      </c>
      <c r="L26" s="125">
        <f t="shared" si="8"/>
        <v>2624.9999999999995</v>
      </c>
      <c r="M26" s="126"/>
      <c r="N26" s="122">
        <f t="shared" si="9"/>
        <v>0</v>
      </c>
      <c r="O26" s="123">
        <v>0.35</v>
      </c>
      <c r="P26" s="124">
        <v>0.35</v>
      </c>
      <c r="Q26" s="124">
        <v>0.35</v>
      </c>
      <c r="R26" s="125">
        <f t="shared" si="4"/>
        <v>524.99999999999989</v>
      </c>
      <c r="S26" s="126"/>
      <c r="T26" s="122">
        <f t="shared" si="5"/>
        <v>0</v>
      </c>
      <c r="U26" s="127">
        <f t="shared" si="6"/>
        <v>0</v>
      </c>
      <c r="V26" s="128">
        <v>710214</v>
      </c>
      <c r="W26" s="129">
        <v>2949</v>
      </c>
      <c r="X26" s="129">
        <v>18686</v>
      </c>
      <c r="Y26" s="129">
        <f t="shared" si="12"/>
        <v>688579</v>
      </c>
      <c r="Z26" s="122">
        <f t="shared" si="1"/>
        <v>25</v>
      </c>
      <c r="AA26" s="130">
        <v>0</v>
      </c>
      <c r="AB26" s="131">
        <v>0</v>
      </c>
      <c r="AC26" s="122">
        <f t="shared" si="11"/>
        <v>0</v>
      </c>
      <c r="AD26" s="132">
        <v>4</v>
      </c>
      <c r="AE26" s="133">
        <v>5</v>
      </c>
    </row>
    <row r="27" spans="1:31" x14ac:dyDescent="0.2">
      <c r="A27" s="152">
        <v>46107</v>
      </c>
      <c r="B27" s="117">
        <v>20235894</v>
      </c>
      <c r="C27" s="118">
        <f>SUM(4274+1824279.3+591774+10096.4+283269+31354)</f>
        <v>2745046.6999999997</v>
      </c>
      <c r="D27" s="118">
        <f t="shared" si="2"/>
        <v>17490847.300000001</v>
      </c>
      <c r="E27" s="119">
        <f t="shared" si="0"/>
        <v>7362</v>
      </c>
      <c r="F27" s="120">
        <v>12246</v>
      </c>
      <c r="G27" s="121"/>
      <c r="H27" s="122">
        <f t="shared" si="3"/>
        <v>1409</v>
      </c>
      <c r="I27" s="123">
        <v>0.35</v>
      </c>
      <c r="J27" s="124">
        <v>0.35</v>
      </c>
      <c r="K27" s="124">
        <v>0.35</v>
      </c>
      <c r="L27" s="125">
        <f t="shared" si="8"/>
        <v>2624.9999999999995</v>
      </c>
      <c r="M27" s="126">
        <v>1787.32</v>
      </c>
      <c r="N27" s="122">
        <v>2338</v>
      </c>
      <c r="O27" s="123">
        <v>0.35</v>
      </c>
      <c r="P27" s="124">
        <v>0.35</v>
      </c>
      <c r="Q27" s="124">
        <v>0.35</v>
      </c>
      <c r="R27" s="125">
        <f t="shared" si="4"/>
        <v>524.99999999999989</v>
      </c>
      <c r="S27" s="126">
        <v>675.86</v>
      </c>
      <c r="T27" s="122">
        <v>159</v>
      </c>
      <c r="U27" s="127">
        <f t="shared" si="6"/>
        <v>2497</v>
      </c>
      <c r="V27" s="128">
        <v>710248</v>
      </c>
      <c r="W27" s="129">
        <v>2956</v>
      </c>
      <c r="X27" s="129">
        <v>18688</v>
      </c>
      <c r="Y27" s="129">
        <f t="shared" si="12"/>
        <v>688604</v>
      </c>
      <c r="Z27" s="122">
        <f t="shared" si="1"/>
        <v>77</v>
      </c>
      <c r="AA27" s="130">
        <v>0</v>
      </c>
      <c r="AB27" s="131">
        <v>0</v>
      </c>
      <c r="AC27" s="122">
        <f t="shared" si="11"/>
        <v>0</v>
      </c>
      <c r="AD27" s="132">
        <v>4</v>
      </c>
      <c r="AE27" s="133">
        <v>5</v>
      </c>
    </row>
    <row r="28" spans="1:31" x14ac:dyDescent="0.2">
      <c r="A28" s="152">
        <v>46108</v>
      </c>
      <c r="B28" s="117">
        <v>20243256</v>
      </c>
      <c r="C28" s="118">
        <f>SUM(4274.5+1824504.9+591774+10096.6+283350+31375)</f>
        <v>2745375</v>
      </c>
      <c r="D28" s="118">
        <f t="shared" si="2"/>
        <v>17497881</v>
      </c>
      <c r="E28" s="119">
        <f t="shared" si="0"/>
        <v>8513</v>
      </c>
      <c r="F28" s="120">
        <v>10837</v>
      </c>
      <c r="G28" s="121"/>
      <c r="H28" s="122">
        <f t="shared" si="3"/>
        <v>1400</v>
      </c>
      <c r="I28" s="123">
        <v>0.9</v>
      </c>
      <c r="J28" s="124">
        <v>0.9</v>
      </c>
      <c r="K28" s="124">
        <v>0.9</v>
      </c>
      <c r="L28" s="125">
        <f t="shared" si="8"/>
        <v>6750</v>
      </c>
      <c r="M28" s="126">
        <v>1789.34</v>
      </c>
      <c r="N28" s="122">
        <f t="shared" si="9"/>
        <v>1789.3400000000001</v>
      </c>
      <c r="O28" s="123">
        <v>0.92</v>
      </c>
      <c r="P28" s="124">
        <v>0.9</v>
      </c>
      <c r="Q28" s="124">
        <v>0.9</v>
      </c>
      <c r="R28" s="125">
        <f t="shared" si="4"/>
        <v>1360</v>
      </c>
      <c r="S28" s="126"/>
      <c r="T28" s="122">
        <f t="shared" si="5"/>
        <v>70</v>
      </c>
      <c r="U28" s="127">
        <f t="shared" si="6"/>
        <v>1859.3400000000001</v>
      </c>
      <c r="V28" s="128">
        <v>710389</v>
      </c>
      <c r="W28" s="129">
        <v>3015</v>
      </c>
      <c r="X28" s="129">
        <v>18693</v>
      </c>
      <c r="Y28" s="129">
        <f t="shared" si="12"/>
        <v>688681</v>
      </c>
      <c r="Z28" s="122">
        <f t="shared" si="1"/>
        <v>58</v>
      </c>
      <c r="AA28" s="130">
        <v>0</v>
      </c>
      <c r="AB28" s="131">
        <v>0</v>
      </c>
      <c r="AC28" s="122">
        <f t="shared" si="11"/>
        <v>0</v>
      </c>
      <c r="AD28" s="132">
        <v>19</v>
      </c>
      <c r="AE28" s="133">
        <v>30</v>
      </c>
    </row>
    <row r="29" spans="1:31" x14ac:dyDescent="0.2">
      <c r="A29" s="152">
        <v>46109</v>
      </c>
      <c r="B29" s="117">
        <v>20251769</v>
      </c>
      <c r="C29" s="118">
        <f>SUM(4275.2+1824718.3+591774+10096.8+283427+31393)</f>
        <v>2745684.3</v>
      </c>
      <c r="D29" s="118">
        <f t="shared" si="2"/>
        <v>17506084.699999999</v>
      </c>
      <c r="E29" s="119">
        <f t="shared" si="0"/>
        <v>7418</v>
      </c>
      <c r="F29" s="120">
        <v>9437</v>
      </c>
      <c r="G29" s="121"/>
      <c r="H29" s="122">
        <f t="shared" si="3"/>
        <v>1785</v>
      </c>
      <c r="I29" s="123">
        <v>0.9</v>
      </c>
      <c r="J29" s="124">
        <v>0.9</v>
      </c>
      <c r="K29" s="124">
        <v>0.9</v>
      </c>
      <c r="L29" s="125">
        <f t="shared" si="8"/>
        <v>6750</v>
      </c>
      <c r="M29" s="126"/>
      <c r="N29" s="122">
        <f t="shared" si="9"/>
        <v>749.99999999999909</v>
      </c>
      <c r="O29" s="123">
        <v>0.9</v>
      </c>
      <c r="P29" s="124">
        <v>0.83</v>
      </c>
      <c r="Q29" s="124">
        <v>0.85</v>
      </c>
      <c r="R29" s="125">
        <f t="shared" si="4"/>
        <v>1290</v>
      </c>
      <c r="S29" s="126"/>
      <c r="T29" s="122">
        <f t="shared" si="5"/>
        <v>40</v>
      </c>
      <c r="U29" s="127">
        <f t="shared" si="6"/>
        <v>789.99999999999909</v>
      </c>
      <c r="V29" s="128">
        <v>710509</v>
      </c>
      <c r="W29" s="129">
        <v>3069</v>
      </c>
      <c r="X29" s="129">
        <v>18701</v>
      </c>
      <c r="Y29" s="129">
        <f t="shared" si="12"/>
        <v>688739</v>
      </c>
      <c r="Z29" s="122">
        <f t="shared" si="1"/>
        <v>74</v>
      </c>
      <c r="AA29" s="130">
        <v>0</v>
      </c>
      <c r="AB29" s="131">
        <v>0</v>
      </c>
      <c r="AC29" s="122">
        <f t="shared" si="11"/>
        <v>0</v>
      </c>
      <c r="AD29" s="132">
        <v>37</v>
      </c>
      <c r="AE29" s="133">
        <v>63</v>
      </c>
    </row>
    <row r="30" spans="1:31" ht="13.5" thickBot="1" x14ac:dyDescent="0.25">
      <c r="A30" s="189">
        <v>46110</v>
      </c>
      <c r="B30" s="134">
        <v>20259187</v>
      </c>
      <c r="C30" s="135">
        <f>SUM(4275.5+1824826.6+591774+10097+283489+31404)</f>
        <v>2745866.1</v>
      </c>
      <c r="D30" s="135">
        <f t="shared" si="2"/>
        <v>17513320.899999999</v>
      </c>
      <c r="E30" s="136">
        <f t="shared" si="0"/>
        <v>7347</v>
      </c>
      <c r="F30" s="137">
        <v>7652</v>
      </c>
      <c r="G30" s="138"/>
      <c r="H30" s="139">
        <f t="shared" si="3"/>
        <v>1846</v>
      </c>
      <c r="I30" s="140">
        <v>0.8</v>
      </c>
      <c r="J30" s="141">
        <v>0.8</v>
      </c>
      <c r="K30" s="141">
        <v>0.8</v>
      </c>
      <c r="L30" s="142">
        <f t="shared" si="8"/>
        <v>6000.0000000000009</v>
      </c>
      <c r="M30" s="143"/>
      <c r="N30" s="139">
        <f t="shared" si="9"/>
        <v>0</v>
      </c>
      <c r="O30" s="140">
        <v>0.9</v>
      </c>
      <c r="P30" s="141">
        <v>0.8</v>
      </c>
      <c r="Q30" s="141">
        <v>0.8</v>
      </c>
      <c r="R30" s="142">
        <f t="shared" si="4"/>
        <v>1250</v>
      </c>
      <c r="S30" s="143"/>
      <c r="T30" s="139">
        <f t="shared" si="5"/>
        <v>0</v>
      </c>
      <c r="U30" s="144">
        <f t="shared" si="6"/>
        <v>0</v>
      </c>
      <c r="V30" s="145">
        <v>710622</v>
      </c>
      <c r="W30" s="146">
        <v>3103</v>
      </c>
      <c r="X30" s="146">
        <v>18706</v>
      </c>
      <c r="Y30" s="146">
        <f t="shared" si="12"/>
        <v>688813</v>
      </c>
      <c r="Z30" s="139">
        <f t="shared" si="1"/>
        <v>108</v>
      </c>
      <c r="AA30" s="147">
        <v>0</v>
      </c>
      <c r="AB30" s="148">
        <v>0</v>
      </c>
      <c r="AC30" s="139">
        <f t="shared" si="11"/>
        <v>0</v>
      </c>
      <c r="AD30" s="149">
        <v>38</v>
      </c>
      <c r="AE30" s="150">
        <v>70</v>
      </c>
    </row>
    <row r="31" spans="1:31" x14ac:dyDescent="0.2">
      <c r="A31" s="188">
        <v>46111</v>
      </c>
      <c r="B31" s="101">
        <v>20266534</v>
      </c>
      <c r="C31" s="102">
        <f>SUM(4275.9+1824905.2+591774+10097.1+283517+31415)</f>
        <v>2745984.1999999997</v>
      </c>
      <c r="D31" s="102">
        <f t="shared" si="2"/>
        <v>17520549.800000001</v>
      </c>
      <c r="E31" s="151">
        <f t="shared" si="0"/>
        <v>8214</v>
      </c>
      <c r="F31" s="104">
        <v>5806</v>
      </c>
      <c r="G31" s="105">
        <v>11480</v>
      </c>
      <c r="H31" s="103">
        <f t="shared" si="3"/>
        <v>1690</v>
      </c>
      <c r="I31" s="106">
        <v>0.8</v>
      </c>
      <c r="J31" s="107">
        <v>0.8</v>
      </c>
      <c r="K31" s="107">
        <v>0.8</v>
      </c>
      <c r="L31" s="108">
        <f t="shared" si="8"/>
        <v>6000.0000000000009</v>
      </c>
      <c r="M31" s="109"/>
      <c r="N31" s="103">
        <f t="shared" si="9"/>
        <v>575.00000000000182</v>
      </c>
      <c r="O31" s="106">
        <v>0.9</v>
      </c>
      <c r="P31" s="107">
        <v>0.8</v>
      </c>
      <c r="Q31" s="107">
        <v>0.8</v>
      </c>
      <c r="R31" s="108">
        <f t="shared" si="4"/>
        <v>1250</v>
      </c>
      <c r="S31" s="109"/>
      <c r="T31" s="103">
        <f t="shared" si="5"/>
        <v>89.999999999999773</v>
      </c>
      <c r="U31" s="110">
        <f t="shared" si="6"/>
        <v>665.00000000000159</v>
      </c>
      <c r="V31" s="111">
        <v>710737</v>
      </c>
      <c r="W31" s="112">
        <v>3107</v>
      </c>
      <c r="X31" s="112">
        <v>18709</v>
      </c>
      <c r="Y31" s="112">
        <f t="shared" si="12"/>
        <v>688921</v>
      </c>
      <c r="Z31" s="103">
        <f t="shared" si="1"/>
        <v>83</v>
      </c>
      <c r="AA31" s="113">
        <v>0</v>
      </c>
      <c r="AB31" s="114">
        <v>0</v>
      </c>
      <c r="AC31" s="103">
        <f t="shared" si="11"/>
        <v>0</v>
      </c>
      <c r="AD31" s="115">
        <v>37</v>
      </c>
      <c r="AE31" s="116">
        <v>69</v>
      </c>
    </row>
    <row r="32" spans="1:31" ht="13.5" thickBot="1" x14ac:dyDescent="0.25">
      <c r="A32" s="152">
        <v>46112</v>
      </c>
      <c r="B32" s="89">
        <v>20274748</v>
      </c>
      <c r="C32" s="90">
        <f>SUM(4276.5+1825172.1+591774+10098.7+283605+31423)</f>
        <v>2746349.3000000003</v>
      </c>
      <c r="D32" s="90">
        <f t="shared" si="2"/>
        <v>17528398.699999999</v>
      </c>
      <c r="E32" s="70">
        <f t="shared" si="0"/>
        <v>9003</v>
      </c>
      <c r="F32" s="91">
        <v>15596</v>
      </c>
      <c r="G32" s="92"/>
      <c r="H32" s="70">
        <v>0</v>
      </c>
      <c r="I32" s="93">
        <v>0.65</v>
      </c>
      <c r="J32" s="94">
        <v>0.78</v>
      </c>
      <c r="K32" s="94">
        <v>0.74</v>
      </c>
      <c r="L32" s="95">
        <f t="shared" si="8"/>
        <v>5424.9999999999991</v>
      </c>
      <c r="M32" s="96"/>
      <c r="N32" s="88">
        <f t="shared" si="9"/>
        <v>99.999999999999091</v>
      </c>
      <c r="O32" s="93">
        <v>0.74</v>
      </c>
      <c r="P32" s="94">
        <v>0.78</v>
      </c>
      <c r="Q32" s="94">
        <v>0.8</v>
      </c>
      <c r="R32" s="95">
        <f t="shared" si="4"/>
        <v>1160.0000000000002</v>
      </c>
      <c r="S32" s="96"/>
      <c r="T32" s="87">
        <v>0</v>
      </c>
      <c r="U32" s="69">
        <v>0</v>
      </c>
      <c r="V32" s="97">
        <v>710890</v>
      </c>
      <c r="W32" s="98">
        <v>3169</v>
      </c>
      <c r="X32" s="98">
        <v>18717</v>
      </c>
      <c r="Y32" s="98">
        <f t="shared" si="12"/>
        <v>689004</v>
      </c>
      <c r="Z32" s="87">
        <v>0</v>
      </c>
      <c r="AA32" s="99">
        <v>0</v>
      </c>
      <c r="AB32" s="100">
        <v>0</v>
      </c>
      <c r="AC32" s="87">
        <f t="shared" si="11"/>
        <v>0</v>
      </c>
      <c r="AD32" s="85">
        <v>38</v>
      </c>
      <c r="AE32" s="86">
        <v>72</v>
      </c>
    </row>
    <row r="33" spans="1:31" ht="14.25" thickTop="1" thickBot="1" x14ac:dyDescent="0.25">
      <c r="A33" s="153">
        <v>46113</v>
      </c>
      <c r="B33" s="71">
        <v>20283751</v>
      </c>
      <c r="C33" s="72">
        <f>SUM(4276.9+1825397.8+591774+10100.9+283680+31425)</f>
        <v>2746654.6</v>
      </c>
      <c r="D33" s="73">
        <f t="shared" si="2"/>
        <v>17537096.399999999</v>
      </c>
      <c r="E33" s="10"/>
      <c r="F33" s="74">
        <v>12951</v>
      </c>
      <c r="G33" s="75"/>
      <c r="H33" s="10"/>
      <c r="I33" s="76">
        <v>0.65</v>
      </c>
      <c r="J33" s="77">
        <v>0.76</v>
      </c>
      <c r="K33" s="77">
        <v>0.72</v>
      </c>
      <c r="L33" s="78">
        <f t="shared" si="8"/>
        <v>5325</v>
      </c>
      <c r="M33" s="79"/>
      <c r="N33" s="10"/>
      <c r="O33" s="76">
        <v>0.7</v>
      </c>
      <c r="P33" s="77">
        <v>0.75</v>
      </c>
      <c r="Q33" s="77">
        <v>0.75</v>
      </c>
      <c r="R33" s="78">
        <f t="shared" si="4"/>
        <v>1100</v>
      </c>
      <c r="S33" s="79"/>
      <c r="T33" s="19"/>
      <c r="U33" s="20"/>
      <c r="V33" s="80">
        <v>711037</v>
      </c>
      <c r="W33" s="81">
        <v>3223</v>
      </c>
      <c r="X33" s="81">
        <v>18724</v>
      </c>
      <c r="Y33" s="82">
        <f t="shared" si="12"/>
        <v>689090</v>
      </c>
      <c r="Z33" s="10"/>
      <c r="AA33" s="83">
        <v>0</v>
      </c>
      <c r="AB33" s="84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138283</v>
      </c>
      <c r="F34" s="13"/>
      <c r="G34" s="13"/>
      <c r="H34" s="12">
        <f>SUM(H2:H33)</f>
        <v>12632</v>
      </c>
      <c r="I34" s="11"/>
      <c r="J34" s="11"/>
      <c r="K34" s="11"/>
      <c r="L34" s="11"/>
      <c r="M34" s="13">
        <f>SUM(M2:M33)</f>
        <v>3576.66</v>
      </c>
      <c r="N34" s="12">
        <f>SUM(N2:N33)</f>
        <v>6002.34</v>
      </c>
      <c r="O34" s="11"/>
      <c r="P34" s="11"/>
      <c r="Q34" s="11"/>
      <c r="R34" s="11"/>
      <c r="S34" s="13">
        <f>SUM(S2:S33)</f>
        <v>675.86</v>
      </c>
      <c r="T34" s="12">
        <f>SUM(T2:T33)</f>
        <v>358.99999999999977</v>
      </c>
      <c r="U34" s="12">
        <f>SUM(U2:U33)</f>
        <v>6261.3400000000011</v>
      </c>
      <c r="V34" s="11"/>
      <c r="W34" s="11"/>
      <c r="X34" s="11"/>
      <c r="Y34" s="11"/>
      <c r="Z34" s="12">
        <f>SUM(Z2:Z33)</f>
        <v>1983</v>
      </c>
      <c r="AA34" s="11"/>
      <c r="AB34" s="11">
        <f>SUM(AB2:AB33)</f>
        <v>0</v>
      </c>
      <c r="AC34" s="12">
        <f>SUM(AC2:AC33)</f>
        <v>0</v>
      </c>
      <c r="AD34" s="15">
        <f>SUM(AD2:AD33)</f>
        <v>182</v>
      </c>
      <c r="AE34" s="16">
        <f>SUM(AE2:AE32)</f>
        <v>320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10 T17 T24" formula="1"/>
    <ignoredError sqref="R32 L32 R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2026-05-18T10:01:57Z</dcterms:modified>
  <cp:category/>
  <cp:contentStatus/>
</cp:coreProperties>
</file>