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05" documentId="8_{9B439D3B-B023-4087-B27B-CB56FE35C246}" xr6:coauthVersionLast="47" xr6:coauthVersionMax="47" xr10:uidLastSave="{C77AE95D-EB60-4F77-A80C-2313CFE7E512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U43" i="3"/>
  <c r="V7" i="3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C43" i="3"/>
  <c r="D43" i="3"/>
  <c r="E43" i="3"/>
  <c r="F43" i="3"/>
  <c r="G43" i="3"/>
  <c r="H43" i="3"/>
  <c r="J43" i="3"/>
  <c r="K43" i="3"/>
  <c r="L43" i="3"/>
  <c r="M43" i="3"/>
  <c r="P7" i="3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E2" i="6" l="1"/>
  <c r="P43" i="3"/>
  <c r="V43" i="3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<sst xmlns="http://schemas.openxmlformats.org/spreadsheetml/2006/main" count="91" uniqueCount="53">
  <si>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</si>
  <si>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</si>
  <si>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</si>
  <si>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</si>
  <si>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</si>
  <si>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</si>
  <si>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</si>
  <si>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</si>
  <si>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</si>
  <si>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</si>
  <si>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</si>
  <si>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</si>
  <si>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</si>
  <si>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</si>
  <si>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</si>
  <si>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</si>
  <si>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MAY 2022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</si>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</sst>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topLeftCell="A5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5</v>
      </c>
      <c r="D2" s="97">
        <v>2022</v>
      </c>
      <c r="E2" s="99">
        <f>'Localize Daily Bali Jimbaran'!P7</f>
        <v>21939.9999999998</v>
      </c>
      <c r="F2" s="100">
        <f>'Localize Daily Bali Jimbaran'!O7/'Localize Daily Bali Jimbaran'!P7</f>
        <v>1194.6405150410196</v>
      </c>
      <c r="G2" s="99">
        <f>'Localize Daily Bali Jimbaran'!AC7</f>
        <v>766.23120000004235</v>
      </c>
      <c r="H2" s="100">
        <f>'Localize Daily Bali Jimbaran'!AD7/'Localize Daily Bali Jimbaran'!AC7</f>
        <v>19018.621626997177</v>
      </c>
      <c r="I2" s="99">
        <f>'Localize Daily Bali Jimbaran'!AH7</f>
        <v>301.04999999999927</v>
      </c>
      <c r="J2" s="101">
        <f>'Localize Daily Bali Jimbaran'!AI7/'Localize Daily Bali Jimbaran'!AH7</f>
        <v>17500</v>
      </c>
      <c r="K2" s="99">
        <f>'Localize Daily Bali Jimbaran'!Q7</f>
        <v>704</v>
      </c>
      <c r="L2" s="100">
        <f>'Localize Daily Bali Jimbaran'!V7/'Localize Daily Bali Jimbaran'!Q7</f>
        <v>7438.7956249999997</v>
      </c>
      <c r="M2" s="99">
        <f>'Localize Daily Bali Jimbaran'!C7</f>
        <v>75</v>
      </c>
      <c r="N2" s="99">
        <v>211</v>
      </c>
    </row>
    <row r="3" spans="1:14" ht="15">
      <c r="A3" s="96" t="s">
        <v>14</v>
      </c>
      <c r="B3" s="97">
        <v>2</v>
      </c>
      <c r="C3" s="98">
        <v>5</v>
      </c>
      <c r="D3" s="97">
        <v>2022</v>
      </c>
      <c r="E3" s="99">
        <f>'Localize Daily Bali Jimbaran'!P8</f>
        <v>23599.999999999764</v>
      </c>
      <c r="F3" s="100">
        <f>'Localize Daily Bali Jimbaran'!O8/'Localize Daily Bali Jimbaran'!P8</f>
        <v>1193.1000597457669</v>
      </c>
      <c r="G3" s="99">
        <f>'Localize Daily Bali Jimbaran'!AC8</f>
        <v>680.76883999995675</v>
      </c>
      <c r="H3" s="100">
        <f>'Localize Daily Bali Jimbaran'!AD8/'Localize Daily Bali Jimbaran'!AC8</f>
        <v>18947.657844034104</v>
      </c>
      <c r="I3" s="99">
        <f>'Localize Daily Bali Jimbaran'!AH8</f>
        <v>403.32000000000153</v>
      </c>
      <c r="J3" s="101">
        <f>'Localize Daily Bali Jimbaran'!AI8/'Localize Daily Bali Jimbaran'!AH8</f>
        <v>17500</v>
      </c>
      <c r="K3" s="99">
        <f>'Localize Daily Bali Jimbaran'!Q8</f>
        <v>740</v>
      </c>
      <c r="L3" s="100">
        <f>'Localize Daily Bali Jimbaran'!V8/'Localize Daily Bali Jimbaran'!Q8</f>
        <v>6881.4671891891903</v>
      </c>
      <c r="M3" s="99">
        <f>'Localize Daily Bali Jimbaran'!C8</f>
        <v>91</v>
      </c>
      <c r="N3" s="99">
        <v>254</v>
      </c>
    </row>
    <row r="4" spans="1:14" ht="15">
      <c r="A4" s="96" t="s">
        <v>14</v>
      </c>
      <c r="B4" s="97">
        <v>3</v>
      </c>
      <c r="C4" s="98">
        <v>5</v>
      </c>
      <c r="D4" s="97">
        <v>2022</v>
      </c>
      <c r="E4" s="99">
        <f>'Localize Daily Bali Jimbaran'!P9</f>
        <v>23320.000000000135</v>
      </c>
      <c r="F4" s="100">
        <f>'Localize Daily Bali Jimbaran'!O9/'Localize Daily Bali Jimbaran'!P9</f>
        <v>1190.1698490565996</v>
      </c>
      <c r="G4" s="99">
        <f>'Localize Daily Bali Jimbaran'!AC9</f>
        <v>683.30648000004146</v>
      </c>
      <c r="H4" s="100">
        <f>'Localize Daily Bali Jimbaran'!AD9/'Localize Daily Bali Jimbaran'!AC9</f>
        <v>18947.529781365462</v>
      </c>
      <c r="I4" s="99">
        <f>'Localize Daily Bali Jimbaran'!AH9</f>
        <v>823.73999999999978</v>
      </c>
      <c r="J4" s="101">
        <f>'Localize Daily Bali Jimbaran'!AI9/'Localize Daily Bali Jimbaran'!AH9</f>
        <v>17500</v>
      </c>
      <c r="K4" s="99">
        <f>'Localize Daily Bali Jimbaran'!Q9</f>
        <v>773</v>
      </c>
      <c r="L4" s="100">
        <f>'Localize Daily Bali Jimbaran'!V9/'Localize Daily Bali Jimbaran'!Q9</f>
        <v>7201.2646313065979</v>
      </c>
      <c r="M4" s="99">
        <f>'Localize Daily Bali Jimbaran'!C9</f>
        <v>86</v>
      </c>
      <c r="N4" s="99">
        <v>254</v>
      </c>
    </row>
    <row r="5" spans="1:14" ht="15">
      <c r="A5" s="96" t="s">
        <v>14</v>
      </c>
      <c r="B5" s="97">
        <v>4</v>
      </c>
      <c r="C5" s="98">
        <v>5</v>
      </c>
      <c r="D5" s="97">
        <v>2022</v>
      </c>
      <c r="E5" s="99">
        <f>'Localize Daily Bali Jimbaran'!P10</f>
        <v>23159.999999999967</v>
      </c>
      <c r="F5" s="100">
        <f>'Localize Daily Bali Jimbaran'!O10/'Localize Daily Bali Jimbaran'!P10</f>
        <v>1190.8786632124375</v>
      </c>
      <c r="G5" s="99">
        <f>'Localize Daily Bali Jimbaran'!AC10</f>
        <v>734.9419999999908</v>
      </c>
      <c r="H5" s="100">
        <f>'Localize Daily Bali Jimbaran'!AD10/'Localize Daily Bali Jimbaran'!AC10</f>
        <v>18897.209351486239</v>
      </c>
      <c r="I5" s="99">
        <f>'Localize Daily Bali Jimbaran'!AH10</f>
        <v>136.6500000000342</v>
      </c>
      <c r="J5" s="101">
        <f>'Localize Daily Bali Jimbaran'!AI10/'Localize Daily Bali Jimbaran'!AH10</f>
        <v>17500</v>
      </c>
      <c r="K5" s="99">
        <f>'Localize Daily Bali Jimbaran'!Q10</f>
        <v>748</v>
      </c>
      <c r="L5" s="100">
        <f>'Localize Daily Bali Jimbaran'!V10/'Localize Daily Bali Jimbaran'!Q10</f>
        <v>7317.5388235294122</v>
      </c>
      <c r="M5" s="99">
        <f>'Localize Daily Bali Jimbaran'!C10</f>
        <v>80</v>
      </c>
      <c r="N5" s="99">
        <v>227</v>
      </c>
    </row>
    <row r="6" spans="1:14" ht="15">
      <c r="A6" s="96" t="s">
        <v>14</v>
      </c>
      <c r="B6" s="97">
        <v>5</v>
      </c>
      <c r="C6" s="98">
        <v>5</v>
      </c>
      <c r="D6" s="97">
        <v>2022</v>
      </c>
      <c r="E6" s="99">
        <f>'Localize Daily Bali Jimbaran'!P11</f>
        <v>22540.000000000047</v>
      </c>
      <c r="F6" s="100">
        <f>'Localize Daily Bali Jimbaran'!O11/'Localize Daily Bali Jimbaran'!P11</f>
        <v>1186.965279503102</v>
      </c>
      <c r="G6" s="99">
        <f>'Localize Daily Bali Jimbaran'!AC11</f>
        <v>511.47543999996526</v>
      </c>
      <c r="H6" s="100">
        <f>'Localize Daily Bali Jimbaran'!AD11/'Localize Daily Bali Jimbaran'!AC11</f>
        <v>19009.820444164434</v>
      </c>
      <c r="I6" s="99">
        <f>'Localize Daily Bali Jimbaran'!AH11</f>
        <v>371.51000000000022</v>
      </c>
      <c r="J6" s="101">
        <f>'Localize Daily Bali Jimbaran'!AI11/'Localize Daily Bali Jimbaran'!AH11</f>
        <v>17500</v>
      </c>
      <c r="K6" s="99">
        <f>'Localize Daily Bali Jimbaran'!Q11</f>
        <v>694</v>
      </c>
      <c r="L6" s="100">
        <f>'Localize Daily Bali Jimbaran'!V11/'Localize Daily Bali Jimbaran'!Q11</f>
        <v>6773.7797406340069</v>
      </c>
      <c r="M6" s="99">
        <f>'Localize Daily Bali Jimbaran'!C11</f>
        <v>58</v>
      </c>
      <c r="N6" s="99">
        <v>168</v>
      </c>
    </row>
    <row r="7" spans="1:14" ht="15">
      <c r="A7" s="96" t="s">
        <v>14</v>
      </c>
      <c r="B7" s="97">
        <v>6</v>
      </c>
      <c r="C7" s="98">
        <v>5</v>
      </c>
      <c r="D7" s="97">
        <v>2022</v>
      </c>
      <c r="E7" s="99">
        <f>'Localize Daily Bali Jimbaran'!P12</f>
        <v>22979.999999999905</v>
      </c>
      <c r="F7" s="100">
        <f>'Localize Daily Bali Jimbaran'!O12/'Localize Daily Bali Jimbaran'!P12</f>
        <v>1187.4284686684084</v>
      </c>
      <c r="G7" s="99">
        <f>'Localize Daily Bali Jimbaran'!AC12</f>
        <v>504.76483999999897</v>
      </c>
      <c r="H7" s="100">
        <f>'Localize Daily Bali Jimbaran'!AD12/'Localize Daily Bali Jimbaran'!AC12</f>
        <v>19019.764617519711</v>
      </c>
      <c r="I7" s="99">
        <f>'Localize Daily Bali Jimbaran'!AH12</f>
        <v>397.97999999999956</v>
      </c>
      <c r="J7" s="101">
        <f>'Localize Daily Bali Jimbaran'!AI12/'Localize Daily Bali Jimbaran'!AH12</f>
        <v>17500</v>
      </c>
      <c r="K7" s="99">
        <f>'Localize Daily Bali Jimbaran'!Q12</f>
        <v>718</v>
      </c>
      <c r="L7" s="100">
        <f>'Localize Daily Bali Jimbaran'!V12/'Localize Daily Bali Jimbaran'!Q12</f>
        <v>6798.9318662952646</v>
      </c>
      <c r="M7" s="99">
        <f>'Localize Daily Bali Jimbaran'!C12</f>
        <v>46</v>
      </c>
      <c r="N7" s="99">
        <v>127</v>
      </c>
    </row>
    <row r="8" spans="1:14" ht="15">
      <c r="A8" s="96" t="s">
        <v>14</v>
      </c>
      <c r="B8" s="97">
        <v>7</v>
      </c>
      <c r="C8" s="98">
        <v>5</v>
      </c>
      <c r="D8" s="97">
        <v>2022</v>
      </c>
      <c r="E8" s="99">
        <f>'Localize Daily Bali Jimbaran'!P13</f>
        <v>22560.000000000146</v>
      </c>
      <c r="F8" s="100">
        <f>'Localize Daily Bali Jimbaran'!O13/'Localize Daily Bali Jimbaran'!P13</f>
        <v>1187.8413191489367</v>
      </c>
      <c r="G8" s="99">
        <f>'Localize Daily Bali Jimbaran'!AC13</f>
        <v>101.13964000000043</v>
      </c>
      <c r="H8" s="100">
        <f>'Localize Daily Bali Jimbaran'!AD13/'Localize Daily Bali Jimbaran'!AC13</f>
        <v>18699.563534139535</v>
      </c>
      <c r="I8" s="99">
        <f>'Localize Daily Bali Jimbaran'!AH13</f>
        <v>317.45000000000073</v>
      </c>
      <c r="J8" s="101">
        <f>'Localize Daily Bali Jimbaran'!AI13/'Localize Daily Bali Jimbaran'!AH13</f>
        <v>17500</v>
      </c>
      <c r="K8" s="99">
        <f>'Localize Daily Bali Jimbaran'!Q13</f>
        <v>682</v>
      </c>
      <c r="L8" s="100">
        <f>'Localize Daily Bali Jimbaran'!V13/'Localize Daily Bali Jimbaran'!Q13</f>
        <v>5957.7558064516124</v>
      </c>
      <c r="M8" s="99">
        <f>'Localize Daily Bali Jimbaran'!C13</f>
        <v>42</v>
      </c>
      <c r="N8" s="99">
        <v>109</v>
      </c>
    </row>
    <row r="9" spans="1:14" ht="15">
      <c r="A9" s="96" t="s">
        <v>14</v>
      </c>
      <c r="B9" s="97">
        <v>8</v>
      </c>
      <c r="C9" s="98">
        <v>5</v>
      </c>
      <c r="D9" s="97">
        <v>2022</v>
      </c>
      <c r="E9" s="99">
        <f>'Localize Daily Bali Jimbaran'!P14</f>
        <v>21479.999999999873</v>
      </c>
      <c r="F9" s="100">
        <f>'Localize Daily Bali Jimbaran'!O14/'Localize Daily Bali Jimbaran'!P14</f>
        <v>1183.2629203910608</v>
      </c>
      <c r="G9" s="99">
        <f>'Localize Daily Bali Jimbaran'!AC14</f>
        <v>117.32532000000022</v>
      </c>
      <c r="H9" s="100">
        <f>'Localize Daily Bali Jimbaran'!AD14/'Localize Daily Bali Jimbaran'!AC14</f>
        <v>18064.41791081414</v>
      </c>
      <c r="I9" s="99">
        <f>'Localize Daily Bali Jimbaran'!AH14</f>
        <v>378.60000000000036</v>
      </c>
      <c r="J9" s="101">
        <f>'Localize Daily Bali Jimbaran'!AI14/'Localize Daily Bali Jimbaran'!AH14</f>
        <v>17500</v>
      </c>
      <c r="K9" s="99">
        <f>'Localize Daily Bali Jimbaran'!Q14</f>
        <v>720</v>
      </c>
      <c r="L9" s="100">
        <f>'Localize Daily Bali Jimbaran'!V14/'Localize Daily Bali Jimbaran'!Q14</f>
        <v>6683.3780000000006</v>
      </c>
      <c r="M9" s="99">
        <f>'Localize Daily Bali Jimbaran'!C14</f>
        <v>36</v>
      </c>
      <c r="N9" s="99">
        <v>91</v>
      </c>
    </row>
    <row r="10" spans="1:14" ht="15">
      <c r="A10" s="96" t="s">
        <v>14</v>
      </c>
      <c r="B10" s="97">
        <v>9</v>
      </c>
      <c r="C10" s="98">
        <v>5</v>
      </c>
      <c r="D10" s="97">
        <v>2022</v>
      </c>
      <c r="E10" s="99">
        <f>'Localize Daily Bali Jimbaran'!P15</f>
        <v>20759.999999999622</v>
      </c>
      <c r="F10" s="100">
        <f>'Localize Daily Bali Jimbaran'!O15/'Localize Daily Bali Jimbaran'!P15</f>
        <v>1191.8205563583831</v>
      </c>
      <c r="G10" s="99">
        <f>'Localize Daily Bali Jimbaran'!AC15</f>
        <v>101.98207999999867</v>
      </c>
      <c r="H10" s="100">
        <f>'Localize Daily Bali Jimbaran'!AD15/'Localize Daily Bali Jimbaran'!AC15</f>
        <v>18305.742812854955</v>
      </c>
      <c r="I10" s="99">
        <f>'Localize Daily Bali Jimbaran'!AH15</f>
        <v>421.26999999999862</v>
      </c>
      <c r="J10" s="101">
        <f>'Localize Daily Bali Jimbaran'!AI15/'Localize Daily Bali Jimbaran'!AH15</f>
        <v>17500</v>
      </c>
      <c r="K10" s="99">
        <f>'Localize Daily Bali Jimbaran'!Q15</f>
        <v>763</v>
      </c>
      <c r="L10" s="100">
        <f>'Localize Daily Bali Jimbaran'!V15/'Localize Daily Bali Jimbaran'!Q15</f>
        <v>7233.0274705111406</v>
      </c>
      <c r="M10" s="99">
        <f>'Localize Daily Bali Jimbaran'!C15</f>
        <v>25</v>
      </c>
      <c r="N10" s="99">
        <v>64</v>
      </c>
    </row>
    <row r="11" spans="1:14" ht="15">
      <c r="A11" s="96" t="s">
        <v>14</v>
      </c>
      <c r="B11" s="97">
        <v>10</v>
      </c>
      <c r="C11" s="98">
        <v>5</v>
      </c>
      <c r="D11" s="97">
        <v>2022</v>
      </c>
      <c r="E11" s="99">
        <f>'Localize Daily Bali Jimbaran'!P16</f>
        <v>20880.000000000389</v>
      </c>
      <c r="F11" s="100">
        <f>'Localize Daily Bali Jimbaran'!O16/'Localize Daily Bali Jimbaran'!P16</f>
        <v>1182.3666810344823</v>
      </c>
      <c r="G11" s="99">
        <f>'Localize Daily Bali Jimbaran'!AC16</f>
        <v>482.17120000000034</v>
      </c>
      <c r="H11" s="100">
        <f>'Localize Daily Bali Jimbaran'!AD16/'Localize Daily Bali Jimbaran'!AC16</f>
        <v>19100.000000000004</v>
      </c>
      <c r="I11" s="99">
        <f>'Localize Daily Bali Jimbaran'!AH16</f>
        <v>338.23000000000138</v>
      </c>
      <c r="J11" s="101">
        <f>'Localize Daily Bali Jimbaran'!AI16/'Localize Daily Bali Jimbaran'!AH16</f>
        <v>17500</v>
      </c>
      <c r="K11" s="99">
        <f>'Localize Daily Bali Jimbaran'!Q16</f>
        <v>738</v>
      </c>
      <c r="L11" s="100">
        <f>'Localize Daily Bali Jimbaran'!V16/'Localize Daily Bali Jimbaran'!Q16</f>
        <v>6815.6629268292681</v>
      </c>
      <c r="M11" s="99">
        <f>'Localize Daily Bali Jimbaran'!C16</f>
        <v>22</v>
      </c>
      <c r="N11" s="99">
        <v>63</v>
      </c>
    </row>
    <row r="12" spans="1:14" ht="15">
      <c r="A12" s="96" t="s">
        <v>14</v>
      </c>
      <c r="B12" s="97">
        <v>11</v>
      </c>
      <c r="C12" s="98">
        <v>5</v>
      </c>
      <c r="D12" s="97">
        <v>2022</v>
      </c>
      <c r="E12" s="99">
        <f>'Localize Daily Bali Jimbaran'!P17</f>
        <v>20419.999999999985</v>
      </c>
      <c r="F12" s="100">
        <f>'Localize Daily Bali Jimbaran'!O17/'Localize Daily Bali Jimbaran'!P17</f>
        <v>1184.5021821743394</v>
      </c>
      <c r="G12" s="99">
        <f>'Localize Daily Bali Jimbaran'!AC17</f>
        <v>85.675559999999919</v>
      </c>
      <c r="H12" s="100">
        <f>'Localize Daily Bali Jimbaran'!AD17/'Localize Daily Bali Jimbaran'!AC17</f>
        <v>19100</v>
      </c>
      <c r="I12" s="99">
        <f>'Localize Daily Bali Jimbaran'!AH17</f>
        <v>419.88999999999942</v>
      </c>
      <c r="J12" s="101">
        <f>'Localize Daily Bali Jimbaran'!AI17/'Localize Daily Bali Jimbaran'!AH17</f>
        <v>17500</v>
      </c>
      <c r="K12" s="99">
        <f>'Localize Daily Bali Jimbaran'!Q17</f>
        <v>734</v>
      </c>
      <c r="L12" s="100">
        <f>'Localize Daily Bali Jimbaran'!V17/'Localize Daily Bali Jimbaran'!Q17</f>
        <v>6754.873623978202</v>
      </c>
      <c r="M12" s="99">
        <f>'Localize Daily Bali Jimbaran'!C17</f>
        <v>22</v>
      </c>
      <c r="N12" s="99">
        <v>72</v>
      </c>
    </row>
    <row r="13" spans="1:14" ht="15">
      <c r="A13" s="96" t="s">
        <v>14</v>
      </c>
      <c r="B13" s="97">
        <v>12</v>
      </c>
      <c r="C13" s="98">
        <v>5</v>
      </c>
      <c r="D13" s="97">
        <v>2022</v>
      </c>
      <c r="E13" s="99">
        <f>'Localize Daily Bali Jimbaran'!P18</f>
        <v>20259.99999999996</v>
      </c>
      <c r="F13" s="100">
        <f>'Localize Daily Bali Jimbaran'!O18/'Localize Daily Bali Jimbaran'!P18</f>
        <v>1189.5621441263559</v>
      </c>
      <c r="G13" s="99">
        <f>'Localize Daily Bali Jimbaran'!AC18</f>
        <v>89.740400000000719</v>
      </c>
      <c r="H13" s="100">
        <f>'Localize Daily Bali Jimbaran'!AD18/'Localize Daily Bali Jimbaran'!AC18</f>
        <v>18648.698245160489</v>
      </c>
      <c r="I13" s="99">
        <f>'Localize Daily Bali Jimbaran'!AH18</f>
        <v>351.94000000000051</v>
      </c>
      <c r="J13" s="101">
        <f>'Localize Daily Bali Jimbaran'!AI18/'Localize Daily Bali Jimbaran'!AH18</f>
        <v>17500</v>
      </c>
      <c r="K13" s="99">
        <f>'Localize Daily Bali Jimbaran'!Q18</f>
        <v>701</v>
      </c>
      <c r="L13" s="100">
        <f>'Localize Daily Bali Jimbaran'!V18/'Localize Daily Bali Jimbaran'!Q18</f>
        <v>7243.1650499286734</v>
      </c>
      <c r="M13" s="99">
        <f>'Localize Daily Bali Jimbaran'!C18</f>
        <v>20</v>
      </c>
      <c r="N13" s="99">
        <v>60</v>
      </c>
    </row>
    <row r="14" spans="1:14" ht="15">
      <c r="A14" s="96" t="s">
        <v>14</v>
      </c>
      <c r="B14" s="97">
        <v>13</v>
      </c>
      <c r="C14" s="98">
        <v>5</v>
      </c>
      <c r="D14" s="97">
        <v>2022</v>
      </c>
      <c r="E14" s="99">
        <f>'Localize Daily Bali Jimbaran'!P19</f>
        <v>21540.000000000164</v>
      </c>
      <c r="F14" s="100">
        <f>'Localize Daily Bali Jimbaran'!O19/'Localize Daily Bali Jimbaran'!P19</f>
        <v>1184.5110835654618</v>
      </c>
      <c r="G14" s="99">
        <f>'Localize Daily Bali Jimbaran'!AC19</f>
        <v>202.38832000000019</v>
      </c>
      <c r="H14" s="100">
        <f>'Localize Daily Bali Jimbaran'!AD19/'Localize Daily Bali Jimbaran'!AC19</f>
        <v>18899.889637900054</v>
      </c>
      <c r="I14" s="99">
        <f>'Localize Daily Bali Jimbaran'!AH19</f>
        <v>339.31999999999971</v>
      </c>
      <c r="J14" s="101">
        <f>'Localize Daily Bali Jimbaran'!AI19/'Localize Daily Bali Jimbaran'!AH19</f>
        <v>17500</v>
      </c>
      <c r="K14" s="99">
        <f>'Localize Daily Bali Jimbaran'!Q19</f>
        <v>736</v>
      </c>
      <c r="L14" s="100">
        <f>'Localize Daily Bali Jimbaran'!V19/'Localize Daily Bali Jimbaran'!Q19</f>
        <v>7269.3236684782614</v>
      </c>
      <c r="M14" s="99">
        <f>'Localize Daily Bali Jimbaran'!C19</f>
        <v>24</v>
      </c>
      <c r="N14" s="99">
        <v>77</v>
      </c>
    </row>
    <row r="15" spans="1:14" ht="15">
      <c r="A15" s="96" t="s">
        <v>14</v>
      </c>
      <c r="B15" s="97">
        <v>14</v>
      </c>
      <c r="C15" s="98">
        <v>5</v>
      </c>
      <c r="D15" s="97">
        <v>2022</v>
      </c>
      <c r="E15" s="99">
        <f>'Localize Daily Bali Jimbaran'!P20</f>
        <v>20579.99999999964</v>
      </c>
      <c r="F15" s="100">
        <f>'Localize Daily Bali Jimbaran'!O20/'Localize Daily Bali Jimbaran'!P20</f>
        <v>1187.9762448979584</v>
      </c>
      <c r="G15" s="99">
        <f>'Localize Daily Bali Jimbaran'!AC20</f>
        <v>512.29376000000025</v>
      </c>
      <c r="H15" s="100">
        <f>'Localize Daily Bali Jimbaran'!AD20/'Localize Daily Bali Jimbaran'!AC20</f>
        <v>18941.887591994095</v>
      </c>
      <c r="I15" s="99">
        <f>'Localize Daily Bali Jimbaran'!AH20</f>
        <v>385.47999999999956</v>
      </c>
      <c r="J15" s="101">
        <f>'Localize Daily Bali Jimbaran'!AI20/'Localize Daily Bali Jimbaran'!AH20</f>
        <v>17500</v>
      </c>
      <c r="K15" s="99">
        <f>'Localize Daily Bali Jimbaran'!Q20</f>
        <v>740</v>
      </c>
      <c r="L15" s="100">
        <f>'Localize Daily Bali Jimbaran'!V20/'Localize Daily Bali Jimbaran'!Q20</f>
        <v>6863.6391621621624</v>
      </c>
      <c r="M15" s="99">
        <f>'Localize Daily Bali Jimbaran'!C20</f>
        <v>25</v>
      </c>
      <c r="N15" s="99">
        <v>84</v>
      </c>
    </row>
    <row r="16" spans="1:14" ht="15">
      <c r="A16" s="96" t="s">
        <v>14</v>
      </c>
      <c r="B16" s="97">
        <v>15</v>
      </c>
      <c r="C16" s="98">
        <v>5</v>
      </c>
      <c r="D16" s="97">
        <v>2022</v>
      </c>
      <c r="E16" s="99">
        <f>'Localize Daily Bali Jimbaran'!P21</f>
        <v>18899.999999999865</v>
      </c>
      <c r="F16" s="100">
        <f>'Localize Daily Bali Jimbaran'!O21/'Localize Daily Bali Jimbaran'!P21</f>
        <v>1184.2418000000011</v>
      </c>
      <c r="G16" s="99">
        <f>'Localize Daily Bali Jimbaran'!AC21</f>
        <v>96.064359999999553</v>
      </c>
      <c r="H16" s="100">
        <f>'Localize Daily Bali Jimbaran'!AD21/'Localize Daily Bali Jimbaran'!AC21</f>
        <v>18678.407642542978</v>
      </c>
      <c r="I16" s="99">
        <f>'Localize Daily Bali Jimbaran'!AH21</f>
        <v>347.22999999999956</v>
      </c>
      <c r="J16" s="101">
        <f>'Localize Daily Bali Jimbaran'!AI21/'Localize Daily Bali Jimbaran'!AH21</f>
        <v>17500</v>
      </c>
      <c r="K16" s="99">
        <f>'Localize Daily Bali Jimbaran'!Q21</f>
        <v>754</v>
      </c>
      <c r="L16" s="100">
        <f>'Localize Daily Bali Jimbaran'!V21/'Localize Daily Bali Jimbaran'!Q21</f>
        <v>6912.3943236074274</v>
      </c>
      <c r="M16" s="99">
        <f>'Localize Daily Bali Jimbaran'!C21</f>
        <v>20</v>
      </c>
      <c r="N16" s="99">
        <v>67</v>
      </c>
    </row>
    <row r="17" spans="1:14" ht="15">
      <c r="A17" s="96" t="s">
        <v>14</v>
      </c>
      <c r="B17" s="97">
        <v>16</v>
      </c>
      <c r="C17" s="98">
        <v>5</v>
      </c>
      <c r="D17" s="97">
        <v>2022</v>
      </c>
      <c r="E17" s="99">
        <f>'Localize Daily Bali Jimbaran'!P22</f>
        <v>20560.000000000884</v>
      </c>
      <c r="F17" s="100">
        <f>'Localize Daily Bali Jimbaran'!O22/'Localize Daily Bali Jimbaran'!P22</f>
        <v>1191.2477568093368</v>
      </c>
      <c r="G17" s="99">
        <f>'Localize Daily Bali Jimbaran'!AC22</f>
        <v>71.856080000000503</v>
      </c>
      <c r="H17" s="100">
        <f>'Localize Daily Bali Jimbaran'!AD22/'Localize Daily Bali Jimbaran'!AC22</f>
        <v>18536.373372997808</v>
      </c>
      <c r="I17" s="99">
        <f>'Localize Daily Bali Jimbaran'!AH22</f>
        <v>478.70000000000073</v>
      </c>
      <c r="J17" s="101">
        <f>'Localize Daily Bali Jimbaran'!AI22/'Localize Daily Bali Jimbaran'!AH22</f>
        <v>17500</v>
      </c>
      <c r="K17" s="99">
        <f>'Localize Daily Bali Jimbaran'!Q22</f>
        <v>732</v>
      </c>
      <c r="L17" s="100">
        <f>'Localize Daily Bali Jimbaran'!V22/'Localize Daily Bali Jimbaran'!Q22</f>
        <v>6706.2069672131147</v>
      </c>
      <c r="M17" s="99">
        <f>'Localize Daily Bali Jimbaran'!C22</f>
        <v>21</v>
      </c>
      <c r="N17" s="99">
        <v>61</v>
      </c>
    </row>
    <row r="18" spans="1:14" ht="15">
      <c r="A18" s="96" t="s">
        <v>14</v>
      </c>
      <c r="B18" s="97">
        <v>17</v>
      </c>
      <c r="C18" s="98">
        <v>5</v>
      </c>
      <c r="D18" s="97">
        <v>2022</v>
      </c>
      <c r="E18" s="99">
        <f>'Localize Daily Bali Jimbaran'!P23</f>
        <v>19179.999999999724</v>
      </c>
      <c r="F18" s="100">
        <f>'Localize Daily Bali Jimbaran'!O23/'Localize Daily Bali Jimbaran'!P23</f>
        <v>1187.9338138686137</v>
      </c>
      <c r="G18" s="99">
        <f>'Localize Daily Bali Jimbaran'!AC23</f>
        <v>93.88579999999962</v>
      </c>
      <c r="H18" s="100">
        <f>'Localize Daily Bali Jimbaran'!AD23/'Localize Daily Bali Jimbaran'!AC23</f>
        <v>18237.249722535249</v>
      </c>
      <c r="I18" s="99">
        <f>'Localize Daily Bali Jimbaran'!AH23</f>
        <v>336.48999999999978</v>
      </c>
      <c r="J18" s="101">
        <f>'Localize Daily Bali Jimbaran'!AI23/'Localize Daily Bali Jimbaran'!AH23</f>
        <v>17500</v>
      </c>
      <c r="K18" s="99">
        <f>'Localize Daily Bali Jimbaran'!Q23</f>
        <v>670</v>
      </c>
      <c r="L18" s="100">
        <f>'Localize Daily Bali Jimbaran'!V23/'Localize Daily Bali Jimbaran'!Q23</f>
        <v>6766.5163283582078</v>
      </c>
      <c r="M18" s="99">
        <f>'Localize Daily Bali Jimbaran'!C23</f>
        <v>26</v>
      </c>
      <c r="N18" s="99">
        <v>68</v>
      </c>
    </row>
    <row r="19" spans="1:14" ht="15">
      <c r="A19" s="96" t="s">
        <v>14</v>
      </c>
      <c r="B19" s="97">
        <v>18</v>
      </c>
      <c r="C19" s="98">
        <v>5</v>
      </c>
      <c r="D19" s="97">
        <v>2022</v>
      </c>
      <c r="E19" s="99">
        <f>'Localize Daily Bali Jimbaran'!P24</f>
        <v>19400.000000000062</v>
      </c>
      <c r="F19" s="100">
        <f>'Localize Daily Bali Jimbaran'!O24/'Localize Daily Bali Jimbaran'!P24</f>
        <v>1185.6744510309268</v>
      </c>
      <c r="G19" s="99">
        <f>'Localize Daily Bali Jimbaran'!AC24</f>
        <v>496.1449199999995</v>
      </c>
      <c r="H19" s="100">
        <f>'Localize Daily Bali Jimbaran'!AD24/'Localize Daily Bali Jimbaran'!AC24</f>
        <v>19018.370624453837</v>
      </c>
      <c r="I19" s="99">
        <f>'Localize Daily Bali Jimbaran'!AH24</f>
        <v>399.20999999999913</v>
      </c>
      <c r="J19" s="101">
        <f>'Localize Daily Bali Jimbaran'!AI24/'Localize Daily Bali Jimbaran'!AH24</f>
        <v>17500</v>
      </c>
      <c r="K19" s="99">
        <f>'Localize Daily Bali Jimbaran'!Q24</f>
        <v>681</v>
      </c>
      <c r="L19" s="100">
        <f>'Localize Daily Bali Jimbaran'!V24/'Localize Daily Bali Jimbaran'!Q24</f>
        <v>7005.6088986784143</v>
      </c>
      <c r="M19" s="99">
        <f>'Localize Daily Bali Jimbaran'!C24</f>
        <v>20</v>
      </c>
      <c r="N19" s="99">
        <v>50</v>
      </c>
    </row>
    <row r="20" spans="1:14" ht="15">
      <c r="A20" s="96" t="s">
        <v>14</v>
      </c>
      <c r="B20" s="97">
        <v>19</v>
      </c>
      <c r="C20" s="98">
        <v>5</v>
      </c>
      <c r="D20" s="97">
        <v>2022</v>
      </c>
      <c r="E20" s="99">
        <f>'Localize Daily Bali Jimbaran'!P25</f>
        <v>21039.99999999988</v>
      </c>
      <c r="F20" s="100">
        <f>'Localize Daily Bali Jimbaran'!O25/'Localize Daily Bali Jimbaran'!P25</f>
        <v>1194.0515161597</v>
      </c>
      <c r="G20" s="99">
        <f>'Localize Daily Bali Jimbaran'!AC25</f>
        <v>91.83152000000058</v>
      </c>
      <c r="H20" s="100">
        <f>'Localize Daily Bali Jimbaran'!AD25/'Localize Daily Bali Jimbaran'!AC25</f>
        <v>18217.94991523608</v>
      </c>
      <c r="I20" s="99">
        <f>'Localize Daily Bali Jimbaran'!AH25</f>
        <v>397.65000000000146</v>
      </c>
      <c r="J20" s="101">
        <f>'Localize Daily Bali Jimbaran'!AI25/'Localize Daily Bali Jimbaran'!AH25</f>
        <v>17500</v>
      </c>
      <c r="K20" s="99">
        <f>'Localize Daily Bali Jimbaran'!Q25</f>
        <v>733</v>
      </c>
      <c r="L20" s="100">
        <f>'Localize Daily Bali Jimbaran'!V25/'Localize Daily Bali Jimbaran'!Q25</f>
        <v>6343.6104502046383</v>
      </c>
      <c r="M20" s="99">
        <f>'Localize Daily Bali Jimbaran'!C25</f>
        <v>31</v>
      </c>
      <c r="N20" s="99">
        <v>76</v>
      </c>
    </row>
    <row r="21" spans="1:14" ht="15">
      <c r="A21" s="96" t="s">
        <v>14</v>
      </c>
      <c r="B21" s="97">
        <v>20</v>
      </c>
      <c r="C21" s="98">
        <v>5</v>
      </c>
      <c r="D21" s="97">
        <v>2022</v>
      </c>
      <c r="E21" s="99">
        <f>'Localize Daily Bali Jimbaran'!P26</f>
        <v>20340</v>
      </c>
      <c r="F21" s="100">
        <f>'Localize Daily Bali Jimbaran'!O26/'Localize Daily Bali Jimbaran'!P26</f>
        <v>1190.2303805309707</v>
      </c>
      <c r="G21" s="99">
        <f>'Localize Daily Bali Jimbaran'!AC26</f>
        <v>78.663399999998887</v>
      </c>
      <c r="H21" s="100">
        <f>'Localize Daily Bali Jimbaran'!AD26/'Localize Daily Bali Jimbaran'!AC26</f>
        <v>18585.148112082614</v>
      </c>
      <c r="I21" s="99">
        <f>'Localize Daily Bali Jimbaran'!AH26</f>
        <v>479.89999999999964</v>
      </c>
      <c r="J21" s="101">
        <f>'Localize Daily Bali Jimbaran'!AI26/'Localize Daily Bali Jimbaran'!AH26</f>
        <v>17500</v>
      </c>
      <c r="K21" s="99">
        <f>'Localize Daily Bali Jimbaran'!Q26</f>
        <v>765</v>
      </c>
      <c r="L21" s="100">
        <f>'Localize Daily Bali Jimbaran'!V26/'Localize Daily Bali Jimbaran'!Q26</f>
        <v>6967.9272941176478</v>
      </c>
      <c r="M21" s="99">
        <f>'Localize Daily Bali Jimbaran'!C26</f>
        <v>33</v>
      </c>
      <c r="N21" s="99">
        <v>82</v>
      </c>
    </row>
    <row r="22" spans="1:14" ht="15">
      <c r="A22" s="96" t="s">
        <v>14</v>
      </c>
      <c r="B22" s="97">
        <v>21</v>
      </c>
      <c r="C22" s="98">
        <v>5</v>
      </c>
      <c r="D22" s="97">
        <v>2022</v>
      </c>
      <c r="E22" s="99">
        <f>'Localize Daily Bali Jimbaran'!P27</f>
        <v>21340.000000000058</v>
      </c>
      <c r="F22" s="100">
        <f>'Localize Daily Bali Jimbaran'!O27/'Localize Daily Bali Jimbaran'!P27</f>
        <v>1186.4389090909067</v>
      </c>
      <c r="G22" s="99">
        <f>'Localize Daily Bali Jimbaran'!AC27</f>
        <v>84.460280000000864</v>
      </c>
      <c r="H22" s="100">
        <f>'Localize Daily Bali Jimbaran'!AD27/'Localize Daily Bali Jimbaran'!AC27</f>
        <v>18140.969317174899</v>
      </c>
      <c r="I22" s="99">
        <f>'Localize Daily Bali Jimbaran'!AH27</f>
        <v>332.69000000000051</v>
      </c>
      <c r="J22" s="101">
        <f>'Localize Daily Bali Jimbaran'!AI27/'Localize Daily Bali Jimbaran'!AH27</f>
        <v>17500</v>
      </c>
      <c r="K22" s="99">
        <f>'Localize Daily Bali Jimbaran'!Q27</f>
        <v>738</v>
      </c>
      <c r="L22" s="100">
        <f>'Localize Daily Bali Jimbaran'!V27/'Localize Daily Bali Jimbaran'!Q27</f>
        <v>6690.528536585367</v>
      </c>
      <c r="M22" s="99">
        <f>'Localize Daily Bali Jimbaran'!C27</f>
        <v>32</v>
      </c>
      <c r="N22" s="99">
        <v>86</v>
      </c>
    </row>
    <row r="23" spans="1:14" ht="15">
      <c r="A23" s="96" t="s">
        <v>14</v>
      </c>
      <c r="B23" s="97">
        <v>22</v>
      </c>
      <c r="C23" s="98">
        <v>5</v>
      </c>
      <c r="D23" s="97">
        <v>2022</v>
      </c>
      <c r="E23" s="99">
        <f>'Localize Daily Bali Jimbaran'!P28</f>
        <v>21019.999999999869</v>
      </c>
      <c r="F23" s="100">
        <f>'Localize Daily Bali Jimbaran'!O28/'Localize Daily Bali Jimbaran'!P28</f>
        <v>1190.531050903902</v>
      </c>
      <c r="G23" s="99">
        <f>'Localize Daily Bali Jimbaran'!AC28</f>
        <v>596.7422399999997</v>
      </c>
      <c r="H23" s="100">
        <f>'Localize Daily Bali Jimbaran'!AD28/'Localize Daily Bali Jimbaran'!AC28</f>
        <v>18896.39450359673</v>
      </c>
      <c r="I23" s="99">
        <f>'Localize Daily Bali Jimbaran'!AH28</f>
        <v>333.20000000000073</v>
      </c>
      <c r="J23" s="101">
        <f>'Localize Daily Bali Jimbaran'!AI28/'Localize Daily Bali Jimbaran'!AH28</f>
        <v>17500</v>
      </c>
      <c r="K23" s="99">
        <f>'Localize Daily Bali Jimbaran'!Q28</f>
        <v>653</v>
      </c>
      <c r="L23" s="100">
        <f>'Localize Daily Bali Jimbaran'!V28/'Localize Daily Bali Jimbaran'!Q28</f>
        <v>6676.8680551301686</v>
      </c>
      <c r="M23" s="99">
        <f>'Localize Daily Bali Jimbaran'!C28</f>
        <v>21</v>
      </c>
      <c r="N23" s="99">
        <v>57</v>
      </c>
    </row>
    <row r="24" spans="1:14" ht="15">
      <c r="A24" s="96" t="s">
        <v>14</v>
      </c>
      <c r="B24" s="97">
        <v>23</v>
      </c>
      <c r="C24" s="98">
        <v>5</v>
      </c>
      <c r="D24" s="97">
        <v>2022</v>
      </c>
      <c r="E24" s="99">
        <f>'Localize Daily Bali Jimbaran'!P29</f>
        <v>21119.999999999378</v>
      </c>
      <c r="F24" s="100">
        <f>'Localize Daily Bali Jimbaran'!O29/'Localize Daily Bali Jimbaran'!P29</f>
        <v>1189.0136463068211</v>
      </c>
      <c r="G24" s="99">
        <f>'Localize Daily Bali Jimbaran'!AC29</f>
        <v>63.152159999999192</v>
      </c>
      <c r="H24" s="100">
        <f>'Localize Daily Bali Jimbaran'!AD29/'Localize Daily Bali Jimbaran'!AC29</f>
        <v>17817.383538425274</v>
      </c>
      <c r="I24" s="99">
        <f>'Localize Daily Bali Jimbaran'!AH29</f>
        <v>349.19999999999709</v>
      </c>
      <c r="J24" s="101">
        <f>'Localize Daily Bali Jimbaran'!AI29/'Localize Daily Bali Jimbaran'!AH29</f>
        <v>17500</v>
      </c>
      <c r="K24" s="99">
        <f>'Localize Daily Bali Jimbaran'!Q29</f>
        <v>670</v>
      </c>
      <c r="L24" s="100">
        <f>'Localize Daily Bali Jimbaran'!V29/'Localize Daily Bali Jimbaran'!Q29</f>
        <v>7061.8761791044781</v>
      </c>
      <c r="M24" s="99">
        <f>'Localize Daily Bali Jimbaran'!C29</f>
        <v>21</v>
      </c>
      <c r="N24" s="99">
        <v>54</v>
      </c>
    </row>
    <row r="25" spans="1:14" ht="15">
      <c r="A25" s="96" t="s">
        <v>14</v>
      </c>
      <c r="B25" s="97">
        <v>24</v>
      </c>
      <c r="C25" s="98">
        <v>5</v>
      </c>
      <c r="D25" s="97">
        <v>2022</v>
      </c>
      <c r="E25" s="99">
        <f>'Localize Daily Bali Jimbaran'!P30</f>
        <v>23720.000000000142</v>
      </c>
      <c r="F25" s="100">
        <f>'Localize Daily Bali Jimbaran'!O30/'Localize Daily Bali Jimbaran'!P30</f>
        <v>1182.4791108768989</v>
      </c>
      <c r="G25" s="99">
        <f>'Localize Daily Bali Jimbaran'!AC30</f>
        <v>54.498840000000797</v>
      </c>
      <c r="H25" s="100">
        <f>'Localize Daily Bali Jimbaran'!AD30/'Localize Daily Bali Jimbaran'!AC30</f>
        <v>19100</v>
      </c>
      <c r="I25" s="99">
        <f>'Localize Daily Bali Jimbaran'!AH30</f>
        <v>376.21000000000276</v>
      </c>
      <c r="J25" s="101">
        <f>'Localize Daily Bali Jimbaran'!AI30/'Localize Daily Bali Jimbaran'!AH30</f>
        <v>17500</v>
      </c>
      <c r="K25" s="99">
        <f>'Localize Daily Bali Jimbaran'!Q30</f>
        <v>669</v>
      </c>
      <c r="L25" s="100">
        <f>'Localize Daily Bali Jimbaran'!V30/'Localize Daily Bali Jimbaran'!Q30</f>
        <v>7045.5703139013458</v>
      </c>
      <c r="M25" s="99">
        <f>'Localize Daily Bali Jimbaran'!C30</f>
        <v>85</v>
      </c>
      <c r="N25" s="99">
        <v>159</v>
      </c>
    </row>
    <row r="26" spans="1:14" ht="15">
      <c r="A26" s="96" t="s">
        <v>14</v>
      </c>
      <c r="B26" s="97">
        <v>25</v>
      </c>
      <c r="C26" s="98">
        <v>5</v>
      </c>
      <c r="D26" s="97">
        <v>2022</v>
      </c>
      <c r="E26" s="99">
        <f>'Localize Daily Bali Jimbaran'!P31</f>
        <v>19640.000000000924</v>
      </c>
      <c r="F26" s="100">
        <f>'Localize Daily Bali Jimbaran'!O31/'Localize Daily Bali Jimbaran'!P31</f>
        <v>1197.2119032586525</v>
      </c>
      <c r="G26" s="99">
        <f>'Localize Daily Bali Jimbaran'!AC31</f>
        <v>55.626679999999773</v>
      </c>
      <c r="H26" s="100">
        <f>'Localize Daily Bali Jimbaran'!AD31/'Localize Daily Bali Jimbaran'!AC31</f>
        <v>19100</v>
      </c>
      <c r="I26" s="99">
        <f>'Localize Daily Bali Jimbaran'!AH31</f>
        <v>487.94999999999709</v>
      </c>
      <c r="J26" s="101">
        <f>'Localize Daily Bali Jimbaran'!AI31/'Localize Daily Bali Jimbaran'!AH31</f>
        <v>17500</v>
      </c>
      <c r="K26" s="99">
        <f>'Localize Daily Bali Jimbaran'!Q31</f>
        <v>829</v>
      </c>
      <c r="L26" s="100">
        <f>'Localize Daily Bali Jimbaran'!V31/'Localize Daily Bali Jimbaran'!Q31</f>
        <v>6432.8202653799763</v>
      </c>
      <c r="M26" s="99">
        <f>'Localize Daily Bali Jimbaran'!C31</f>
        <v>23</v>
      </c>
      <c r="N26" s="99">
        <v>59</v>
      </c>
    </row>
    <row r="27" spans="1:14" ht="15">
      <c r="A27" s="96" t="s">
        <v>14</v>
      </c>
      <c r="B27" s="97">
        <v>26</v>
      </c>
      <c r="C27" s="98">
        <v>5</v>
      </c>
      <c r="D27" s="97">
        <v>2022</v>
      </c>
      <c r="E27" s="99">
        <f>'Localize Daily Bali Jimbaran'!P32</f>
        <v>18359.999999999334</v>
      </c>
      <c r="F27" s="100">
        <f>'Localize Daily Bali Jimbaran'!O32/'Localize Daily Bali Jimbaran'!P32</f>
        <v>1179.976823529415</v>
      </c>
      <c r="G27" s="99">
        <f>'Localize Daily Bali Jimbaran'!AC32</f>
        <v>559.32899999999995</v>
      </c>
      <c r="H27" s="100">
        <f>'Localize Daily Bali Jimbaran'!AD32/'Localize Daily Bali Jimbaran'!AC32</f>
        <v>19027.591810901995</v>
      </c>
      <c r="I27" s="99">
        <f>'Localize Daily Bali Jimbaran'!AH32</f>
        <v>445.89000000000306</v>
      </c>
      <c r="J27" s="101">
        <f>'Localize Daily Bali Jimbaran'!AI32/'Localize Daily Bali Jimbaran'!AH32</f>
        <v>17500</v>
      </c>
      <c r="K27" s="99">
        <f>'Localize Daily Bali Jimbaran'!Q32</f>
        <v>758</v>
      </c>
      <c r="L27" s="100">
        <f>'Localize Daily Bali Jimbaran'!V32/'Localize Daily Bali Jimbaran'!Q32</f>
        <v>6848.9157519788923</v>
      </c>
      <c r="M27" s="99">
        <f>'Localize Daily Bali Jimbaran'!C32</f>
        <v>24</v>
      </c>
      <c r="N27" s="99">
        <v>61</v>
      </c>
    </row>
    <row r="28" spans="1:14" ht="15">
      <c r="A28" s="96" t="s">
        <v>14</v>
      </c>
      <c r="B28" s="97">
        <v>27</v>
      </c>
      <c r="C28" s="98">
        <v>5</v>
      </c>
      <c r="D28" s="97">
        <v>2022</v>
      </c>
      <c r="E28" s="99">
        <f>'Localize Daily Bali Jimbaran'!P33</f>
        <v>17820.000000000022</v>
      </c>
      <c r="F28" s="100">
        <f>'Localize Daily Bali Jimbaran'!O33/'Localize Daily Bali Jimbaran'!P33</f>
        <v>1188.8801414141385</v>
      </c>
      <c r="G28" s="99">
        <f>'Localize Daily Bali Jimbaran'!AC33</f>
        <v>49.061040000001164</v>
      </c>
      <c r="H28" s="100">
        <f>'Localize Daily Bali Jimbaran'!AD33/'Localize Daily Bali Jimbaran'!AC33</f>
        <v>19100</v>
      </c>
      <c r="I28" s="99">
        <f>'Localize Daily Bali Jimbaran'!AH33</f>
        <v>354.44999999999709</v>
      </c>
      <c r="J28" s="101">
        <f>'Localize Daily Bali Jimbaran'!AI33/'Localize Daily Bali Jimbaran'!AH33</f>
        <v>17500</v>
      </c>
      <c r="K28" s="99">
        <f>'Localize Daily Bali Jimbaran'!Q33</f>
        <v>714</v>
      </c>
      <c r="L28" s="100">
        <f>'Localize Daily Bali Jimbaran'!V33/'Localize Daily Bali Jimbaran'!Q33</f>
        <v>6865.686638655462</v>
      </c>
      <c r="M28" s="99">
        <f>'Localize Daily Bali Jimbaran'!C33</f>
        <v>27</v>
      </c>
      <c r="N28" s="99">
        <v>78</v>
      </c>
    </row>
    <row r="29" spans="1:14" ht="15">
      <c r="A29" s="96" t="s">
        <v>14</v>
      </c>
      <c r="B29" s="97">
        <v>28</v>
      </c>
      <c r="C29" s="98">
        <v>5</v>
      </c>
      <c r="D29" s="97">
        <v>2022</v>
      </c>
      <c r="E29" s="99">
        <f>'Localize Daily Bali Jimbaran'!P34</f>
        <v>19080.00000000024</v>
      </c>
      <c r="F29" s="100">
        <f>'Localize Daily Bali Jimbaran'!O34/'Localize Daily Bali Jimbaran'!P34</f>
        <v>1182.7597877358512</v>
      </c>
      <c r="G29" s="99">
        <f>'Localize Daily Bali Jimbaran'!AC34</f>
        <v>51.759799999999629</v>
      </c>
      <c r="H29" s="100">
        <f>'Localize Daily Bali Jimbaran'!AD34/'Localize Daily Bali Jimbaran'!AC34</f>
        <v>19100</v>
      </c>
      <c r="I29" s="99">
        <f>'Localize Daily Bali Jimbaran'!AH34</f>
        <v>341.05000000000291</v>
      </c>
      <c r="J29" s="101">
        <f>'Localize Daily Bali Jimbaran'!AI34/'Localize Daily Bali Jimbaran'!AH34</f>
        <v>17500</v>
      </c>
      <c r="K29" s="99">
        <f>'Localize Daily Bali Jimbaran'!Q34</f>
        <v>594</v>
      </c>
      <c r="L29" s="100">
        <f>'Localize Daily Bali Jimbaran'!V34/'Localize Daily Bali Jimbaran'!Q34</f>
        <v>6754.4500000000007</v>
      </c>
      <c r="M29" s="99">
        <f>'Localize Daily Bali Jimbaran'!C34</f>
        <v>29</v>
      </c>
      <c r="N29" s="99">
        <v>80</v>
      </c>
    </row>
    <row r="30" spans="1:14" ht="15">
      <c r="A30" s="96" t="s">
        <v>14</v>
      </c>
      <c r="B30" s="97">
        <v>29</v>
      </c>
      <c r="C30" s="98">
        <v>5</v>
      </c>
      <c r="D30" s="97">
        <v>2022</v>
      </c>
      <c r="E30" s="99">
        <f>'Localize Daily Bali Jimbaran'!P35</f>
        <v>19099.999999999483</v>
      </c>
      <c r="F30" s="100">
        <f>'Localize Daily Bali Jimbaran'!O35/'Localize Daily Bali Jimbaran'!P35</f>
        <v>1190.6318214659689</v>
      </c>
      <c r="G30" s="99">
        <f>'Localize Daily Bali Jimbaran'!AC35</f>
        <v>154.33771999999911</v>
      </c>
      <c r="H30" s="100">
        <f>'Localize Daily Bali Jimbaran'!AD35/'Localize Daily Bali Jimbaran'!AC35</f>
        <v>19100.000000000004</v>
      </c>
      <c r="I30" s="99">
        <f>'Localize Daily Bali Jimbaran'!AH35</f>
        <v>340.31999999999971</v>
      </c>
      <c r="J30" s="101">
        <f>'Localize Daily Bali Jimbaran'!AI35/'Localize Daily Bali Jimbaran'!AH35</f>
        <v>17500</v>
      </c>
      <c r="K30" s="99">
        <f>'Localize Daily Bali Jimbaran'!Q35</f>
        <v>576</v>
      </c>
      <c r="L30" s="100">
        <f>'Localize Daily Bali Jimbaran'!V35/'Localize Daily Bali Jimbaran'!Q35</f>
        <v>7343.0150000000012</v>
      </c>
      <c r="M30" s="99">
        <f>'Localize Daily Bali Jimbaran'!C35</f>
        <v>30</v>
      </c>
      <c r="N30" s="99">
        <v>73</v>
      </c>
    </row>
    <row r="31" spans="1:14" ht="15">
      <c r="A31" s="96" t="s">
        <v>14</v>
      </c>
      <c r="B31" s="97">
        <v>30</v>
      </c>
      <c r="C31" s="98">
        <v>5</v>
      </c>
      <c r="D31" s="97">
        <v>2022</v>
      </c>
      <c r="E31" s="99">
        <f>'Localize Daily Bali Jimbaran'!P36</f>
        <v>19180.000000000604</v>
      </c>
      <c r="F31" s="100">
        <f>'Localize Daily Bali Jimbaran'!O36/'Localize Daily Bali Jimbaran'!P36</f>
        <v>1190.7689781021822</v>
      </c>
      <c r="G31" s="99">
        <f>'Localize Daily Bali Jimbaran'!AC36</f>
        <v>76.682799999999631</v>
      </c>
      <c r="H31" s="100">
        <f>'Localize Daily Bali Jimbaran'!AD36/'Localize Daily Bali Jimbaran'!AC36</f>
        <v>17515.550814524242</v>
      </c>
      <c r="I31" s="99">
        <f>'Localize Daily Bali Jimbaran'!AH36</f>
        <v>359.37999999999738</v>
      </c>
      <c r="J31" s="101">
        <f>'Localize Daily Bali Jimbaran'!AI36/'Localize Daily Bali Jimbaran'!AH36</f>
        <v>17500</v>
      </c>
      <c r="K31" s="99">
        <f>'Localize Daily Bali Jimbaran'!Q36</f>
        <v>748</v>
      </c>
      <c r="L31" s="100">
        <f>'Localize Daily Bali Jimbaran'!V36/'Localize Daily Bali Jimbaran'!Q36</f>
        <v>6700.2314705882363</v>
      </c>
      <c r="M31" s="99">
        <f>'Localize Daily Bali Jimbaran'!C36</f>
        <v>29</v>
      </c>
      <c r="N31" s="99">
        <v>71</v>
      </c>
    </row>
    <row r="32" spans="1:14" ht="15">
      <c r="A32" s="96" t="s">
        <v>14</v>
      </c>
      <c r="B32" s="97">
        <v>31</v>
      </c>
      <c r="C32" s="98">
        <v>5</v>
      </c>
      <c r="D32" s="97">
        <v>2022</v>
      </c>
      <c r="E32" s="99">
        <f>'Localize Daily Bali Jimbaran'!P37</f>
        <v>19560.000000000029</v>
      </c>
      <c r="F32" s="100">
        <f>'Localize Daily Bali Jimbaran'!O37/'Localize Daily Bali Jimbaran'!P37</f>
        <v>1191.5441549079812</v>
      </c>
      <c r="G32" s="99">
        <f>'Localize Daily Bali Jimbaran'!AC37</f>
        <v>559.77208000000053</v>
      </c>
      <c r="H32" s="100">
        <f>'Localize Daily Bali Jimbaran'!AD37/'Localize Daily Bali Jimbaran'!AC37</f>
        <v>19027.64912462229</v>
      </c>
      <c r="I32" s="99">
        <f>'Localize Daily Bali Jimbaran'!AH37</f>
        <v>550.55000000000291</v>
      </c>
      <c r="J32" s="101">
        <f>'Localize Daily Bali Jimbaran'!AI37/'Localize Daily Bali Jimbaran'!AH37</f>
        <v>17500</v>
      </c>
      <c r="K32" s="99">
        <f>'Localize Daily Bali Jimbaran'!Q37</f>
        <v>670</v>
      </c>
      <c r="L32" s="100">
        <f>'Localize Daily Bali Jimbaran'!V37/'Localize Daily Bali Jimbaran'!Q37</f>
        <v>6864.9696119402997</v>
      </c>
      <c r="M32" s="99">
        <f>'Localize Daily Bali Jimbaran'!C37</f>
        <v>26</v>
      </c>
      <c r="N32" s="99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L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6" t="s">
        <v>16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4"/>
    </row>
    <row r="4" spans="1:36" s="83" customFormat="1" ht="15.75" customHeight="1">
      <c r="A4" s="16"/>
      <c r="B4" s="157" t="s">
        <v>17</v>
      </c>
      <c r="C4" s="158" t="s">
        <v>18</v>
      </c>
      <c r="D4" s="159" t="s">
        <v>19</v>
      </c>
      <c r="E4" s="160" t="s">
        <v>20</v>
      </c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1" t="s">
        <v>21</v>
      </c>
      <c r="R4" s="161"/>
      <c r="S4" s="161"/>
      <c r="T4" s="161"/>
      <c r="U4" s="161"/>
      <c r="V4" s="161"/>
      <c r="W4" s="162" t="s">
        <v>22</v>
      </c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7"/>
    </row>
    <row r="5" spans="1:36" s="1" customFormat="1" ht="27" customHeight="1">
      <c r="A5" s="83"/>
      <c r="B5" s="157"/>
      <c r="C5" s="158"/>
      <c r="D5" s="159"/>
      <c r="E5" s="163" t="s">
        <v>23</v>
      </c>
      <c r="F5" s="163"/>
      <c r="G5" s="163"/>
      <c r="H5" s="163"/>
      <c r="I5" s="163"/>
      <c r="J5" s="164" t="s">
        <v>24</v>
      </c>
      <c r="K5" s="164"/>
      <c r="L5" s="164"/>
      <c r="M5" s="164"/>
      <c r="N5" s="164"/>
      <c r="O5" s="165" t="s">
        <v>25</v>
      </c>
      <c r="P5" s="167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2" t="s">
        <v>29</v>
      </c>
      <c r="X5" s="162"/>
      <c r="Y5" s="162"/>
      <c r="Z5" s="162"/>
      <c r="AA5" s="162"/>
      <c r="AB5" s="162"/>
      <c r="AC5" s="162"/>
      <c r="AD5" s="162"/>
      <c r="AE5" s="166" t="s">
        <v>30</v>
      </c>
      <c r="AF5" s="166"/>
      <c r="AG5" s="166"/>
      <c r="AH5" s="166"/>
      <c r="AI5" s="166"/>
      <c r="AJ5" s="83"/>
    </row>
    <row r="6" spans="1:36" s="1" customFormat="1" ht="58.5" customHeight="1">
      <c r="A6" s="86"/>
      <c r="B6" s="157"/>
      <c r="C6" s="158"/>
      <c r="D6" s="159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5"/>
      <c r="P6" s="167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2" t="s">
        <v>45</v>
      </c>
      <c r="AA6" s="122" t="s">
        <v>46</v>
      </c>
      <c r="AB6" s="89" t="s">
        <v>47</v>
      </c>
      <c r="AC6" s="89" t="s">
        <v>48</v>
      </c>
      <c r="AD6" s="90" t="s">
        <v>41</v>
      </c>
      <c r="AE6" s="124" t="s">
        <v>49</v>
      </c>
      <c r="AF6" s="124" t="s">
        <v>50</v>
      </c>
      <c r="AG6" s="124" t="s">
        <v>51</v>
      </c>
      <c r="AH6" s="124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75</v>
      </c>
      <c r="D7" s="102">
        <v>425</v>
      </c>
      <c r="E7" s="153">
        <v>16039.999999999964</v>
      </c>
      <c r="F7" s="153">
        <v>17444606.759999961</v>
      </c>
      <c r="G7" s="113">
        <v>3839.9999999999181</v>
      </c>
      <c r="H7" s="154">
        <v>6264397.4399998672</v>
      </c>
      <c r="I7" s="104">
        <f>F7+H7</f>
        <v>23709004.199999828</v>
      </c>
      <c r="J7" s="112">
        <v>1579.9999999999272</v>
      </c>
      <c r="K7" s="112">
        <v>1718359.0199999211</v>
      </c>
      <c r="L7" s="116">
        <v>479.99999999998977</v>
      </c>
      <c r="M7" s="118">
        <v>783049.6799999834</v>
      </c>
      <c r="N7" s="105">
        <f>K7+M7</f>
        <v>2501408.6999999043</v>
      </c>
      <c r="O7" s="104">
        <f>I7+N7</f>
        <v>26210412.89999973</v>
      </c>
      <c r="P7" s="105">
        <f>E7+G7+J7+L7</f>
        <v>21939.9999999998</v>
      </c>
      <c r="Q7" s="120">
        <f>R7+T7</f>
        <v>704</v>
      </c>
      <c r="R7" s="112">
        <v>142</v>
      </c>
      <c r="S7" s="112">
        <v>2551811</v>
      </c>
      <c r="T7" s="112">
        <v>562</v>
      </c>
      <c r="U7" s="112">
        <v>2685101.12</v>
      </c>
      <c r="V7" s="112">
        <f>S7+U7</f>
        <v>5236912.12</v>
      </c>
      <c r="W7" s="112">
        <v>566.8604400000421</v>
      </c>
      <c r="X7" s="112">
        <v>0</v>
      </c>
      <c r="Y7" s="107">
        <v>99.370760000000288</v>
      </c>
      <c r="Z7" s="107">
        <v>100</v>
      </c>
      <c r="AA7" s="107">
        <v>0</v>
      </c>
      <c r="AB7" s="109">
        <v>0</v>
      </c>
      <c r="AC7" s="120">
        <f>W7+X7+Y7+Z7+AA7+AB7</f>
        <v>766.23120000004235</v>
      </c>
      <c r="AD7" s="103">
        <v>14572661.271600805</v>
      </c>
      <c r="AE7" s="106"/>
      <c r="AF7" s="125">
        <v>301.04999999999927</v>
      </c>
      <c r="AG7" s="127">
        <v>0</v>
      </c>
      <c r="AH7" s="127">
        <f>AF7+AG7</f>
        <v>301.04999999999927</v>
      </c>
      <c r="AI7" s="129">
        <v>5268374.999999987</v>
      </c>
      <c r="AJ7" s="18"/>
    </row>
    <row r="8" spans="1:36" ht="15">
      <c r="A8" s="19"/>
      <c r="B8" s="64">
        <v>2</v>
      </c>
      <c r="C8" s="102">
        <v>91</v>
      </c>
      <c r="D8" s="102">
        <v>524</v>
      </c>
      <c r="E8" s="121">
        <v>17479.999999999563</v>
      </c>
      <c r="F8" s="121">
        <v>19010706.119999524</v>
      </c>
      <c r="G8" s="108">
        <v>4120.0000000001182</v>
      </c>
      <c r="H8" s="108">
        <v>6721176.4200001936</v>
      </c>
      <c r="I8" s="104">
        <f>F8+H8</f>
        <v>25731882.539999716</v>
      </c>
      <c r="J8" s="155">
        <v>1540.0000000000773</v>
      </c>
      <c r="K8" s="155">
        <v>1674856.2600000841</v>
      </c>
      <c r="L8" s="117">
        <v>460.00000000000796</v>
      </c>
      <c r="M8" s="119">
        <v>750422.61000001302</v>
      </c>
      <c r="N8" s="105">
        <f>K8+M8</f>
        <v>2425278.870000097</v>
      </c>
      <c r="O8" s="104">
        <f>I8+N8</f>
        <v>28157161.409999814</v>
      </c>
      <c r="P8" s="105">
        <f>E8+G8+J8+L8</f>
        <v>23599.999999999764</v>
      </c>
      <c r="Q8" s="120">
        <f>R8+T8</f>
        <v>740</v>
      </c>
      <c r="R8" s="121">
        <v>118</v>
      </c>
      <c r="S8" s="121">
        <v>2120519</v>
      </c>
      <c r="T8" s="114">
        <v>622</v>
      </c>
      <c r="U8" s="114">
        <v>2971766.72</v>
      </c>
      <c r="V8" s="112">
        <f>S8+U8</f>
        <v>5092285.7200000007</v>
      </c>
      <c r="W8" s="123">
        <v>574.63447999995537</v>
      </c>
      <c r="X8" s="123">
        <v>0</v>
      </c>
      <c r="Y8" s="107">
        <v>94.134360000001379</v>
      </c>
      <c r="Z8" s="107">
        <v>0</v>
      </c>
      <c r="AA8" s="107">
        <v>0</v>
      </c>
      <c r="AB8" s="109">
        <v>12</v>
      </c>
      <c r="AC8" s="120">
        <f>W8+X8+Y8+Z8+AA8+AB8</f>
        <v>680.76883999995675</v>
      </c>
      <c r="AD8" s="107">
        <v>12898975.051199179</v>
      </c>
      <c r="AE8" s="110"/>
      <c r="AF8" s="126">
        <v>403.32000000000153</v>
      </c>
      <c r="AG8" s="128">
        <v>0</v>
      </c>
      <c r="AH8" s="127">
        <f>AF8+AG8</f>
        <v>403.32000000000153</v>
      </c>
      <c r="AI8" s="130">
        <v>7058100.000000027</v>
      </c>
      <c r="AJ8" s="21"/>
    </row>
    <row r="9" spans="1:36" ht="15">
      <c r="A9" s="19"/>
      <c r="B9" s="81">
        <v>3</v>
      </c>
      <c r="C9" s="102">
        <v>86</v>
      </c>
      <c r="D9" s="102">
        <v>583</v>
      </c>
      <c r="E9" s="121">
        <v>17560.0000000004</v>
      </c>
      <c r="F9" s="121">
        <v>19097711.640000436</v>
      </c>
      <c r="G9" s="108">
        <v>3919.9999999998454</v>
      </c>
      <c r="H9" s="108">
        <v>6394905.7199997483</v>
      </c>
      <c r="I9" s="104">
        <f>F9+H9</f>
        <v>25492617.360000186</v>
      </c>
      <c r="J9" s="155">
        <v>1359.9999999999</v>
      </c>
      <c r="K9" s="155">
        <v>1479093.8399998914</v>
      </c>
      <c r="L9" s="117">
        <v>479.99999999998977</v>
      </c>
      <c r="M9" s="119">
        <v>783049.6799999834</v>
      </c>
      <c r="N9" s="105">
        <f>K9+M9</f>
        <v>2262143.5199998748</v>
      </c>
      <c r="O9" s="104">
        <f>I9+N9</f>
        <v>27754760.880000062</v>
      </c>
      <c r="P9" s="105">
        <f>E9+G9+J9+L9</f>
        <v>23320.000000000135</v>
      </c>
      <c r="Q9" s="120">
        <f>R9+T9</f>
        <v>773</v>
      </c>
      <c r="R9" s="121">
        <v>142</v>
      </c>
      <c r="S9" s="121">
        <v>2551811</v>
      </c>
      <c r="T9" s="114">
        <v>631</v>
      </c>
      <c r="U9" s="114">
        <v>3014766.56</v>
      </c>
      <c r="V9" s="112">
        <f>S9+U9</f>
        <v>5566577.5600000005</v>
      </c>
      <c r="W9" s="123">
        <v>578.94444000004216</v>
      </c>
      <c r="X9" s="123">
        <v>0</v>
      </c>
      <c r="Y9" s="107">
        <v>92.362039999999325</v>
      </c>
      <c r="Z9" s="107">
        <v>0</v>
      </c>
      <c r="AA9" s="107">
        <v>0</v>
      </c>
      <c r="AB9" s="109">
        <v>12</v>
      </c>
      <c r="AC9" s="120">
        <f>W9+X9+Y9+Z9+AA9+AB9</f>
        <v>683.30648000004146</v>
      </c>
      <c r="AD9" s="107">
        <v>12946969.879600788</v>
      </c>
      <c r="AE9" s="110"/>
      <c r="AF9" s="126">
        <v>823.73999999999978</v>
      </c>
      <c r="AG9" s="128">
        <v>0</v>
      </c>
      <c r="AH9" s="127">
        <f>AF9+AG9</f>
        <v>823.73999999999978</v>
      </c>
      <c r="AI9" s="130">
        <v>14415449.999999996</v>
      </c>
      <c r="AJ9" s="21"/>
    </row>
    <row r="10" spans="1:36" ht="15">
      <c r="A10" s="19"/>
      <c r="B10" s="64">
        <v>4</v>
      </c>
      <c r="C10" s="102">
        <v>80</v>
      </c>
      <c r="D10" s="102">
        <v>611</v>
      </c>
      <c r="E10" s="121">
        <v>17239.999999999782</v>
      </c>
      <c r="F10" s="121">
        <v>18749689.55999976</v>
      </c>
      <c r="G10" s="108">
        <v>3920.0000000000728</v>
      </c>
      <c r="H10" s="108">
        <v>6394905.7200001189</v>
      </c>
      <c r="I10" s="104">
        <f>F10+H10</f>
        <v>25144595.279999878</v>
      </c>
      <c r="J10" s="155">
        <v>1520.0000000000955</v>
      </c>
      <c r="K10" s="155">
        <v>1653104.8800001037</v>
      </c>
      <c r="L10" s="117">
        <v>480.00000000001819</v>
      </c>
      <c r="M10" s="119">
        <v>783049.68000002974</v>
      </c>
      <c r="N10" s="105">
        <f>K10+M10</f>
        <v>2436154.5600001337</v>
      </c>
      <c r="O10" s="104">
        <f>I10+N10</f>
        <v>27580749.840000011</v>
      </c>
      <c r="P10" s="105">
        <f>E10+G10+J10+L10</f>
        <v>23159.999999999967</v>
      </c>
      <c r="Q10" s="120">
        <f>R10+T10</f>
        <v>748</v>
      </c>
      <c r="R10" s="121">
        <v>144</v>
      </c>
      <c r="S10" s="121">
        <v>2587752</v>
      </c>
      <c r="T10" s="114">
        <v>604</v>
      </c>
      <c r="U10" s="114">
        <v>2885767.04</v>
      </c>
      <c r="V10" s="112">
        <f>S10+U10</f>
        <v>5473519.04</v>
      </c>
      <c r="W10" s="123">
        <v>618.53967999999054</v>
      </c>
      <c r="X10" s="123">
        <v>0</v>
      </c>
      <c r="Y10" s="107">
        <v>92.402320000000216</v>
      </c>
      <c r="Z10" s="107">
        <v>0</v>
      </c>
      <c r="AA10" s="107">
        <v>0</v>
      </c>
      <c r="AB10" s="109">
        <v>24</v>
      </c>
      <c r="AC10" s="120">
        <f>W10+X10+Y10+Z10+AA10+AB10</f>
        <v>734.9419999999908</v>
      </c>
      <c r="AD10" s="107">
        <v>13888352.835199825</v>
      </c>
      <c r="AE10" s="110"/>
      <c r="AF10" s="126">
        <v>87.549999999999272</v>
      </c>
      <c r="AG10" s="128">
        <v>49.100000000034925</v>
      </c>
      <c r="AH10" s="127">
        <f>AF10+AG10</f>
        <v>136.6500000000342</v>
      </c>
      <c r="AI10" s="130">
        <v>2391375.0000005984</v>
      </c>
      <c r="AJ10" s="21"/>
    </row>
    <row r="11" spans="1:36" ht="15">
      <c r="A11" s="19"/>
      <c r="B11" s="81">
        <v>5</v>
      </c>
      <c r="C11" s="102">
        <v>58</v>
      </c>
      <c r="D11" s="102">
        <v>558</v>
      </c>
      <c r="E11" s="121">
        <v>16760.000000000218</v>
      </c>
      <c r="F11" s="121">
        <v>18227656.440000236</v>
      </c>
      <c r="G11" s="108">
        <v>3639.9999999998727</v>
      </c>
      <c r="H11" s="108">
        <v>5938126.7399997925</v>
      </c>
      <c r="I11" s="104">
        <f>F11+H11</f>
        <v>24165783.18000003</v>
      </c>
      <c r="J11" s="155">
        <v>1659.9999999999682</v>
      </c>
      <c r="K11" s="155">
        <v>1805364.5399999653</v>
      </c>
      <c r="L11" s="117">
        <v>479.99999999998977</v>
      </c>
      <c r="M11" s="119">
        <v>783049.6799999834</v>
      </c>
      <c r="N11" s="105">
        <f>K11+M11</f>
        <v>2588414.2199999485</v>
      </c>
      <c r="O11" s="104">
        <f>I11+N11</f>
        <v>26754197.399999976</v>
      </c>
      <c r="P11" s="105">
        <f>E11+G11+J11+L11</f>
        <v>22540.000000000047</v>
      </c>
      <c r="Q11" s="120">
        <f>R11+T11</f>
        <v>694</v>
      </c>
      <c r="R11" s="121">
        <v>105</v>
      </c>
      <c r="S11" s="121">
        <v>1886902.5</v>
      </c>
      <c r="T11" s="114">
        <v>589</v>
      </c>
      <c r="U11" s="114">
        <v>2814100.64</v>
      </c>
      <c r="V11" s="112">
        <f>S11+U11</f>
        <v>4701003.1400000006</v>
      </c>
      <c r="W11" s="123">
        <v>419.31479999996481</v>
      </c>
      <c r="X11" s="123">
        <v>0</v>
      </c>
      <c r="Y11" s="107">
        <v>92.160640000000427</v>
      </c>
      <c r="Z11" s="107">
        <v>0</v>
      </c>
      <c r="AA11" s="107">
        <v>0</v>
      </c>
      <c r="AB11" s="109">
        <v>0</v>
      </c>
      <c r="AC11" s="120">
        <f>W11+X11+Y11+Z11+AA11+AB11</f>
        <v>511.47543999996526</v>
      </c>
      <c r="AD11" s="107">
        <v>9723056.2759993393</v>
      </c>
      <c r="AE11" s="110"/>
      <c r="AF11" s="126">
        <v>371.51000000000022</v>
      </c>
      <c r="AG11" s="128">
        <v>0</v>
      </c>
      <c r="AH11" s="127">
        <f>AF11+AG11</f>
        <v>371.51000000000022</v>
      </c>
      <c r="AI11" s="130">
        <v>6501425.0000000037</v>
      </c>
      <c r="AJ11" s="21"/>
    </row>
    <row r="12" spans="1:36" ht="15">
      <c r="A12" s="19"/>
      <c r="B12" s="64">
        <v>6</v>
      </c>
      <c r="C12" s="102">
        <v>46</v>
      </c>
      <c r="D12" s="102">
        <v>395</v>
      </c>
      <c r="E12" s="121">
        <v>17159.999999999854</v>
      </c>
      <c r="F12" s="121">
        <v>18662684.039999843</v>
      </c>
      <c r="G12" s="108">
        <v>3720.0000000000273</v>
      </c>
      <c r="H12" s="108">
        <v>6068635.0200000443</v>
      </c>
      <c r="I12" s="104">
        <f>F12+H12</f>
        <v>24731319.059999887</v>
      </c>
      <c r="J12" s="155">
        <v>1600.0000000000227</v>
      </c>
      <c r="K12" s="155">
        <v>1740110.4000000248</v>
      </c>
      <c r="L12" s="117">
        <v>500</v>
      </c>
      <c r="M12" s="119">
        <v>815676.75</v>
      </c>
      <c r="N12" s="105">
        <f>K12+M12</f>
        <v>2555787.1500000246</v>
      </c>
      <c r="O12" s="104">
        <f>I12+N12</f>
        <v>27287106.209999911</v>
      </c>
      <c r="P12" s="105">
        <f>E12+G12+J12+L12</f>
        <v>22979.999999999905</v>
      </c>
      <c r="Q12" s="120">
        <f>R12+T12</f>
        <v>718</v>
      </c>
      <c r="R12" s="121">
        <v>110</v>
      </c>
      <c r="S12" s="121">
        <v>1976755</v>
      </c>
      <c r="T12" s="114">
        <v>608</v>
      </c>
      <c r="U12" s="114">
        <v>2904878.08</v>
      </c>
      <c r="V12" s="112">
        <f>S12+U12</f>
        <v>4881633.08</v>
      </c>
      <c r="W12" s="123">
        <v>0</v>
      </c>
      <c r="X12" s="123">
        <v>400</v>
      </c>
      <c r="Y12" s="107">
        <v>92.764839999998969</v>
      </c>
      <c r="Z12" s="107">
        <v>0</v>
      </c>
      <c r="AA12" s="107">
        <v>0</v>
      </c>
      <c r="AB12" s="109">
        <v>12</v>
      </c>
      <c r="AC12" s="120">
        <f>W12+X12+Y12+Z12+AA12+AB12</f>
        <v>504.76483999999897</v>
      </c>
      <c r="AD12" s="107">
        <v>9600508.4439999796</v>
      </c>
      <c r="AE12" s="110"/>
      <c r="AF12" s="126">
        <v>397.97999999999956</v>
      </c>
      <c r="AG12" s="128">
        <v>0</v>
      </c>
      <c r="AH12" s="127">
        <f>AF12+AG12</f>
        <v>397.97999999999956</v>
      </c>
      <c r="AI12" s="130">
        <v>6964649.9999999925</v>
      </c>
      <c r="AJ12" s="21"/>
    </row>
    <row r="13" spans="1:36" ht="15">
      <c r="A13" s="19"/>
      <c r="B13" s="81">
        <v>7</v>
      </c>
      <c r="C13" s="102">
        <v>42</v>
      </c>
      <c r="D13" s="102">
        <v>367</v>
      </c>
      <c r="E13" s="121">
        <v>16800.000000000182</v>
      </c>
      <c r="F13" s="121">
        <v>18271159.200000197</v>
      </c>
      <c r="G13" s="108">
        <v>3680.0000000000637</v>
      </c>
      <c r="H13" s="108">
        <v>6003380.8800001042</v>
      </c>
      <c r="I13" s="104">
        <f>F13+H13</f>
        <v>24274540.0800003</v>
      </c>
      <c r="J13" s="155">
        <v>1599.9999999999091</v>
      </c>
      <c r="K13" s="155">
        <v>1740110.399999901</v>
      </c>
      <c r="L13" s="117">
        <v>479.99999999998977</v>
      </c>
      <c r="M13" s="119">
        <v>783049.6799999834</v>
      </c>
      <c r="N13" s="105">
        <f>K13+M13</f>
        <v>2523160.0799998846</v>
      </c>
      <c r="O13" s="104">
        <f>I13+N13</f>
        <v>26797700.160000183</v>
      </c>
      <c r="P13" s="105">
        <f>E13+G13+J13+L13</f>
        <v>22560.000000000146</v>
      </c>
      <c r="Q13" s="120">
        <f>R13+T13</f>
        <v>682</v>
      </c>
      <c r="R13" s="121">
        <v>61</v>
      </c>
      <c r="S13" s="121">
        <v>1096200.5</v>
      </c>
      <c r="T13" s="114">
        <v>621</v>
      </c>
      <c r="U13" s="114">
        <v>2966988.96</v>
      </c>
      <c r="V13" s="112">
        <f>S13+U13</f>
        <v>4063189.46</v>
      </c>
      <c r="W13" s="123">
        <v>0</v>
      </c>
      <c r="X13" s="123">
        <v>0</v>
      </c>
      <c r="Y13" s="107">
        <v>89.139640000000426</v>
      </c>
      <c r="Z13" s="107">
        <v>0</v>
      </c>
      <c r="AA13" s="107">
        <v>0</v>
      </c>
      <c r="AB13" s="109">
        <v>12</v>
      </c>
      <c r="AC13" s="120">
        <f>W13+X13+Y13+Z13+AA13+AB13</f>
        <v>101.13964000000043</v>
      </c>
      <c r="AD13" s="107">
        <v>1891267.1240000082</v>
      </c>
      <c r="AE13" s="110"/>
      <c r="AF13" s="126">
        <v>317.45000000000073</v>
      </c>
      <c r="AG13" s="128">
        <v>0</v>
      </c>
      <c r="AH13" s="127">
        <f>AF13+AG13</f>
        <v>317.45000000000073</v>
      </c>
      <c r="AI13" s="130">
        <v>5555375.000000013</v>
      </c>
      <c r="AJ13" s="21"/>
    </row>
    <row r="14" spans="1:36" ht="15">
      <c r="A14" s="19"/>
      <c r="B14" s="64">
        <v>8</v>
      </c>
      <c r="C14" s="102">
        <v>36</v>
      </c>
      <c r="D14" s="102">
        <v>313</v>
      </c>
      <c r="E14" s="121">
        <v>16079.999999999927</v>
      </c>
      <c r="F14" s="121">
        <v>17488109.519999921</v>
      </c>
      <c r="G14" s="108">
        <v>3319.9999999999363</v>
      </c>
      <c r="H14" s="108">
        <v>5416093.6199998967</v>
      </c>
      <c r="I14" s="104">
        <f>F14+H14</f>
        <v>22904203.139999818</v>
      </c>
      <c r="J14" s="155">
        <v>1620.0000000000045</v>
      </c>
      <c r="K14" s="155">
        <v>1761861.7800000052</v>
      </c>
      <c r="L14" s="117">
        <v>460.00000000000796</v>
      </c>
      <c r="M14" s="119">
        <v>750422.61000001302</v>
      </c>
      <c r="N14" s="105">
        <f>K14+M14</f>
        <v>2512284.3900000183</v>
      </c>
      <c r="O14" s="104">
        <f>I14+N14</f>
        <v>25416487.529999837</v>
      </c>
      <c r="P14" s="105">
        <f>E14+G14+J14+L14</f>
        <v>21479.999999999873</v>
      </c>
      <c r="Q14" s="120">
        <f>R14+T14</f>
        <v>720</v>
      </c>
      <c r="R14" s="121">
        <v>104</v>
      </c>
      <c r="S14" s="121">
        <v>1868932</v>
      </c>
      <c r="T14" s="114">
        <v>616</v>
      </c>
      <c r="U14" s="114">
        <v>2943100.16</v>
      </c>
      <c r="V14" s="112">
        <f>S14+U14</f>
        <v>4812032.16</v>
      </c>
      <c r="W14" s="123">
        <v>0</v>
      </c>
      <c r="X14" s="123">
        <v>0</v>
      </c>
      <c r="Y14" s="107">
        <v>81.325320000000218</v>
      </c>
      <c r="Z14" s="107">
        <v>0</v>
      </c>
      <c r="AA14" s="107">
        <v>0</v>
      </c>
      <c r="AB14" s="109">
        <v>36</v>
      </c>
      <c r="AC14" s="120">
        <f>W14+X14+Y14+Z14+AA14+AB14</f>
        <v>117.32532000000022</v>
      </c>
      <c r="AD14" s="107">
        <v>2119413.6120000044</v>
      </c>
      <c r="AE14" s="110"/>
      <c r="AF14" s="126">
        <v>378.60000000000036</v>
      </c>
      <c r="AG14" s="128">
        <v>0</v>
      </c>
      <c r="AH14" s="127">
        <f>AF14+AG14</f>
        <v>378.60000000000036</v>
      </c>
      <c r="AI14" s="130">
        <v>6625500.0000000065</v>
      </c>
      <c r="AJ14" s="21"/>
    </row>
    <row r="15" spans="1:36" ht="15">
      <c r="A15" s="19"/>
      <c r="B15" s="81">
        <v>9</v>
      </c>
      <c r="C15" s="102">
        <v>25</v>
      </c>
      <c r="D15" s="102">
        <v>270</v>
      </c>
      <c r="E15" s="121">
        <v>15479.999999999563</v>
      </c>
      <c r="F15" s="121">
        <v>16835568.119999524</v>
      </c>
      <c r="G15" s="108">
        <v>3519.9999999999818</v>
      </c>
      <c r="H15" s="108">
        <v>5742364.3199999714</v>
      </c>
      <c r="I15" s="104">
        <f>F15+H15</f>
        <v>22577932.439999495</v>
      </c>
      <c r="J15" s="155">
        <v>1300.0000000000682</v>
      </c>
      <c r="K15" s="155">
        <v>1413839.7000000742</v>
      </c>
      <c r="L15" s="117">
        <v>460.00000000000796</v>
      </c>
      <c r="M15" s="119">
        <v>750422.61000001302</v>
      </c>
      <c r="N15" s="105">
        <f>K15+M15</f>
        <v>2164262.3100000871</v>
      </c>
      <c r="O15" s="104">
        <f>I15+N15</f>
        <v>24742194.749999583</v>
      </c>
      <c r="P15" s="105">
        <f>E15+G15+J15+L15</f>
        <v>20759.999999999622</v>
      </c>
      <c r="Q15" s="120">
        <f>R15+T15</f>
        <v>763</v>
      </c>
      <c r="R15" s="121">
        <v>142</v>
      </c>
      <c r="S15" s="121">
        <v>2551811</v>
      </c>
      <c r="T15" s="114">
        <v>621</v>
      </c>
      <c r="U15" s="114">
        <v>2966988.96</v>
      </c>
      <c r="V15" s="112">
        <f>S15+U15</f>
        <v>5518799.96</v>
      </c>
      <c r="W15" s="123">
        <v>0</v>
      </c>
      <c r="X15" s="123">
        <v>0</v>
      </c>
      <c r="Y15" s="107">
        <v>77.982079999998675</v>
      </c>
      <c r="Z15" s="107">
        <v>0</v>
      </c>
      <c r="AA15" s="107">
        <v>0</v>
      </c>
      <c r="AB15" s="109">
        <v>24</v>
      </c>
      <c r="AC15" s="120">
        <f>W15+X15+Y15+Z15+AA15+AB15</f>
        <v>101.98207999999867</v>
      </c>
      <c r="AD15" s="107">
        <v>1866857.7279999747</v>
      </c>
      <c r="AE15" s="110"/>
      <c r="AF15" s="126">
        <v>421.26999999999862</v>
      </c>
      <c r="AG15" s="128">
        <v>0</v>
      </c>
      <c r="AH15" s="127">
        <f>AF15+AG15</f>
        <v>421.26999999999862</v>
      </c>
      <c r="AI15" s="130">
        <v>7372224.9999999758</v>
      </c>
      <c r="AJ15" s="21"/>
    </row>
    <row r="16" spans="1:36" ht="15">
      <c r="A16" s="19"/>
      <c r="B16" s="64">
        <v>10</v>
      </c>
      <c r="C16" s="102">
        <v>22</v>
      </c>
      <c r="D16" s="102">
        <v>222</v>
      </c>
      <c r="E16" s="121">
        <v>15560.0000000004</v>
      </c>
      <c r="F16" s="121">
        <v>16922573.640000436</v>
      </c>
      <c r="G16" s="108">
        <v>3200.0000000000455</v>
      </c>
      <c r="H16" s="108">
        <v>5220331.2000000747</v>
      </c>
      <c r="I16" s="104">
        <f>F16+H16</f>
        <v>22142904.84000051</v>
      </c>
      <c r="J16" s="155">
        <v>1679.99999999995</v>
      </c>
      <c r="K16" s="155">
        <v>1827115.9199999457</v>
      </c>
      <c r="L16" s="117">
        <v>439.99999999999773</v>
      </c>
      <c r="M16" s="119">
        <v>717795.53999999643</v>
      </c>
      <c r="N16" s="105">
        <f>K16+M16</f>
        <v>2544911.4599999422</v>
      </c>
      <c r="O16" s="104">
        <f>I16+N16</f>
        <v>24687816.300000452</v>
      </c>
      <c r="P16" s="105">
        <f>E16+G16+J16+L16</f>
        <v>20880.000000000389</v>
      </c>
      <c r="Q16" s="120">
        <f>R16+T16</f>
        <v>738</v>
      </c>
      <c r="R16" s="121">
        <v>114</v>
      </c>
      <c r="S16" s="121">
        <v>2048637</v>
      </c>
      <c r="T16" s="114">
        <v>624</v>
      </c>
      <c r="U16" s="114">
        <v>2981322.24</v>
      </c>
      <c r="V16" s="112">
        <f>S16+U16</f>
        <v>5029959.24</v>
      </c>
      <c r="W16" s="123">
        <v>0</v>
      </c>
      <c r="X16" s="123">
        <v>400</v>
      </c>
      <c r="Y16" s="107">
        <v>82.171200000000354</v>
      </c>
      <c r="Z16" s="107">
        <v>0</v>
      </c>
      <c r="AA16" s="107">
        <v>0</v>
      </c>
      <c r="AB16" s="109">
        <v>0</v>
      </c>
      <c r="AC16" s="120">
        <f>W16+X16+Y16+Z16+AA16+AB16</f>
        <v>482.17120000000034</v>
      </c>
      <c r="AD16" s="107">
        <v>9209469.9200000074</v>
      </c>
      <c r="AE16" s="110"/>
      <c r="AF16" s="126">
        <v>338.23000000000138</v>
      </c>
      <c r="AG16" s="128">
        <v>0</v>
      </c>
      <c r="AH16" s="127">
        <f>AF16+AG16</f>
        <v>338.23000000000138</v>
      </c>
      <c r="AI16" s="130">
        <v>5919025.0000000242</v>
      </c>
      <c r="AJ16" s="21"/>
    </row>
    <row r="17" spans="1:36" ht="15">
      <c r="A17" s="19"/>
      <c r="B17" s="81">
        <v>11</v>
      </c>
      <c r="C17" s="102">
        <v>22</v>
      </c>
      <c r="D17" s="102">
        <v>180</v>
      </c>
      <c r="E17" s="121">
        <v>15039.999999999964</v>
      </c>
      <c r="F17" s="121">
        <v>16357037.759999961</v>
      </c>
      <c r="G17" s="108">
        <v>3240.0000000000091</v>
      </c>
      <c r="H17" s="108">
        <v>5285585.3400000157</v>
      </c>
      <c r="I17" s="104">
        <f>F17+H17</f>
        <v>21642623.099999975</v>
      </c>
      <c r="J17" s="155">
        <v>1740.0000000000091</v>
      </c>
      <c r="K17" s="155">
        <v>1892370.0600000098</v>
      </c>
      <c r="L17" s="117">
        <v>400.00000000000568</v>
      </c>
      <c r="M17" s="119">
        <v>652541.40000000934</v>
      </c>
      <c r="N17" s="105">
        <f>K17+M17</f>
        <v>2544911.4600000191</v>
      </c>
      <c r="O17" s="104">
        <f>I17+N17</f>
        <v>24187534.559999995</v>
      </c>
      <c r="P17" s="105">
        <f>E17+G17+J17+L17</f>
        <v>20419.999999999985</v>
      </c>
      <c r="Q17" s="120">
        <f>R17+T17</f>
        <v>734</v>
      </c>
      <c r="R17" s="121">
        <v>110</v>
      </c>
      <c r="S17" s="121">
        <v>1976755</v>
      </c>
      <c r="T17" s="114">
        <v>624</v>
      </c>
      <c r="U17" s="114">
        <v>2981322.24</v>
      </c>
      <c r="V17" s="112">
        <f>S17+U17</f>
        <v>4958077.24</v>
      </c>
      <c r="W17" s="123">
        <v>0</v>
      </c>
      <c r="X17" s="123">
        <v>0</v>
      </c>
      <c r="Y17" s="107">
        <v>85.675559999999919</v>
      </c>
      <c r="Z17" s="107">
        <v>0</v>
      </c>
      <c r="AA17" s="107">
        <v>0</v>
      </c>
      <c r="AB17" s="109">
        <v>0</v>
      </c>
      <c r="AC17" s="120">
        <f>W17+X17+Y17+Z17+AA17+AB17</f>
        <v>85.675559999999919</v>
      </c>
      <c r="AD17" s="107">
        <v>1636403.1959999984</v>
      </c>
      <c r="AE17" s="110"/>
      <c r="AF17" s="126">
        <v>369.88999999999942</v>
      </c>
      <c r="AG17" s="128">
        <v>50</v>
      </c>
      <c r="AH17" s="127">
        <f>AF17+AG17</f>
        <v>419.88999999999942</v>
      </c>
      <c r="AI17" s="130">
        <v>7348074.9999999898</v>
      </c>
      <c r="AJ17" s="21"/>
    </row>
    <row r="18" spans="1:36" ht="15">
      <c r="A18" s="19"/>
      <c r="B18" s="64">
        <v>12</v>
      </c>
      <c r="C18" s="102">
        <v>20</v>
      </c>
      <c r="D18" s="102">
        <v>204</v>
      </c>
      <c r="E18" s="121">
        <v>15039.999999999964</v>
      </c>
      <c r="F18" s="121">
        <v>16357037.759999961</v>
      </c>
      <c r="G18" s="108">
        <v>3319.9999999999363</v>
      </c>
      <c r="H18" s="108">
        <v>5416093.6199998967</v>
      </c>
      <c r="I18" s="104">
        <f>F18+H18</f>
        <v>21773131.379999857</v>
      </c>
      <c r="J18" s="155">
        <v>1420.0000000000728</v>
      </c>
      <c r="K18" s="155">
        <v>1544347.9800000791</v>
      </c>
      <c r="L18" s="117">
        <v>479.99999999998977</v>
      </c>
      <c r="M18" s="119">
        <v>783049.6799999834</v>
      </c>
      <c r="N18" s="105">
        <f>K18+M18</f>
        <v>2327397.6600000625</v>
      </c>
      <c r="O18" s="104">
        <f>I18+N18</f>
        <v>24100529.039999921</v>
      </c>
      <c r="P18" s="105">
        <f>E18+G18+J18+L18</f>
        <v>20259.99999999996</v>
      </c>
      <c r="Q18" s="120">
        <f>R18+T18</f>
        <v>701</v>
      </c>
      <c r="R18" s="121">
        <v>131</v>
      </c>
      <c r="S18" s="121">
        <v>2354135.5</v>
      </c>
      <c r="T18" s="114">
        <v>570</v>
      </c>
      <c r="U18" s="114">
        <v>2723323.2</v>
      </c>
      <c r="V18" s="112">
        <f>S18+U18</f>
        <v>5077458.7</v>
      </c>
      <c r="W18" s="123">
        <v>0</v>
      </c>
      <c r="X18" s="123">
        <v>0</v>
      </c>
      <c r="Y18" s="107">
        <v>77.740400000000719</v>
      </c>
      <c r="Z18" s="107">
        <v>0</v>
      </c>
      <c r="AA18" s="107">
        <v>0</v>
      </c>
      <c r="AB18" s="109">
        <v>12</v>
      </c>
      <c r="AC18" s="120">
        <f>W18+X18+Y18+Z18+AA18+AB18</f>
        <v>89.740400000000719</v>
      </c>
      <c r="AD18" s="107">
        <v>1673541.6400000136</v>
      </c>
      <c r="AE18" s="110"/>
      <c r="AF18" s="126">
        <v>351.94000000000051</v>
      </c>
      <c r="AG18" s="128">
        <v>0</v>
      </c>
      <c r="AH18" s="127">
        <f>AF18+AG18</f>
        <v>351.94000000000051</v>
      </c>
      <c r="AI18" s="130">
        <v>6158950.0000000093</v>
      </c>
      <c r="AJ18" s="21"/>
    </row>
    <row r="19" spans="1:36" ht="15">
      <c r="A19" s="19"/>
      <c r="B19" s="81">
        <v>13</v>
      </c>
      <c r="C19" s="102">
        <v>24</v>
      </c>
      <c r="D19" s="102">
        <v>263</v>
      </c>
      <c r="E19" s="121">
        <v>15840.000000000146</v>
      </c>
      <c r="F19" s="121">
        <v>17227092.960000157</v>
      </c>
      <c r="G19" s="108">
        <v>3360.0000000001273</v>
      </c>
      <c r="H19" s="108">
        <v>5481347.7600002075</v>
      </c>
      <c r="I19" s="104">
        <f>F19+H19</f>
        <v>22708440.720000364</v>
      </c>
      <c r="J19" s="155">
        <v>1859.9999999999</v>
      </c>
      <c r="K19" s="155">
        <v>2022878.3399998914</v>
      </c>
      <c r="L19" s="117">
        <v>479.99999999998977</v>
      </c>
      <c r="M19" s="119">
        <v>783049.6799999834</v>
      </c>
      <c r="N19" s="105">
        <f>K19+M19</f>
        <v>2805928.0199998748</v>
      </c>
      <c r="O19" s="104">
        <f>I19+N19</f>
        <v>25514368.740000241</v>
      </c>
      <c r="P19" s="105">
        <f>E19+G19+J19+L19</f>
        <v>21540.000000000164</v>
      </c>
      <c r="Q19" s="120">
        <f>R19+T19</f>
        <v>736</v>
      </c>
      <c r="R19" s="121">
        <v>139</v>
      </c>
      <c r="S19" s="121">
        <v>2497899.5</v>
      </c>
      <c r="T19" s="114">
        <v>597</v>
      </c>
      <c r="U19" s="114">
        <v>2852322.72</v>
      </c>
      <c r="V19" s="112">
        <f>S19+U19</f>
        <v>5350222.2200000007</v>
      </c>
      <c r="W19" s="123">
        <v>0</v>
      </c>
      <c r="X19" s="123">
        <v>0</v>
      </c>
      <c r="Y19" s="107">
        <v>90.388320000000206</v>
      </c>
      <c r="Z19" s="107">
        <v>100</v>
      </c>
      <c r="AA19" s="107">
        <v>0</v>
      </c>
      <c r="AB19" s="109">
        <v>12</v>
      </c>
      <c r="AC19" s="120">
        <f>W19+X19+Y19+Z19+AA19+AB19</f>
        <v>202.38832000000019</v>
      </c>
      <c r="AD19" s="107">
        <v>3825116.9120000042</v>
      </c>
      <c r="AE19" s="110"/>
      <c r="AF19" s="126">
        <v>339.31999999999971</v>
      </c>
      <c r="AG19" s="128">
        <v>0</v>
      </c>
      <c r="AH19" s="127">
        <f>AF19+AG19</f>
        <v>339.31999999999971</v>
      </c>
      <c r="AI19" s="130">
        <v>5938099.9999999953</v>
      </c>
      <c r="AJ19" s="21"/>
    </row>
    <row r="20" spans="1:36" ht="15">
      <c r="A20" s="19"/>
      <c r="B20" s="64">
        <v>14</v>
      </c>
      <c r="C20" s="102">
        <v>25</v>
      </c>
      <c r="D20" s="102">
        <v>274</v>
      </c>
      <c r="E20" s="121">
        <v>15279.999999999745</v>
      </c>
      <c r="F20" s="121">
        <v>16618054.319999723</v>
      </c>
      <c r="G20" s="108">
        <v>3359.9999999999</v>
      </c>
      <c r="H20" s="108">
        <v>5481347.7599998368</v>
      </c>
      <c r="I20" s="104">
        <f>F20+H20</f>
        <v>22099402.079999559</v>
      </c>
      <c r="J20" s="155">
        <v>1500</v>
      </c>
      <c r="K20" s="155">
        <v>1631353.5</v>
      </c>
      <c r="L20" s="117">
        <v>439.99999999999773</v>
      </c>
      <c r="M20" s="119">
        <v>717795.53999999643</v>
      </c>
      <c r="N20" s="105">
        <f>K20+M20</f>
        <v>2349149.0399999963</v>
      </c>
      <c r="O20" s="104">
        <f>I20+N20</f>
        <v>24448551.119999554</v>
      </c>
      <c r="P20" s="105">
        <f>E20+G20+J20+L20</f>
        <v>20579.99999999964</v>
      </c>
      <c r="Q20" s="120">
        <f>R20+T20</f>
        <v>740</v>
      </c>
      <c r="R20" s="121">
        <v>117</v>
      </c>
      <c r="S20" s="121">
        <v>2102548.5</v>
      </c>
      <c r="T20" s="114">
        <v>623</v>
      </c>
      <c r="U20" s="114">
        <v>2976544.48</v>
      </c>
      <c r="V20" s="112">
        <f>S20+U20</f>
        <v>5079092.9800000004</v>
      </c>
      <c r="W20" s="123">
        <v>0</v>
      </c>
      <c r="X20" s="123">
        <v>400</v>
      </c>
      <c r="Y20" s="107">
        <v>88.29376000000029</v>
      </c>
      <c r="Z20" s="107">
        <v>0</v>
      </c>
      <c r="AA20" s="107">
        <v>0</v>
      </c>
      <c r="AB20" s="109">
        <v>24</v>
      </c>
      <c r="AC20" s="120">
        <f>W20+X20+Y20+Z20+AA20+AB20</f>
        <v>512.29376000000025</v>
      </c>
      <c r="AD20" s="107">
        <v>9703810.8160000052</v>
      </c>
      <c r="AE20" s="110"/>
      <c r="AF20" s="126">
        <v>385.47999999999956</v>
      </c>
      <c r="AG20" s="128">
        <v>0</v>
      </c>
      <c r="AH20" s="127">
        <f>AF20+AG20</f>
        <v>385.47999999999956</v>
      </c>
      <c r="AI20" s="130">
        <v>6745899.9999999925</v>
      </c>
      <c r="AJ20" s="21"/>
    </row>
    <row r="21" spans="1:36" ht="15">
      <c r="A21" s="19"/>
      <c r="B21" s="81">
        <v>15</v>
      </c>
      <c r="C21" s="102">
        <v>20</v>
      </c>
      <c r="D21" s="102">
        <v>260</v>
      </c>
      <c r="E21" s="114">
        <v>14239.999999999782</v>
      </c>
      <c r="F21" s="114">
        <v>15486982.559999764</v>
      </c>
      <c r="G21" s="111">
        <v>3000</v>
      </c>
      <c r="H21" s="111">
        <v>4894060.5</v>
      </c>
      <c r="I21" s="104">
        <f>F21+H21</f>
        <v>20381043.059999764</v>
      </c>
      <c r="J21" s="111">
        <v>1300.0000000000682</v>
      </c>
      <c r="K21" s="111">
        <v>1413839.7000000742</v>
      </c>
      <c r="L21" s="111">
        <v>360.00000000001364</v>
      </c>
      <c r="M21" s="114">
        <v>587287.26000002236</v>
      </c>
      <c r="N21" s="105">
        <f>K21+M21</f>
        <v>2001126.9600000966</v>
      </c>
      <c r="O21" s="104">
        <f>I21+N21</f>
        <v>22382170.019999862</v>
      </c>
      <c r="P21" s="105">
        <f>E21+G21+J21+L21</f>
        <v>18899.999999999865</v>
      </c>
      <c r="Q21" s="120">
        <f>R21+T21</f>
        <v>754</v>
      </c>
      <c r="R21" s="121">
        <v>122</v>
      </c>
      <c r="S21" s="121">
        <v>2192401</v>
      </c>
      <c r="T21" s="114">
        <v>632</v>
      </c>
      <c r="U21" s="114">
        <v>3019544.3200000003</v>
      </c>
      <c r="V21" s="112">
        <f>S21+U21</f>
        <v>5211945.32</v>
      </c>
      <c r="W21" s="123">
        <v>0</v>
      </c>
      <c r="X21" s="123">
        <v>0</v>
      </c>
      <c r="Y21" s="107">
        <v>84.064359999999553</v>
      </c>
      <c r="Z21" s="107">
        <v>0</v>
      </c>
      <c r="AA21" s="107">
        <v>0</v>
      </c>
      <c r="AB21" s="109">
        <v>12</v>
      </c>
      <c r="AC21" s="120">
        <f>W21+X21+Y21+Z21+AA21+AB21</f>
        <v>96.064359999999553</v>
      </c>
      <c r="AD21" s="107">
        <v>1794329.2759999915</v>
      </c>
      <c r="AE21" s="110"/>
      <c r="AF21" s="126">
        <v>347.22999999999956</v>
      </c>
      <c r="AG21" s="128">
        <v>0</v>
      </c>
      <c r="AH21" s="127">
        <f>AF21+AG21</f>
        <v>347.22999999999956</v>
      </c>
      <c r="AI21" s="130">
        <v>6076524.9999999925</v>
      </c>
      <c r="AJ21" s="21"/>
    </row>
    <row r="22" spans="1:36" ht="15">
      <c r="A22" s="19"/>
      <c r="B22" s="64">
        <v>16</v>
      </c>
      <c r="C22" s="102">
        <v>21</v>
      </c>
      <c r="D22" s="102">
        <v>232</v>
      </c>
      <c r="E22" s="114">
        <v>15160.000000000764</v>
      </c>
      <c r="F22" s="114">
        <v>16487546.04000083</v>
      </c>
      <c r="G22" s="111">
        <v>3400.0000000000909</v>
      </c>
      <c r="H22" s="111">
        <v>5546601.9000001485</v>
      </c>
      <c r="I22" s="104">
        <f>F22+H22</f>
        <v>22034147.940000977</v>
      </c>
      <c r="J22" s="111">
        <v>1480.0000000000182</v>
      </c>
      <c r="K22" s="111">
        <v>1609602.1200000197</v>
      </c>
      <c r="L22" s="111">
        <v>520.00000000001023</v>
      </c>
      <c r="M22" s="114">
        <v>848303.82000001683</v>
      </c>
      <c r="N22" s="105">
        <f>K22+M22</f>
        <v>2457905.9400000367</v>
      </c>
      <c r="O22" s="104">
        <f>I22+N22</f>
        <v>24492053.880001016</v>
      </c>
      <c r="P22" s="105">
        <f>E22+G22+J22+L22</f>
        <v>20560.000000000884</v>
      </c>
      <c r="Q22" s="120">
        <f>R22+T22</f>
        <v>732</v>
      </c>
      <c r="R22" s="121">
        <v>107</v>
      </c>
      <c r="S22" s="121">
        <v>1922843.5</v>
      </c>
      <c r="T22" s="114">
        <v>625</v>
      </c>
      <c r="U22" s="114">
        <v>2986100</v>
      </c>
      <c r="V22" s="112">
        <f>S22+U22</f>
        <v>4908943.5</v>
      </c>
      <c r="W22" s="123">
        <v>0</v>
      </c>
      <c r="X22" s="123">
        <v>0</v>
      </c>
      <c r="Y22" s="107">
        <v>59.856080000000503</v>
      </c>
      <c r="Z22" s="107">
        <v>0</v>
      </c>
      <c r="AA22" s="107">
        <v>0</v>
      </c>
      <c r="AB22" s="109">
        <v>12</v>
      </c>
      <c r="AC22" s="120">
        <f>W22+X22+Y22+Z22+AA22+AB22</f>
        <v>71.856080000000503</v>
      </c>
      <c r="AD22" s="107">
        <v>1331951.1280000096</v>
      </c>
      <c r="AE22" s="110"/>
      <c r="AF22" s="126">
        <v>478.70000000000073</v>
      </c>
      <c r="AG22" s="128">
        <v>0</v>
      </c>
      <c r="AH22" s="127">
        <f>AF22+AG22</f>
        <v>478.70000000000073</v>
      </c>
      <c r="AI22" s="130">
        <v>8377250.000000013</v>
      </c>
      <c r="AJ22" s="21"/>
    </row>
    <row r="23" spans="1:36" ht="15">
      <c r="A23" s="19"/>
      <c r="B23" s="81">
        <v>17</v>
      </c>
      <c r="C23" s="102">
        <v>26</v>
      </c>
      <c r="D23" s="102">
        <v>398</v>
      </c>
      <c r="E23" s="114">
        <v>15199.999999999818</v>
      </c>
      <c r="F23" s="114">
        <v>16531048.799999803</v>
      </c>
      <c r="G23" s="111">
        <v>3519.9999999999818</v>
      </c>
      <c r="H23" s="111">
        <v>5742364.3199999714</v>
      </c>
      <c r="I23" s="104">
        <f>F23+H23</f>
        <v>22273413.119999774</v>
      </c>
      <c r="J23" s="111">
        <v>439.99999999994088</v>
      </c>
      <c r="K23" s="111">
        <v>478530.35999993572</v>
      </c>
      <c r="L23" s="111">
        <v>19.99999999998181</v>
      </c>
      <c r="M23" s="114">
        <v>32627.069999970328</v>
      </c>
      <c r="N23" s="105">
        <f>K23+M23</f>
        <v>511157.42999990605</v>
      </c>
      <c r="O23" s="104">
        <f>I23+N23</f>
        <v>22784570.54999968</v>
      </c>
      <c r="P23" s="105">
        <f>E23+G23+J23+L23</f>
        <v>19179.999999999724</v>
      </c>
      <c r="Q23" s="120">
        <f>R23+T23</f>
        <v>670</v>
      </c>
      <c r="R23" s="121">
        <v>101</v>
      </c>
      <c r="S23" s="121">
        <v>1815020.5</v>
      </c>
      <c r="T23" s="114">
        <v>569</v>
      </c>
      <c r="U23" s="114">
        <v>2718545.44</v>
      </c>
      <c r="V23" s="112">
        <f>S23+U23</f>
        <v>4533565.9399999995</v>
      </c>
      <c r="W23" s="123">
        <v>0</v>
      </c>
      <c r="X23" s="123">
        <v>0</v>
      </c>
      <c r="Y23" s="107">
        <v>69.88579999999962</v>
      </c>
      <c r="Z23" s="107">
        <v>0</v>
      </c>
      <c r="AA23" s="107">
        <v>0</v>
      </c>
      <c r="AB23" s="109">
        <v>24</v>
      </c>
      <c r="AC23" s="120">
        <f>W23+X23+Y23+Z23+AA23+AB23</f>
        <v>93.88579999999962</v>
      </c>
      <c r="AD23" s="107">
        <v>1712218.7799999928</v>
      </c>
      <c r="AE23" s="110"/>
      <c r="AF23" s="126">
        <v>336.48999999999978</v>
      </c>
      <c r="AG23" s="128">
        <v>0</v>
      </c>
      <c r="AH23" s="127">
        <f>AF23+AG23</f>
        <v>336.48999999999978</v>
      </c>
      <c r="AI23" s="130">
        <v>5888574.9999999963</v>
      </c>
      <c r="AJ23" s="21"/>
    </row>
    <row r="24" spans="1:36" ht="15">
      <c r="A24" s="19"/>
      <c r="B24" s="64">
        <v>18</v>
      </c>
      <c r="C24" s="102">
        <v>20</v>
      </c>
      <c r="D24" s="102">
        <v>310</v>
      </c>
      <c r="E24" s="114">
        <v>14960.000000000036</v>
      </c>
      <c r="F24" s="114">
        <v>16270032.240000041</v>
      </c>
      <c r="G24" s="111">
        <v>3039.9999999999636</v>
      </c>
      <c r="H24" s="111">
        <v>4959314.639999941</v>
      </c>
      <c r="I24" s="104">
        <f>F24+H24</f>
        <v>21229346.87999998</v>
      </c>
      <c r="J24" s="111">
        <v>940.00000000005457</v>
      </c>
      <c r="K24" s="115">
        <v>1022314.8600000594</v>
      </c>
      <c r="L24" s="111">
        <v>460.00000000000796</v>
      </c>
      <c r="M24" s="114">
        <v>750422.61000001302</v>
      </c>
      <c r="N24" s="105">
        <f>K24+M24</f>
        <v>1772737.4700000724</v>
      </c>
      <c r="O24" s="104">
        <f>I24+N24</f>
        <v>23002084.350000054</v>
      </c>
      <c r="P24" s="105">
        <f>E24+G24+J24+L24</f>
        <v>19400.000000000062</v>
      </c>
      <c r="Q24" s="120">
        <f>R24+T24</f>
        <v>681</v>
      </c>
      <c r="R24" s="121">
        <v>115</v>
      </c>
      <c r="S24" s="121">
        <v>2066607.5</v>
      </c>
      <c r="T24" s="114">
        <v>566</v>
      </c>
      <c r="U24" s="114">
        <v>2704212.16</v>
      </c>
      <c r="V24" s="112">
        <f>S24+U24</f>
        <v>4770819.66</v>
      </c>
      <c r="W24" s="123">
        <v>0</v>
      </c>
      <c r="X24" s="123">
        <v>400</v>
      </c>
      <c r="Y24" s="107">
        <v>84.144919999999473</v>
      </c>
      <c r="Z24" s="107">
        <v>0</v>
      </c>
      <c r="AA24" s="107">
        <v>0</v>
      </c>
      <c r="AB24" s="109">
        <v>12</v>
      </c>
      <c r="AC24" s="120">
        <f>W24+X24+Y24+Z24+AA24+AB24</f>
        <v>496.1449199999995</v>
      </c>
      <c r="AD24" s="107">
        <v>9435867.9719999898</v>
      </c>
      <c r="AE24" s="110"/>
      <c r="AF24" s="126">
        <v>399.20999999999913</v>
      </c>
      <c r="AG24" s="128">
        <v>0</v>
      </c>
      <c r="AH24" s="127">
        <f>AF24+AG24</f>
        <v>399.20999999999913</v>
      </c>
      <c r="AI24" s="130">
        <v>6986174.9999999851</v>
      </c>
      <c r="AJ24" s="21"/>
    </row>
    <row r="25" spans="1:36" ht="15">
      <c r="A25" s="19"/>
      <c r="B25" s="81">
        <v>19</v>
      </c>
      <c r="C25" s="102">
        <v>31</v>
      </c>
      <c r="D25" s="102">
        <v>310</v>
      </c>
      <c r="E25" s="114">
        <v>15279.999999999745</v>
      </c>
      <c r="F25" s="114">
        <v>16618054.319999723</v>
      </c>
      <c r="G25" s="111">
        <v>3600.0000000001364</v>
      </c>
      <c r="H25" s="111">
        <v>5872872.6000002231</v>
      </c>
      <c r="I25" s="104">
        <f>F25+H25</f>
        <v>22490926.919999946</v>
      </c>
      <c r="J25" s="111">
        <v>1639.9999999999864</v>
      </c>
      <c r="K25" s="111">
        <v>1783613.159999985</v>
      </c>
      <c r="L25" s="111">
        <v>520.00000000001023</v>
      </c>
      <c r="M25" s="114">
        <v>848303.82000001683</v>
      </c>
      <c r="N25" s="105">
        <f>K25+M25</f>
        <v>2631916.9800000018</v>
      </c>
      <c r="O25" s="104">
        <f>I25+N25</f>
        <v>25122843.899999946</v>
      </c>
      <c r="P25" s="105">
        <f>E25+G25+J25+L25</f>
        <v>21039.99999999988</v>
      </c>
      <c r="Q25" s="120">
        <f>R25+T25</f>
        <v>733</v>
      </c>
      <c r="R25" s="121">
        <v>87</v>
      </c>
      <c r="S25" s="121">
        <v>1563433.5</v>
      </c>
      <c r="T25" s="114">
        <v>646</v>
      </c>
      <c r="U25" s="114">
        <v>3086432.96</v>
      </c>
      <c r="V25" s="112">
        <f>S25+U25</f>
        <v>4649866.46</v>
      </c>
      <c r="W25" s="123">
        <v>0</v>
      </c>
      <c r="X25" s="123">
        <v>0</v>
      </c>
      <c r="Y25" s="107">
        <v>67.83152000000058</v>
      </c>
      <c r="Z25" s="107">
        <v>0</v>
      </c>
      <c r="AA25" s="107">
        <v>0</v>
      </c>
      <c r="AB25" s="109">
        <v>24</v>
      </c>
      <c r="AC25" s="120">
        <f>W25+X25+Y25+Z25+AA25+AB25</f>
        <v>91.83152000000058</v>
      </c>
      <c r="AD25" s="107">
        <v>1672982.0320000111</v>
      </c>
      <c r="AE25" s="110"/>
      <c r="AF25" s="126">
        <v>397.65000000000146</v>
      </c>
      <c r="AG25" s="128">
        <v>0</v>
      </c>
      <c r="AH25" s="127">
        <f>AF25+AG25</f>
        <v>397.65000000000146</v>
      </c>
      <c r="AI25" s="130">
        <v>6958875.0000000251</v>
      </c>
      <c r="AJ25" s="21"/>
    </row>
    <row r="26" spans="1:36" ht="15">
      <c r="A26" s="19"/>
      <c r="B26" s="64">
        <v>20</v>
      </c>
      <c r="C26" s="102">
        <v>33</v>
      </c>
      <c r="D26" s="102">
        <v>247</v>
      </c>
      <c r="E26" s="114">
        <v>14880.000000000109</v>
      </c>
      <c r="F26" s="114">
        <v>16183026.720000118</v>
      </c>
      <c r="G26" s="111">
        <v>3359.9999999999</v>
      </c>
      <c r="H26" s="111">
        <v>5481347.7599998368</v>
      </c>
      <c r="I26" s="104">
        <f>F26+H26</f>
        <v>21664374.479999956</v>
      </c>
      <c r="J26" s="111">
        <v>1620.0000000000045</v>
      </c>
      <c r="K26" s="111">
        <v>1761861.7800000052</v>
      </c>
      <c r="L26" s="111">
        <v>479.99999999998977</v>
      </c>
      <c r="M26" s="114">
        <v>783049.6799999834</v>
      </c>
      <c r="N26" s="105">
        <f>K26+M26</f>
        <v>2544911.4599999888</v>
      </c>
      <c r="O26" s="104">
        <f>I26+N26</f>
        <v>24209285.939999945</v>
      </c>
      <c r="P26" s="105">
        <f>E26+G26+J26+L26</f>
        <v>20340</v>
      </c>
      <c r="Q26" s="120">
        <f>R26+T26</f>
        <v>765</v>
      </c>
      <c r="R26" s="121">
        <v>127</v>
      </c>
      <c r="S26" s="121">
        <v>2282253.5</v>
      </c>
      <c r="T26" s="114">
        <v>638</v>
      </c>
      <c r="U26" s="114">
        <v>3048210.8800000004</v>
      </c>
      <c r="V26" s="112">
        <f>S26+U26</f>
        <v>5330464.3800000008</v>
      </c>
      <c r="W26" s="123">
        <v>0</v>
      </c>
      <c r="X26" s="123">
        <v>0</v>
      </c>
      <c r="Y26" s="107">
        <v>66.663399999998887</v>
      </c>
      <c r="Z26" s="107">
        <v>0</v>
      </c>
      <c r="AA26" s="107">
        <v>0</v>
      </c>
      <c r="AB26" s="109">
        <v>12</v>
      </c>
      <c r="AC26" s="120">
        <f>W26+X26+Y26+Z26+AA26+AB26</f>
        <v>78.663399999998887</v>
      </c>
      <c r="AD26" s="107">
        <v>1461970.9399999788</v>
      </c>
      <c r="AE26" s="110"/>
      <c r="AF26" s="126">
        <v>479.89999999999964</v>
      </c>
      <c r="AG26" s="128">
        <v>0</v>
      </c>
      <c r="AH26" s="127">
        <f>AF26+AG26</f>
        <v>479.89999999999964</v>
      </c>
      <c r="AI26" s="130">
        <v>8398249.9999999944</v>
      </c>
      <c r="AJ26" s="21"/>
    </row>
    <row r="27" spans="1:36" ht="15">
      <c r="A27" s="19"/>
      <c r="B27" s="81">
        <v>21</v>
      </c>
      <c r="C27" s="102">
        <v>32</v>
      </c>
      <c r="D27" s="102">
        <v>367</v>
      </c>
      <c r="E27" s="121">
        <v>15760.000000000218</v>
      </c>
      <c r="F27" s="121">
        <v>17140087.44000024</v>
      </c>
      <c r="G27" s="108">
        <v>3359.9999999999</v>
      </c>
      <c r="H27" s="108">
        <v>5481347.7599998368</v>
      </c>
      <c r="I27" s="104">
        <f>F27+H27</f>
        <v>22621435.200000077</v>
      </c>
      <c r="J27" s="155">
        <v>1699.9999999999318</v>
      </c>
      <c r="K27" s="155">
        <v>1848867.2999999258</v>
      </c>
      <c r="L27" s="117">
        <v>520.00000000001023</v>
      </c>
      <c r="M27" s="119">
        <v>848303.82000001683</v>
      </c>
      <c r="N27" s="105">
        <f>K27+M27</f>
        <v>2697171.1199999424</v>
      </c>
      <c r="O27" s="104">
        <f>I27+N27</f>
        <v>25318606.320000019</v>
      </c>
      <c r="P27" s="105">
        <f>E27+G27+J27+L27</f>
        <v>21340.000000000058</v>
      </c>
      <c r="Q27" s="120">
        <f>R27+T27</f>
        <v>738</v>
      </c>
      <c r="R27" s="121">
        <v>107</v>
      </c>
      <c r="S27" s="121">
        <v>1922843.5</v>
      </c>
      <c r="T27" s="114">
        <v>631</v>
      </c>
      <c r="U27" s="114">
        <v>3014766.56</v>
      </c>
      <c r="V27" s="112">
        <f>S27+U27</f>
        <v>4937610.0600000005</v>
      </c>
      <c r="W27" s="123">
        <v>0</v>
      </c>
      <c r="X27" s="123">
        <v>0</v>
      </c>
      <c r="Y27" s="107">
        <v>60.460280000000871</v>
      </c>
      <c r="Z27" s="107">
        <v>0</v>
      </c>
      <c r="AA27" s="107">
        <v>0</v>
      </c>
      <c r="AB27" s="109">
        <v>24</v>
      </c>
      <c r="AC27" s="120">
        <f>W27+X27+Y27+Z27+AA27+AB27</f>
        <v>84.460280000000864</v>
      </c>
      <c r="AD27" s="107">
        <v>1532191.3480000165</v>
      </c>
      <c r="AE27" s="110"/>
      <c r="AF27" s="126">
        <v>332.69000000000051</v>
      </c>
      <c r="AG27" s="128">
        <v>0</v>
      </c>
      <c r="AH27" s="127">
        <f>AF27+AG27</f>
        <v>332.69000000000051</v>
      </c>
      <c r="AI27" s="130">
        <v>5822075.0000000093</v>
      </c>
      <c r="AJ27" s="21"/>
    </row>
    <row r="28" spans="1:36" ht="15">
      <c r="A28" s="19"/>
      <c r="B28" s="64">
        <v>22</v>
      </c>
      <c r="C28" s="102">
        <v>21</v>
      </c>
      <c r="D28" s="102">
        <v>244</v>
      </c>
      <c r="E28" s="121">
        <v>15239.999999999782</v>
      </c>
      <c r="F28" s="121">
        <v>16574551.559999764</v>
      </c>
      <c r="G28" s="108">
        <v>3480.0000000000182</v>
      </c>
      <c r="H28" s="108">
        <v>5677110.1800000304</v>
      </c>
      <c r="I28" s="104">
        <f>F28+H28</f>
        <v>22251661.739999793</v>
      </c>
      <c r="J28" s="155">
        <v>1800.0000000000682</v>
      </c>
      <c r="K28" s="155">
        <v>1957624.2000000742</v>
      </c>
      <c r="L28" s="117">
        <v>500</v>
      </c>
      <c r="M28" s="119">
        <v>815676.75</v>
      </c>
      <c r="N28" s="105">
        <f>K28+M28</f>
        <v>2773300.9500000742</v>
      </c>
      <c r="O28" s="104">
        <f>I28+N28</f>
        <v>25024962.689999867</v>
      </c>
      <c r="P28" s="105">
        <f>E28+G28+J28+L28</f>
        <v>21019.999999999869</v>
      </c>
      <c r="Q28" s="120">
        <f>R28+T28</f>
        <v>653</v>
      </c>
      <c r="R28" s="121">
        <v>94</v>
      </c>
      <c r="S28" s="121">
        <v>1689227</v>
      </c>
      <c r="T28" s="114">
        <v>559</v>
      </c>
      <c r="U28" s="114">
        <v>2670767.8400000003</v>
      </c>
      <c r="V28" s="112">
        <f>S28+U28</f>
        <v>4359994.84</v>
      </c>
      <c r="W28" s="123">
        <v>0</v>
      </c>
      <c r="X28" s="123">
        <v>400</v>
      </c>
      <c r="Y28" s="107">
        <v>60.742239999999704</v>
      </c>
      <c r="Z28" s="107">
        <v>100</v>
      </c>
      <c r="AA28" s="107">
        <v>0</v>
      </c>
      <c r="AB28" s="109">
        <v>36</v>
      </c>
      <c r="AC28" s="120">
        <f>W28+X28+Y28+Z28+AA28+AB28</f>
        <v>596.7422399999997</v>
      </c>
      <c r="AD28" s="107">
        <v>11276276.783999994</v>
      </c>
      <c r="AE28" s="110"/>
      <c r="AF28" s="126">
        <v>333.20000000000073</v>
      </c>
      <c r="AG28" s="128">
        <v>0</v>
      </c>
      <c r="AH28" s="127">
        <f>AF28+AG28</f>
        <v>333.20000000000073</v>
      </c>
      <c r="AI28" s="130">
        <v>5831000.000000013</v>
      </c>
      <c r="AJ28" s="21"/>
    </row>
    <row r="29" spans="1:36" ht="15">
      <c r="A29" s="19"/>
      <c r="B29" s="81">
        <v>23</v>
      </c>
      <c r="C29" s="102">
        <v>21</v>
      </c>
      <c r="D29" s="102">
        <v>155</v>
      </c>
      <c r="E29" s="121">
        <v>15599.999999999454</v>
      </c>
      <c r="F29" s="121">
        <v>16966076.399999406</v>
      </c>
      <c r="G29" s="108">
        <v>3480.0000000000182</v>
      </c>
      <c r="H29" s="108">
        <v>5677110.1800000304</v>
      </c>
      <c r="I29" s="104">
        <f>F29+H29</f>
        <v>22643186.579999436</v>
      </c>
      <c r="J29" s="155">
        <v>1579.9999999999272</v>
      </c>
      <c r="K29" s="155">
        <v>1718359.0199999211</v>
      </c>
      <c r="L29" s="117">
        <v>459.99999999997954</v>
      </c>
      <c r="M29" s="119">
        <v>750422.60999996669</v>
      </c>
      <c r="N29" s="105">
        <f>K29+M29</f>
        <v>2468781.6299998877</v>
      </c>
      <c r="O29" s="104">
        <f>I29+N29</f>
        <v>25111968.209999323</v>
      </c>
      <c r="P29" s="105">
        <f>E29+G29+J29+L29</f>
        <v>21119.999999999378</v>
      </c>
      <c r="Q29" s="120">
        <f>R29+T29</f>
        <v>670</v>
      </c>
      <c r="R29" s="121">
        <v>116</v>
      </c>
      <c r="S29" s="121">
        <v>2084578</v>
      </c>
      <c r="T29" s="114">
        <v>554</v>
      </c>
      <c r="U29" s="114">
        <v>2646879.04</v>
      </c>
      <c r="V29" s="112">
        <f>S29+U29</f>
        <v>4731457.04</v>
      </c>
      <c r="W29" s="123">
        <v>0</v>
      </c>
      <c r="X29" s="123">
        <v>0</v>
      </c>
      <c r="Y29" s="107">
        <v>39.152159999999192</v>
      </c>
      <c r="Z29" s="107">
        <v>0</v>
      </c>
      <c r="AA29" s="107">
        <v>0</v>
      </c>
      <c r="AB29" s="109">
        <v>24</v>
      </c>
      <c r="AC29" s="120">
        <f>W29+X29+Y29+Z29+AA29+AB29</f>
        <v>63.152159999999192</v>
      </c>
      <c r="AD29" s="107">
        <v>1125206.2559999847</v>
      </c>
      <c r="AE29" s="110"/>
      <c r="AF29" s="126">
        <v>349.19999999999709</v>
      </c>
      <c r="AG29" s="128">
        <v>0</v>
      </c>
      <c r="AH29" s="127">
        <f>AF29+AG29</f>
        <v>349.19999999999709</v>
      </c>
      <c r="AI29" s="130">
        <v>6110999.9999999488</v>
      </c>
      <c r="AJ29" s="21"/>
    </row>
    <row r="30" spans="1:36" ht="15">
      <c r="A30" s="19"/>
      <c r="B30" s="64">
        <v>24</v>
      </c>
      <c r="C30" s="102">
        <v>85</v>
      </c>
      <c r="D30" s="102">
        <v>267</v>
      </c>
      <c r="E30" s="121">
        <v>18039.999999999964</v>
      </c>
      <c r="F30" s="121">
        <v>19619744.759999961</v>
      </c>
      <c r="G30" s="108">
        <v>3640.0000000001</v>
      </c>
      <c r="H30" s="108">
        <v>5938126.7400001632</v>
      </c>
      <c r="I30" s="104">
        <f>F30+H30</f>
        <v>25557871.500000123</v>
      </c>
      <c r="J30" s="155">
        <v>1540.0000000000773</v>
      </c>
      <c r="K30" s="155">
        <v>1674856.2600000841</v>
      </c>
      <c r="L30" s="117">
        <v>500</v>
      </c>
      <c r="M30" s="119">
        <v>815676.75</v>
      </c>
      <c r="N30" s="105">
        <f>K30+M30</f>
        <v>2490533.0100000841</v>
      </c>
      <c r="O30" s="104">
        <f>I30+N30</f>
        <v>28048404.510000207</v>
      </c>
      <c r="P30" s="105">
        <f>E30+G30+J30+L30</f>
        <v>23720.000000000142</v>
      </c>
      <c r="Q30" s="120">
        <f>R30+T30</f>
        <v>669</v>
      </c>
      <c r="R30" s="121">
        <v>115</v>
      </c>
      <c r="S30" s="121">
        <v>2066607.5</v>
      </c>
      <c r="T30" s="114">
        <v>554</v>
      </c>
      <c r="U30" s="114">
        <v>2646879.04</v>
      </c>
      <c r="V30" s="112">
        <f>S30+U30</f>
        <v>4713486.54</v>
      </c>
      <c r="W30" s="123">
        <v>0</v>
      </c>
      <c r="X30" s="123">
        <v>0</v>
      </c>
      <c r="Y30" s="107">
        <v>54.498840000000797</v>
      </c>
      <c r="Z30" s="107">
        <v>0</v>
      </c>
      <c r="AA30" s="107">
        <v>0</v>
      </c>
      <c r="AB30" s="109">
        <v>0</v>
      </c>
      <c r="AC30" s="120">
        <f>W30+X30+Y30+Z30+AA30+AB30</f>
        <v>54.498840000000797</v>
      </c>
      <c r="AD30" s="107">
        <v>1040927.8440000152</v>
      </c>
      <c r="AE30" s="110"/>
      <c r="AF30" s="126">
        <v>376.21000000000276</v>
      </c>
      <c r="AG30" s="128">
        <v>0</v>
      </c>
      <c r="AH30" s="127">
        <f>AF30+AG30</f>
        <v>376.21000000000276</v>
      </c>
      <c r="AI30" s="130">
        <v>6583675.0000000484</v>
      </c>
      <c r="AJ30" s="21"/>
    </row>
    <row r="31" spans="1:36" ht="15">
      <c r="A31" s="19"/>
      <c r="B31" s="81">
        <v>25</v>
      </c>
      <c r="C31" s="102">
        <v>23</v>
      </c>
      <c r="D31" s="102">
        <v>443</v>
      </c>
      <c r="E31" s="121">
        <v>14040.000000000873</v>
      </c>
      <c r="F31" s="121">
        <v>15269468.76000095</v>
      </c>
      <c r="G31" s="108">
        <v>3440.0000000000546</v>
      </c>
      <c r="H31" s="108">
        <v>5611856.0400000904</v>
      </c>
      <c r="I31" s="104">
        <f>F31+H31</f>
        <v>20881324.80000104</v>
      </c>
      <c r="J31" s="155">
        <v>1639.9999999999864</v>
      </c>
      <c r="K31" s="155">
        <v>1783613.159999985</v>
      </c>
      <c r="L31" s="117">
        <v>520.00000000001023</v>
      </c>
      <c r="M31" s="119">
        <v>848303.82000001683</v>
      </c>
      <c r="N31" s="105">
        <f>K31+M31</f>
        <v>2631916.9800000018</v>
      </c>
      <c r="O31" s="104">
        <f>I31+N31</f>
        <v>23513241.780001041</v>
      </c>
      <c r="P31" s="105">
        <f>E31+G31+J31+L31</f>
        <v>19640.000000000924</v>
      </c>
      <c r="Q31" s="120">
        <f>R31+T31</f>
        <v>829</v>
      </c>
      <c r="R31" s="121">
        <v>104</v>
      </c>
      <c r="S31" s="121">
        <v>1868932</v>
      </c>
      <c r="T31" s="114">
        <v>725</v>
      </c>
      <c r="U31" s="114">
        <v>3463876</v>
      </c>
      <c r="V31" s="112">
        <f>S31+U31</f>
        <v>5332808</v>
      </c>
      <c r="W31" s="123">
        <v>0</v>
      </c>
      <c r="X31" s="123">
        <v>0</v>
      </c>
      <c r="Y31" s="107">
        <v>55.626679999999773</v>
      </c>
      <c r="Z31" s="107">
        <v>0</v>
      </c>
      <c r="AA31" s="107">
        <v>0</v>
      </c>
      <c r="AB31" s="109">
        <v>0</v>
      </c>
      <c r="AC31" s="120">
        <f>W31+X31+Y31+Z31+AA31+AB31</f>
        <v>55.626679999999773</v>
      </c>
      <c r="AD31" s="107">
        <v>1062469.5879999956</v>
      </c>
      <c r="AE31" s="110"/>
      <c r="AF31" s="126">
        <v>487.94999999999709</v>
      </c>
      <c r="AG31" s="128">
        <v>0</v>
      </c>
      <c r="AH31" s="127">
        <f>AF31+AG31</f>
        <v>487.94999999999709</v>
      </c>
      <c r="AI31" s="130">
        <v>8539124.9999999497</v>
      </c>
      <c r="AJ31" s="21"/>
    </row>
    <row r="32" spans="1:36" ht="15">
      <c r="A32" s="19"/>
      <c r="B32" s="64">
        <v>26</v>
      </c>
      <c r="C32" s="102">
        <v>24</v>
      </c>
      <c r="D32" s="102">
        <v>183</v>
      </c>
      <c r="E32" s="121">
        <v>13759.999999999309</v>
      </c>
      <c r="F32" s="121">
        <v>14964949.439999249</v>
      </c>
      <c r="G32" s="108">
        <v>2759.9999999999909</v>
      </c>
      <c r="H32" s="108">
        <v>4502535.6599999862</v>
      </c>
      <c r="I32" s="104">
        <f>F32+H32</f>
        <v>19467485.099999234</v>
      </c>
      <c r="J32" s="155">
        <v>1480.0000000000182</v>
      </c>
      <c r="K32" s="155">
        <v>1609602.1200000197</v>
      </c>
      <c r="L32" s="117">
        <v>360.00000000001364</v>
      </c>
      <c r="M32" s="119">
        <v>587287.26000002236</v>
      </c>
      <c r="N32" s="105">
        <f>K32+M32</f>
        <v>2196889.3800000418</v>
      </c>
      <c r="O32" s="104">
        <f>I32+N32</f>
        <v>21664374.479999274</v>
      </c>
      <c r="P32" s="105">
        <f>E32+G32+J32+L32</f>
        <v>18359.999999999334</v>
      </c>
      <c r="Q32" s="120">
        <f>R32+T32</f>
        <v>758</v>
      </c>
      <c r="R32" s="121">
        <v>119</v>
      </c>
      <c r="S32" s="121">
        <v>2138489.5</v>
      </c>
      <c r="T32" s="114">
        <v>639</v>
      </c>
      <c r="U32" s="114">
        <v>3052988.64</v>
      </c>
      <c r="V32" s="112">
        <f>S32+U32</f>
        <v>5191478.1400000006</v>
      </c>
      <c r="W32" s="123">
        <v>0</v>
      </c>
      <c r="X32" s="123">
        <v>500</v>
      </c>
      <c r="Y32" s="107">
        <v>47.328999999999994</v>
      </c>
      <c r="Z32" s="107">
        <v>0</v>
      </c>
      <c r="AA32" s="107">
        <v>0</v>
      </c>
      <c r="AB32" s="109">
        <v>12</v>
      </c>
      <c r="AC32" s="120">
        <f>W32+X32+Y32+Z32+AA32+AB32</f>
        <v>559.32899999999995</v>
      </c>
      <c r="AD32" s="107">
        <v>10642683.9</v>
      </c>
      <c r="AE32" s="110"/>
      <c r="AF32" s="126">
        <v>445.89000000000306</v>
      </c>
      <c r="AG32" s="128">
        <v>0</v>
      </c>
      <c r="AH32" s="127">
        <f>AF32+AG32</f>
        <v>445.89000000000306</v>
      </c>
      <c r="AI32" s="130">
        <v>7803075.0000000531</v>
      </c>
      <c r="AJ32" s="21"/>
    </row>
    <row r="33" spans="1:36" ht="15">
      <c r="A33" s="19"/>
      <c r="B33" s="81">
        <v>27</v>
      </c>
      <c r="C33" s="102">
        <v>27</v>
      </c>
      <c r="D33" s="102">
        <v>213</v>
      </c>
      <c r="E33" s="121">
        <v>12880.000000000109</v>
      </c>
      <c r="F33" s="121">
        <v>14007888.720000118</v>
      </c>
      <c r="G33" s="108">
        <v>2839.9999999999181</v>
      </c>
      <c r="H33" s="108">
        <v>4633043.9399998672</v>
      </c>
      <c r="I33" s="104">
        <f>F33+H33</f>
        <v>18640932.659999985</v>
      </c>
      <c r="J33" s="155">
        <v>1620.0000000000045</v>
      </c>
      <c r="K33" s="155">
        <v>1761861.7800000052</v>
      </c>
      <c r="L33" s="117">
        <v>479.99999999998977</v>
      </c>
      <c r="M33" s="119">
        <v>783049.6799999834</v>
      </c>
      <c r="N33" s="105">
        <f>K33+M33</f>
        <v>2544911.4599999888</v>
      </c>
      <c r="O33" s="104">
        <f>I33+N33</f>
        <v>21185844.119999975</v>
      </c>
      <c r="P33" s="105">
        <f>E33+G33+J33+L33</f>
        <v>17820.000000000022</v>
      </c>
      <c r="Q33" s="120">
        <f>R33+T33</f>
        <v>714</v>
      </c>
      <c r="R33" s="121">
        <v>113</v>
      </c>
      <c r="S33" s="121">
        <v>2030666.5</v>
      </c>
      <c r="T33" s="114">
        <v>601</v>
      </c>
      <c r="U33" s="114">
        <v>2871433.7600000002</v>
      </c>
      <c r="V33" s="112">
        <f>S33+U33</f>
        <v>4902100.26</v>
      </c>
      <c r="W33" s="123">
        <v>0</v>
      </c>
      <c r="X33" s="123">
        <v>0</v>
      </c>
      <c r="Y33" s="107">
        <v>49.061040000001164</v>
      </c>
      <c r="Z33" s="107">
        <v>0</v>
      </c>
      <c r="AA33" s="107">
        <v>0</v>
      </c>
      <c r="AB33" s="109">
        <v>0</v>
      </c>
      <c r="AC33" s="120">
        <f>W33+X33+Y33+Z33+AA33+AB33</f>
        <v>49.061040000001164</v>
      </c>
      <c r="AD33" s="107">
        <v>937065.86400002218</v>
      </c>
      <c r="AE33" s="110"/>
      <c r="AF33" s="126">
        <v>354.44999999999709</v>
      </c>
      <c r="AG33" s="128">
        <v>0</v>
      </c>
      <c r="AH33" s="127">
        <f>AF33+AG33</f>
        <v>354.44999999999709</v>
      </c>
      <c r="AI33" s="130">
        <v>6202874.9999999488</v>
      </c>
      <c r="AJ33" s="21"/>
    </row>
    <row r="34" spans="1:36" ht="15">
      <c r="A34" s="19"/>
      <c r="B34" s="64">
        <v>28</v>
      </c>
      <c r="C34" s="102">
        <v>29</v>
      </c>
      <c r="D34" s="102">
        <v>226</v>
      </c>
      <c r="E34" s="121">
        <v>13880.000000000109</v>
      </c>
      <c r="F34" s="121">
        <v>15095457.720000118</v>
      </c>
      <c r="G34" s="108">
        <v>2880.0000000001091</v>
      </c>
      <c r="H34" s="108">
        <v>4698298.0800001789</v>
      </c>
      <c r="I34" s="104">
        <f>F34+H34</f>
        <v>19793755.800000295</v>
      </c>
      <c r="J34" s="155">
        <v>1860.0000000000136</v>
      </c>
      <c r="K34" s="155">
        <v>2022878.3400000148</v>
      </c>
      <c r="L34" s="117">
        <v>460.00000000000796</v>
      </c>
      <c r="M34" s="119">
        <v>750422.61000001302</v>
      </c>
      <c r="N34" s="105">
        <f>K34+M34</f>
        <v>2773300.9500000277</v>
      </c>
      <c r="O34" s="104">
        <f>I34+N34</f>
        <v>22567056.750000324</v>
      </c>
      <c r="P34" s="105">
        <f>E34+G34+J34+L34</f>
        <v>19080.00000000024</v>
      </c>
      <c r="Q34" s="120">
        <f>R34+T34</f>
        <v>594</v>
      </c>
      <c r="R34" s="121">
        <v>89</v>
      </c>
      <c r="S34" s="121">
        <v>1599374.5</v>
      </c>
      <c r="T34" s="114">
        <v>505</v>
      </c>
      <c r="U34" s="114">
        <v>2412768.8000000003</v>
      </c>
      <c r="V34" s="112">
        <f>S34+U34</f>
        <v>4012143.3000000003</v>
      </c>
      <c r="W34" s="123">
        <v>0</v>
      </c>
      <c r="X34" s="123">
        <v>0</v>
      </c>
      <c r="Y34" s="107">
        <v>51.759799999999629</v>
      </c>
      <c r="Z34" s="107">
        <v>0</v>
      </c>
      <c r="AA34" s="107">
        <v>0</v>
      </c>
      <c r="AB34" s="109">
        <v>0</v>
      </c>
      <c r="AC34" s="120">
        <f>W34+X34+Y34+Z34+AA34+AB34</f>
        <v>51.759799999999629</v>
      </c>
      <c r="AD34" s="107">
        <v>988612.17999999295</v>
      </c>
      <c r="AE34" s="110"/>
      <c r="AF34" s="126">
        <v>341.05000000000291</v>
      </c>
      <c r="AG34" s="128">
        <v>0</v>
      </c>
      <c r="AH34" s="127">
        <f>AF34+AG34</f>
        <v>341.05000000000291</v>
      </c>
      <c r="AI34" s="130">
        <v>5968375.0000000512</v>
      </c>
      <c r="AJ34" s="21"/>
    </row>
    <row r="35" spans="1:36" ht="15">
      <c r="A35" s="19"/>
      <c r="B35" s="81">
        <v>29</v>
      </c>
      <c r="C35" s="102">
        <v>30</v>
      </c>
      <c r="D35" s="102">
        <v>340</v>
      </c>
      <c r="E35" s="121">
        <v>13399.999999999636</v>
      </c>
      <c r="F35" s="121">
        <v>14573424.599999605</v>
      </c>
      <c r="G35" s="108">
        <v>3079.9999999999272</v>
      </c>
      <c r="H35" s="108">
        <v>5024568.7799998811</v>
      </c>
      <c r="I35" s="104">
        <f>F35+H35</f>
        <v>19597993.379999485</v>
      </c>
      <c r="J35" s="155">
        <v>2079.9999999999272</v>
      </c>
      <c r="K35" s="155">
        <v>2262143.5199999209</v>
      </c>
      <c r="L35" s="117">
        <v>539.99999999999204</v>
      </c>
      <c r="M35" s="119">
        <v>880930.88999998709</v>
      </c>
      <c r="N35" s="105">
        <f>K35+M35</f>
        <v>3143074.4099999079</v>
      </c>
      <c r="O35" s="104">
        <f>I35+N35</f>
        <v>22741067.789999392</v>
      </c>
      <c r="P35" s="105">
        <f>E35+G35+J35+L35</f>
        <v>19099.999999999483</v>
      </c>
      <c r="Q35" s="120">
        <f>R35+T35</f>
        <v>576</v>
      </c>
      <c r="R35" s="121">
        <v>112</v>
      </c>
      <c r="S35" s="121">
        <v>2012696</v>
      </c>
      <c r="T35" s="114">
        <v>464</v>
      </c>
      <c r="U35" s="114">
        <v>2216880.64</v>
      </c>
      <c r="V35" s="112">
        <f>S35+U35</f>
        <v>4229576.6400000006</v>
      </c>
      <c r="W35" s="123">
        <v>0</v>
      </c>
      <c r="X35" s="123">
        <v>0</v>
      </c>
      <c r="Y35" s="107">
        <v>54.337719999999116</v>
      </c>
      <c r="Z35" s="107">
        <v>100</v>
      </c>
      <c r="AA35" s="107">
        <v>0</v>
      </c>
      <c r="AB35" s="109">
        <v>0</v>
      </c>
      <c r="AC35" s="120">
        <f>W35+X35+Y35+Z35+AA35+AB35</f>
        <v>154.33771999999911</v>
      </c>
      <c r="AD35" s="107">
        <v>2947850.4519999833</v>
      </c>
      <c r="AE35" s="110"/>
      <c r="AF35" s="126">
        <v>340.31999999999971</v>
      </c>
      <c r="AG35" s="128">
        <v>0</v>
      </c>
      <c r="AH35" s="127">
        <f>AF35+AG35</f>
        <v>340.31999999999971</v>
      </c>
      <c r="AI35" s="130">
        <v>5955599.9999999953</v>
      </c>
      <c r="AJ35" s="21"/>
    </row>
    <row r="36" spans="1:36" ht="15">
      <c r="A36" s="19"/>
      <c r="B36" s="64">
        <v>30</v>
      </c>
      <c r="C36" s="102">
        <v>29</v>
      </c>
      <c r="D36" s="102">
        <v>209</v>
      </c>
      <c r="E36" s="121">
        <v>14240.000000000691</v>
      </c>
      <c r="F36" s="121">
        <v>15486982.560000753</v>
      </c>
      <c r="G36" s="108">
        <v>3159.9999999998545</v>
      </c>
      <c r="H36" s="108">
        <v>5155077.059999763</v>
      </c>
      <c r="I36" s="104">
        <f>F36+H36</f>
        <v>20642059.620000515</v>
      </c>
      <c r="J36" s="155">
        <v>1300.0000000000682</v>
      </c>
      <c r="K36" s="155">
        <v>1413839.7000000742</v>
      </c>
      <c r="L36" s="117">
        <v>479.99999999998977</v>
      </c>
      <c r="M36" s="119">
        <v>783049.6799999834</v>
      </c>
      <c r="N36" s="105">
        <f>K36+M36</f>
        <v>2196889.3800000576</v>
      </c>
      <c r="O36" s="104">
        <f>I36+N36</f>
        <v>22838949.000000574</v>
      </c>
      <c r="P36" s="105">
        <f>E36+G36+J36+L36</f>
        <v>19180.000000000604</v>
      </c>
      <c r="Q36" s="120">
        <f>R36+T36</f>
        <v>748</v>
      </c>
      <c r="R36" s="121">
        <v>109</v>
      </c>
      <c r="S36" s="121">
        <v>1958784.5</v>
      </c>
      <c r="T36" s="114">
        <v>639</v>
      </c>
      <c r="U36" s="114">
        <v>3052988.64</v>
      </c>
      <c r="V36" s="112">
        <f>S36+U36</f>
        <v>5011773.1400000006</v>
      </c>
      <c r="W36" s="123">
        <v>0</v>
      </c>
      <c r="X36" s="123">
        <v>0</v>
      </c>
      <c r="Y36" s="107">
        <v>40.682799999999631</v>
      </c>
      <c r="Z36" s="107">
        <v>0</v>
      </c>
      <c r="AA36" s="107">
        <v>0</v>
      </c>
      <c r="AB36" s="109">
        <v>36</v>
      </c>
      <c r="AC36" s="120">
        <f>W36+X36+Y36+Z36+AA36+AB36</f>
        <v>76.682799999999631</v>
      </c>
      <c r="AD36" s="107">
        <v>1343141.479999993</v>
      </c>
      <c r="AE36" s="110"/>
      <c r="AF36" s="126">
        <v>359.37999999999738</v>
      </c>
      <c r="AG36" s="128">
        <v>0</v>
      </c>
      <c r="AH36" s="127">
        <f>AF36+AG36</f>
        <v>359.37999999999738</v>
      </c>
      <c r="AI36" s="130">
        <v>6289149.9999999544</v>
      </c>
      <c r="AJ36" s="21"/>
    </row>
    <row r="37" spans="1:36" ht="15">
      <c r="A37" s="19"/>
      <c r="B37" s="81">
        <v>31</v>
      </c>
      <c r="C37" s="102">
        <v>26</v>
      </c>
      <c r="D37" s="102">
        <v>198</v>
      </c>
      <c r="E37" s="121">
        <v>14199.999999999818</v>
      </c>
      <c r="F37" s="121">
        <v>15443479.799999803</v>
      </c>
      <c r="G37" s="108">
        <v>3280.0000000002001</v>
      </c>
      <c r="H37" s="108">
        <v>5350839.4800003264</v>
      </c>
      <c r="I37" s="104">
        <f>F37+H37</f>
        <v>20794319.280000128</v>
      </c>
      <c r="J37" s="155">
        <v>1620.0000000000045</v>
      </c>
      <c r="K37" s="155">
        <v>1761861.7800000052</v>
      </c>
      <c r="L37" s="117">
        <v>460.00000000000796</v>
      </c>
      <c r="M37" s="119">
        <v>750422.61000001302</v>
      </c>
      <c r="N37" s="105">
        <f>K37+M37</f>
        <v>2512284.3900000183</v>
      </c>
      <c r="O37" s="104">
        <f>I37+N37</f>
        <v>23306603.670000147</v>
      </c>
      <c r="P37" s="105">
        <f>E37+G37+J37+L37</f>
        <v>19560.000000000029</v>
      </c>
      <c r="Q37" s="120">
        <f>R37+T37</f>
        <v>670</v>
      </c>
      <c r="R37" s="121">
        <v>106</v>
      </c>
      <c r="S37" s="121">
        <v>1904873</v>
      </c>
      <c r="T37" s="114">
        <v>564</v>
      </c>
      <c r="U37" s="114">
        <v>2694656.64</v>
      </c>
      <c r="V37" s="112">
        <f>S37+U37</f>
        <v>4599529.6400000006</v>
      </c>
      <c r="W37" s="123">
        <v>0</v>
      </c>
      <c r="X37" s="123">
        <v>500</v>
      </c>
      <c r="Y37" s="107">
        <v>47.772080000000507</v>
      </c>
      <c r="Z37" s="107">
        <v>0</v>
      </c>
      <c r="AA37" s="107">
        <v>0</v>
      </c>
      <c r="AB37" s="109">
        <v>12</v>
      </c>
      <c r="AC37" s="120">
        <f>W37+X37+Y37+Z37+AA37+AB37</f>
        <v>559.77208000000053</v>
      </c>
      <c r="AD37" s="107">
        <v>10651146.728000009</v>
      </c>
      <c r="AE37" s="110"/>
      <c r="AF37" s="126">
        <v>550.55000000000291</v>
      </c>
      <c r="AG37" s="128">
        <v>0</v>
      </c>
      <c r="AH37" s="127">
        <f>AF37+AG37</f>
        <v>550.55000000000291</v>
      </c>
      <c r="AI37" s="130">
        <v>9634625.0000000503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2"/>
      <c r="D42" s="142"/>
      <c r="E42" s="143"/>
      <c r="F42" s="144"/>
      <c r="G42" s="145"/>
      <c r="H42" s="144"/>
      <c r="I42" s="145"/>
      <c r="J42" s="145"/>
      <c r="K42" s="145"/>
      <c r="L42" s="144"/>
      <c r="M42" s="146"/>
      <c r="N42" s="147"/>
      <c r="O42" s="145"/>
      <c r="P42" s="147"/>
      <c r="Q42" s="148"/>
      <c r="R42" s="149"/>
      <c r="S42" s="145"/>
      <c r="T42" s="145"/>
      <c r="U42" s="145"/>
      <c r="V42" s="145"/>
      <c r="W42" s="150"/>
      <c r="X42" s="144"/>
      <c r="Y42" s="150"/>
      <c r="Z42" s="150"/>
      <c r="AA42" s="150"/>
      <c r="AB42" s="150"/>
      <c r="AC42" s="150"/>
      <c r="AD42" s="144"/>
      <c r="AE42" s="151"/>
      <c r="AF42" s="151"/>
      <c r="AG42" s="151"/>
      <c r="AH42" s="151"/>
      <c r="AI42" s="152"/>
    </row>
    <row r="43" spans="1:36">
      <c r="A43" s="33"/>
      <c r="B43" s="141"/>
      <c r="C43" s="131">
        <f>SUM(C7:C37)</f>
        <v>1150</v>
      </c>
      <c r="D43" s="131">
        <f>SUM(D7:D37)</f>
        <v>9791</v>
      </c>
      <c r="E43" s="132">
        <f>SUM(E7:E37)</f>
        <v>478120</v>
      </c>
      <c r="F43" s="132">
        <f>SUM(F7:F37)</f>
        <v>519988490.27999985</v>
      </c>
      <c r="G43" s="132">
        <f>SUM(G7:G37)</f>
        <v>105480.00000000001</v>
      </c>
      <c r="H43" s="132">
        <f>SUM(H7:H37)</f>
        <v>172075167.1800001</v>
      </c>
      <c r="I43" s="132">
        <f>SUM(I7:I37)</f>
        <v>692063657.4599998</v>
      </c>
      <c r="J43" s="132">
        <f>SUM(J7:J37)</f>
        <v>47620.000000000007</v>
      </c>
      <c r="K43" s="132">
        <f>SUM(K7:K37)</f>
        <v>51790035.780000024</v>
      </c>
      <c r="L43" s="132">
        <f>SUM(L7:L37)</f>
        <v>14159.999999999996</v>
      </c>
      <c r="M43" s="132">
        <f>SUM(M7:M37)</f>
        <v>23099965.560000002</v>
      </c>
      <c r="N43" s="132">
        <f>SUM(N7:N37)</f>
        <v>74890001.340000004</v>
      </c>
      <c r="O43" s="133">
        <f>SUM(O7:O37)</f>
        <v>766953658.79999995</v>
      </c>
      <c r="P43" s="134">
        <f>SUM(P7:P37)</f>
        <v>645379.99999999977</v>
      </c>
      <c r="Q43" s="135">
        <f>SUM(Q7:Q37)</f>
        <v>22145</v>
      </c>
      <c r="R43" s="132">
        <f>SUM(R7:R37)</f>
        <v>3522</v>
      </c>
      <c r="S43" s="132">
        <f>SUM(S7:S37)</f>
        <v>63292101</v>
      </c>
      <c r="T43" s="132">
        <f>SUM(T7:T37)</f>
        <v>18623</v>
      </c>
      <c r="U43" s="132">
        <f>SUM(U7:U37)</f>
        <v>88976224.480000019</v>
      </c>
      <c r="V43" s="136">
        <f>SUM(V7:V37)</f>
        <v>152268325.47999996</v>
      </c>
      <c r="W43" s="137">
        <f>SUM(W7:W37)</f>
        <v>2758.2938399999948</v>
      </c>
      <c r="X43" s="132">
        <f>SUM(X7:X37)</f>
        <v>3000</v>
      </c>
      <c r="Y43" s="132">
        <f>SUM(Y7:Y37)</f>
        <v>2229.7799600000008</v>
      </c>
      <c r="Z43" s="132">
        <f>SUM(Z7:Z37)</f>
        <v>400</v>
      </c>
      <c r="AA43" s="132">
        <f>SUM(AA7:AA37)</f>
        <v>0</v>
      </c>
      <c r="AB43" s="132">
        <f>SUM(AB7:AB37)</f>
        <v>420</v>
      </c>
      <c r="AC43" s="138">
        <f>SUM(AC7:AC37)</f>
        <v>8808.0737999999965</v>
      </c>
      <c r="AD43" s="138">
        <f>SUM(AD7:AD37)</f>
        <v>166513297.25759992</v>
      </c>
      <c r="AE43" s="139">
        <f>SUM(AE8:AE39)</f>
        <v>0</v>
      </c>
      <c r="AF43" s="132">
        <f>SUM(AF7:AF37)</f>
        <v>11997.400000000001</v>
      </c>
      <c r="AG43" s="132">
        <f>SUM(AG7:AG37)</f>
        <v>99.100000000034925</v>
      </c>
      <c r="AH43" s="140">
        <f>SUM(AH7:AH37)</f>
        <v>12096.500000000036</v>
      </c>
      <c r="AI43" s="140">
        <f>SUM(AI7:AI37)</f>
        <v>211688750.00000066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1188.375311909263</v>
      </c>
      <c r="Q45" s="43"/>
      <c r="R45" s="43"/>
      <c r="S45" s="43"/>
      <c r="T45" s="36"/>
      <c r="U45" s="36"/>
      <c r="V45" s="43">
        <f>V43/Q43</f>
        <v>6875.9686376157124</v>
      </c>
      <c r="W45" s="43"/>
      <c r="X45" s="36"/>
      <c r="Y45" s="43"/>
      <c r="Z45" s="43"/>
      <c r="AA45" s="43"/>
      <c r="AB45" s="43"/>
      <c r="AC45" s="36"/>
      <c r="AD45" s="36">
        <f>AD43/AC43</f>
        <v>18904.621037303295</v>
      </c>
      <c r="AE45" s="40"/>
      <c r="AF45" s="40"/>
      <c r="AG45" s="40"/>
      <c r="AH45" s="40"/>
      <c r="AI45" s="43">
        <f>AI43/AH43</f>
        <v>17500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2023-02-27T15:49:00Z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