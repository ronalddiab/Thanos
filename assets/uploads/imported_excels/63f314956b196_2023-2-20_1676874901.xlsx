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3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<sst xmlns="http://schemas.openxmlformats.org/spreadsheetml/2006/main" count="61" uniqueCount="29">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</sst>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T15" sqref="T15"/>
    </sheetView>
  </sheetViews>
  <sheetFormatPr defaultRowHeight="12.75" x14ac:dyDescent="0.2"/>
  <cols>
    <col min="1" max="1" width="20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</v>
      </c>
      <c r="D2" s="7">
        <v>2023</v>
      </c>
      <c r="E2" s="9">
        <f>'Macao Daily'!D5</f>
        <v>36954</v>
      </c>
      <c r="F2" s="37">
        <v>1.2419</v>
      </c>
      <c r="G2" s="9">
        <f>'Macao Daily'!F5</f>
        <v>5</v>
      </c>
      <c r="H2" s="37">
        <v>3.3251433251433253</v>
      </c>
      <c r="I2" s="9">
        <f>'Macao Daily'!H5</f>
        <v>3600</v>
      </c>
      <c r="J2" s="37">
        <v>0.22</v>
      </c>
      <c r="K2" s="9">
        <f>'Macao Daily'!J5</f>
        <v>210</v>
      </c>
      <c r="L2" s="37">
        <v>7.7629999999999999</v>
      </c>
      <c r="M2" s="9">
        <f>'Macao Daily'!K5</f>
        <v>222</v>
      </c>
      <c r="N2" s="9">
        <f>'Macao Daily'!L5</f>
        <v>347</v>
      </c>
    </row>
    <row r="3" spans="1:14" ht="15" x14ac:dyDescent="0.25">
      <c r="A3" s="6" t="s">
        <v>28</v>
      </c>
      <c r="B3" s="7">
        <f>B2+1</f>
        <v>2</v>
      </c>
      <c r="C3" s="8">
        <v>1</v>
      </c>
      <c r="D3" s="7">
        <v>2023</v>
      </c>
      <c r="E3" s="9">
        <f>'Macao Daily'!D6</f>
        <v>34492</v>
      </c>
      <c r="F3" s="37">
        <v>1.2419</v>
      </c>
      <c r="G3" s="9">
        <f>'Macao Daily'!F6</f>
        <v>5</v>
      </c>
      <c r="H3" s="37">
        <v>3.3251433251433253</v>
      </c>
      <c r="I3" s="9">
        <f>'Macao Daily'!H6</f>
        <v>1872</v>
      </c>
      <c r="J3" s="37">
        <v>0.22</v>
      </c>
      <c r="K3" s="9">
        <f>'Macao Daily'!J6</f>
        <v>170</v>
      </c>
      <c r="L3" s="37">
        <v>7.7629999999999999</v>
      </c>
      <c r="M3" s="9">
        <f>'Macao Daily'!K6</f>
        <v>193</v>
      </c>
      <c r="N3" s="9">
        <f>'Macao Daily'!L6</f>
        <v>371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</v>
      </c>
      <c r="D4" s="7">
        <v>2023</v>
      </c>
      <c r="E4" s="9">
        <f>'Macao Daily'!D7</f>
        <v>35172</v>
      </c>
      <c r="F4" s="37">
        <v>1.2419</v>
      </c>
      <c r="G4" s="9">
        <f>'Macao Daily'!F7</f>
        <v>6</v>
      </c>
      <c r="H4" s="37">
        <v>3.3251433251433253</v>
      </c>
      <c r="I4" s="9">
        <f>'Macao Daily'!H7</f>
        <v>6928</v>
      </c>
      <c r="J4" s="37">
        <v>0.22</v>
      </c>
      <c r="K4" s="9">
        <f>'Macao Daily'!J7</f>
        <v>188</v>
      </c>
      <c r="L4" s="37">
        <v>7.7629999999999999</v>
      </c>
      <c r="M4" s="9">
        <f>'Macao Daily'!K7</f>
        <v>150</v>
      </c>
      <c r="N4" s="9">
        <f>'Macao Daily'!L7</f>
        <v>288</v>
      </c>
    </row>
    <row r="5" spans="1:14" ht="15" x14ac:dyDescent="0.25">
      <c r="A5" s="6" t="s">
        <v>28</v>
      </c>
      <c r="B5" s="7">
        <f t="shared" si="0"/>
        <v>4</v>
      </c>
      <c r="C5" s="8">
        <v>1</v>
      </c>
      <c r="D5" s="7">
        <v>2023</v>
      </c>
      <c r="E5" s="9">
        <f>'Macao Daily'!D8</f>
        <v>32389</v>
      </c>
      <c r="F5" s="37">
        <v>1.2419</v>
      </c>
      <c r="G5" s="9">
        <f>'Macao Daily'!F8</f>
        <v>6</v>
      </c>
      <c r="H5" s="37">
        <v>3.3251433251433253</v>
      </c>
      <c r="I5" s="9">
        <f>'Macao Daily'!H8</f>
        <v>4736</v>
      </c>
      <c r="J5" s="37">
        <v>0.22</v>
      </c>
      <c r="K5" s="9">
        <f>'Macao Daily'!J8</f>
        <v>154</v>
      </c>
      <c r="L5" s="37">
        <v>7.7629999999999999</v>
      </c>
      <c r="M5" s="9">
        <f>'Macao Daily'!K8</f>
        <v>160</v>
      </c>
      <c r="N5" s="9">
        <f>'Macao Daily'!L8</f>
        <v>234</v>
      </c>
    </row>
    <row r="6" spans="1:14" ht="15" x14ac:dyDescent="0.25">
      <c r="A6" s="6" t="s">
        <v>28</v>
      </c>
      <c r="B6" s="7">
        <f t="shared" si="0"/>
        <v>5</v>
      </c>
      <c r="C6" s="8">
        <v>1</v>
      </c>
      <c r="D6" s="7">
        <v>2023</v>
      </c>
      <c r="E6" s="9">
        <f>'Macao Daily'!D9</f>
        <v>32050</v>
      </c>
      <c r="F6" s="37">
        <v>1.2419</v>
      </c>
      <c r="G6" s="9">
        <f>'Macao Daily'!F9</f>
        <v>6</v>
      </c>
      <c r="H6" s="37">
        <v>3.3251433251433253</v>
      </c>
      <c r="I6" s="9">
        <f>'Macao Daily'!H9</f>
        <v>9472</v>
      </c>
      <c r="J6" s="37">
        <v>0.22</v>
      </c>
      <c r="K6" s="9">
        <f>'Macao Daily'!J9</f>
        <v>174</v>
      </c>
      <c r="L6" s="37">
        <v>7.7629999999999999</v>
      </c>
      <c r="M6" s="9">
        <f>'Macao Daily'!K9</f>
        <v>153</v>
      </c>
      <c r="N6" s="9">
        <f>'Macao Daily'!L9</f>
        <v>293</v>
      </c>
    </row>
    <row r="7" spans="1:14" ht="15" x14ac:dyDescent="0.25">
      <c r="A7" s="6" t="s">
        <v>28</v>
      </c>
      <c r="B7" s="7">
        <f t="shared" si="0"/>
        <v>6</v>
      </c>
      <c r="C7" s="8">
        <v>1</v>
      </c>
      <c r="D7" s="7">
        <v>2023</v>
      </c>
      <c r="E7" s="9">
        <f>'Macao Daily'!D10</f>
        <v>31997</v>
      </c>
      <c r="F7" s="37">
        <v>1.2419</v>
      </c>
      <c r="G7" s="9">
        <f>'Macao Daily'!F10</f>
        <v>4</v>
      </c>
      <c r="H7" s="37">
        <v>3.3251433251433253</v>
      </c>
      <c r="I7" s="9">
        <f>'Macao Daily'!H10</f>
        <v>16912</v>
      </c>
      <c r="J7" s="37">
        <v>0.22</v>
      </c>
      <c r="K7" s="9">
        <f>'Macao Daily'!J10</f>
        <v>164</v>
      </c>
      <c r="L7" s="37">
        <v>7.7629999999999999</v>
      </c>
      <c r="M7" s="9">
        <f>'Macao Daily'!K10</f>
        <v>163</v>
      </c>
      <c r="N7" s="9">
        <f>'Macao Daily'!L10</f>
        <v>233</v>
      </c>
    </row>
    <row r="8" spans="1:14" ht="15" x14ac:dyDescent="0.25">
      <c r="A8" s="6" t="s">
        <v>28</v>
      </c>
      <c r="B8" s="7">
        <f t="shared" si="0"/>
        <v>7</v>
      </c>
      <c r="C8" s="8">
        <v>1</v>
      </c>
      <c r="D8" s="7">
        <v>2023</v>
      </c>
      <c r="E8" s="9">
        <f>'Macao Daily'!D11</f>
        <v>30661</v>
      </c>
      <c r="F8" s="37">
        <v>1.2419</v>
      </c>
      <c r="G8" s="9">
        <f>'Macao Daily'!F11</f>
        <v>4</v>
      </c>
      <c r="H8" s="37">
        <v>3.3251433251433253</v>
      </c>
      <c r="I8" s="9">
        <f>'Macao Daily'!H11</f>
        <v>15321</v>
      </c>
      <c r="J8" s="37">
        <v>0.22</v>
      </c>
      <c r="K8" s="9">
        <f>'Macao Daily'!J11</f>
        <v>208</v>
      </c>
      <c r="L8" s="37">
        <v>7.7629999999999999</v>
      </c>
      <c r="M8" s="9">
        <f>'Macao Daily'!K11</f>
        <v>159</v>
      </c>
      <c r="N8" s="9">
        <f>'Macao Daily'!L11</f>
        <v>257</v>
      </c>
    </row>
    <row r="9" spans="1:14" ht="15" x14ac:dyDescent="0.25">
      <c r="A9" s="6" t="s">
        <v>28</v>
      </c>
      <c r="B9" s="7">
        <f t="shared" si="0"/>
        <v>8</v>
      </c>
      <c r="C9" s="8">
        <v>1</v>
      </c>
      <c r="D9" s="7">
        <v>2023</v>
      </c>
      <c r="E9" s="9">
        <f>'Macao Daily'!D12</f>
        <v>31085</v>
      </c>
      <c r="F9" s="37">
        <v>1.2419</v>
      </c>
      <c r="G9" s="9">
        <f>'Macao Daily'!F12</f>
        <v>4</v>
      </c>
      <c r="H9" s="37">
        <v>3.3251433251433253</v>
      </c>
      <c r="I9" s="9">
        <f>'Macao Daily'!H12</f>
        <v>14610</v>
      </c>
      <c r="J9" s="37">
        <v>0.22</v>
      </c>
      <c r="K9" s="9">
        <f>'Macao Daily'!J12</f>
        <v>188</v>
      </c>
      <c r="L9" s="37">
        <v>7.7629999999999999</v>
      </c>
      <c r="M9" s="9">
        <f>'Macao Daily'!K12</f>
        <v>170</v>
      </c>
      <c r="N9" s="9">
        <f>'Macao Daily'!L12</f>
        <v>288</v>
      </c>
    </row>
    <row r="10" spans="1:14" ht="15" x14ac:dyDescent="0.25">
      <c r="A10" s="6" t="s">
        <v>28</v>
      </c>
      <c r="B10" s="7">
        <f t="shared" si="0"/>
        <v>9</v>
      </c>
      <c r="C10" s="8">
        <v>1</v>
      </c>
      <c r="D10" s="7">
        <v>2023</v>
      </c>
      <c r="E10" s="9">
        <f>'Macao Daily'!D13</f>
        <v>30688</v>
      </c>
      <c r="F10" s="37">
        <v>1.2419</v>
      </c>
      <c r="G10" s="9">
        <f>'Macao Daily'!F13</f>
        <v>8</v>
      </c>
      <c r="H10" s="37">
        <v>3.3251433251433253</v>
      </c>
      <c r="I10" s="9">
        <f>'Macao Daily'!H13</f>
        <v>13045</v>
      </c>
      <c r="J10" s="37">
        <v>0.22</v>
      </c>
      <c r="K10" s="9">
        <f>'Macao Daily'!J13</f>
        <v>181</v>
      </c>
      <c r="L10" s="37">
        <v>7.7629999999999999</v>
      </c>
      <c r="M10" s="9">
        <f>'Macao Daily'!K13</f>
        <v>153</v>
      </c>
      <c r="N10" s="9">
        <f>'Macao Daily'!L13</f>
        <v>318</v>
      </c>
    </row>
    <row r="11" spans="1:14" ht="15" x14ac:dyDescent="0.25">
      <c r="A11" s="6" t="s">
        <v>28</v>
      </c>
      <c r="B11" s="7">
        <f t="shared" si="0"/>
        <v>10</v>
      </c>
      <c r="C11" s="8">
        <v>1</v>
      </c>
      <c r="D11" s="7">
        <v>2023</v>
      </c>
      <c r="E11" s="9">
        <f>'Macao Daily'!D14</f>
        <v>30484</v>
      </c>
      <c r="F11" s="37">
        <v>1.2419</v>
      </c>
      <c r="G11" s="9">
        <f>'Macao Daily'!F14</f>
        <v>7</v>
      </c>
      <c r="H11" s="37">
        <v>3.3251433251433253</v>
      </c>
      <c r="I11" s="9">
        <f>'Macao Daily'!H14</f>
        <v>13104</v>
      </c>
      <c r="J11" s="37">
        <v>0.22</v>
      </c>
      <c r="K11" s="9">
        <f>'Macao Daily'!J14</f>
        <v>150</v>
      </c>
      <c r="L11" s="37">
        <v>7.7629999999999999</v>
      </c>
      <c r="M11" s="9">
        <f>'Macao Daily'!K14</f>
        <v>170</v>
      </c>
      <c r="N11" s="9">
        <f>'Macao Daily'!L14</f>
        <v>282</v>
      </c>
    </row>
    <row r="12" spans="1:14" ht="15" x14ac:dyDescent="0.25">
      <c r="A12" s="6" t="s">
        <v>28</v>
      </c>
      <c r="B12" s="7">
        <f t="shared" si="0"/>
        <v>11</v>
      </c>
      <c r="C12" s="8">
        <v>1</v>
      </c>
      <c r="D12" s="7">
        <v>2023</v>
      </c>
      <c r="E12" s="9">
        <f>'Macao Daily'!D15</f>
        <v>31319</v>
      </c>
      <c r="F12" s="37">
        <v>1.2419</v>
      </c>
      <c r="G12" s="9">
        <f>'Macao Daily'!F15</f>
        <v>6</v>
      </c>
      <c r="H12" s="37">
        <v>3.3251433251433253</v>
      </c>
      <c r="I12" s="9">
        <f>'Macao Daily'!H15</f>
        <v>12416</v>
      </c>
      <c r="J12" s="37">
        <v>0.22</v>
      </c>
      <c r="K12" s="9">
        <f>'Macao Daily'!J15</f>
        <v>190</v>
      </c>
      <c r="L12" s="37">
        <v>7.7629999999999999</v>
      </c>
      <c r="M12" s="9">
        <f>'Macao Daily'!K15</f>
        <v>170</v>
      </c>
      <c r="N12" s="9">
        <f>'Macao Daily'!L15</f>
        <v>229</v>
      </c>
    </row>
    <row r="13" spans="1:14" ht="15" x14ac:dyDescent="0.25">
      <c r="A13" s="6" t="s">
        <v>28</v>
      </c>
      <c r="B13" s="7">
        <f t="shared" si="0"/>
        <v>12</v>
      </c>
      <c r="C13" s="8">
        <v>1</v>
      </c>
      <c r="D13" s="7">
        <v>2023</v>
      </c>
      <c r="E13" s="9">
        <f>'Macao Daily'!D16</f>
        <v>31740</v>
      </c>
      <c r="F13" s="37">
        <v>1.2419</v>
      </c>
      <c r="G13" s="9">
        <f>'Macao Daily'!F16</f>
        <v>6</v>
      </c>
      <c r="H13" s="37">
        <v>3.3251433251433253</v>
      </c>
      <c r="I13" s="9">
        <f>'Macao Daily'!H16</f>
        <v>15584</v>
      </c>
      <c r="J13" s="37">
        <v>0.22</v>
      </c>
      <c r="K13" s="9">
        <f>'Macao Daily'!J16</f>
        <v>210</v>
      </c>
      <c r="L13" s="37">
        <v>7.7629999999999999</v>
      </c>
      <c r="M13" s="9">
        <f>'Macao Daily'!K16</f>
        <v>174</v>
      </c>
      <c r="N13" s="9">
        <f>'Macao Daily'!L16</f>
        <v>328</v>
      </c>
    </row>
    <row r="14" spans="1:14" ht="15" x14ac:dyDescent="0.25">
      <c r="A14" s="6" t="s">
        <v>28</v>
      </c>
      <c r="B14" s="7">
        <f t="shared" si="0"/>
        <v>13</v>
      </c>
      <c r="C14" s="8">
        <v>1</v>
      </c>
      <c r="D14" s="7">
        <v>2023</v>
      </c>
      <c r="E14" s="9">
        <f>'Macao Daily'!D17</f>
        <v>30974</v>
      </c>
      <c r="F14" s="37">
        <v>1.2419</v>
      </c>
      <c r="G14" s="9">
        <f>'Macao Daily'!F17</f>
        <v>6</v>
      </c>
      <c r="H14" s="37">
        <v>3.3251433251433253</v>
      </c>
      <c r="I14" s="9">
        <f>'Macao Daily'!H17</f>
        <v>26928</v>
      </c>
      <c r="J14" s="37">
        <v>0.22</v>
      </c>
      <c r="K14" s="9">
        <f>'Macao Daily'!J17</f>
        <v>168</v>
      </c>
      <c r="L14" s="37">
        <v>7.7629999999999999</v>
      </c>
      <c r="M14" s="9">
        <f>'Macao Daily'!K17</f>
        <v>182</v>
      </c>
      <c r="N14" s="9">
        <f>'Macao Daily'!L17</f>
        <v>307</v>
      </c>
    </row>
    <row r="15" spans="1:14" ht="15" x14ac:dyDescent="0.25">
      <c r="A15" s="6" t="s">
        <v>28</v>
      </c>
      <c r="B15" s="7">
        <f t="shared" si="0"/>
        <v>14</v>
      </c>
      <c r="C15" s="8">
        <v>1</v>
      </c>
      <c r="D15" s="7">
        <v>2023</v>
      </c>
      <c r="E15" s="9">
        <f>'Macao Daily'!D18</f>
        <v>31733</v>
      </c>
      <c r="F15" s="37">
        <v>1.2419</v>
      </c>
      <c r="G15" s="9">
        <f>'Macao Daily'!F18</f>
        <v>5</v>
      </c>
      <c r="H15" s="37">
        <v>3.3251433251433253</v>
      </c>
      <c r="I15" s="9">
        <f>'Macao Daily'!H18</f>
        <v>45648</v>
      </c>
      <c r="J15" s="37">
        <v>0.22</v>
      </c>
      <c r="K15" s="9">
        <f>'Macao Daily'!J18</f>
        <v>171</v>
      </c>
      <c r="L15" s="37">
        <v>7.7629999999999999</v>
      </c>
      <c r="M15" s="9">
        <f>'Macao Daily'!K18</f>
        <v>190</v>
      </c>
      <c r="N15" s="9">
        <f>'Macao Daily'!L18</f>
        <v>312</v>
      </c>
    </row>
    <row r="16" spans="1:14" ht="15" x14ac:dyDescent="0.25">
      <c r="A16" s="6" t="s">
        <v>28</v>
      </c>
      <c r="B16" s="7">
        <f t="shared" si="0"/>
        <v>15</v>
      </c>
      <c r="C16" s="8">
        <v>1</v>
      </c>
      <c r="D16" s="7">
        <v>2023</v>
      </c>
      <c r="E16" s="9">
        <f>'Macao Daily'!D19</f>
        <v>31741</v>
      </c>
      <c r="F16" s="37">
        <v>1.2419</v>
      </c>
      <c r="G16" s="9">
        <f>'Macao Daily'!F19</f>
        <v>4</v>
      </c>
      <c r="H16" s="37">
        <v>3.3251433251433253</v>
      </c>
      <c r="I16" s="9">
        <f>'Macao Daily'!H19</f>
        <v>43504</v>
      </c>
      <c r="J16" s="37">
        <v>0.22</v>
      </c>
      <c r="K16" s="9">
        <f>'Macao Daily'!J19</f>
        <v>187</v>
      </c>
      <c r="L16" s="37">
        <v>7.7629999999999999</v>
      </c>
      <c r="M16" s="9">
        <f>'Macao Daily'!K19</f>
        <v>167</v>
      </c>
      <c r="N16" s="9">
        <f>'Macao Daily'!L19</f>
        <v>315</v>
      </c>
    </row>
    <row r="17" spans="1:14" ht="15" x14ac:dyDescent="0.25">
      <c r="A17" s="6" t="s">
        <v>28</v>
      </c>
      <c r="B17" s="7">
        <f t="shared" si="0"/>
        <v>16</v>
      </c>
      <c r="C17" s="8">
        <v>1</v>
      </c>
      <c r="D17" s="7">
        <v>2023</v>
      </c>
      <c r="E17" s="9">
        <f>'Macao Daily'!D20</f>
        <v>35898</v>
      </c>
      <c r="F17" s="37">
        <v>1.2419</v>
      </c>
      <c r="G17" s="9">
        <f>'Macao Daily'!F20</f>
        <v>7</v>
      </c>
      <c r="H17" s="37">
        <v>3.3251433251433253</v>
      </c>
      <c r="I17" s="9">
        <f>'Macao Daily'!H20</f>
        <v>3888</v>
      </c>
      <c r="J17" s="37">
        <v>0.22</v>
      </c>
      <c r="K17" s="9">
        <f>'Macao Daily'!J20</f>
        <v>207</v>
      </c>
      <c r="L17" s="37">
        <v>7.7629999999999999</v>
      </c>
      <c r="M17" s="9">
        <f>'Macao Daily'!K20</f>
        <v>145</v>
      </c>
      <c r="N17" s="9">
        <f>'Macao Daily'!L20</f>
        <v>251</v>
      </c>
    </row>
    <row r="18" spans="1:14" ht="15" x14ac:dyDescent="0.25">
      <c r="A18" s="6" t="s">
        <v>28</v>
      </c>
      <c r="B18" s="7">
        <f t="shared" si="0"/>
        <v>17</v>
      </c>
      <c r="C18" s="8">
        <v>1</v>
      </c>
      <c r="D18" s="7">
        <v>2023</v>
      </c>
      <c r="E18" s="9">
        <f>'Macao Daily'!D21</f>
        <v>37395</v>
      </c>
      <c r="F18" s="37">
        <v>1.2419</v>
      </c>
      <c r="G18" s="9">
        <f>'Macao Daily'!F21</f>
        <v>5</v>
      </c>
      <c r="H18" s="37">
        <v>3.3251433251433253</v>
      </c>
      <c r="I18" s="9">
        <f>'Macao Daily'!H21</f>
        <v>608</v>
      </c>
      <c r="J18" s="37">
        <v>0.22</v>
      </c>
      <c r="K18" s="9">
        <f>'Macao Daily'!J21</f>
        <v>176</v>
      </c>
      <c r="L18" s="37">
        <v>7.7629999999999999</v>
      </c>
      <c r="M18" s="9">
        <f>'Macao Daily'!K21</f>
        <v>148</v>
      </c>
      <c r="N18" s="9">
        <f>'Macao Daily'!L21</f>
        <v>239</v>
      </c>
    </row>
    <row r="19" spans="1:14" ht="15" x14ac:dyDescent="0.25">
      <c r="A19" s="6" t="s">
        <v>28</v>
      </c>
      <c r="B19" s="7">
        <f t="shared" si="0"/>
        <v>18</v>
      </c>
      <c r="C19" s="8">
        <v>1</v>
      </c>
      <c r="D19" s="7">
        <v>2023</v>
      </c>
      <c r="E19" s="9">
        <f>'Macao Daily'!D22</f>
        <v>38618</v>
      </c>
      <c r="F19" s="37">
        <v>1.2419</v>
      </c>
      <c r="G19" s="9">
        <f>'Macao Daily'!F22</f>
        <v>4</v>
      </c>
      <c r="H19" s="37">
        <v>3.3251433251433253</v>
      </c>
      <c r="I19" s="9">
        <f>'Macao Daily'!H22</f>
        <v>1776</v>
      </c>
      <c r="J19" s="37">
        <v>0.22</v>
      </c>
      <c r="K19" s="9">
        <f>'Macao Daily'!J22</f>
        <v>170</v>
      </c>
      <c r="L19" s="37">
        <v>7.7629999999999999</v>
      </c>
      <c r="M19" s="9">
        <f>'Macao Daily'!K22</f>
        <v>127</v>
      </c>
      <c r="N19" s="9">
        <f>'Macao Daily'!L22</f>
        <v>264</v>
      </c>
    </row>
    <row r="20" spans="1:14" ht="15" x14ac:dyDescent="0.25">
      <c r="A20" s="6" t="s">
        <v>28</v>
      </c>
      <c r="B20" s="7">
        <f t="shared" si="0"/>
        <v>19</v>
      </c>
      <c r="C20" s="8">
        <v>1</v>
      </c>
      <c r="D20" s="7">
        <v>2023</v>
      </c>
      <c r="E20" s="9">
        <f>'Macao Daily'!D23</f>
        <v>35356</v>
      </c>
      <c r="F20" s="37">
        <v>1.2419</v>
      </c>
      <c r="G20" s="9">
        <f>'Macao Daily'!F23</f>
        <v>7</v>
      </c>
      <c r="H20" s="37">
        <v>3.3251433251433253</v>
      </c>
      <c r="I20" s="9">
        <f>'Macao Daily'!H23</f>
        <v>4496</v>
      </c>
      <c r="J20" s="37">
        <v>0.22</v>
      </c>
      <c r="K20" s="9">
        <f>'Macao Daily'!J23</f>
        <v>146</v>
      </c>
      <c r="L20" s="37">
        <v>7.7629999999999999</v>
      </c>
      <c r="M20" s="9">
        <f>'Macao Daily'!K23</f>
        <v>124</v>
      </c>
      <c r="N20" s="9">
        <f>'Macao Daily'!L23</f>
        <v>286</v>
      </c>
    </row>
    <row r="21" spans="1:14" ht="15" x14ac:dyDescent="0.25">
      <c r="A21" s="6" t="s">
        <v>28</v>
      </c>
      <c r="B21" s="7">
        <f t="shared" si="0"/>
        <v>20</v>
      </c>
      <c r="C21" s="8">
        <v>1</v>
      </c>
      <c r="D21" s="7">
        <v>2023</v>
      </c>
      <c r="E21" s="9">
        <f>'Macao Daily'!D24</f>
        <v>34814</v>
      </c>
      <c r="F21" s="37">
        <v>1.2419</v>
      </c>
      <c r="G21" s="9">
        <f>'Macao Daily'!F24</f>
        <v>5</v>
      </c>
      <c r="H21" s="37">
        <v>3.3251433251433253</v>
      </c>
      <c r="I21" s="9">
        <f>'Macao Daily'!H24</f>
        <v>5440</v>
      </c>
      <c r="J21" s="37">
        <v>0.22</v>
      </c>
      <c r="K21" s="9">
        <f>'Macao Daily'!J24</f>
        <v>174</v>
      </c>
      <c r="L21" s="37">
        <v>7.7629999999999999</v>
      </c>
      <c r="M21" s="9">
        <f>'Macao Daily'!K24</f>
        <v>138</v>
      </c>
      <c r="N21" s="9">
        <f>'Macao Daily'!L24</f>
        <v>202</v>
      </c>
    </row>
    <row r="22" spans="1:14" ht="15" x14ac:dyDescent="0.25">
      <c r="A22" s="6" t="s">
        <v>28</v>
      </c>
      <c r="B22" s="7">
        <f t="shared" si="0"/>
        <v>21</v>
      </c>
      <c r="C22" s="8">
        <v>1</v>
      </c>
      <c r="D22" s="7">
        <v>2023</v>
      </c>
      <c r="E22" s="9">
        <f>'Macao Daily'!D25</f>
        <v>30356</v>
      </c>
      <c r="F22" s="37">
        <v>1.2419</v>
      </c>
      <c r="G22" s="9">
        <f>'Macao Daily'!F25</f>
        <v>5</v>
      </c>
      <c r="H22" s="37">
        <v>3.3251433251433253</v>
      </c>
      <c r="I22" s="9">
        <f>'Macao Daily'!H25</f>
        <v>8464</v>
      </c>
      <c r="J22" s="37">
        <v>0.22</v>
      </c>
      <c r="K22" s="9">
        <f>'Macao Daily'!J25</f>
        <v>170</v>
      </c>
      <c r="L22" s="37">
        <v>7.7629999999999999</v>
      </c>
      <c r="M22" s="9">
        <f>'Macao Daily'!K25</f>
        <v>152</v>
      </c>
      <c r="N22" s="9">
        <f>'Macao Daily'!L25</f>
        <v>229</v>
      </c>
    </row>
    <row r="23" spans="1:14" ht="15" x14ac:dyDescent="0.25">
      <c r="A23" s="6" t="s">
        <v>28</v>
      </c>
      <c r="B23" s="7">
        <f t="shared" si="0"/>
        <v>22</v>
      </c>
      <c r="C23" s="8">
        <v>1</v>
      </c>
      <c r="D23" s="7">
        <v>2023</v>
      </c>
      <c r="E23" s="9">
        <f>'Macao Daily'!D26</f>
        <v>31916</v>
      </c>
      <c r="F23" s="37">
        <v>1.2419</v>
      </c>
      <c r="G23" s="9">
        <f>'Macao Daily'!F26</f>
        <v>10</v>
      </c>
      <c r="H23" s="37">
        <v>3.3251433251433253</v>
      </c>
      <c r="I23" s="9">
        <f>'Macao Daily'!H26</f>
        <v>9616</v>
      </c>
      <c r="J23" s="37">
        <v>0.22</v>
      </c>
      <c r="K23" s="9">
        <f>'Macao Daily'!J26</f>
        <v>192</v>
      </c>
      <c r="L23" s="37">
        <v>7.7629999999999999</v>
      </c>
      <c r="M23" s="9">
        <f>'Macao Daily'!K26</f>
        <v>189</v>
      </c>
      <c r="N23" s="9">
        <f>'Macao Daily'!L26</f>
        <v>320</v>
      </c>
    </row>
    <row r="24" spans="1:14" ht="15" x14ac:dyDescent="0.25">
      <c r="A24" s="6" t="s">
        <v>28</v>
      </c>
      <c r="B24" s="7">
        <f t="shared" si="0"/>
        <v>23</v>
      </c>
      <c r="C24" s="8">
        <v>1</v>
      </c>
      <c r="D24" s="7">
        <v>2023</v>
      </c>
      <c r="E24" s="9">
        <f>'Macao Daily'!D27</f>
        <v>31417</v>
      </c>
      <c r="F24" s="37">
        <v>1.2419</v>
      </c>
      <c r="G24" s="9">
        <f>'Macao Daily'!F27</f>
        <v>8</v>
      </c>
      <c r="H24" s="37">
        <v>3.3251433251433253</v>
      </c>
      <c r="I24" s="9">
        <f>'Macao Daily'!H27</f>
        <v>18208</v>
      </c>
      <c r="J24" s="37">
        <v>0.22</v>
      </c>
      <c r="K24" s="9">
        <f>'Macao Daily'!J27</f>
        <v>196</v>
      </c>
      <c r="L24" s="37">
        <v>7.7629999999999999</v>
      </c>
      <c r="M24" s="9">
        <f>'Macao Daily'!K27</f>
        <v>242</v>
      </c>
      <c r="N24" s="9">
        <f>'Macao Daily'!L27</f>
        <v>438</v>
      </c>
    </row>
    <row r="25" spans="1:14" ht="15" x14ac:dyDescent="0.25">
      <c r="A25" s="6" t="s">
        <v>28</v>
      </c>
      <c r="B25" s="7">
        <f t="shared" si="0"/>
        <v>24</v>
      </c>
      <c r="C25" s="8">
        <v>1</v>
      </c>
      <c r="D25" s="7">
        <v>2023</v>
      </c>
      <c r="E25" s="9">
        <f>'Macao Daily'!D28</f>
        <v>35041</v>
      </c>
      <c r="F25" s="37">
        <v>1.2419</v>
      </c>
      <c r="G25" s="9">
        <f>'Macao Daily'!F28</f>
        <v>12</v>
      </c>
      <c r="H25" s="37">
        <v>3.3251433251433253</v>
      </c>
      <c r="I25" s="9">
        <f>'Macao Daily'!H28</f>
        <v>14096</v>
      </c>
      <c r="J25" s="37">
        <v>0.22</v>
      </c>
      <c r="K25" s="9">
        <f>'Macao Daily'!J28</f>
        <v>274</v>
      </c>
      <c r="L25" s="37">
        <v>7.7629999999999999</v>
      </c>
      <c r="M25" s="9">
        <f>'Macao Daily'!K28</f>
        <v>288</v>
      </c>
      <c r="N25" s="9">
        <f>'Macao Daily'!L28</f>
        <v>491</v>
      </c>
    </row>
    <row r="26" spans="1:14" ht="15" x14ac:dyDescent="0.25">
      <c r="A26" s="6" t="s">
        <v>28</v>
      </c>
      <c r="B26" s="7">
        <f>B25+1</f>
        <v>25</v>
      </c>
      <c r="C26" s="8">
        <v>1</v>
      </c>
      <c r="D26" s="7">
        <v>2023</v>
      </c>
      <c r="E26" s="9">
        <f>'Macao Daily'!D29</f>
        <v>39342</v>
      </c>
      <c r="F26" s="37">
        <v>1.2419</v>
      </c>
      <c r="G26" s="9">
        <f>'Macao Daily'!F29</f>
        <v>10</v>
      </c>
      <c r="H26" s="37">
        <v>3.3251433251433253</v>
      </c>
      <c r="I26" s="9">
        <f>'Macao Daily'!H29</f>
        <v>5280</v>
      </c>
      <c r="J26" s="37">
        <v>0.22</v>
      </c>
      <c r="K26" s="9">
        <f>'Macao Daily'!J29</f>
        <v>351</v>
      </c>
      <c r="L26" s="37">
        <v>7.7629999999999999</v>
      </c>
      <c r="M26" s="9">
        <f>'Macao Daily'!K29</f>
        <v>289</v>
      </c>
      <c r="N26" s="9">
        <f>'Macao Daily'!L29</f>
        <v>509</v>
      </c>
    </row>
    <row r="27" spans="1:14" ht="15" x14ac:dyDescent="0.25">
      <c r="A27" s="6" t="s">
        <v>28</v>
      </c>
      <c r="B27" s="7">
        <f t="shared" si="0"/>
        <v>26</v>
      </c>
      <c r="C27" s="8">
        <v>1</v>
      </c>
      <c r="D27" s="7">
        <v>2023</v>
      </c>
      <c r="E27" s="9">
        <f>'Macao Daily'!D30</f>
        <v>40535</v>
      </c>
      <c r="F27" s="37">
        <v>1.2419</v>
      </c>
      <c r="G27" s="9">
        <f>'Macao Daily'!F30</f>
        <v>11</v>
      </c>
      <c r="H27" s="37">
        <v>3.3251433251433253</v>
      </c>
      <c r="I27" s="9">
        <f>'Macao Daily'!H30</f>
        <v>3792</v>
      </c>
      <c r="J27" s="37">
        <v>0.22</v>
      </c>
      <c r="K27" s="9">
        <f>'Macao Daily'!J30</f>
        <v>302</v>
      </c>
      <c r="L27" s="37">
        <v>7.7629999999999999</v>
      </c>
      <c r="M27" s="9">
        <f>'Macao Daily'!K30</f>
        <v>288</v>
      </c>
      <c r="N27" s="9">
        <f>'Macao Daily'!L30</f>
        <v>545</v>
      </c>
    </row>
    <row r="28" spans="1:14" ht="15" x14ac:dyDescent="0.25">
      <c r="A28" s="6" t="s">
        <v>28</v>
      </c>
      <c r="B28" s="7">
        <f t="shared" si="0"/>
        <v>27</v>
      </c>
      <c r="C28" s="8">
        <v>1</v>
      </c>
      <c r="D28" s="7">
        <v>2023</v>
      </c>
      <c r="E28" s="9">
        <f>'Macao Daily'!D31</f>
        <v>39709</v>
      </c>
      <c r="F28" s="37">
        <v>1.2419</v>
      </c>
      <c r="G28" s="9">
        <f>'Macao Daily'!F31</f>
        <v>12</v>
      </c>
      <c r="H28" s="37">
        <v>3.3251433251433253</v>
      </c>
      <c r="I28" s="9">
        <f>'Macao Daily'!H31</f>
        <v>5536</v>
      </c>
      <c r="J28" s="37">
        <v>0.22</v>
      </c>
      <c r="K28" s="9">
        <f>'Macao Daily'!J31</f>
        <v>298</v>
      </c>
      <c r="L28" s="37">
        <v>7.7629999999999999</v>
      </c>
      <c r="M28" s="9">
        <f>'Macao Daily'!K31</f>
        <v>282</v>
      </c>
      <c r="N28" s="9">
        <f>'Macao Daily'!L31</f>
        <v>520</v>
      </c>
    </row>
    <row r="29" spans="1:14" ht="15" x14ac:dyDescent="0.25">
      <c r="A29" s="6" t="s">
        <v>28</v>
      </c>
      <c r="B29" s="7">
        <f t="shared" si="0"/>
        <v>28</v>
      </c>
      <c r="C29" s="8">
        <v>1</v>
      </c>
      <c r="D29" s="7">
        <v>2023</v>
      </c>
      <c r="E29" s="9">
        <f>'Macao Daily'!D32</f>
        <v>41087</v>
      </c>
      <c r="F29" s="37">
        <v>1.2419</v>
      </c>
      <c r="G29" s="9">
        <f>'Macao Daily'!F32</f>
        <v>10</v>
      </c>
      <c r="H29" s="37">
        <v>3.3251433251433253</v>
      </c>
      <c r="I29" s="9">
        <f>'Macao Daily'!H32</f>
        <v>3136</v>
      </c>
      <c r="J29" s="37">
        <v>0.22</v>
      </c>
      <c r="K29" s="9">
        <f>'Macao Daily'!J32</f>
        <v>313</v>
      </c>
      <c r="L29" s="37">
        <v>7.7629999999999999</v>
      </c>
      <c r="M29" s="9">
        <f>'Macao Daily'!K32</f>
        <v>281</v>
      </c>
      <c r="N29" s="9">
        <f>'Macao Daily'!L32</f>
        <v>458</v>
      </c>
    </row>
    <row r="30" spans="1:14" ht="15" x14ac:dyDescent="0.25">
      <c r="A30" s="6" t="s">
        <v>28</v>
      </c>
      <c r="B30" s="7">
        <f t="shared" si="0"/>
        <v>29</v>
      </c>
      <c r="C30" s="8">
        <v>1</v>
      </c>
      <c r="D30" s="7">
        <v>2023</v>
      </c>
      <c r="E30" s="9">
        <f>'Macao Daily'!D33</f>
        <v>41740</v>
      </c>
      <c r="F30" s="37">
        <v>1.2419</v>
      </c>
      <c r="G30" s="9">
        <f>'Macao Daily'!F33</f>
        <v>11</v>
      </c>
      <c r="H30" s="37">
        <v>3.3251433251433253</v>
      </c>
      <c r="I30" s="9">
        <f>'Macao Daily'!H33</f>
        <v>2720</v>
      </c>
      <c r="J30" s="37">
        <v>0.22</v>
      </c>
      <c r="K30" s="9">
        <f>'Macao Daily'!J33</f>
        <v>282</v>
      </c>
      <c r="L30" s="37">
        <v>7.7629999999999999</v>
      </c>
      <c r="M30" s="9">
        <f>'Macao Daily'!K33</f>
        <v>258</v>
      </c>
      <c r="N30" s="9">
        <f>'Macao Daily'!L33</f>
        <v>452</v>
      </c>
    </row>
    <row r="31" spans="1:14" ht="15" x14ac:dyDescent="0.25">
      <c r="A31" s="6" t="s">
        <v>28</v>
      </c>
      <c r="B31" s="7">
        <f t="shared" si="0"/>
        <v>30</v>
      </c>
      <c r="C31" s="8">
        <v>1</v>
      </c>
      <c r="D31" s="7">
        <v>2023</v>
      </c>
      <c r="E31" s="9">
        <f>'Macao Daily'!D34</f>
        <v>39221</v>
      </c>
      <c r="F31" s="37">
        <v>1.2419</v>
      </c>
      <c r="G31" s="9">
        <f>'Macao Daily'!F34</f>
        <v>10</v>
      </c>
      <c r="H31" s="37">
        <v>3.3251433251433253</v>
      </c>
      <c r="I31" s="9">
        <f>'Macao Daily'!H34</f>
        <v>4080</v>
      </c>
      <c r="J31" s="37">
        <v>0.22</v>
      </c>
      <c r="K31" s="9">
        <f>'Macao Daily'!J34</f>
        <v>246</v>
      </c>
      <c r="L31" s="37">
        <v>7.7629999999999999</v>
      </c>
      <c r="M31" s="9">
        <f>'Macao Daily'!K34</f>
        <v>249</v>
      </c>
      <c r="N31" s="9">
        <f>'Macao Daily'!L34</f>
        <v>343</v>
      </c>
    </row>
    <row r="32" spans="1:14" ht="15" x14ac:dyDescent="0.25">
      <c r="A32" s="6" t="s">
        <v>28</v>
      </c>
      <c r="B32" s="7">
        <f t="shared" si="0"/>
        <v>31</v>
      </c>
      <c r="C32" s="8">
        <v>1</v>
      </c>
      <c r="D32" s="7">
        <v>2023</v>
      </c>
      <c r="E32" s="9">
        <f>'Macao Daily'!D35</f>
        <v>42058</v>
      </c>
      <c r="F32" s="37">
        <v>1.2419</v>
      </c>
      <c r="G32" s="9">
        <f>'Macao Daily'!F35</f>
        <v>5</v>
      </c>
      <c r="H32" s="37">
        <v>3.3251433251433253</v>
      </c>
      <c r="I32" s="9">
        <f>'Macao Daily'!H35</f>
        <v>10656</v>
      </c>
      <c r="J32" s="37">
        <v>0.22</v>
      </c>
      <c r="K32" s="9">
        <f>'Macao Daily'!J35</f>
        <v>266</v>
      </c>
      <c r="L32" s="37">
        <v>7.7629999999999999</v>
      </c>
      <c r="M32" s="9">
        <f>'Macao Daily'!K35</f>
        <v>236</v>
      </c>
      <c r="N32" s="9">
        <f>'Macao Daily'!L35</f>
        <v>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85" zoomScaleNormal="85" workbookViewId="0">
      <pane xSplit="1" topLeftCell="B1" activePane="topRight" state="frozen"/>
      <selection pane="topRight" activeCell="J7" sqref="J7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6" customFormat="1" ht="35.25" customHeight="1" x14ac:dyDescent="0.25">
      <c r="A4" s="22">
        <v>44926</v>
      </c>
      <c r="B4" s="38"/>
      <c r="C4" s="23">
        <v>102717171</v>
      </c>
      <c r="D4" s="24"/>
      <c r="E4" s="23">
        <v>3353</v>
      </c>
      <c r="F4" s="25"/>
      <c r="G4" s="23">
        <v>263963696</v>
      </c>
      <c r="H4" s="25"/>
      <c r="I4" s="23">
        <v>432035</v>
      </c>
      <c r="K4" s="27">
        <v>143</v>
      </c>
      <c r="L4" s="27">
        <v>277</v>
      </c>
    </row>
    <row r="5" spans="1:12" ht="33" customHeight="1" x14ac:dyDescent="0.25">
      <c r="A5" s="28">
        <v>44927</v>
      </c>
      <c r="B5" s="38"/>
      <c r="C5" s="29">
        <v>102754125</v>
      </c>
      <c r="D5" s="30">
        <f t="shared" ref="D5:D22" si="0">IF((C5-C4&lt;0), "0",C5-C4)</f>
        <v>36954</v>
      </c>
      <c r="E5" s="29">
        <v>3358</v>
      </c>
      <c r="F5" s="30">
        <f>IF((E5-E4&lt;0), "0",E5-E4)</f>
        <v>5</v>
      </c>
      <c r="G5" s="29">
        <v>263967296</v>
      </c>
      <c r="H5" s="30">
        <f>IF((G5-G4&lt;0), "0",G5-G4)</f>
        <v>3600</v>
      </c>
      <c r="I5" s="29">
        <v>432245</v>
      </c>
      <c r="J5" s="30">
        <f>IF((I5-I4&lt;0), "0",I5-I4)</f>
        <v>210</v>
      </c>
      <c r="K5" s="31">
        <v>222</v>
      </c>
      <c r="L5" s="31">
        <v>347</v>
      </c>
    </row>
    <row r="6" spans="1:12" ht="45" customHeight="1" x14ac:dyDescent="0.25">
      <c r="A6" s="28">
        <v>44928</v>
      </c>
      <c r="B6" s="38"/>
      <c r="C6" s="29">
        <v>102788617</v>
      </c>
      <c r="D6" s="30">
        <f t="shared" si="0"/>
        <v>34492</v>
      </c>
      <c r="E6" s="29">
        <v>3363</v>
      </c>
      <c r="F6" s="30">
        <f t="shared" ref="F6:F35" si="1">IF((E6-E5&lt;0), "0",E6-E5)</f>
        <v>5</v>
      </c>
      <c r="G6" s="29">
        <v>263969168</v>
      </c>
      <c r="H6" s="30">
        <f t="shared" ref="H6:H35" si="2">IF((G6-G5&lt;0), "0",G6-G5)</f>
        <v>1872</v>
      </c>
      <c r="I6" s="29">
        <v>432415</v>
      </c>
      <c r="J6" s="30">
        <f t="shared" ref="J6:J35" si="3">IF((I6-I5&lt;0), "0",I6-I5)</f>
        <v>170</v>
      </c>
      <c r="K6" s="12">
        <v>193</v>
      </c>
      <c r="L6" s="12">
        <v>371</v>
      </c>
    </row>
    <row r="7" spans="1:12" ht="45" customHeight="1" x14ac:dyDescent="0.25">
      <c r="A7" s="28">
        <v>44929</v>
      </c>
      <c r="B7" s="38"/>
      <c r="C7" s="29">
        <v>102823789</v>
      </c>
      <c r="D7" s="30">
        <f t="shared" si="0"/>
        <v>35172</v>
      </c>
      <c r="E7" s="29">
        <v>3369</v>
      </c>
      <c r="F7" s="30">
        <f t="shared" si="1"/>
        <v>6</v>
      </c>
      <c r="G7" s="29">
        <v>263976096</v>
      </c>
      <c r="H7" s="30">
        <f t="shared" si="2"/>
        <v>6928</v>
      </c>
      <c r="I7" s="29">
        <v>432603</v>
      </c>
      <c r="J7" s="30">
        <f t="shared" si="3"/>
        <v>188</v>
      </c>
      <c r="K7" s="12">
        <v>150</v>
      </c>
      <c r="L7" s="12">
        <v>288</v>
      </c>
    </row>
    <row r="8" spans="1:12" ht="45" customHeight="1" x14ac:dyDescent="0.25">
      <c r="A8" s="28">
        <v>44930</v>
      </c>
      <c r="B8" s="38"/>
      <c r="C8" s="29">
        <v>102856178</v>
      </c>
      <c r="D8" s="30">
        <f t="shared" si="0"/>
        <v>32389</v>
      </c>
      <c r="E8" s="29">
        <v>3375</v>
      </c>
      <c r="F8" s="30">
        <f t="shared" si="1"/>
        <v>6</v>
      </c>
      <c r="G8" s="29">
        <v>263980832</v>
      </c>
      <c r="H8" s="30">
        <f t="shared" si="2"/>
        <v>4736</v>
      </c>
      <c r="I8" s="29">
        <v>432757</v>
      </c>
      <c r="J8" s="30">
        <f t="shared" si="3"/>
        <v>154</v>
      </c>
      <c r="K8" s="12">
        <v>160</v>
      </c>
      <c r="L8" s="12">
        <v>234</v>
      </c>
    </row>
    <row r="9" spans="1:12" ht="45" customHeight="1" x14ac:dyDescent="0.25">
      <c r="A9" s="28">
        <v>44931</v>
      </c>
      <c r="B9" s="38"/>
      <c r="C9" s="29">
        <v>102888228</v>
      </c>
      <c r="D9" s="30">
        <f t="shared" si="0"/>
        <v>32050</v>
      </c>
      <c r="E9" s="29">
        <v>3381</v>
      </c>
      <c r="F9" s="30">
        <f t="shared" si="1"/>
        <v>6</v>
      </c>
      <c r="G9" s="29">
        <v>263990304</v>
      </c>
      <c r="H9" s="30">
        <f t="shared" si="2"/>
        <v>9472</v>
      </c>
      <c r="I9" s="29">
        <v>432931</v>
      </c>
      <c r="J9" s="30">
        <f t="shared" si="3"/>
        <v>174</v>
      </c>
      <c r="K9" s="12">
        <v>153</v>
      </c>
      <c r="L9" s="12">
        <v>293</v>
      </c>
    </row>
    <row r="10" spans="1:12" ht="45" customHeight="1" x14ac:dyDescent="0.25">
      <c r="A10" s="28">
        <v>44932</v>
      </c>
      <c r="B10" s="38"/>
      <c r="C10" s="29">
        <v>102920225</v>
      </c>
      <c r="D10" s="30">
        <f t="shared" si="0"/>
        <v>31997</v>
      </c>
      <c r="E10" s="29">
        <v>3385</v>
      </c>
      <c r="F10" s="30">
        <f t="shared" si="1"/>
        <v>4</v>
      </c>
      <c r="G10" s="29">
        <v>264007216</v>
      </c>
      <c r="H10" s="30">
        <f t="shared" si="2"/>
        <v>16912</v>
      </c>
      <c r="I10" s="29">
        <v>433095</v>
      </c>
      <c r="J10" s="30">
        <f t="shared" si="3"/>
        <v>164</v>
      </c>
      <c r="K10" s="12">
        <v>163</v>
      </c>
      <c r="L10" s="12">
        <v>233</v>
      </c>
    </row>
    <row r="11" spans="1:12" ht="45" customHeight="1" x14ac:dyDescent="0.25">
      <c r="A11" s="28">
        <v>44933</v>
      </c>
      <c r="B11" s="38"/>
      <c r="C11" s="29">
        <v>102950886</v>
      </c>
      <c r="D11" s="30">
        <f t="shared" si="0"/>
        <v>30661</v>
      </c>
      <c r="E11" s="29">
        <v>3389</v>
      </c>
      <c r="F11" s="30">
        <f t="shared" si="1"/>
        <v>4</v>
      </c>
      <c r="G11" s="29">
        <v>264022537</v>
      </c>
      <c r="H11" s="30">
        <f t="shared" si="2"/>
        <v>15321</v>
      </c>
      <c r="I11" s="29">
        <v>433303</v>
      </c>
      <c r="J11" s="30">
        <f t="shared" si="3"/>
        <v>208</v>
      </c>
      <c r="K11" s="12">
        <v>159</v>
      </c>
      <c r="L11" s="12">
        <v>257</v>
      </c>
    </row>
    <row r="12" spans="1:12" ht="45" customHeight="1" x14ac:dyDescent="0.25">
      <c r="A12" s="28">
        <v>44934</v>
      </c>
      <c r="B12" s="38"/>
      <c r="C12" s="29">
        <v>102981971</v>
      </c>
      <c r="D12" s="30">
        <f t="shared" si="0"/>
        <v>31085</v>
      </c>
      <c r="E12" s="29">
        <v>3393</v>
      </c>
      <c r="F12" s="30">
        <f t="shared" si="1"/>
        <v>4</v>
      </c>
      <c r="G12" s="29">
        <v>264037147</v>
      </c>
      <c r="H12" s="30">
        <f t="shared" si="2"/>
        <v>14610</v>
      </c>
      <c r="I12" s="29">
        <v>433491</v>
      </c>
      <c r="J12" s="30">
        <f t="shared" si="3"/>
        <v>188</v>
      </c>
      <c r="K12" s="12">
        <v>170</v>
      </c>
      <c r="L12" s="12">
        <v>288</v>
      </c>
    </row>
    <row r="13" spans="1:12" ht="45" customHeight="1" x14ac:dyDescent="0.25">
      <c r="A13" s="28">
        <v>44935</v>
      </c>
      <c r="B13" s="38"/>
      <c r="C13" s="29">
        <v>103012659</v>
      </c>
      <c r="D13" s="30">
        <f t="shared" si="0"/>
        <v>30688</v>
      </c>
      <c r="E13" s="29">
        <v>3401</v>
      </c>
      <c r="F13" s="30">
        <f t="shared" si="1"/>
        <v>8</v>
      </c>
      <c r="G13" s="29">
        <v>264050192</v>
      </c>
      <c r="H13" s="30">
        <f t="shared" si="2"/>
        <v>13045</v>
      </c>
      <c r="I13" s="29">
        <v>433672</v>
      </c>
      <c r="J13" s="30">
        <f t="shared" si="3"/>
        <v>181</v>
      </c>
      <c r="K13" s="12">
        <v>153</v>
      </c>
      <c r="L13" s="12">
        <v>318</v>
      </c>
    </row>
    <row r="14" spans="1:12" ht="45" customHeight="1" x14ac:dyDescent="0.25">
      <c r="A14" s="28">
        <v>44936</v>
      </c>
      <c r="B14" s="38"/>
      <c r="C14" s="29">
        <v>103043143</v>
      </c>
      <c r="D14" s="30">
        <f t="shared" si="0"/>
        <v>30484</v>
      </c>
      <c r="E14" s="29">
        <v>3408</v>
      </c>
      <c r="F14" s="30">
        <f t="shared" si="1"/>
        <v>7</v>
      </c>
      <c r="G14" s="29">
        <v>264063296</v>
      </c>
      <c r="H14" s="30">
        <f t="shared" si="2"/>
        <v>13104</v>
      </c>
      <c r="I14" s="29">
        <v>433822</v>
      </c>
      <c r="J14" s="30">
        <f t="shared" si="3"/>
        <v>150</v>
      </c>
      <c r="K14" s="12">
        <v>170</v>
      </c>
      <c r="L14" s="12">
        <v>282</v>
      </c>
    </row>
    <row r="15" spans="1:12" ht="45" customHeight="1" x14ac:dyDescent="0.25">
      <c r="A15" s="28">
        <v>44937</v>
      </c>
      <c r="B15" s="38"/>
      <c r="C15" s="29">
        <v>103074462</v>
      </c>
      <c r="D15" s="30">
        <f t="shared" si="0"/>
        <v>31319</v>
      </c>
      <c r="E15" s="29">
        <v>3414</v>
      </c>
      <c r="F15" s="30">
        <f t="shared" si="1"/>
        <v>6</v>
      </c>
      <c r="G15" s="29">
        <v>264075712</v>
      </c>
      <c r="H15" s="30">
        <f t="shared" si="2"/>
        <v>12416</v>
      </c>
      <c r="I15" s="29">
        <v>434012</v>
      </c>
      <c r="J15" s="30">
        <f t="shared" si="3"/>
        <v>190</v>
      </c>
      <c r="K15" s="12">
        <v>170</v>
      </c>
      <c r="L15" s="12">
        <v>229</v>
      </c>
    </row>
    <row r="16" spans="1:12" ht="45" customHeight="1" x14ac:dyDescent="0.25">
      <c r="A16" s="28">
        <v>44938</v>
      </c>
      <c r="B16" s="38"/>
      <c r="C16" s="29">
        <v>103106202</v>
      </c>
      <c r="D16" s="30">
        <f t="shared" si="0"/>
        <v>31740</v>
      </c>
      <c r="E16" s="29">
        <v>3420</v>
      </c>
      <c r="F16" s="30">
        <f t="shared" si="1"/>
        <v>6</v>
      </c>
      <c r="G16" s="29">
        <v>264091296</v>
      </c>
      <c r="H16" s="30">
        <f t="shared" si="2"/>
        <v>15584</v>
      </c>
      <c r="I16" s="29">
        <v>434222</v>
      </c>
      <c r="J16" s="30">
        <f t="shared" si="3"/>
        <v>210</v>
      </c>
      <c r="K16" s="12">
        <v>174</v>
      </c>
      <c r="L16" s="12">
        <v>328</v>
      </c>
    </row>
    <row r="17" spans="1:12" ht="45" customHeight="1" x14ac:dyDescent="0.25">
      <c r="A17" s="28">
        <v>44939</v>
      </c>
      <c r="B17" s="38"/>
      <c r="C17" s="29">
        <v>103137176</v>
      </c>
      <c r="D17" s="30">
        <f t="shared" si="0"/>
        <v>30974</v>
      </c>
      <c r="E17" s="29">
        <v>3426</v>
      </c>
      <c r="F17" s="30">
        <f t="shared" si="1"/>
        <v>6</v>
      </c>
      <c r="G17" s="29">
        <v>264118224</v>
      </c>
      <c r="H17" s="30">
        <f t="shared" si="2"/>
        <v>26928</v>
      </c>
      <c r="I17" s="29">
        <v>434390</v>
      </c>
      <c r="J17" s="30">
        <f t="shared" si="3"/>
        <v>168</v>
      </c>
      <c r="K17" s="12">
        <v>182</v>
      </c>
      <c r="L17" s="12">
        <v>307</v>
      </c>
    </row>
    <row r="18" spans="1:12" ht="45" customHeight="1" x14ac:dyDescent="0.25">
      <c r="A18" s="28">
        <v>44940</v>
      </c>
      <c r="B18" s="38"/>
      <c r="C18" s="29">
        <v>103168909</v>
      </c>
      <c r="D18" s="30">
        <f t="shared" si="0"/>
        <v>31733</v>
      </c>
      <c r="E18" s="29">
        <v>3431</v>
      </c>
      <c r="F18" s="30">
        <f t="shared" si="1"/>
        <v>5</v>
      </c>
      <c r="G18" s="29">
        <v>264163872</v>
      </c>
      <c r="H18" s="30">
        <f t="shared" si="2"/>
        <v>45648</v>
      </c>
      <c r="I18" s="29">
        <v>434561</v>
      </c>
      <c r="J18" s="30">
        <f t="shared" si="3"/>
        <v>171</v>
      </c>
      <c r="K18" s="12">
        <v>190</v>
      </c>
      <c r="L18" s="12">
        <v>312</v>
      </c>
    </row>
    <row r="19" spans="1:12" ht="45" customHeight="1" x14ac:dyDescent="0.25">
      <c r="A19" s="28">
        <v>44941</v>
      </c>
      <c r="B19" s="38"/>
      <c r="C19" s="29">
        <v>103200650</v>
      </c>
      <c r="D19" s="30">
        <f t="shared" si="0"/>
        <v>31741</v>
      </c>
      <c r="E19" s="29">
        <v>3435</v>
      </c>
      <c r="F19" s="30">
        <f t="shared" si="1"/>
        <v>4</v>
      </c>
      <c r="G19" s="29">
        <v>264207376</v>
      </c>
      <c r="H19" s="30">
        <f t="shared" si="2"/>
        <v>43504</v>
      </c>
      <c r="I19" s="29">
        <v>434748</v>
      </c>
      <c r="J19" s="30">
        <f t="shared" si="3"/>
        <v>187</v>
      </c>
      <c r="K19" s="12">
        <v>167</v>
      </c>
      <c r="L19" s="12">
        <v>315</v>
      </c>
    </row>
    <row r="20" spans="1:12" ht="45" customHeight="1" x14ac:dyDescent="0.25">
      <c r="A20" s="28">
        <v>44942</v>
      </c>
      <c r="B20" s="38"/>
      <c r="C20" s="29">
        <v>103236548</v>
      </c>
      <c r="D20" s="30">
        <f t="shared" si="0"/>
        <v>35898</v>
      </c>
      <c r="E20" s="29">
        <v>3442</v>
      </c>
      <c r="F20" s="30">
        <f t="shared" si="1"/>
        <v>7</v>
      </c>
      <c r="G20" s="29">
        <v>264211264</v>
      </c>
      <c r="H20" s="30">
        <f t="shared" si="2"/>
        <v>3888</v>
      </c>
      <c r="I20" s="29">
        <v>434955</v>
      </c>
      <c r="J20" s="30">
        <f t="shared" si="3"/>
        <v>207</v>
      </c>
      <c r="K20" s="12">
        <v>145</v>
      </c>
      <c r="L20" s="12">
        <v>251</v>
      </c>
    </row>
    <row r="21" spans="1:12" ht="45" customHeight="1" x14ac:dyDescent="0.25">
      <c r="A21" s="28">
        <v>44943</v>
      </c>
      <c r="B21" s="38"/>
      <c r="C21" s="29">
        <v>103273943</v>
      </c>
      <c r="D21" s="30">
        <f t="shared" si="0"/>
        <v>37395</v>
      </c>
      <c r="E21" s="29">
        <v>3447</v>
      </c>
      <c r="F21" s="30">
        <f t="shared" si="1"/>
        <v>5</v>
      </c>
      <c r="G21" s="29">
        <v>264211872</v>
      </c>
      <c r="H21" s="30">
        <f t="shared" si="2"/>
        <v>608</v>
      </c>
      <c r="I21" s="29">
        <v>435131</v>
      </c>
      <c r="J21" s="30">
        <f t="shared" si="3"/>
        <v>176</v>
      </c>
      <c r="K21" s="12">
        <v>148</v>
      </c>
      <c r="L21" s="12">
        <v>239</v>
      </c>
    </row>
    <row r="22" spans="1:12" ht="45" customHeight="1" x14ac:dyDescent="0.25">
      <c r="A22" s="28">
        <v>44944</v>
      </c>
      <c r="B22" s="38"/>
      <c r="C22" s="29">
        <v>103312561</v>
      </c>
      <c r="D22" s="30">
        <f t="shared" si="0"/>
        <v>38618</v>
      </c>
      <c r="E22" s="29">
        <v>3451</v>
      </c>
      <c r="F22" s="30">
        <f t="shared" si="1"/>
        <v>4</v>
      </c>
      <c r="G22" s="29">
        <v>264213648</v>
      </c>
      <c r="H22" s="30">
        <f t="shared" si="2"/>
        <v>1776</v>
      </c>
      <c r="I22" s="29">
        <v>435301</v>
      </c>
      <c r="J22" s="30">
        <f t="shared" si="3"/>
        <v>170</v>
      </c>
      <c r="K22" s="12">
        <v>127</v>
      </c>
      <c r="L22" s="12">
        <v>264</v>
      </c>
    </row>
    <row r="23" spans="1:12" ht="45" customHeight="1" x14ac:dyDescent="0.25">
      <c r="A23" s="28">
        <v>44945</v>
      </c>
      <c r="B23" s="38"/>
      <c r="C23" s="29">
        <v>103347917</v>
      </c>
      <c r="D23" s="30">
        <f>IF((C23-C22&lt;0), "0",C23-C22)</f>
        <v>35356</v>
      </c>
      <c r="E23" s="29">
        <v>3458</v>
      </c>
      <c r="F23" s="30">
        <f t="shared" si="1"/>
        <v>7</v>
      </c>
      <c r="G23" s="29">
        <v>264218144</v>
      </c>
      <c r="H23" s="30">
        <f t="shared" si="2"/>
        <v>4496</v>
      </c>
      <c r="I23" s="29">
        <v>435447</v>
      </c>
      <c r="J23" s="30">
        <f t="shared" si="3"/>
        <v>146</v>
      </c>
      <c r="K23" s="12">
        <v>124</v>
      </c>
      <c r="L23" s="12">
        <v>286</v>
      </c>
    </row>
    <row r="24" spans="1:12" ht="45" customHeight="1" x14ac:dyDescent="0.25">
      <c r="A24" s="28">
        <v>44946</v>
      </c>
      <c r="B24" s="38"/>
      <c r="C24" s="29">
        <v>103382731</v>
      </c>
      <c r="D24" s="30">
        <f t="shared" ref="D24:D35" si="4">IF((C24-C23&lt;0), "0",C24-C23)</f>
        <v>34814</v>
      </c>
      <c r="E24" s="29">
        <v>3463</v>
      </c>
      <c r="F24" s="30">
        <f t="shared" si="1"/>
        <v>5</v>
      </c>
      <c r="G24" s="29">
        <v>264223584</v>
      </c>
      <c r="H24" s="30">
        <f t="shared" si="2"/>
        <v>5440</v>
      </c>
      <c r="I24" s="29">
        <v>435621</v>
      </c>
      <c r="J24" s="30">
        <f t="shared" si="3"/>
        <v>174</v>
      </c>
      <c r="K24" s="12">
        <v>138</v>
      </c>
      <c r="L24" s="12">
        <v>202</v>
      </c>
    </row>
    <row r="25" spans="1:12" ht="45" customHeight="1" x14ac:dyDescent="0.25">
      <c r="A25" s="28">
        <v>44947</v>
      </c>
      <c r="B25" s="38"/>
      <c r="C25" s="29">
        <v>103413087</v>
      </c>
      <c r="D25" s="30">
        <f t="shared" si="4"/>
        <v>30356</v>
      </c>
      <c r="E25" s="29">
        <v>3468</v>
      </c>
      <c r="F25" s="30">
        <f t="shared" si="1"/>
        <v>5</v>
      </c>
      <c r="G25" s="29">
        <v>264232048</v>
      </c>
      <c r="H25" s="30">
        <f t="shared" si="2"/>
        <v>8464</v>
      </c>
      <c r="I25" s="29">
        <v>435791</v>
      </c>
      <c r="J25" s="30">
        <f t="shared" si="3"/>
        <v>170</v>
      </c>
      <c r="K25" s="12">
        <v>152</v>
      </c>
      <c r="L25" s="12">
        <v>229</v>
      </c>
    </row>
    <row r="26" spans="1:12" ht="45" customHeight="1" x14ac:dyDescent="0.25">
      <c r="A26" s="28">
        <v>44948</v>
      </c>
      <c r="B26" s="38"/>
      <c r="C26" s="29">
        <v>103445003</v>
      </c>
      <c r="D26" s="30">
        <f t="shared" si="4"/>
        <v>31916</v>
      </c>
      <c r="E26" s="29">
        <v>3478</v>
      </c>
      <c r="F26" s="30">
        <f t="shared" si="1"/>
        <v>10</v>
      </c>
      <c r="G26" s="29">
        <v>264241664</v>
      </c>
      <c r="H26" s="30">
        <f t="shared" si="2"/>
        <v>9616</v>
      </c>
      <c r="I26" s="29">
        <v>435983</v>
      </c>
      <c r="J26" s="30">
        <f t="shared" si="3"/>
        <v>192</v>
      </c>
      <c r="K26" s="12">
        <v>189</v>
      </c>
      <c r="L26" s="12">
        <v>320</v>
      </c>
    </row>
    <row r="27" spans="1:12" ht="45" customHeight="1" x14ac:dyDescent="0.25">
      <c r="A27" s="28">
        <v>44949</v>
      </c>
      <c r="B27" s="38"/>
      <c r="C27" s="29">
        <v>103476420</v>
      </c>
      <c r="D27" s="30">
        <f t="shared" si="4"/>
        <v>31417</v>
      </c>
      <c r="E27" s="29">
        <v>3486</v>
      </c>
      <c r="F27" s="30">
        <f t="shared" si="1"/>
        <v>8</v>
      </c>
      <c r="G27" s="29">
        <v>264259872</v>
      </c>
      <c r="H27" s="30">
        <f t="shared" si="2"/>
        <v>18208</v>
      </c>
      <c r="I27" s="29">
        <v>436179</v>
      </c>
      <c r="J27" s="30">
        <f t="shared" si="3"/>
        <v>196</v>
      </c>
      <c r="K27" s="12">
        <v>242</v>
      </c>
      <c r="L27" s="12">
        <v>438</v>
      </c>
    </row>
    <row r="28" spans="1:12" ht="45" customHeight="1" x14ac:dyDescent="0.25">
      <c r="A28" s="28">
        <v>44950</v>
      </c>
      <c r="B28" s="38"/>
      <c r="C28" s="29">
        <v>103511461</v>
      </c>
      <c r="D28" s="30">
        <f t="shared" si="4"/>
        <v>35041</v>
      </c>
      <c r="E28" s="29">
        <v>3498</v>
      </c>
      <c r="F28" s="30">
        <f t="shared" si="1"/>
        <v>12</v>
      </c>
      <c r="G28" s="29">
        <v>264273968</v>
      </c>
      <c r="H28" s="30">
        <f t="shared" si="2"/>
        <v>14096</v>
      </c>
      <c r="I28" s="29">
        <v>436453</v>
      </c>
      <c r="J28" s="30">
        <f t="shared" si="3"/>
        <v>274</v>
      </c>
      <c r="K28" s="12">
        <v>288</v>
      </c>
      <c r="L28" s="12">
        <v>491</v>
      </c>
    </row>
    <row r="29" spans="1:12" ht="45" customHeight="1" x14ac:dyDescent="0.25">
      <c r="A29" s="28">
        <v>44951</v>
      </c>
      <c r="B29" s="38"/>
      <c r="C29" s="29">
        <v>103550803</v>
      </c>
      <c r="D29" s="30">
        <f t="shared" si="4"/>
        <v>39342</v>
      </c>
      <c r="E29" s="29">
        <v>3508</v>
      </c>
      <c r="F29" s="30">
        <f t="shared" si="1"/>
        <v>10</v>
      </c>
      <c r="G29" s="29">
        <v>264279248</v>
      </c>
      <c r="H29" s="30">
        <f t="shared" si="2"/>
        <v>5280</v>
      </c>
      <c r="I29" s="29">
        <v>436804</v>
      </c>
      <c r="J29" s="30">
        <f t="shared" si="3"/>
        <v>351</v>
      </c>
      <c r="K29" s="12">
        <v>289</v>
      </c>
      <c r="L29" s="12">
        <v>509</v>
      </c>
    </row>
    <row r="30" spans="1:12" ht="45" customHeight="1" x14ac:dyDescent="0.25">
      <c r="A30" s="28">
        <v>44952</v>
      </c>
      <c r="B30" s="38"/>
      <c r="C30" s="29">
        <v>103591338</v>
      </c>
      <c r="D30" s="30">
        <f t="shared" si="4"/>
        <v>40535</v>
      </c>
      <c r="E30" s="29">
        <v>3519</v>
      </c>
      <c r="F30" s="30">
        <f t="shared" si="1"/>
        <v>11</v>
      </c>
      <c r="G30" s="29">
        <v>264283040</v>
      </c>
      <c r="H30" s="30">
        <f t="shared" si="2"/>
        <v>3792</v>
      </c>
      <c r="I30" s="29">
        <v>437106</v>
      </c>
      <c r="J30" s="30">
        <f t="shared" si="3"/>
        <v>302</v>
      </c>
      <c r="K30" s="12">
        <v>288</v>
      </c>
      <c r="L30" s="12">
        <v>545</v>
      </c>
    </row>
    <row r="31" spans="1:12" ht="45" customHeight="1" x14ac:dyDescent="0.25">
      <c r="A31" s="28">
        <v>44953</v>
      </c>
      <c r="B31" s="38"/>
      <c r="C31" s="29">
        <v>103631047</v>
      </c>
      <c r="D31" s="30">
        <f t="shared" si="4"/>
        <v>39709</v>
      </c>
      <c r="E31" s="29">
        <v>3531</v>
      </c>
      <c r="F31" s="30">
        <f t="shared" si="1"/>
        <v>12</v>
      </c>
      <c r="G31" s="29">
        <v>264288576</v>
      </c>
      <c r="H31" s="30">
        <f t="shared" si="2"/>
        <v>5536</v>
      </c>
      <c r="I31" s="29">
        <v>437404</v>
      </c>
      <c r="J31" s="30">
        <f t="shared" si="3"/>
        <v>298</v>
      </c>
      <c r="K31" s="12">
        <v>282</v>
      </c>
      <c r="L31" s="12">
        <v>520</v>
      </c>
    </row>
    <row r="32" spans="1:12" ht="45" customHeight="1" x14ac:dyDescent="0.25">
      <c r="A32" s="28">
        <v>44954</v>
      </c>
      <c r="B32" s="38"/>
      <c r="C32" s="29">
        <v>103672134</v>
      </c>
      <c r="D32" s="30">
        <f t="shared" si="4"/>
        <v>41087</v>
      </c>
      <c r="E32" s="29">
        <v>3541</v>
      </c>
      <c r="F32" s="30">
        <f t="shared" si="1"/>
        <v>10</v>
      </c>
      <c r="G32" s="29">
        <v>264291712</v>
      </c>
      <c r="H32" s="30">
        <f t="shared" si="2"/>
        <v>3136</v>
      </c>
      <c r="I32" s="29">
        <v>437717</v>
      </c>
      <c r="J32" s="30">
        <f t="shared" si="3"/>
        <v>313</v>
      </c>
      <c r="K32" s="12">
        <v>281</v>
      </c>
      <c r="L32" s="12">
        <v>458</v>
      </c>
    </row>
    <row r="33" spans="1:12" ht="36" customHeight="1" x14ac:dyDescent="0.25">
      <c r="A33" s="28">
        <v>44955</v>
      </c>
      <c r="C33" s="29">
        <v>103713874</v>
      </c>
      <c r="D33" s="30">
        <f t="shared" si="4"/>
        <v>41740</v>
      </c>
      <c r="E33" s="29">
        <v>3552</v>
      </c>
      <c r="F33" s="30">
        <f t="shared" si="1"/>
        <v>11</v>
      </c>
      <c r="G33" s="29">
        <v>264294432</v>
      </c>
      <c r="H33" s="30">
        <f t="shared" si="2"/>
        <v>2720</v>
      </c>
      <c r="I33" s="29">
        <v>437999</v>
      </c>
      <c r="J33" s="30">
        <f t="shared" si="3"/>
        <v>282</v>
      </c>
      <c r="K33" s="12">
        <v>258</v>
      </c>
      <c r="L33" s="12">
        <v>452</v>
      </c>
    </row>
    <row r="34" spans="1:12" ht="45.6" customHeight="1" x14ac:dyDescent="0.25">
      <c r="A34" s="28">
        <v>44956</v>
      </c>
      <c r="C34" s="29">
        <v>103753095</v>
      </c>
      <c r="D34" s="30">
        <f t="shared" si="4"/>
        <v>39221</v>
      </c>
      <c r="E34" s="29">
        <v>3562</v>
      </c>
      <c r="F34" s="30">
        <f t="shared" si="1"/>
        <v>10</v>
      </c>
      <c r="G34" s="29">
        <v>264298512</v>
      </c>
      <c r="H34" s="30">
        <f t="shared" si="2"/>
        <v>4080</v>
      </c>
      <c r="I34" s="29">
        <v>438245</v>
      </c>
      <c r="J34" s="30">
        <f t="shared" si="3"/>
        <v>246</v>
      </c>
      <c r="K34" s="12">
        <v>249</v>
      </c>
      <c r="L34" s="12">
        <v>343</v>
      </c>
    </row>
    <row r="35" spans="1:12" ht="47.45" customHeight="1" x14ac:dyDescent="0.25">
      <c r="A35" s="28">
        <v>44957</v>
      </c>
      <c r="C35" s="29">
        <v>103795153</v>
      </c>
      <c r="D35" s="30">
        <f t="shared" si="4"/>
        <v>42058</v>
      </c>
      <c r="E35" s="29">
        <v>3567</v>
      </c>
      <c r="F35" s="30">
        <f t="shared" si="1"/>
        <v>5</v>
      </c>
      <c r="G35" s="29">
        <v>264309168</v>
      </c>
      <c r="H35" s="30">
        <f t="shared" si="2"/>
        <v>10656</v>
      </c>
      <c r="I35" s="29">
        <v>438511</v>
      </c>
      <c r="J35" s="30">
        <f t="shared" si="3"/>
        <v>266</v>
      </c>
      <c r="K35" s="12">
        <v>236</v>
      </c>
      <c r="L35" s="12">
        <v>371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2023-02-20T06:34:50Z</dcterms:modified>
  <cp:category/>
  <cp:contentStatus/>
</cp:coreProperties>
</file>