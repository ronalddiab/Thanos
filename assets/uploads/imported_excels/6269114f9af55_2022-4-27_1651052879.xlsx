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V:\ENGINEERING\DEWA-ENERGY-DTCM-HLP\HLP Readings 2016,2017 &amp; 2018\Utilities-HEP\"/>
    </mc:Choice>
  </mc:AlternateContent>
  <bookViews>
    <workbookView xWindow="0" yWindow="0" windowWidth="28800" windowHeight="12435"/>
  </bookViews>
  <sheets>
    <sheet name="Total Daily " sheetId="3" r:id="rId1"/>
    <sheet name="Submetering Daily " sheetId="2" r:id="rId2"/>
    <sheet name="04 - 2022" sheetId="5" r:id="rId3"/>
  </sheets>
  <definedNames>
    <definedName name="_xlnm.Print_Area" localSheetId="2">'04 - 2022'!$A$1:$J$35</definedName>
  </definedNames>
  <calcPr calcId="162913"/>
</workbook>
</file>

<file path=xl/calcChain.xml><?xml version="1.0" encoding="utf-8"?>
<calcChain xmlns="http://schemas.openxmlformats.org/spreadsheetml/2006/main">
  <c r="L28" i="3" l="1"/>
  <c r="K28" i="3"/>
  <c r="I28" i="3"/>
  <c r="G28" i="3"/>
  <c r="E28" i="3"/>
  <c r="J28" i="2"/>
  <c r="I28" i="2"/>
  <c r="H28" i="2"/>
  <c r="F28" i="2"/>
  <c r="E28" i="2"/>
  <c r="L25" i="3" l="1"/>
  <c r="K25" i="3"/>
  <c r="I25" i="3"/>
  <c r="G25" i="3"/>
  <c r="E25" i="3"/>
  <c r="J25" i="2"/>
  <c r="I25" i="2"/>
  <c r="H25" i="2"/>
  <c r="F25" i="2"/>
  <c r="E25" i="2"/>
  <c r="L24" i="3" l="1"/>
  <c r="K24" i="3"/>
  <c r="I24" i="3"/>
  <c r="G24" i="3"/>
  <c r="E24" i="3"/>
  <c r="J24" i="2"/>
  <c r="I24" i="2"/>
  <c r="H24" i="2"/>
  <c r="F24" i="2"/>
  <c r="E24" i="2"/>
  <c r="L23" i="3" l="1"/>
  <c r="K23" i="3"/>
  <c r="I23" i="3"/>
  <c r="G23" i="3"/>
  <c r="E23" i="3"/>
  <c r="L22" i="3"/>
  <c r="K22" i="3"/>
  <c r="I22" i="3"/>
  <c r="G22" i="3"/>
  <c r="E22" i="3"/>
  <c r="J23" i="2"/>
  <c r="I23" i="2"/>
  <c r="H23" i="2"/>
  <c r="F23" i="2"/>
  <c r="E23" i="2"/>
  <c r="J22" i="2" l="1"/>
  <c r="I22" i="2"/>
  <c r="H22" i="2"/>
  <c r="F22" i="2"/>
  <c r="E22" i="2"/>
  <c r="L21" i="3" l="1"/>
  <c r="K21" i="3"/>
  <c r="I21" i="3"/>
  <c r="G21" i="3"/>
  <c r="E21" i="3"/>
  <c r="J21" i="2"/>
  <c r="I21" i="2"/>
  <c r="H21" i="2"/>
  <c r="F21" i="2"/>
  <c r="E21" i="2"/>
  <c r="L18" i="3" l="1"/>
  <c r="K18" i="3"/>
  <c r="I18" i="3"/>
  <c r="G18" i="3"/>
  <c r="E18" i="3"/>
  <c r="J18" i="2"/>
  <c r="I18" i="2"/>
  <c r="H18" i="2"/>
  <c r="F18" i="2"/>
  <c r="E18" i="2"/>
  <c r="L17" i="3" l="1"/>
  <c r="K17" i="3"/>
  <c r="I17" i="3"/>
  <c r="G17" i="3"/>
  <c r="E17" i="3"/>
  <c r="J17" i="2"/>
  <c r="I17" i="2"/>
  <c r="H17" i="2"/>
  <c r="F17" i="2"/>
  <c r="E17" i="2"/>
  <c r="L16" i="3" l="1"/>
  <c r="K16" i="3"/>
  <c r="I16" i="3"/>
  <c r="G16" i="3"/>
  <c r="E16" i="3"/>
  <c r="J16" i="2"/>
  <c r="I16" i="2"/>
  <c r="H16" i="2"/>
  <c r="F16" i="2"/>
  <c r="E16" i="2"/>
  <c r="L15" i="3" l="1"/>
  <c r="K15" i="3"/>
  <c r="I15" i="3"/>
  <c r="G15" i="3"/>
  <c r="E15" i="3"/>
  <c r="J15" i="2"/>
  <c r="I15" i="2"/>
  <c r="H15" i="2"/>
  <c r="F15" i="2"/>
  <c r="E15" i="2"/>
  <c r="L14" i="3" l="1"/>
  <c r="K14" i="3"/>
  <c r="I14" i="3"/>
  <c r="G14" i="3"/>
  <c r="E14" i="3"/>
  <c r="J14" i="2"/>
  <c r="I14" i="2"/>
  <c r="H14" i="2"/>
  <c r="F14" i="2"/>
  <c r="E14" i="2"/>
  <c r="J13" i="2" l="1"/>
  <c r="I13" i="2"/>
  <c r="H13" i="2"/>
  <c r="F13" i="2"/>
  <c r="E13" i="2"/>
  <c r="J12" i="2"/>
  <c r="I12" i="2"/>
  <c r="H12" i="2"/>
  <c r="F12" i="2"/>
  <c r="E12" i="2"/>
  <c r="J11" i="2"/>
  <c r="I11" i="2"/>
  <c r="H11" i="2"/>
  <c r="F11" i="2"/>
  <c r="E11" i="2"/>
  <c r="L13" i="3"/>
  <c r="K13" i="3"/>
  <c r="I13" i="3"/>
  <c r="G13" i="3"/>
  <c r="E13" i="3"/>
  <c r="L12" i="3"/>
  <c r="K12" i="3"/>
  <c r="I12" i="3"/>
  <c r="G12" i="3"/>
  <c r="E12" i="3"/>
  <c r="L11" i="3"/>
  <c r="K11" i="3"/>
  <c r="I11" i="3"/>
  <c r="G11" i="3"/>
  <c r="E11" i="3"/>
  <c r="L10" i="3" l="1"/>
  <c r="K10" i="3"/>
  <c r="I10" i="3"/>
  <c r="G10" i="3"/>
  <c r="E10" i="3"/>
  <c r="J10" i="2"/>
  <c r="I10" i="2"/>
  <c r="H10" i="2"/>
  <c r="F10" i="2"/>
  <c r="E10" i="2"/>
  <c r="L9" i="3" l="1"/>
  <c r="K9" i="3"/>
  <c r="I9" i="3"/>
  <c r="G9" i="3"/>
  <c r="E9" i="3"/>
  <c r="J9" i="2"/>
  <c r="I9" i="2"/>
  <c r="H9" i="2"/>
  <c r="F9" i="2"/>
  <c r="E9" i="2"/>
  <c r="L8" i="3" l="1"/>
  <c r="K8" i="3"/>
  <c r="I8" i="3"/>
  <c r="G8" i="3"/>
  <c r="E8" i="3"/>
  <c r="J8" i="2"/>
  <c r="I8" i="2"/>
  <c r="H8" i="2"/>
  <c r="F8" i="2"/>
  <c r="E8" i="2"/>
  <c r="L7" i="3" l="1"/>
  <c r="K7" i="3"/>
  <c r="I7" i="3"/>
  <c r="G7" i="3"/>
  <c r="E7" i="3"/>
  <c r="J7" i="2"/>
  <c r="I7" i="2"/>
  <c r="H7" i="2"/>
  <c r="F7" i="2"/>
  <c r="E7" i="2"/>
  <c r="L6" i="3" l="1"/>
  <c r="K6" i="3"/>
  <c r="I6" i="3"/>
  <c r="G6" i="3"/>
  <c r="E6" i="3"/>
  <c r="J6" i="2"/>
  <c r="I6" i="2"/>
  <c r="H6" i="2"/>
  <c r="F6" i="2"/>
  <c r="E6" i="2"/>
  <c r="L3" i="3" l="1"/>
  <c r="K3" i="3"/>
  <c r="I3" i="3"/>
  <c r="G3" i="3"/>
  <c r="E3" i="3"/>
  <c r="J3" i="2"/>
  <c r="I3" i="2"/>
  <c r="H3" i="2"/>
  <c r="F3" i="2"/>
  <c r="E3" i="2"/>
  <c r="K38" i="5" l="1"/>
  <c r="J38" i="5"/>
  <c r="I38" i="5"/>
  <c r="I39" i="5" s="1"/>
  <c r="H38" i="5"/>
  <c r="H39" i="5" s="1"/>
  <c r="G38" i="5"/>
  <c r="F38" i="5"/>
  <c r="E38" i="5"/>
  <c r="D38" i="5"/>
  <c r="C38" i="5"/>
  <c r="B38" i="5"/>
  <c r="A8" i="5"/>
  <c r="A9" i="5" s="1"/>
  <c r="A10" i="5" s="1"/>
  <c r="A11" i="5" s="1"/>
  <c r="A12" i="5" s="1"/>
  <c r="A13" i="5" s="1"/>
  <c r="A14" i="5" s="1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L31" i="3" l="1"/>
  <c r="K31" i="3"/>
  <c r="I31" i="3"/>
  <c r="G31" i="3"/>
  <c r="E31" i="3"/>
  <c r="J31" i="2"/>
  <c r="I31" i="2"/>
  <c r="H31" i="2"/>
  <c r="F31" i="2"/>
  <c r="E31" i="2"/>
  <c r="L27" i="3" l="1"/>
  <c r="K27" i="3"/>
  <c r="I27" i="3"/>
  <c r="G27" i="3"/>
  <c r="E27" i="3"/>
  <c r="J27" i="2"/>
  <c r="I27" i="2"/>
  <c r="H27" i="2"/>
  <c r="F27" i="2"/>
  <c r="E27" i="2"/>
  <c r="L26" i="3" l="1"/>
  <c r="K26" i="3"/>
  <c r="I26" i="3"/>
  <c r="G26" i="3"/>
  <c r="E26" i="3"/>
  <c r="J26" i="2"/>
  <c r="I26" i="2"/>
  <c r="H26" i="2"/>
  <c r="F26" i="2"/>
  <c r="E26" i="2"/>
  <c r="L20" i="3" l="1"/>
  <c r="K20" i="3"/>
  <c r="I20" i="3"/>
  <c r="G20" i="3"/>
  <c r="E20" i="3"/>
  <c r="J20" i="2"/>
  <c r="I20" i="2"/>
  <c r="H20" i="2"/>
  <c r="F20" i="2"/>
  <c r="E20" i="2"/>
  <c r="L19" i="3" l="1"/>
  <c r="K19" i="3"/>
  <c r="I19" i="3"/>
  <c r="G19" i="3"/>
  <c r="E19" i="3"/>
  <c r="J19" i="2"/>
  <c r="I19" i="2"/>
  <c r="H19" i="2"/>
  <c r="F19" i="2"/>
  <c r="E19" i="2"/>
  <c r="L5" i="3" l="1"/>
  <c r="K5" i="3"/>
  <c r="I5" i="3"/>
  <c r="G5" i="3"/>
  <c r="E5" i="3"/>
  <c r="J5" i="2"/>
  <c r="I5" i="2"/>
  <c r="H5" i="2"/>
  <c r="F5" i="2"/>
  <c r="E5" i="2"/>
  <c r="L4" i="3" l="1"/>
  <c r="K4" i="3"/>
  <c r="I4" i="3"/>
  <c r="G4" i="3"/>
  <c r="E4" i="3"/>
  <c r="J4" i="2"/>
  <c r="I4" i="2"/>
  <c r="H4" i="2"/>
  <c r="F4" i="2"/>
  <c r="E4" i="2"/>
  <c r="I40" i="5" l="1"/>
  <c r="H40" i="5"/>
  <c r="L2" i="3" l="1"/>
  <c r="K2" i="3"/>
  <c r="I2" i="3"/>
  <c r="G2" i="3"/>
  <c r="E2" i="3"/>
  <c r="J2" i="2"/>
  <c r="I2" i="2"/>
  <c r="H2" i="2"/>
  <c r="F2" i="2"/>
  <c r="E2" i="2"/>
  <c r="B3" i="2" l="1"/>
  <c r="B4" i="2" s="1"/>
  <c r="B5" i="2" s="1"/>
  <c r="B6" i="2" s="1"/>
  <c r="B7" i="2" s="1"/>
  <c r="B8" i="2" s="1"/>
  <c r="B9" i="2" s="1"/>
  <c r="B10" i="2" s="1"/>
  <c r="B11" i="2" s="1"/>
  <c r="B12" i="2" s="1"/>
  <c r="B13" i="2" s="1"/>
  <c r="B14" i="2" s="1"/>
  <c r="B15" i="2" s="1"/>
  <c r="B16" i="2" s="1"/>
  <c r="B17" i="2" s="1"/>
  <c r="B18" i="2" s="1"/>
  <c r="B19" i="2" s="1"/>
  <c r="B20" i="2" s="1"/>
  <c r="B21" i="2" s="1"/>
  <c r="B22" i="2" s="1"/>
  <c r="B23" i="2" s="1"/>
  <c r="B24" i="2" s="1"/>
  <c r="B25" i="2" s="1"/>
  <c r="B26" i="2" s="1"/>
  <c r="B27" i="2" s="1"/>
  <c r="B28" i="2" s="1"/>
  <c r="B29" i="2" s="1"/>
  <c r="B30" i="2" s="1"/>
  <c r="B31" i="2" s="1"/>
  <c r="B3" i="3"/>
  <c r="B4" i="3" s="1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</calcChain>
</file>

<file path=xl/sharedStrings.xml><?xml version="1.0" encoding="utf-8"?>
<sst xmlns="http://schemas.openxmlformats.org/spreadsheetml/2006/main" count="105" uniqueCount="38">
  <si>
    <t>LPG (cu.m)</t>
  </si>
  <si>
    <t>Water (cu.m)</t>
  </si>
  <si>
    <t>BTU</t>
  </si>
  <si>
    <t>Date</t>
  </si>
  <si>
    <t>Main Meter %</t>
  </si>
  <si>
    <t>Main Kitchen</t>
  </si>
  <si>
    <t>Podium Kitchen</t>
  </si>
  <si>
    <t>Boiler</t>
  </si>
  <si>
    <t xml:space="preserve">Chilled Water (KWH)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</si>
  <si>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</si>
  <si>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</si>
  <si>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</si>
  <si>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</si>
  <si>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</si>
  <si>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</si>
  <si>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</si>
  <si>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</si>
  <si>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District Energy Cooling Kwh</t>
  </si>
  <si>
    <t>District Energy Cooling $/Kwh</t>
  </si>
  <si>
    <t>Water Utility Supply (m3) m3</t>
  </si>
  <si>
    <t>Water Utility Supply (m3) $/m3</t>
  </si>
  <si>
    <t xml:space="preserve">Room Nights </t>
  </si>
  <si>
    <t>Panel LV1  Kwh</t>
  </si>
  <si>
    <t>Panel LV2 Kwh</t>
  </si>
  <si>
    <t>Main Kitchen LPG (Kg)</t>
  </si>
  <si>
    <t>Podium Kitchen LPG (Kg)</t>
  </si>
  <si>
    <t>Boiler LPG (Kg)</t>
  </si>
  <si>
    <t>Dubai DIFC</t>
  </si>
  <si>
    <t>B-3 Water Meter (DIFC)</t>
  </si>
  <si>
    <t>MainWater Meter (DEWA)</t>
  </si>
  <si>
    <t xml:space="preserve">FOUR SEASONS HOTEL - DIFC </t>
  </si>
  <si>
    <t>Gas Received (Litres)</t>
  </si>
  <si>
    <t>Remark</t>
  </si>
  <si>
    <t xml:space="preserve">LV-01,  2025952759 </t>
  </si>
  <si>
    <t>LV-2, 2030235407</t>
  </si>
  <si>
    <t>Readings</t>
  </si>
  <si>
    <t>Electricity</t>
  </si>
  <si>
    <t>HLP READING MONTH OF APRIL'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</si>
</sst>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[$-409]d\-mmm\-yy;@"/>
    <numFmt numFmtId="165" formatCode="0.000%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05">
    <xf numFmtId="0" fontId="0" fillId="0" borderId="0" xfId="0"/>
    <xf numFmtId="2" fontId="0" fillId="0" borderId="0" xfId="0" applyNumberFormat="1"/>
    <xf numFmtId="0" fontId="0" fillId="0" borderId="0" xfId="0" applyFont="1" applyAlignment="1">
      <alignment wrapText="1"/>
    </xf>
    <xf numFmtId="1" fontId="0" fillId="0" borderId="0" xfId="0" applyNumberFormat="1" applyFont="1" applyAlignment="1">
      <alignment wrapText="1"/>
    </xf>
    <xf numFmtId="1" fontId="0" fillId="0" borderId="0" xfId="0" applyNumberFormat="1"/>
    <xf numFmtId="2" fontId="0" fillId="0" borderId="0" xfId="0" applyNumberFormat="1" applyFont="1" applyAlignment="1">
      <alignment wrapText="1"/>
    </xf>
    <xf numFmtId="0" fontId="2" fillId="0" borderId="0" xfId="0" applyFont="1"/>
    <xf numFmtId="0" fontId="2" fillId="0" borderId="0" xfId="0" applyFont="1" applyBorder="1"/>
    <xf numFmtId="1" fontId="2" fillId="0" borderId="0" xfId="0" applyNumberFormat="1" applyFont="1" applyBorder="1" applyAlignment="1">
      <alignment wrapText="1"/>
    </xf>
    <xf numFmtId="0" fontId="2" fillId="0" borderId="0" xfId="0" applyFont="1" applyBorder="1" applyAlignment="1">
      <alignment wrapText="1"/>
    </xf>
    <xf numFmtId="1" fontId="1" fillId="0" borderId="0" xfId="1" applyNumberFormat="1" applyFont="1" applyBorder="1" applyAlignment="1">
      <alignment horizontal="center"/>
    </xf>
    <xf numFmtId="1" fontId="0" fillId="0" borderId="0" xfId="0" applyNumberFormat="1" applyBorder="1"/>
    <xf numFmtId="0" fontId="0" fillId="0" borderId="0" xfId="0" applyAlignment="1">
      <alignment horizontal="center"/>
    </xf>
    <xf numFmtId="1" fontId="3" fillId="0" borderId="0" xfId="0" applyNumberFormat="1" applyFont="1" applyAlignment="1">
      <alignment horizontal="center"/>
    </xf>
    <xf numFmtId="0" fontId="0" fillId="0" borderId="0" xfId="0"/>
    <xf numFmtId="2" fontId="0" fillId="0" borderId="0" xfId="0" applyNumberFormat="1"/>
    <xf numFmtId="1" fontId="0" fillId="0" borderId="0" xfId="0" applyNumberFormat="1"/>
    <xf numFmtId="1" fontId="0" fillId="0" borderId="0" xfId="0" applyNumberFormat="1" applyAlignment="1">
      <alignment horizontal="center"/>
    </xf>
    <xf numFmtId="1" fontId="7" fillId="0" borderId="0" xfId="1" applyNumberFormat="1" applyFont="1" applyBorder="1" applyAlignment="1">
      <alignment horizontal="right"/>
    </xf>
    <xf numFmtId="1" fontId="0" fillId="0" borderId="0" xfId="0" applyNumberFormat="1" applyAlignment="1">
      <alignment horizontal="right"/>
    </xf>
    <xf numFmtId="0" fontId="0" fillId="0" borderId="0" xfId="0" applyAlignment="1">
      <alignment horizontal="right"/>
    </xf>
    <xf numFmtId="0" fontId="0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5" fontId="0" fillId="0" borderId="0" xfId="1" applyNumberFormat="1" applyFont="1"/>
    <xf numFmtId="10" fontId="0" fillId="0" borderId="0" xfId="1" applyNumberFormat="1" applyFont="1"/>
    <xf numFmtId="43" fontId="5" fillId="0" borderId="1" xfId="2" applyFont="1" applyFill="1" applyBorder="1" applyAlignment="1">
      <alignment horizontal="center" vertical="center"/>
    </xf>
    <xf numFmtId="1" fontId="7" fillId="0" borderId="0" xfId="0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 applyBorder="1" applyAlignment="1">
      <alignment horizontal="center"/>
    </xf>
    <xf numFmtId="1" fontId="5" fillId="0" borderId="0" xfId="0" applyNumberFormat="1" applyFont="1" applyBorder="1" applyAlignment="1">
      <alignment horizontal="center" vertical="center"/>
    </xf>
    <xf numFmtId="1" fontId="7" fillId="0" borderId="0" xfId="0" applyNumberFormat="1" applyFont="1" applyBorder="1" applyAlignment="1">
      <alignment horizontal="center"/>
    </xf>
    <xf numFmtId="1" fontId="7" fillId="0" borderId="0" xfId="0" applyNumberFormat="1" applyFont="1" applyFill="1" applyBorder="1" applyAlignment="1">
      <alignment horizontal="center"/>
    </xf>
    <xf numFmtId="0" fontId="7" fillId="0" borderId="0" xfId="0" applyFont="1"/>
    <xf numFmtId="43" fontId="4" fillId="0" borderId="1" xfId="2" applyFont="1" applyBorder="1" applyAlignment="1">
      <alignment horizontal="center"/>
    </xf>
    <xf numFmtId="43" fontId="4" fillId="0" borderId="1" xfId="2" applyFont="1" applyFill="1" applyBorder="1" applyAlignment="1">
      <alignment horizontal="center" vertical="center"/>
    </xf>
    <xf numFmtId="43" fontId="4" fillId="0" borderId="1" xfId="2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2" borderId="0" xfId="0" applyFill="1"/>
    <xf numFmtId="0" fontId="0" fillId="2" borderId="0" xfId="0" applyFill="1" applyAlignment="1"/>
    <xf numFmtId="0" fontId="2" fillId="3" borderId="4" xfId="0" applyFont="1" applyFill="1" applyBorder="1" applyAlignment="1">
      <alignment horizontal="center" vertical="center" wrapText="1"/>
    </xf>
    <xf numFmtId="164" fontId="5" fillId="0" borderId="5" xfId="0" applyNumberFormat="1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0" borderId="0" xfId="0" applyFont="1" applyAlignment="1">
      <alignment horizontal="center"/>
    </xf>
    <xf numFmtId="1" fontId="10" fillId="0" borderId="0" xfId="0" applyNumberFormat="1" applyFont="1" applyAlignment="1">
      <alignment horizontal="center"/>
    </xf>
    <xf numFmtId="43" fontId="4" fillId="0" borderId="1" xfId="2" applyFont="1" applyBorder="1" applyAlignment="1">
      <alignment horizontal="center" vertical="top"/>
    </xf>
    <xf numFmtId="43" fontId="5" fillId="0" borderId="1" xfId="2" applyFont="1" applyBorder="1" applyAlignment="1" applyProtection="1">
      <alignment horizontal="center" vertical="center"/>
      <protection locked="0"/>
    </xf>
    <xf numFmtId="43" fontId="5" fillId="0" borderId="1" xfId="2" applyFont="1" applyFill="1" applyBorder="1" applyAlignment="1" applyProtection="1">
      <alignment horizontal="center" vertical="center"/>
      <protection locked="0"/>
    </xf>
    <xf numFmtId="43" fontId="5" fillId="0" borderId="1" xfId="2" applyFont="1" applyBorder="1" applyAlignment="1" applyProtection="1">
      <alignment horizontal="center"/>
      <protection locked="0"/>
    </xf>
    <xf numFmtId="43" fontId="5" fillId="2" borderId="1" xfId="2" applyFont="1" applyFill="1" applyBorder="1" applyAlignment="1" applyProtection="1">
      <alignment horizontal="center" vertical="center"/>
      <protection locked="0"/>
    </xf>
    <xf numFmtId="43" fontId="4" fillId="0" borderId="6" xfId="2" applyFont="1" applyBorder="1" applyAlignment="1">
      <alignment horizontal="center" vertical="center"/>
    </xf>
    <xf numFmtId="43" fontId="4" fillId="2" borderId="6" xfId="2" applyFont="1" applyFill="1" applyBorder="1" applyAlignment="1">
      <alignment horizontal="center" vertical="center"/>
    </xf>
    <xf numFmtId="43" fontId="4" fillId="0" borderId="6" xfId="2" applyFont="1" applyFill="1" applyBorder="1" applyAlignment="1">
      <alignment horizontal="center" vertical="center"/>
    </xf>
    <xf numFmtId="43" fontId="6" fillId="0" borderId="1" xfId="2" applyFont="1" applyFill="1" applyBorder="1" applyAlignment="1">
      <alignment horizontal="center" vertical="center"/>
    </xf>
    <xf numFmtId="43" fontId="4" fillId="2" borderId="1" xfId="2" applyFont="1" applyFill="1" applyBorder="1" applyAlignment="1">
      <alignment horizontal="center" vertical="center"/>
    </xf>
    <xf numFmtId="43" fontId="5" fillId="0" borderId="8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 vertical="center"/>
    </xf>
    <xf numFmtId="43" fontId="5" fillId="0" borderId="9" xfId="2" applyFont="1" applyFill="1" applyBorder="1" applyAlignment="1">
      <alignment horizontal="center" vertical="center"/>
    </xf>
    <xf numFmtId="9" fontId="4" fillId="0" borderId="1" xfId="0" applyNumberFormat="1" applyFont="1" applyBorder="1" applyAlignment="1">
      <alignment horizontal="center"/>
    </xf>
    <xf numFmtId="43" fontId="6" fillId="0" borderId="1" xfId="2" applyFont="1" applyFill="1" applyBorder="1" applyAlignment="1" applyProtection="1">
      <alignment horizontal="center" vertical="center"/>
      <protection locked="0"/>
    </xf>
    <xf numFmtId="43" fontId="6" fillId="0" borderId="6" xfId="2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/>
    </xf>
    <xf numFmtId="9" fontId="4" fillId="0" borderId="6" xfId="0" applyNumberFormat="1" applyFont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 wrapText="1"/>
    </xf>
    <xf numFmtId="0" fontId="2" fillId="3" borderId="13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 vertical="center"/>
    </xf>
    <xf numFmtId="164" fontId="5" fillId="0" borderId="18" xfId="0" applyNumberFormat="1" applyFont="1" applyBorder="1" applyAlignment="1">
      <alignment horizontal="center"/>
    </xf>
    <xf numFmtId="43" fontId="4" fillId="0" borderId="19" xfId="2" applyFont="1" applyBorder="1" applyAlignment="1">
      <alignment horizontal="center" vertical="center"/>
    </xf>
    <xf numFmtId="43" fontId="4" fillId="2" borderId="19" xfId="2" applyFont="1" applyFill="1" applyBorder="1" applyAlignment="1">
      <alignment horizontal="center" vertical="center"/>
    </xf>
    <xf numFmtId="9" fontId="4" fillId="0" borderId="19" xfId="0" applyNumberFormat="1" applyFont="1" applyBorder="1" applyAlignment="1">
      <alignment horizontal="center" vertical="center"/>
    </xf>
    <xf numFmtId="43" fontId="6" fillId="0" borderId="19" xfId="2" applyFont="1" applyFill="1" applyBorder="1" applyAlignment="1">
      <alignment horizontal="center" vertical="center"/>
    </xf>
    <xf numFmtId="43" fontId="4" fillId="0" borderId="19" xfId="2" applyFont="1" applyFill="1" applyBorder="1" applyAlignment="1">
      <alignment horizontal="center" vertical="center"/>
    </xf>
    <xf numFmtId="0" fontId="4" fillId="0" borderId="20" xfId="0" applyFont="1" applyBorder="1" applyAlignment="1">
      <alignment horizontal="center"/>
    </xf>
    <xf numFmtId="43" fontId="4" fillId="0" borderId="21" xfId="0" applyNumberFormat="1" applyFont="1" applyBorder="1" applyAlignment="1">
      <alignment horizontal="center" wrapText="1"/>
    </xf>
    <xf numFmtId="164" fontId="5" fillId="0" borderId="22" xfId="0" applyNumberFormat="1" applyFont="1" applyBorder="1" applyAlignment="1">
      <alignment horizontal="center"/>
    </xf>
    <xf numFmtId="43" fontId="4" fillId="0" borderId="8" xfId="2" applyFont="1" applyBorder="1" applyAlignment="1">
      <alignment horizontal="center"/>
    </xf>
    <xf numFmtId="9" fontId="4" fillId="0" borderId="8" xfId="0" applyNumberFormat="1" applyFont="1" applyBorder="1" applyAlignment="1">
      <alignment horizontal="center" vertical="center"/>
    </xf>
    <xf numFmtId="43" fontId="6" fillId="0" borderId="8" xfId="2" applyFont="1" applyFill="1" applyBorder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1" fontId="4" fillId="0" borderId="0" xfId="0" applyNumberFormat="1" applyFont="1" applyAlignment="1">
      <alignment horizontal="center"/>
    </xf>
    <xf numFmtId="0" fontId="4" fillId="0" borderId="10" xfId="0" applyFont="1" applyBorder="1" applyAlignment="1">
      <alignment horizontal="center"/>
    </xf>
    <xf numFmtId="43" fontId="6" fillId="0" borderId="1" xfId="2" applyFont="1" applyBorder="1" applyAlignment="1">
      <alignment horizontal="center"/>
    </xf>
    <xf numFmtId="43" fontId="4" fillId="0" borderId="0" xfId="2" applyFont="1" applyBorder="1" applyAlignment="1">
      <alignment horizontal="center"/>
    </xf>
    <xf numFmtId="0" fontId="4" fillId="0" borderId="10" xfId="0" applyFont="1" applyBorder="1" applyAlignment="1">
      <alignment horizontal="center" wrapText="1"/>
    </xf>
    <xf numFmtId="1" fontId="4" fillId="0" borderId="10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5" fillId="0" borderId="25" xfId="0" applyNumberFormat="1" applyFont="1" applyBorder="1" applyAlignment="1">
      <alignment horizontal="center"/>
    </xf>
    <xf numFmtId="0" fontId="4" fillId="0" borderId="26" xfId="0" applyFont="1" applyBorder="1" applyAlignment="1">
      <alignment horizontal="center"/>
    </xf>
    <xf numFmtId="43" fontId="4" fillId="0" borderId="27" xfId="2" applyFont="1" applyBorder="1" applyAlignment="1">
      <alignment horizontal="center" vertical="center"/>
    </xf>
    <xf numFmtId="9" fontId="4" fillId="0" borderId="27" xfId="0" applyNumberFormat="1" applyFont="1" applyBorder="1" applyAlignment="1">
      <alignment horizontal="center" vertical="center"/>
    </xf>
    <xf numFmtId="43" fontId="6" fillId="0" borderId="27" xfId="2" applyFont="1" applyFill="1" applyBorder="1" applyAlignment="1">
      <alignment horizontal="center" vertical="center"/>
    </xf>
    <xf numFmtId="43" fontId="5" fillId="0" borderId="27" xfId="2" applyFont="1" applyFill="1" applyBorder="1" applyAlignment="1">
      <alignment horizontal="center" vertical="center"/>
    </xf>
    <xf numFmtId="43" fontId="4" fillId="0" borderId="27" xfId="2" applyFont="1" applyFill="1" applyBorder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3" borderId="11" xfId="0" applyFont="1" applyFill="1" applyBorder="1" applyAlignment="1">
      <alignment horizontal="center"/>
    </xf>
    <xf numFmtId="0" fontId="9" fillId="3" borderId="12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14" xfId="0" applyFont="1" applyFill="1" applyBorder="1" applyAlignment="1">
      <alignment horizontal="center"/>
    </xf>
    <xf numFmtId="0" fontId="9" fillId="3" borderId="15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1"/>
  <sheetViews>
    <sheetView tabSelected="1" topLeftCell="A4" workbookViewId="0">
      <selection activeCell="L33" sqref="L33"/>
    </sheetView>
  </sheetViews>
  <sheetFormatPr defaultColWidth="11.5703125" defaultRowHeight="15" x14ac:dyDescent="0.25"/>
  <cols>
    <col min="4" max="4" width="13.42578125" customWidth="1"/>
    <col min="5" max="5" width="12.5703125" style="4" customWidth="1"/>
    <col min="6" max="6" width="12.5703125" customWidth="1"/>
    <col min="7" max="7" width="11.5703125" style="4"/>
    <col min="9" max="9" width="11.5703125" style="4"/>
    <col min="13" max="13" width="11.5703125" style="1"/>
    <col min="14" max="14" width="11.5703125" style="20"/>
    <col min="251" max="251" width="13.42578125" customWidth="1"/>
    <col min="252" max="253" width="12.5703125" customWidth="1"/>
  </cols>
  <sheetData>
    <row r="1" spans="1:21" ht="60" x14ac:dyDescent="0.25">
      <c r="A1" t="s">
        <v>9</v>
      </c>
      <c r="B1" t="s">
        <v>10</v>
      </c>
      <c r="C1" t="s">
        <v>11</v>
      </c>
      <c r="D1" t="s">
        <v>12</v>
      </c>
      <c r="E1" s="3" t="s">
        <v>13</v>
      </c>
      <c r="F1" s="2" t="s">
        <v>14</v>
      </c>
      <c r="G1" s="3" t="s">
        <v>15</v>
      </c>
      <c r="H1" s="2" t="s">
        <v>16</v>
      </c>
      <c r="I1" s="3" t="s">
        <v>17</v>
      </c>
      <c r="J1" s="2" t="s">
        <v>18</v>
      </c>
      <c r="K1" s="22" t="s">
        <v>19</v>
      </c>
      <c r="L1" s="2" t="s">
        <v>19</v>
      </c>
      <c r="M1" s="5" t="s">
        <v>20</v>
      </c>
      <c r="N1" s="21" t="s">
        <v>21</v>
      </c>
      <c r="O1" s="2"/>
    </row>
    <row r="2" spans="1:21" x14ac:dyDescent="0.25">
      <c r="A2" t="s">
        <v>27</v>
      </c>
      <c r="B2">
        <v>1</v>
      </c>
      <c r="C2" s="14">
        <v>4</v>
      </c>
      <c r="D2" s="14">
        <v>2022</v>
      </c>
      <c r="E2" s="16">
        <f>'04 - 2022'!B8-'04 - 2022'!B7+'04 - 2022'!C8-'04 - 2022'!C7</f>
        <v>9518</v>
      </c>
      <c r="F2" s="14">
        <v>0.11799999999999999</v>
      </c>
      <c r="G2" s="16">
        <f>'04 - 2022'!D8-'04 - 2022'!D7+'04 - 2022'!E8-'04 - 2022'!E7</f>
        <v>25.989999999999952</v>
      </c>
      <c r="H2" s="14">
        <v>0.99</v>
      </c>
      <c r="I2" s="16">
        <f>'04 - 2022'!J8-'04 - 2022'!J7</f>
        <v>20469</v>
      </c>
      <c r="J2" s="14">
        <v>8.1000000000000003E-2</v>
      </c>
      <c r="K2" s="23">
        <f>'04 - 2022'!H8-'04 - 2022'!H7</f>
        <v>0</v>
      </c>
      <c r="L2" s="16">
        <f>'04 - 2022'!I8-'04 - 2022'!I7</f>
        <v>128</v>
      </c>
      <c r="M2" s="15">
        <v>4.393629424766913</v>
      </c>
      <c r="N2" s="16">
        <v>104</v>
      </c>
    </row>
    <row r="3" spans="1:21" x14ac:dyDescent="0.25">
      <c r="A3" t="s">
        <v>27</v>
      </c>
      <c r="B3">
        <f>B2+1</f>
        <v>2</v>
      </c>
      <c r="C3" s="14">
        <v>4</v>
      </c>
      <c r="D3" s="14">
        <v>2022</v>
      </c>
      <c r="E3" s="16">
        <f>'04 - 2022'!B9-'04 - 2022'!B8+'04 - 2022'!C9-'04 - 2022'!C8</f>
        <v>9642</v>
      </c>
      <c r="F3" s="14">
        <v>0.11799999999999999</v>
      </c>
      <c r="G3" s="16">
        <f>'04 - 2022'!D9-'04 - 2022'!D8+'04 - 2022'!E9-'04 - 2022'!E8</f>
        <v>24.360000000000014</v>
      </c>
      <c r="H3" s="14">
        <v>0.99</v>
      </c>
      <c r="I3" s="16">
        <f>'04 - 2022'!J9-'04 - 2022'!J8</f>
        <v>19426</v>
      </c>
      <c r="J3" s="14">
        <v>8.1000000000000003E-2</v>
      </c>
      <c r="K3" s="23">
        <f>'04 - 2022'!H9-'04 - 2022'!H8</f>
        <v>0</v>
      </c>
      <c r="L3" s="16">
        <f>'04 - 2022'!I9-'04 - 2022'!I8</f>
        <v>118</v>
      </c>
      <c r="M3" s="15">
        <v>4.393629424766913</v>
      </c>
      <c r="N3" s="18">
        <v>67</v>
      </c>
    </row>
    <row r="4" spans="1:21" x14ac:dyDescent="0.25">
      <c r="A4" t="s">
        <v>27</v>
      </c>
      <c r="B4">
        <f t="shared" ref="B4:B31" si="0">B3+1</f>
        <v>3</v>
      </c>
      <c r="C4" s="14">
        <v>4</v>
      </c>
      <c r="D4" s="14">
        <v>2022</v>
      </c>
      <c r="E4" s="16">
        <f>'04 - 2022'!B10-'04 - 2022'!B9+'04 - 2022'!C10-'04 - 2022'!C9</f>
        <v>9080</v>
      </c>
      <c r="F4" s="14">
        <v>0.11799999999999999</v>
      </c>
      <c r="G4" s="16">
        <f>'04 - 2022'!D10-'04 - 2022'!D9+'04 - 2022'!E10-'04 - 2022'!E9</f>
        <v>26.139999999999986</v>
      </c>
      <c r="H4" s="14">
        <v>0.99</v>
      </c>
      <c r="I4" s="16">
        <f>'04 - 2022'!J10-'04 - 2022'!J9</f>
        <v>20339</v>
      </c>
      <c r="J4" s="14">
        <v>8.1000000000000003E-2</v>
      </c>
      <c r="K4" s="23">
        <f>'04 - 2022'!H10-'04 - 2022'!H9</f>
        <v>0</v>
      </c>
      <c r="L4" s="16">
        <f>'04 - 2022'!I10-'04 - 2022'!I9</f>
        <v>106</v>
      </c>
      <c r="M4" s="15">
        <v>4.393629424766913</v>
      </c>
      <c r="N4" s="18">
        <v>56</v>
      </c>
    </row>
    <row r="5" spans="1:21" x14ac:dyDescent="0.25">
      <c r="A5" t="s">
        <v>27</v>
      </c>
      <c r="B5">
        <f t="shared" si="0"/>
        <v>4</v>
      </c>
      <c r="C5" s="14">
        <v>4</v>
      </c>
      <c r="D5" s="14">
        <v>2022</v>
      </c>
      <c r="E5" s="16">
        <f>'04 - 2022'!B11-'04 - 2022'!B10+'04 - 2022'!C11-'04 - 2022'!C10</f>
        <v>8991</v>
      </c>
      <c r="F5" s="14">
        <v>0.11799999999999999</v>
      </c>
      <c r="G5" s="16">
        <f>'04 - 2022'!D11-'04 - 2022'!D10+'04 - 2022'!E11-'04 - 2022'!E10</f>
        <v>18.470000000000027</v>
      </c>
      <c r="H5" s="14">
        <v>0.99</v>
      </c>
      <c r="I5" s="16">
        <f>'04 - 2022'!J11-'04 - 2022'!J10</f>
        <v>19754</v>
      </c>
      <c r="J5" s="14">
        <v>8.1000000000000003E-2</v>
      </c>
      <c r="K5" s="23">
        <f>'04 - 2022'!H11-'04 - 2022'!H10</f>
        <v>0</v>
      </c>
      <c r="L5" s="16">
        <f>'04 - 2022'!I11-'04 - 2022'!I10</f>
        <v>84</v>
      </c>
      <c r="M5" s="15">
        <v>4.393629424766913</v>
      </c>
      <c r="N5" s="18">
        <v>48</v>
      </c>
      <c r="R5" s="14"/>
    </row>
    <row r="6" spans="1:21" x14ac:dyDescent="0.25">
      <c r="A6" t="s">
        <v>27</v>
      </c>
      <c r="B6">
        <f t="shared" si="0"/>
        <v>5</v>
      </c>
      <c r="C6" s="14">
        <v>4</v>
      </c>
      <c r="D6" s="14">
        <v>2022</v>
      </c>
      <c r="E6" s="16">
        <f>'04 - 2022'!B12-'04 - 2022'!B11+'04 - 2022'!C12-'04 - 2022'!C11</f>
        <v>8716</v>
      </c>
      <c r="F6" s="14">
        <v>0.11799999999999999</v>
      </c>
      <c r="G6" s="16">
        <f>'04 - 2022'!D12-'04 - 2022'!D11+'04 - 2022'!E12-'04 - 2022'!E11</f>
        <v>20.439999999999998</v>
      </c>
      <c r="H6" s="14">
        <v>0.99</v>
      </c>
      <c r="I6" s="16">
        <f>'04 - 2022'!J12-'04 - 2022'!J11</f>
        <v>19035</v>
      </c>
      <c r="J6" s="14">
        <v>8.1000000000000003E-2</v>
      </c>
      <c r="K6" s="23">
        <f>'04 - 2022'!H12-'04 - 2022'!H11</f>
        <v>0</v>
      </c>
      <c r="L6" s="16">
        <f>'04 - 2022'!I12-'04 - 2022'!I11</f>
        <v>93</v>
      </c>
      <c r="M6" s="15">
        <v>4.393629424766913</v>
      </c>
      <c r="N6" s="18">
        <v>41</v>
      </c>
    </row>
    <row r="7" spans="1:21" x14ac:dyDescent="0.25">
      <c r="A7" t="s">
        <v>27</v>
      </c>
      <c r="B7">
        <f t="shared" si="0"/>
        <v>6</v>
      </c>
      <c r="C7" s="14">
        <v>4</v>
      </c>
      <c r="D7" s="14">
        <v>2022</v>
      </c>
      <c r="E7" s="16">
        <f>'04 - 2022'!B13-'04 - 2022'!B12+'04 - 2022'!C13-'04 - 2022'!C12</f>
        <v>8837</v>
      </c>
      <c r="F7" s="14">
        <v>0.11799999999999999</v>
      </c>
      <c r="G7" s="16">
        <f>'04 - 2022'!D13-'04 - 2022'!D12+'04 - 2022'!E13-'04 - 2022'!E12</f>
        <v>23.249999999999943</v>
      </c>
      <c r="H7" s="14">
        <v>0.99</v>
      </c>
      <c r="I7" s="16">
        <f>'04 - 2022'!J13-'04 - 2022'!J12</f>
        <v>19936</v>
      </c>
      <c r="J7" s="14">
        <v>8.1000000000000003E-2</v>
      </c>
      <c r="K7" s="23">
        <f>'04 - 2022'!H13-'04 - 2022'!H12</f>
        <v>0</v>
      </c>
      <c r="L7" s="16">
        <f>'04 - 2022'!I13-'04 - 2022'!I12</f>
        <v>102</v>
      </c>
      <c r="M7" s="15">
        <v>4.393629424766913</v>
      </c>
      <c r="N7" s="18">
        <v>40</v>
      </c>
    </row>
    <row r="8" spans="1:21" x14ac:dyDescent="0.25">
      <c r="A8" t="s">
        <v>27</v>
      </c>
      <c r="B8">
        <f t="shared" si="0"/>
        <v>7</v>
      </c>
      <c r="C8" s="14">
        <v>4</v>
      </c>
      <c r="D8" s="14">
        <v>2022</v>
      </c>
      <c r="E8" s="16">
        <f>'04 - 2022'!B14-'04 - 2022'!B13+'04 - 2022'!C14-'04 - 2022'!C13</f>
        <v>8748</v>
      </c>
      <c r="F8" s="14">
        <v>0.11799999999999999</v>
      </c>
      <c r="G8" s="16">
        <f>'04 - 2022'!D14-'04 - 2022'!D13+'04 - 2022'!E14-'04 - 2022'!E13</f>
        <v>21.639999999999986</v>
      </c>
      <c r="H8" s="14">
        <v>0.99</v>
      </c>
      <c r="I8" s="16">
        <f>'04 - 2022'!J14-'04 - 2022'!J13</f>
        <v>19437</v>
      </c>
      <c r="J8" s="14">
        <v>8.1000000000000003E-2</v>
      </c>
      <c r="K8" s="23">
        <f>'04 - 2022'!H14-'04 - 2022'!H13</f>
        <v>0</v>
      </c>
      <c r="L8" s="16">
        <f>'04 - 2022'!I14-'04 - 2022'!I13</f>
        <v>64</v>
      </c>
      <c r="M8" s="15">
        <v>4.393629424766913</v>
      </c>
      <c r="N8" s="18">
        <v>48</v>
      </c>
      <c r="O8" s="16"/>
    </row>
    <row r="9" spans="1:21" x14ac:dyDescent="0.25">
      <c r="A9" t="s">
        <v>27</v>
      </c>
      <c r="B9">
        <f t="shared" si="0"/>
        <v>8</v>
      </c>
      <c r="C9" s="14">
        <v>4</v>
      </c>
      <c r="D9" s="14">
        <v>2022</v>
      </c>
      <c r="E9" s="16">
        <f>'04 - 2022'!B15-'04 - 2022'!B14+'04 - 2022'!C15-'04 - 2022'!C14</f>
        <v>8990</v>
      </c>
      <c r="F9" s="14">
        <v>0.11799999999999999</v>
      </c>
      <c r="G9" s="16">
        <f>'04 - 2022'!D15-'04 - 2022'!D14+'04 - 2022'!E15-'04 - 2022'!E14</f>
        <v>21.549999999999955</v>
      </c>
      <c r="H9" s="14">
        <v>0.99</v>
      </c>
      <c r="I9" s="16">
        <f>'04 - 2022'!J15-'04 - 2022'!J14</f>
        <v>19524</v>
      </c>
      <c r="J9" s="14">
        <v>8.1000000000000003E-2</v>
      </c>
      <c r="K9" s="23">
        <f>'04 - 2022'!H15-'04 - 2022'!H14</f>
        <v>0</v>
      </c>
      <c r="L9" s="16">
        <f>'04 - 2022'!I15-'04 - 2022'!I14</f>
        <v>89</v>
      </c>
      <c r="M9" s="15">
        <v>4.393629424766913</v>
      </c>
      <c r="N9" s="18">
        <v>53</v>
      </c>
    </row>
    <row r="10" spans="1:21" x14ac:dyDescent="0.25">
      <c r="A10" t="s">
        <v>27</v>
      </c>
      <c r="B10">
        <f t="shared" si="0"/>
        <v>9</v>
      </c>
      <c r="C10" s="14">
        <v>4</v>
      </c>
      <c r="D10" s="14">
        <v>2022</v>
      </c>
      <c r="E10" s="16">
        <f>'04 - 2022'!B16-'04 - 2022'!B15+'04 - 2022'!C16-'04 - 2022'!C15</f>
        <v>9331</v>
      </c>
      <c r="F10" s="14">
        <v>0.11799999999999999</v>
      </c>
      <c r="G10" s="16">
        <f>'04 - 2022'!D16-'04 - 2022'!D15+'04 - 2022'!E16-'04 - 2022'!E15</f>
        <v>22.589999999999918</v>
      </c>
      <c r="H10" s="14">
        <v>0.99</v>
      </c>
      <c r="I10" s="16">
        <f>'04 - 2022'!J16-'04 - 2022'!J15</f>
        <v>20303</v>
      </c>
      <c r="J10" s="14">
        <v>8.1000000000000003E-2</v>
      </c>
      <c r="K10" s="23">
        <f>'04 - 2022'!H16-'04 - 2022'!H15</f>
        <v>0</v>
      </c>
      <c r="L10" s="16">
        <f>'04 - 2022'!I16-'04 - 2022'!I15</f>
        <v>96</v>
      </c>
      <c r="M10" s="15">
        <v>4.393629424766913</v>
      </c>
      <c r="N10" s="18">
        <v>53</v>
      </c>
    </row>
    <row r="11" spans="1:21" x14ac:dyDescent="0.25">
      <c r="A11" t="s">
        <v>27</v>
      </c>
      <c r="B11">
        <f t="shared" si="0"/>
        <v>10</v>
      </c>
      <c r="C11" s="14">
        <v>4</v>
      </c>
      <c r="D11" s="14">
        <v>2022</v>
      </c>
      <c r="E11" s="16">
        <f>'04 - 2022'!B17-'04 - 2022'!B16+'04 - 2022'!C17-'04 - 2022'!C16</f>
        <v>8695</v>
      </c>
      <c r="F11" s="14">
        <v>0.11799999999999999</v>
      </c>
      <c r="G11" s="16">
        <f>'04 - 2022'!D17-'04 - 2022'!D16+'04 - 2022'!E17-'04 - 2022'!E16</f>
        <v>20.669999999999959</v>
      </c>
      <c r="H11" s="14">
        <v>0.99</v>
      </c>
      <c r="I11" s="16">
        <f>'04 - 2022'!J17-'04 - 2022'!J16</f>
        <v>18936</v>
      </c>
      <c r="J11" s="14">
        <v>8.1000000000000003E-2</v>
      </c>
      <c r="K11" s="23">
        <f>'04 - 2022'!H17-'04 - 2022'!H16</f>
        <v>0</v>
      </c>
      <c r="L11" s="16">
        <f>'04 - 2022'!I17-'04 - 2022'!I16</f>
        <v>94</v>
      </c>
      <c r="M11" s="15">
        <v>4.393629424766913</v>
      </c>
      <c r="N11" s="18">
        <v>41</v>
      </c>
    </row>
    <row r="12" spans="1:21" x14ac:dyDescent="0.25">
      <c r="A12" t="s">
        <v>27</v>
      </c>
      <c r="B12">
        <f t="shared" si="0"/>
        <v>11</v>
      </c>
      <c r="C12" s="14">
        <v>4</v>
      </c>
      <c r="D12" s="14">
        <v>2022</v>
      </c>
      <c r="E12" s="16">
        <f>'04 - 2022'!B18-'04 - 2022'!B17+'04 - 2022'!C18-'04 - 2022'!C17</f>
        <v>8636</v>
      </c>
      <c r="F12" s="14">
        <v>0.11799999999999999</v>
      </c>
      <c r="G12" s="16">
        <f>'04 - 2022'!D18-'04 - 2022'!D17+'04 - 2022'!E18-'04 - 2022'!E17</f>
        <v>22.589999999999918</v>
      </c>
      <c r="H12" s="14">
        <v>0.99</v>
      </c>
      <c r="I12" s="16">
        <f>'04 - 2022'!J18-'04 - 2022'!J17</f>
        <v>19206</v>
      </c>
      <c r="J12" s="14">
        <v>8.1000000000000003E-2</v>
      </c>
      <c r="K12" s="23">
        <f>'04 - 2022'!H18-'04 - 2022'!H17</f>
        <v>0</v>
      </c>
      <c r="L12" s="16">
        <f>'04 - 2022'!I18-'04 - 2022'!I17</f>
        <v>82</v>
      </c>
      <c r="M12" s="15">
        <v>4.393629424766913</v>
      </c>
      <c r="N12" s="16">
        <v>57</v>
      </c>
    </row>
    <row r="13" spans="1:21" x14ac:dyDescent="0.25">
      <c r="A13" t="s">
        <v>27</v>
      </c>
      <c r="B13">
        <f t="shared" si="0"/>
        <v>12</v>
      </c>
      <c r="C13" s="14">
        <v>4</v>
      </c>
      <c r="D13" s="14">
        <v>2022</v>
      </c>
      <c r="E13" s="16">
        <f>'04 - 2022'!B19-'04 - 2022'!B18+'04 - 2022'!C19-'04 - 2022'!C18</f>
        <v>8817</v>
      </c>
      <c r="F13" s="14">
        <v>0.11799999999999999</v>
      </c>
      <c r="G13" s="16">
        <f>'04 - 2022'!D19-'04 - 2022'!D18+'04 - 2022'!E19-'04 - 2022'!E18</f>
        <v>22.129999999999995</v>
      </c>
      <c r="H13" s="14">
        <v>0.99</v>
      </c>
      <c r="I13" s="16">
        <f>'04 - 2022'!J19-'04 - 2022'!J18</f>
        <v>20966</v>
      </c>
      <c r="J13" s="14">
        <v>8.1000000000000003E-2</v>
      </c>
      <c r="K13" s="23">
        <f>'04 - 2022'!H19-'04 - 2022'!H18</f>
        <v>0</v>
      </c>
      <c r="L13" s="16">
        <f>'04 - 2022'!I19-'04 - 2022'!I18</f>
        <v>102</v>
      </c>
      <c r="M13" s="15">
        <v>4.393629424766913</v>
      </c>
      <c r="N13" s="16">
        <v>68</v>
      </c>
    </row>
    <row r="14" spans="1:21" x14ac:dyDescent="0.25">
      <c r="A14" t="s">
        <v>27</v>
      </c>
      <c r="B14">
        <f t="shared" si="0"/>
        <v>13</v>
      </c>
      <c r="C14" s="14">
        <v>4</v>
      </c>
      <c r="D14" s="14">
        <v>2022</v>
      </c>
      <c r="E14" s="16">
        <f>'04 - 2022'!B20-'04 - 2022'!B19+'04 - 2022'!C20-'04 - 2022'!C19</f>
        <v>8785</v>
      </c>
      <c r="F14" s="14">
        <v>0.11799999999999999</v>
      </c>
      <c r="G14" s="16">
        <f>'04 - 2022'!D20-'04 - 2022'!D19+'04 - 2022'!E20-'04 - 2022'!E19</f>
        <v>19.399999999999977</v>
      </c>
      <c r="H14" s="14">
        <v>0.99</v>
      </c>
      <c r="I14" s="16">
        <f>'04 - 2022'!J20-'04 - 2022'!J19</f>
        <v>20936</v>
      </c>
      <c r="J14" s="14">
        <v>8.1000000000000003E-2</v>
      </c>
      <c r="K14" s="23">
        <f>'04 - 2022'!H20-'04 - 2022'!H19</f>
        <v>0</v>
      </c>
      <c r="L14" s="16">
        <f>'04 - 2022'!I20-'04 - 2022'!I19</f>
        <v>107</v>
      </c>
      <c r="M14" s="15">
        <v>4.393629424766913</v>
      </c>
      <c r="N14" s="16">
        <v>73</v>
      </c>
      <c r="O14" s="16"/>
    </row>
    <row r="15" spans="1:21" x14ac:dyDescent="0.25">
      <c r="A15" t="s">
        <v>27</v>
      </c>
      <c r="B15">
        <f t="shared" si="0"/>
        <v>14</v>
      </c>
      <c r="C15" s="14">
        <v>4</v>
      </c>
      <c r="D15" s="14">
        <v>2022</v>
      </c>
      <c r="E15" s="16">
        <f>'04 - 2022'!B21-'04 - 2022'!B20+'04 - 2022'!C21-'04 - 2022'!C20</f>
        <v>9012</v>
      </c>
      <c r="F15" s="14">
        <v>0.11799999999999999</v>
      </c>
      <c r="G15" s="16">
        <f>'04 - 2022'!D21-'04 - 2022'!D20+'04 - 2022'!E21-'04 - 2022'!E20</f>
        <v>21.539999999999964</v>
      </c>
      <c r="H15" s="14">
        <v>0.99</v>
      </c>
      <c r="I15" s="16">
        <f>'04 - 2022'!J21-'04 - 2022'!J20</f>
        <v>20280</v>
      </c>
      <c r="J15" s="14">
        <v>8.1000000000000003E-2</v>
      </c>
      <c r="K15" s="23">
        <f>'04 - 2022'!H21-'04 - 2022'!H20</f>
        <v>0</v>
      </c>
      <c r="L15" s="16">
        <f>'04 - 2022'!I21-'04 - 2022'!I20</f>
        <v>97</v>
      </c>
      <c r="M15" s="15">
        <v>4.393629424766913</v>
      </c>
      <c r="N15" s="16">
        <v>66</v>
      </c>
      <c r="R15" s="14"/>
    </row>
    <row r="16" spans="1:21" x14ac:dyDescent="0.25">
      <c r="A16" t="s">
        <v>27</v>
      </c>
      <c r="B16">
        <f t="shared" si="0"/>
        <v>15</v>
      </c>
      <c r="C16" s="14">
        <v>4</v>
      </c>
      <c r="D16" s="14">
        <v>2022</v>
      </c>
      <c r="E16" s="16">
        <f>'04 - 2022'!B22-'04 - 2022'!B21+'04 - 2022'!C22-'04 - 2022'!C21</f>
        <v>8904</v>
      </c>
      <c r="F16" s="14">
        <v>0.11799999999999999</v>
      </c>
      <c r="G16" s="16">
        <f>'04 - 2022'!D22-'04 - 2022'!D21+'04 - 2022'!E22-'04 - 2022'!E21</f>
        <v>21.319999999999936</v>
      </c>
      <c r="H16" s="14">
        <v>0.99</v>
      </c>
      <c r="I16" s="16">
        <f>'04 - 2022'!J22-'04 - 2022'!J21</f>
        <v>21743</v>
      </c>
      <c r="J16" s="14">
        <v>8.1000000000000003E-2</v>
      </c>
      <c r="K16" s="23">
        <f>'04 - 2022'!H22-'04 - 2022'!H21</f>
        <v>0</v>
      </c>
      <c r="L16" s="16">
        <f>'04 - 2022'!I22-'04 - 2022'!I21</f>
        <v>103</v>
      </c>
      <c r="M16" s="15">
        <v>4.393629424766913</v>
      </c>
      <c r="N16" s="16">
        <v>67</v>
      </c>
      <c r="U16" s="14"/>
    </row>
    <row r="17" spans="1:17" x14ac:dyDescent="0.25">
      <c r="A17" t="s">
        <v>27</v>
      </c>
      <c r="B17">
        <f t="shared" si="0"/>
        <v>16</v>
      </c>
      <c r="C17" s="14">
        <v>4</v>
      </c>
      <c r="D17" s="14">
        <v>2022</v>
      </c>
      <c r="E17" s="16">
        <f>'04 - 2022'!B23-'04 - 2022'!B22+'04 - 2022'!C23-'04 - 2022'!C22</f>
        <v>9491</v>
      </c>
      <c r="F17" s="14">
        <v>0.11799999999999999</v>
      </c>
      <c r="G17" s="16">
        <f>'04 - 2022'!D23-'04 - 2022'!D22+'04 - 2022'!E23-'04 - 2022'!E22</f>
        <v>27.830000000000041</v>
      </c>
      <c r="H17" s="14">
        <v>0.99</v>
      </c>
      <c r="I17" s="16">
        <f>'04 - 2022'!J23-'04 - 2022'!J22</f>
        <v>23328</v>
      </c>
      <c r="J17" s="14">
        <v>8.1000000000000003E-2</v>
      </c>
      <c r="K17" s="23">
        <f>'04 - 2022'!H23-'04 - 2022'!H22</f>
        <v>0</v>
      </c>
      <c r="L17" s="16">
        <f>'04 - 2022'!I23-'04 - 2022'!I22</f>
        <v>115</v>
      </c>
      <c r="M17" s="15">
        <v>4.393629424766913</v>
      </c>
      <c r="N17" s="16">
        <v>67</v>
      </c>
      <c r="O17" s="14"/>
    </row>
    <row r="18" spans="1:17" x14ac:dyDescent="0.25">
      <c r="A18" t="s">
        <v>27</v>
      </c>
      <c r="B18">
        <f t="shared" si="0"/>
        <v>17</v>
      </c>
      <c r="C18" s="14">
        <v>4</v>
      </c>
      <c r="D18" s="14">
        <v>2022</v>
      </c>
      <c r="E18" s="16">
        <f>'04 - 2022'!B24-'04 - 2022'!B23+'04 - 2022'!C24-'04 - 2022'!C23</f>
        <v>9002</v>
      </c>
      <c r="F18" s="14">
        <v>0.11799999999999999</v>
      </c>
      <c r="G18" s="16">
        <f>'04 - 2022'!D24-'04 - 2022'!D23+'04 - 2022'!E24-'04 - 2022'!E23</f>
        <v>23.789999999999964</v>
      </c>
      <c r="H18" s="14">
        <v>0.99</v>
      </c>
      <c r="I18" s="16">
        <f>'04 - 2022'!J24-'04 - 2022'!J23</f>
        <v>24011</v>
      </c>
      <c r="J18" s="14">
        <v>8.1000000000000003E-2</v>
      </c>
      <c r="K18" s="23">
        <f>'04 - 2022'!H24-'04 - 2022'!H23</f>
        <v>0</v>
      </c>
      <c r="L18" s="16">
        <f>'04 - 2022'!I24-'04 - 2022'!I23</f>
        <v>94</v>
      </c>
      <c r="M18" s="15">
        <v>4.393629424766913</v>
      </c>
      <c r="N18" s="16">
        <v>71</v>
      </c>
      <c r="Q18" s="14"/>
    </row>
    <row r="19" spans="1:17" x14ac:dyDescent="0.25">
      <c r="A19" t="s">
        <v>27</v>
      </c>
      <c r="B19">
        <f>B18+1</f>
        <v>18</v>
      </c>
      <c r="C19" s="14">
        <v>4</v>
      </c>
      <c r="D19" s="14">
        <v>2022</v>
      </c>
      <c r="E19" s="16">
        <f>'04 - 2022'!B25-'04 - 2022'!B24+'04 - 2022'!C25-'04 - 2022'!C24</f>
        <v>9001</v>
      </c>
      <c r="F19" s="14">
        <v>0.11799999999999999</v>
      </c>
      <c r="G19" s="16">
        <f>'04 - 2022'!D25-'04 - 2022'!D24+'04 - 2022'!E25-'04 - 2022'!E24</f>
        <v>23.659999999999854</v>
      </c>
      <c r="H19" s="14">
        <v>0.99</v>
      </c>
      <c r="I19" s="16">
        <f>'04 - 2022'!J25-'04 - 2022'!J24</f>
        <v>23711</v>
      </c>
      <c r="J19" s="14">
        <v>8.1000000000000003E-2</v>
      </c>
      <c r="K19" s="23">
        <f>'04 - 2022'!H25-'04 - 2022'!H24</f>
        <v>0</v>
      </c>
      <c r="L19" s="16">
        <f>'04 - 2022'!I25-'04 - 2022'!I24</f>
        <v>101</v>
      </c>
      <c r="M19" s="15">
        <v>4.393629424766913</v>
      </c>
      <c r="N19" s="16">
        <v>56</v>
      </c>
    </row>
    <row r="20" spans="1:17" x14ac:dyDescent="0.25">
      <c r="A20" t="s">
        <v>27</v>
      </c>
      <c r="B20">
        <f t="shared" si="0"/>
        <v>19</v>
      </c>
      <c r="C20" s="14">
        <v>4</v>
      </c>
      <c r="D20" s="14">
        <v>2022</v>
      </c>
      <c r="E20" s="16">
        <f>'04 - 2022'!B26-'04 - 2022'!B25+'04 - 2022'!C26-'04 - 2022'!C25</f>
        <v>9143</v>
      </c>
      <c r="F20" s="14">
        <v>0.11799999999999999</v>
      </c>
      <c r="G20" s="16">
        <f>'04 - 2022'!D26-'04 - 2022'!D25+'04 - 2022'!E26-'04 - 2022'!E25</f>
        <v>22.730000000000132</v>
      </c>
      <c r="H20" s="14">
        <v>0.99</v>
      </c>
      <c r="I20" s="16">
        <f>'04 - 2022'!J26-'04 - 2022'!J25</f>
        <v>19855</v>
      </c>
      <c r="J20" s="14">
        <v>8.1000000000000003E-2</v>
      </c>
      <c r="K20" s="23">
        <f>'04 - 2022'!H26-'04 - 2022'!H25</f>
        <v>0</v>
      </c>
      <c r="L20" s="16">
        <f>'04 - 2022'!I26-'04 - 2022'!I25</f>
        <v>96</v>
      </c>
      <c r="M20" s="15">
        <v>4.393629424766913</v>
      </c>
      <c r="N20" s="16">
        <v>72</v>
      </c>
    </row>
    <row r="21" spans="1:17" x14ac:dyDescent="0.25">
      <c r="A21" t="s">
        <v>27</v>
      </c>
      <c r="B21">
        <f t="shared" si="0"/>
        <v>20</v>
      </c>
      <c r="C21" s="14">
        <v>4</v>
      </c>
      <c r="D21" s="14">
        <v>2022</v>
      </c>
      <c r="E21" s="16">
        <f>'04 - 2022'!B27-'04 - 2022'!B26+'04 - 2022'!C27-'04 - 2022'!C26</f>
        <v>8874</v>
      </c>
      <c r="F21" s="14">
        <v>0.11799999999999999</v>
      </c>
      <c r="G21" s="16">
        <f>'04 - 2022'!D27-'04 - 2022'!D26+'04 - 2022'!E27-'04 - 2022'!E26</f>
        <v>22.059999999999945</v>
      </c>
      <c r="H21" s="14">
        <v>0.99</v>
      </c>
      <c r="I21" s="16">
        <f>'04 - 2022'!J27-'04 - 2022'!J26</f>
        <v>18960</v>
      </c>
      <c r="J21" s="14">
        <v>8.1000000000000003E-2</v>
      </c>
      <c r="K21" s="23">
        <f>'04 - 2022'!H27-'04 - 2022'!H26</f>
        <v>0</v>
      </c>
      <c r="L21" s="16">
        <f>'04 - 2022'!I27-'04 - 2022'!I26</f>
        <v>105</v>
      </c>
      <c r="M21" s="15">
        <v>4.393629424766913</v>
      </c>
      <c r="N21" s="16">
        <v>72</v>
      </c>
    </row>
    <row r="22" spans="1:17" x14ac:dyDescent="0.25">
      <c r="A22" t="s">
        <v>27</v>
      </c>
      <c r="B22">
        <f t="shared" si="0"/>
        <v>21</v>
      </c>
      <c r="C22" s="14">
        <v>4</v>
      </c>
      <c r="D22" s="14">
        <v>2022</v>
      </c>
      <c r="E22" s="16">
        <f>'04 - 2022'!B28-'04 - 2022'!B27+'04 - 2022'!C28-'04 - 2022'!C27</f>
        <v>9031</v>
      </c>
      <c r="F22" s="14">
        <v>0.11799999999999999</v>
      </c>
      <c r="G22" s="16">
        <f>'04 - 2022'!D28-'04 - 2022'!D27+'04 - 2022'!E28-'04 - 2022'!E27</f>
        <v>24.740000000000009</v>
      </c>
      <c r="H22" s="14">
        <v>0.99</v>
      </c>
      <c r="I22" s="16">
        <f>'04 - 2022'!J28-'04 - 2022'!J27</f>
        <v>21448</v>
      </c>
      <c r="J22" s="14">
        <v>8.1000000000000003E-2</v>
      </c>
      <c r="K22" s="23">
        <f>'04 - 2022'!H28-'04 - 2022'!H27</f>
        <v>0</v>
      </c>
      <c r="L22" s="16">
        <f>'04 - 2022'!I28-'04 - 2022'!I27</f>
        <v>103</v>
      </c>
      <c r="M22" s="15">
        <v>4.393629424766913</v>
      </c>
      <c r="N22" s="16">
        <v>64</v>
      </c>
    </row>
    <row r="23" spans="1:17" x14ac:dyDescent="0.25">
      <c r="A23" t="s">
        <v>27</v>
      </c>
      <c r="B23">
        <f t="shared" si="0"/>
        <v>22</v>
      </c>
      <c r="C23" s="14">
        <v>4</v>
      </c>
      <c r="D23" s="14">
        <v>2022</v>
      </c>
      <c r="E23" s="16">
        <f>'04 - 2022'!B29-'04 - 2022'!B28+'04 - 2022'!C29-'04 - 2022'!C28</f>
        <v>9021</v>
      </c>
      <c r="F23" s="14">
        <v>0.11799999999999999</v>
      </c>
      <c r="G23" s="16">
        <f>'04 - 2022'!D29-'04 - 2022'!D28+'04 - 2022'!E29-'04 - 2022'!E28</f>
        <v>23.919999999999959</v>
      </c>
      <c r="H23" s="14">
        <v>0.99</v>
      </c>
      <c r="I23" s="16">
        <f>'04 - 2022'!J29-'04 - 2022'!J28</f>
        <v>22032</v>
      </c>
      <c r="J23" s="14">
        <v>8.1000000000000003E-2</v>
      </c>
      <c r="K23" s="23">
        <f>'04 - 2022'!H29-'04 - 2022'!H28</f>
        <v>0</v>
      </c>
      <c r="L23" s="16">
        <f>'04 - 2022'!I29-'04 - 2022'!I28</f>
        <v>96</v>
      </c>
      <c r="M23" s="15">
        <v>4.393629424766913</v>
      </c>
      <c r="N23" s="16">
        <v>63</v>
      </c>
    </row>
    <row r="24" spans="1:17" x14ac:dyDescent="0.25">
      <c r="A24" t="s">
        <v>27</v>
      </c>
      <c r="B24">
        <f t="shared" si="0"/>
        <v>23</v>
      </c>
      <c r="C24" s="14">
        <v>4</v>
      </c>
      <c r="D24" s="14">
        <v>2022</v>
      </c>
      <c r="E24" s="16">
        <f>'04 - 2022'!B30-'04 - 2022'!B29+'04 - 2022'!C30-'04 - 2022'!C29</f>
        <v>9518</v>
      </c>
      <c r="F24" s="14">
        <v>0.11799999999999999</v>
      </c>
      <c r="G24" s="16">
        <f>'04 - 2022'!D30-'04 - 2022'!D29+'04 - 2022'!E30-'04 - 2022'!E29</f>
        <v>24.199999999999932</v>
      </c>
      <c r="H24" s="14">
        <v>0.99</v>
      </c>
      <c r="I24" s="16">
        <f>'04 - 2022'!J30-'04 - 2022'!J29</f>
        <v>22247</v>
      </c>
      <c r="J24" s="14">
        <v>8.1000000000000003E-2</v>
      </c>
      <c r="K24" s="23">
        <f>'04 - 2022'!H30-'04 - 2022'!H29</f>
        <v>0</v>
      </c>
      <c r="L24" s="16">
        <f>'04 - 2022'!I30-'04 - 2022'!I29</f>
        <v>105</v>
      </c>
      <c r="M24" s="15">
        <v>4.393629424766913</v>
      </c>
      <c r="N24" s="16">
        <v>65</v>
      </c>
    </row>
    <row r="25" spans="1:17" x14ac:dyDescent="0.25">
      <c r="A25" t="s">
        <v>27</v>
      </c>
      <c r="B25">
        <f t="shared" si="0"/>
        <v>24</v>
      </c>
      <c r="C25" s="14">
        <v>4</v>
      </c>
      <c r="D25" s="14">
        <v>2022</v>
      </c>
      <c r="E25" s="16">
        <f>'04 - 2022'!B31-'04 - 2022'!B30+'04 - 2022'!C31-'04 - 2022'!C30</f>
        <v>9244</v>
      </c>
      <c r="F25" s="14">
        <v>0.11799999999999999</v>
      </c>
      <c r="G25" s="16">
        <f>'04 - 2022'!D31-'04 - 2022'!D30+'04 - 2022'!E31-'04 - 2022'!E30</f>
        <v>24.620000000000005</v>
      </c>
      <c r="H25" s="14">
        <v>0.99</v>
      </c>
      <c r="I25" s="16">
        <f>'04 - 2022'!J31-'04 - 2022'!J30</f>
        <v>21931</v>
      </c>
      <c r="J25" s="14">
        <v>8.1000000000000003E-2</v>
      </c>
      <c r="K25" s="23">
        <f>'04 - 2022'!H31-'04 - 2022'!H30</f>
        <v>0</v>
      </c>
      <c r="L25" s="16">
        <f>'04 - 2022'!I31-'04 - 2022'!I30</f>
        <v>98</v>
      </c>
      <c r="M25" s="15">
        <v>4.393629424766913</v>
      </c>
      <c r="N25" s="16">
        <v>57</v>
      </c>
      <c r="P25" s="12"/>
    </row>
    <row r="26" spans="1:17" x14ac:dyDescent="0.25">
      <c r="A26" t="s">
        <v>27</v>
      </c>
      <c r="B26">
        <f>B25+1</f>
        <v>25</v>
      </c>
      <c r="C26" s="14">
        <v>4</v>
      </c>
      <c r="D26" s="14">
        <v>2022</v>
      </c>
      <c r="E26" s="16">
        <f>'04 - 2022'!B32-'04 - 2022'!B31+'04 - 2022'!C32-'04 - 2022'!C31</f>
        <v>8920</v>
      </c>
      <c r="F26" s="14">
        <v>0.11799999999999999</v>
      </c>
      <c r="G26" s="16">
        <f>'04 - 2022'!D32-'04 - 2022'!D31+'04 - 2022'!E32-'04 - 2022'!E31</f>
        <v>23.709999999999923</v>
      </c>
      <c r="H26" s="14">
        <v>0.99</v>
      </c>
      <c r="I26" s="16">
        <f>'04 - 2022'!J32-'04 - 2022'!J31</f>
        <v>24084</v>
      </c>
      <c r="J26" s="14">
        <v>8.1000000000000003E-2</v>
      </c>
      <c r="K26" s="23">
        <f>'04 - 2022'!H32-'04 - 2022'!H31</f>
        <v>0</v>
      </c>
      <c r="L26" s="16">
        <f>'04 - 2022'!I32-'04 - 2022'!I31</f>
        <v>90</v>
      </c>
      <c r="M26" s="15">
        <v>4.393629424766913</v>
      </c>
      <c r="N26" s="16">
        <v>51</v>
      </c>
    </row>
    <row r="27" spans="1:17" x14ac:dyDescent="0.25">
      <c r="A27" t="s">
        <v>27</v>
      </c>
      <c r="B27">
        <f t="shared" si="0"/>
        <v>26</v>
      </c>
      <c r="C27" s="14">
        <v>4</v>
      </c>
      <c r="D27" s="14">
        <v>2022</v>
      </c>
      <c r="E27" s="16">
        <f>'04 - 2022'!B33-'04 - 2022'!B32+'04 - 2022'!C33-'04 - 2022'!C32</f>
        <v>9224</v>
      </c>
      <c r="F27" s="14">
        <v>0.11799999999999999</v>
      </c>
      <c r="G27" s="16">
        <f>'04 - 2022'!D33-'04 - 2022'!D32+'04 - 2022'!E33-'04 - 2022'!E32</f>
        <v>23.959999999999923</v>
      </c>
      <c r="H27" s="14">
        <v>0.99</v>
      </c>
      <c r="I27" s="16">
        <f>'04 - 2022'!J33-'04 - 2022'!J32</f>
        <v>24066</v>
      </c>
      <c r="J27" s="14">
        <v>8.1000000000000003E-2</v>
      </c>
      <c r="K27" s="23">
        <f>'04 - 2022'!H33-'04 - 2022'!H32</f>
        <v>0</v>
      </c>
      <c r="L27" s="16">
        <f>'04 - 2022'!I33-'04 - 2022'!I32</f>
        <v>100</v>
      </c>
      <c r="M27" s="15">
        <v>4.393629424766913</v>
      </c>
      <c r="N27" s="16">
        <v>55</v>
      </c>
    </row>
    <row r="28" spans="1:17" x14ac:dyDescent="0.25">
      <c r="A28" t="s">
        <v>27</v>
      </c>
      <c r="B28">
        <f t="shared" si="0"/>
        <v>27</v>
      </c>
      <c r="C28" s="14">
        <v>4</v>
      </c>
      <c r="D28" s="14">
        <v>2022</v>
      </c>
      <c r="E28" s="16">
        <f>'04 - 2022'!B34-'04 - 2022'!B33+'04 - 2022'!C34-'04 - 2022'!C33</f>
        <v>9200</v>
      </c>
      <c r="F28" s="14">
        <v>0.11799999999999999</v>
      </c>
      <c r="G28" s="16">
        <f>'04 - 2022'!D34-'04 - 2022'!D33+'04 - 2022'!E34-'04 - 2022'!E33</f>
        <v>23.720000000000027</v>
      </c>
      <c r="H28" s="14">
        <v>0.99</v>
      </c>
      <c r="I28" s="16">
        <f>'04 - 2022'!J34-'04 - 2022'!J33</f>
        <v>23116</v>
      </c>
      <c r="J28" s="14">
        <v>8.1000000000000003E-2</v>
      </c>
      <c r="K28" s="23">
        <f>'04 - 2022'!H34-'04 - 2022'!H33</f>
        <v>0</v>
      </c>
      <c r="L28" s="16">
        <f>'04 - 2022'!I34-'04 - 2022'!I33</f>
        <v>96</v>
      </c>
      <c r="M28" s="15">
        <v>4.393629424766913</v>
      </c>
      <c r="N28" s="19">
        <v>58</v>
      </c>
    </row>
    <row r="29" spans="1:17" x14ac:dyDescent="0.25">
      <c r="A29" t="s">
        <v>27</v>
      </c>
      <c r="B29">
        <f t="shared" si="0"/>
        <v>28</v>
      </c>
      <c r="C29" s="14">
        <v>4</v>
      </c>
      <c r="D29" s="14">
        <v>2022</v>
      </c>
      <c r="E29" s="16">
        <v>0</v>
      </c>
      <c r="F29" s="14">
        <v>0.11799999999999999</v>
      </c>
      <c r="G29" s="16">
        <v>0</v>
      </c>
      <c r="H29" s="14">
        <v>0.99</v>
      </c>
      <c r="I29" s="16">
        <v>0</v>
      </c>
      <c r="J29" s="14">
        <v>8.1000000000000003E-2</v>
      </c>
      <c r="K29" s="23">
        <v>0</v>
      </c>
      <c r="L29" s="16">
        <v>0</v>
      </c>
      <c r="M29" s="15">
        <v>4.393629424766913</v>
      </c>
      <c r="N29" s="19"/>
    </row>
    <row r="30" spans="1:17" x14ac:dyDescent="0.25">
      <c r="A30" s="14" t="s">
        <v>27</v>
      </c>
      <c r="B30" s="14">
        <f t="shared" si="0"/>
        <v>29</v>
      </c>
      <c r="C30" s="14">
        <v>4</v>
      </c>
      <c r="D30" s="14">
        <v>2022</v>
      </c>
      <c r="E30" s="16">
        <v>0</v>
      </c>
      <c r="F30" s="14">
        <v>0.11799999999999999</v>
      </c>
      <c r="G30" s="16">
        <v>0</v>
      </c>
      <c r="H30" s="14">
        <v>0.99</v>
      </c>
      <c r="I30" s="16">
        <v>0</v>
      </c>
      <c r="J30" s="14">
        <v>8.1000000000000003E-2</v>
      </c>
      <c r="K30" s="23">
        <v>0</v>
      </c>
      <c r="L30" s="16">
        <v>0</v>
      </c>
      <c r="M30" s="15">
        <v>4.393629424766913</v>
      </c>
    </row>
    <row r="31" spans="1:17" x14ac:dyDescent="0.25">
      <c r="A31" s="14" t="s">
        <v>27</v>
      </c>
      <c r="B31" s="14">
        <f t="shared" si="0"/>
        <v>30</v>
      </c>
      <c r="C31" s="14">
        <v>4</v>
      </c>
      <c r="D31" s="14">
        <v>2022</v>
      </c>
      <c r="E31" s="16">
        <f>'04 - 2022'!B37-'04 - 2022'!B36+'04 - 2022'!C37-'04 - 2022'!C36</f>
        <v>0</v>
      </c>
      <c r="F31" s="14">
        <v>0.11799999999999999</v>
      </c>
      <c r="G31" s="16">
        <f>'04 - 2022'!D37-'04 - 2022'!D36+'04 - 2022'!E37-'04 - 2022'!E36</f>
        <v>0</v>
      </c>
      <c r="H31" s="14">
        <v>0.99</v>
      </c>
      <c r="I31" s="16">
        <f>'04 - 2022'!J37-'04 - 2022'!J36</f>
        <v>0</v>
      </c>
      <c r="J31" s="14">
        <v>8.1000000000000003E-2</v>
      </c>
      <c r="K31" s="23">
        <f>'04 - 2022'!H37-'04 - 2022'!H36</f>
        <v>0</v>
      </c>
      <c r="L31" s="16">
        <f>'04 - 2022'!I37-'04 - 2022'!I36</f>
        <v>0</v>
      </c>
      <c r="M31" s="15">
        <v>4.393629424766913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1"/>
  <sheetViews>
    <sheetView topLeftCell="A4" workbookViewId="0">
      <selection activeCell="J32" sqref="J32"/>
    </sheetView>
  </sheetViews>
  <sheetFormatPr defaultColWidth="12.5703125" defaultRowHeight="15" x14ac:dyDescent="0.25"/>
  <cols>
    <col min="1" max="3" width="11.5703125" customWidth="1"/>
    <col min="4" max="4" width="13.42578125" customWidth="1"/>
    <col min="5" max="6" width="12.5703125" style="4"/>
    <col min="8" max="10" width="11.5703125" style="4" customWidth="1"/>
    <col min="11" max="248" width="11.5703125" customWidth="1"/>
    <col min="249" max="249" width="13.42578125" customWidth="1"/>
  </cols>
  <sheetData>
    <row r="1" spans="1:13" s="6" customFormat="1" ht="45" x14ac:dyDescent="0.25">
      <c r="A1" s="7" t="s">
        <v>9</v>
      </c>
      <c r="B1" s="7" t="s">
        <v>10</v>
      </c>
      <c r="C1" s="7" t="s">
        <v>11</v>
      </c>
      <c r="D1" s="7" t="s">
        <v>12</v>
      </c>
      <c r="E1" s="8" t="s">
        <v>22</v>
      </c>
      <c r="F1" s="8" t="s">
        <v>23</v>
      </c>
      <c r="G1" s="9" t="s">
        <v>14</v>
      </c>
      <c r="H1" s="8" t="s">
        <v>24</v>
      </c>
      <c r="I1" s="8" t="s">
        <v>25</v>
      </c>
      <c r="J1" s="8" t="s">
        <v>26</v>
      </c>
      <c r="K1" s="9" t="s">
        <v>16</v>
      </c>
      <c r="L1" s="9" t="s">
        <v>21</v>
      </c>
      <c r="M1" s="9"/>
    </row>
    <row r="2" spans="1:13" x14ac:dyDescent="0.25">
      <c r="A2" t="s">
        <v>27</v>
      </c>
      <c r="B2">
        <v>1</v>
      </c>
      <c r="C2" s="14">
        <v>4</v>
      </c>
      <c r="D2">
        <v>2022</v>
      </c>
      <c r="E2" s="16">
        <f>'04 - 2022'!B8-'04 - 2022'!B7</f>
        <v>3839</v>
      </c>
      <c r="F2" s="16">
        <f>'04 - 2022'!C8-'04 - 2022'!C7</f>
        <v>5679</v>
      </c>
      <c r="G2" s="14">
        <v>0.11799999999999999</v>
      </c>
      <c r="H2" s="16">
        <f>'04 - 2022'!E8-'04 - 2022'!E7</f>
        <v>26.089999999999975</v>
      </c>
      <c r="I2" s="16">
        <f>'04 - 2022'!F8-'04 - 2022'!F7</f>
        <v>7.25</v>
      </c>
      <c r="J2" s="16">
        <f>'04 - 2022'!G8-'04 - 2022'!G7</f>
        <v>44.129999999997381</v>
      </c>
      <c r="K2" s="14">
        <v>0.74</v>
      </c>
      <c r="L2" s="16">
        <v>104</v>
      </c>
      <c r="M2" s="10"/>
    </row>
    <row r="3" spans="1:13" x14ac:dyDescent="0.25">
      <c r="A3" t="s">
        <v>27</v>
      </c>
      <c r="B3">
        <f>B2+1</f>
        <v>2</v>
      </c>
      <c r="C3" s="14">
        <v>4</v>
      </c>
      <c r="D3" s="14">
        <v>2022</v>
      </c>
      <c r="E3" s="16">
        <f>'04 - 2022'!B9-'04 - 2022'!B8</f>
        <v>3764</v>
      </c>
      <c r="F3" s="16">
        <f>'04 - 2022'!C9-'04 - 2022'!C8</f>
        <v>5878</v>
      </c>
      <c r="G3" s="14">
        <v>0.11799999999999999</v>
      </c>
      <c r="H3" s="16">
        <f>'04 - 2022'!E9-'04 - 2022'!E8</f>
        <v>24.430000000000007</v>
      </c>
      <c r="I3" s="16">
        <f>'04 - 2022'!F9-'04 - 2022'!F8</f>
        <v>8.4400000000000546</v>
      </c>
      <c r="J3" s="16">
        <f>'04 - 2022'!G9-'04 - 2022'!G8</f>
        <v>44.090000000003783</v>
      </c>
      <c r="K3" s="14">
        <v>0.74</v>
      </c>
      <c r="L3" s="18">
        <v>67</v>
      </c>
      <c r="M3" s="10"/>
    </row>
    <row r="4" spans="1:13" x14ac:dyDescent="0.25">
      <c r="A4" t="s">
        <v>27</v>
      </c>
      <c r="B4">
        <f t="shared" ref="B4:B31" si="0">B3+1</f>
        <v>3</v>
      </c>
      <c r="C4" s="14">
        <v>4</v>
      </c>
      <c r="D4" s="14">
        <v>2022</v>
      </c>
      <c r="E4" s="16">
        <f>'04 - 2022'!B10-'04 - 2022'!B9</f>
        <v>3554</v>
      </c>
      <c r="F4" s="16">
        <f>'04 - 2022'!C10-'04 - 2022'!C9</f>
        <v>5526</v>
      </c>
      <c r="G4" s="14">
        <v>0.11799999999999999</v>
      </c>
      <c r="H4" s="16">
        <f>'04 - 2022'!E10-'04 - 2022'!E9</f>
        <v>26.240000000000009</v>
      </c>
      <c r="I4" s="16">
        <f>'04 - 2022'!F10-'04 - 2022'!F9</f>
        <v>6.8600000000001273</v>
      </c>
      <c r="J4" s="16">
        <f>'04 - 2022'!G10-'04 - 2022'!G9</f>
        <v>42.089999999996508</v>
      </c>
      <c r="K4" s="14">
        <v>0.74</v>
      </c>
      <c r="L4" s="18">
        <v>56</v>
      </c>
      <c r="M4" s="10"/>
    </row>
    <row r="5" spans="1:13" x14ac:dyDescent="0.25">
      <c r="A5" t="s">
        <v>27</v>
      </c>
      <c r="B5">
        <f t="shared" si="0"/>
        <v>4</v>
      </c>
      <c r="C5" s="14">
        <v>4</v>
      </c>
      <c r="D5" s="14">
        <v>2022</v>
      </c>
      <c r="E5" s="16">
        <f>'04 - 2022'!B11-'04 - 2022'!B10</f>
        <v>3549</v>
      </c>
      <c r="F5" s="16">
        <f>'04 - 2022'!C11-'04 - 2022'!C10</f>
        <v>5442</v>
      </c>
      <c r="G5" s="14">
        <v>0.11799999999999999</v>
      </c>
      <c r="H5" s="16">
        <f>'04 - 2022'!E11-'04 - 2022'!E10</f>
        <v>18.550000000000011</v>
      </c>
      <c r="I5" s="16">
        <f>'04 - 2022'!F11-'04 - 2022'!F10</f>
        <v>6.9499999999998181</v>
      </c>
      <c r="J5" s="16">
        <f>'04 - 2022'!G11-'04 - 2022'!G10</f>
        <v>34.910000000003492</v>
      </c>
      <c r="K5" s="14">
        <v>0.74</v>
      </c>
      <c r="L5" s="18">
        <v>48</v>
      </c>
      <c r="M5" s="10"/>
    </row>
    <row r="6" spans="1:13" x14ac:dyDescent="0.25">
      <c r="A6" t="s">
        <v>27</v>
      </c>
      <c r="B6">
        <f t="shared" si="0"/>
        <v>5</v>
      </c>
      <c r="C6" s="14">
        <v>4</v>
      </c>
      <c r="D6" s="14">
        <v>2022</v>
      </c>
      <c r="E6" s="16">
        <f>'04 - 2022'!B12-'04 - 2022'!B11</f>
        <v>3455</v>
      </c>
      <c r="F6" s="16">
        <f>'04 - 2022'!C12-'04 - 2022'!C11</f>
        <v>5261</v>
      </c>
      <c r="G6" s="14">
        <v>0.11799999999999999</v>
      </c>
      <c r="H6" s="16">
        <f>'04 - 2022'!E12-'04 - 2022'!E11</f>
        <v>20.519999999999982</v>
      </c>
      <c r="I6" s="16">
        <f>'04 - 2022'!F12-'04 - 2022'!F11</f>
        <v>5.8700000000001182</v>
      </c>
      <c r="J6" s="16">
        <f>'04 - 2022'!G12-'04 - 2022'!G11</f>
        <v>36.279999999998836</v>
      </c>
      <c r="K6" s="14">
        <v>0.74</v>
      </c>
      <c r="L6" s="18">
        <v>41</v>
      </c>
      <c r="M6" s="11"/>
    </row>
    <row r="7" spans="1:13" x14ac:dyDescent="0.25">
      <c r="A7" t="s">
        <v>27</v>
      </c>
      <c r="B7">
        <f t="shared" si="0"/>
        <v>6</v>
      </c>
      <c r="C7" s="14">
        <v>4</v>
      </c>
      <c r="D7" s="14">
        <v>2022</v>
      </c>
      <c r="E7" s="16">
        <f>'04 - 2022'!B13-'04 - 2022'!B12</f>
        <v>3500</v>
      </c>
      <c r="F7" s="16">
        <f>'04 - 2022'!C13-'04 - 2022'!C12</f>
        <v>5337</v>
      </c>
      <c r="G7" s="14">
        <v>0.11799999999999999</v>
      </c>
      <c r="H7" s="16">
        <f>'04 - 2022'!E13-'04 - 2022'!E12</f>
        <v>23.319999999999993</v>
      </c>
      <c r="I7" s="16">
        <f>'04 - 2022'!F13-'04 - 2022'!F12</f>
        <v>7.4000000000000909</v>
      </c>
      <c r="J7" s="16">
        <f>'04 - 2022'!G13-'04 - 2022'!G12</f>
        <v>37.779999999998836</v>
      </c>
      <c r="K7" s="14">
        <v>0.74</v>
      </c>
      <c r="L7" s="18">
        <v>40</v>
      </c>
      <c r="M7" s="11"/>
    </row>
    <row r="8" spans="1:13" x14ac:dyDescent="0.25">
      <c r="A8" t="s">
        <v>27</v>
      </c>
      <c r="B8">
        <f t="shared" si="0"/>
        <v>7</v>
      </c>
      <c r="C8" s="14">
        <v>4</v>
      </c>
      <c r="D8" s="14">
        <v>2022</v>
      </c>
      <c r="E8" s="16">
        <f>'04 - 2022'!B14-'04 - 2022'!B13</f>
        <v>3470</v>
      </c>
      <c r="F8" s="16">
        <f>'04 - 2022'!C14-'04 - 2022'!C13</f>
        <v>5278</v>
      </c>
      <c r="G8" s="14">
        <v>0.11799999999999999</v>
      </c>
      <c r="H8" s="16">
        <f>'04 - 2022'!E14-'04 - 2022'!E13</f>
        <v>21.090000000000032</v>
      </c>
      <c r="I8" s="16">
        <f>'04 - 2022'!F14-'04 - 2022'!F13</f>
        <v>5.959999999999809</v>
      </c>
      <c r="J8" s="16">
        <f>'04 - 2022'!G14-'04 - 2022'!G13</f>
        <v>33.160000000003492</v>
      </c>
      <c r="K8" s="14">
        <v>0.74</v>
      </c>
      <c r="L8" s="18">
        <v>48</v>
      </c>
      <c r="M8" s="11"/>
    </row>
    <row r="9" spans="1:13" x14ac:dyDescent="0.25">
      <c r="A9" t="s">
        <v>27</v>
      </c>
      <c r="B9">
        <f t="shared" si="0"/>
        <v>8</v>
      </c>
      <c r="C9" s="14">
        <v>4</v>
      </c>
      <c r="D9" s="14">
        <v>2022</v>
      </c>
      <c r="E9" s="16">
        <f>'04 - 2022'!B15-'04 - 2022'!B14</f>
        <v>3477</v>
      </c>
      <c r="F9" s="16">
        <f>'04 - 2022'!C15-'04 - 2022'!C14</f>
        <v>5513</v>
      </c>
      <c r="G9" s="14">
        <v>0.11799999999999999</v>
      </c>
      <c r="H9" s="16">
        <f>'04 - 2022'!E15-'04 - 2022'!E14</f>
        <v>21.620000000000005</v>
      </c>
      <c r="I9" s="16">
        <f>'04 - 2022'!F15-'04 - 2022'!F14</f>
        <v>5.1300000000001091</v>
      </c>
      <c r="J9" s="16">
        <f>'04 - 2022'!G15-'04 - 2022'!G14</f>
        <v>35.759999999994761</v>
      </c>
      <c r="K9" s="14">
        <v>0.74</v>
      </c>
      <c r="L9" s="18">
        <v>53</v>
      </c>
      <c r="M9" s="11"/>
    </row>
    <row r="10" spans="1:13" x14ac:dyDescent="0.25">
      <c r="A10" t="s">
        <v>27</v>
      </c>
      <c r="B10">
        <f t="shared" si="0"/>
        <v>9</v>
      </c>
      <c r="C10" s="14">
        <v>4</v>
      </c>
      <c r="D10" s="14">
        <v>2022</v>
      </c>
      <c r="E10" s="16">
        <f>'04 - 2022'!B16-'04 - 2022'!B15</f>
        <v>3572</v>
      </c>
      <c r="F10" s="16">
        <f>'04 - 2022'!C16-'04 - 2022'!C15</f>
        <v>5759</v>
      </c>
      <c r="G10" s="14">
        <v>0.11799999999999999</v>
      </c>
      <c r="H10" s="16">
        <f>'04 - 2022'!E16-'04 - 2022'!E15</f>
        <v>22.669999999999959</v>
      </c>
      <c r="I10" s="16">
        <f>'04 - 2022'!F16-'04 - 2022'!F15</f>
        <v>6.4500000000000455</v>
      </c>
      <c r="J10" s="16">
        <f>'04 - 2022'!G16-'04 - 2022'!G15</f>
        <v>37</v>
      </c>
      <c r="K10" s="14">
        <v>0.74</v>
      </c>
      <c r="L10" s="18">
        <v>53</v>
      </c>
      <c r="M10" s="11"/>
    </row>
    <row r="11" spans="1:13" x14ac:dyDescent="0.25">
      <c r="A11" t="s">
        <v>27</v>
      </c>
      <c r="B11">
        <f t="shared" si="0"/>
        <v>10</v>
      </c>
      <c r="C11" s="14">
        <v>4</v>
      </c>
      <c r="D11" s="14">
        <v>2022</v>
      </c>
      <c r="E11" s="16">
        <f>'04 - 2022'!B17-'04 - 2022'!B16</f>
        <v>3328</v>
      </c>
      <c r="F11" s="16">
        <f>'04 - 2022'!C17-'04 - 2022'!C16</f>
        <v>5367</v>
      </c>
      <c r="G11" s="14">
        <v>0.11799999999999999</v>
      </c>
      <c r="H11" s="16">
        <f>'04 - 2022'!E17-'04 - 2022'!E16</f>
        <v>20.740000000000009</v>
      </c>
      <c r="I11" s="16">
        <f>'04 - 2022'!F17-'04 - 2022'!F16</f>
        <v>5.3899999999998727</v>
      </c>
      <c r="J11" s="16">
        <f>'04 - 2022'!G17-'04 - 2022'!G16</f>
        <v>37.830000000001746</v>
      </c>
      <c r="K11" s="14">
        <v>0.74</v>
      </c>
      <c r="L11" s="18">
        <v>41</v>
      </c>
      <c r="M11" s="11"/>
    </row>
    <row r="12" spans="1:13" x14ac:dyDescent="0.25">
      <c r="A12" t="s">
        <v>27</v>
      </c>
      <c r="B12">
        <f t="shared" si="0"/>
        <v>11</v>
      </c>
      <c r="C12" s="14">
        <v>4</v>
      </c>
      <c r="D12" s="14">
        <v>2022</v>
      </c>
      <c r="E12" s="16">
        <f>'04 - 2022'!B18-'04 - 2022'!B17</f>
        <v>3364</v>
      </c>
      <c r="F12" s="16">
        <f>'04 - 2022'!C18-'04 - 2022'!C17</f>
        <v>5272</v>
      </c>
      <c r="G12" s="14">
        <v>0.11799999999999999</v>
      </c>
      <c r="H12" s="16">
        <f>'04 - 2022'!E18-'04 - 2022'!E17</f>
        <v>22.669999999999959</v>
      </c>
      <c r="I12" s="16">
        <f>'04 - 2022'!F18-'04 - 2022'!F17</f>
        <v>5.6500000000000909</v>
      </c>
      <c r="J12" s="16">
        <f>'04 - 2022'!G18-'04 - 2022'!G17</f>
        <v>44.319999999999709</v>
      </c>
      <c r="K12" s="14">
        <v>0.74</v>
      </c>
      <c r="L12" s="16">
        <v>57</v>
      </c>
      <c r="M12" s="11"/>
    </row>
    <row r="13" spans="1:13" x14ac:dyDescent="0.25">
      <c r="A13" t="s">
        <v>27</v>
      </c>
      <c r="B13">
        <f t="shared" si="0"/>
        <v>12</v>
      </c>
      <c r="C13" s="14">
        <v>4</v>
      </c>
      <c r="D13" s="14">
        <v>2022</v>
      </c>
      <c r="E13" s="16">
        <f>'04 - 2022'!B19-'04 - 2022'!B18</f>
        <v>3432</v>
      </c>
      <c r="F13" s="16">
        <f>'04 - 2022'!C19-'04 - 2022'!C18</f>
        <v>5385</v>
      </c>
      <c r="G13" s="14">
        <v>0.11799999999999999</v>
      </c>
      <c r="H13" s="16">
        <f>'04 - 2022'!E19-'04 - 2022'!E18</f>
        <v>22.230000000000018</v>
      </c>
      <c r="I13" s="16">
        <f>'04 - 2022'!F19-'04 - 2022'!F18</f>
        <v>6.1099999999999</v>
      </c>
      <c r="J13" s="16">
        <f>'04 - 2022'!G19-'04 - 2022'!G18</f>
        <v>30.639999999999418</v>
      </c>
      <c r="K13" s="14">
        <v>0.74</v>
      </c>
      <c r="L13" s="16">
        <v>68</v>
      </c>
      <c r="M13" s="11"/>
    </row>
    <row r="14" spans="1:13" x14ac:dyDescent="0.25">
      <c r="A14" t="s">
        <v>27</v>
      </c>
      <c r="B14">
        <f t="shared" si="0"/>
        <v>13</v>
      </c>
      <c r="C14" s="14">
        <v>4</v>
      </c>
      <c r="D14" s="14">
        <v>2022</v>
      </c>
      <c r="E14" s="16">
        <f>'04 - 2022'!B20-'04 - 2022'!B19</f>
        <v>3369</v>
      </c>
      <c r="F14" s="16">
        <f>'04 - 2022'!C20-'04 - 2022'!C19</f>
        <v>5416</v>
      </c>
      <c r="G14" s="14">
        <v>0.11799999999999999</v>
      </c>
      <c r="H14" s="16">
        <f>'04 - 2022'!E20-'04 - 2022'!E19</f>
        <v>19.480000000000018</v>
      </c>
      <c r="I14" s="16">
        <f>'04 - 2022'!F20-'04 - 2022'!F19</f>
        <v>7.1200000000001182</v>
      </c>
      <c r="J14" s="16">
        <f>'04 - 2022'!G20-'04 - 2022'!G19</f>
        <v>36.129999999997381</v>
      </c>
      <c r="K14" s="14">
        <v>0.74</v>
      </c>
      <c r="L14" s="16">
        <v>73</v>
      </c>
      <c r="M14" s="11"/>
    </row>
    <row r="15" spans="1:13" x14ac:dyDescent="0.25">
      <c r="A15" t="s">
        <v>27</v>
      </c>
      <c r="B15">
        <f t="shared" si="0"/>
        <v>14</v>
      </c>
      <c r="C15" s="14">
        <v>4</v>
      </c>
      <c r="D15" s="14">
        <v>2022</v>
      </c>
      <c r="E15" s="16">
        <f>'04 - 2022'!B21-'04 - 2022'!B20</f>
        <v>3498</v>
      </c>
      <c r="F15" s="16">
        <f>'04 - 2022'!C21-'04 - 2022'!C20</f>
        <v>5514</v>
      </c>
      <c r="G15" s="14">
        <v>0.11799999999999999</v>
      </c>
      <c r="H15" s="16">
        <f>'04 - 2022'!E21-'04 - 2022'!E20</f>
        <v>21.610000000000014</v>
      </c>
      <c r="I15" s="16">
        <f>'04 - 2022'!F21-'04 - 2022'!F20</f>
        <v>7.5299999999999727</v>
      </c>
      <c r="J15" s="16">
        <f>'04 - 2022'!G21-'04 - 2022'!G20</f>
        <v>39.070000000006985</v>
      </c>
      <c r="K15" s="14">
        <v>0.74</v>
      </c>
      <c r="L15" s="16">
        <v>66</v>
      </c>
      <c r="M15" s="11"/>
    </row>
    <row r="16" spans="1:13" x14ac:dyDescent="0.25">
      <c r="A16" t="s">
        <v>27</v>
      </c>
      <c r="B16">
        <f t="shared" si="0"/>
        <v>15</v>
      </c>
      <c r="C16" s="14">
        <v>4</v>
      </c>
      <c r="D16" s="14">
        <v>2022</v>
      </c>
      <c r="E16" s="16">
        <f>'04 - 2022'!B22-'04 - 2022'!B21</f>
        <v>3504</v>
      </c>
      <c r="F16" s="16">
        <f>'04 - 2022'!C22-'04 - 2022'!C21</f>
        <v>5400</v>
      </c>
      <c r="G16" s="14">
        <v>0.11799999999999999</v>
      </c>
      <c r="H16" s="16">
        <f>'04 - 2022'!E22-'04 - 2022'!E21</f>
        <v>20.789999999999964</v>
      </c>
      <c r="I16" s="16">
        <f>'04 - 2022'!F22-'04 - 2022'!F21</f>
        <v>7.7200000000000273</v>
      </c>
      <c r="J16" s="16">
        <f>'04 - 2022'!G22-'04 - 2022'!G21</f>
        <v>38.339999999996508</v>
      </c>
      <c r="K16" s="14">
        <v>0.74</v>
      </c>
      <c r="L16" s="16">
        <v>67</v>
      </c>
      <c r="M16" s="11"/>
    </row>
    <row r="17" spans="1:13" x14ac:dyDescent="0.25">
      <c r="A17" t="s">
        <v>27</v>
      </c>
      <c r="B17">
        <f t="shared" si="0"/>
        <v>16</v>
      </c>
      <c r="C17" s="14">
        <v>4</v>
      </c>
      <c r="D17" s="14">
        <v>2022</v>
      </c>
      <c r="E17" s="16">
        <f>'04 - 2022'!B23-'04 - 2022'!B22</f>
        <v>3721</v>
      </c>
      <c r="F17" s="16">
        <f>'04 - 2022'!C23-'04 - 2022'!C22</f>
        <v>5770</v>
      </c>
      <c r="G17" s="14">
        <v>0.11799999999999999</v>
      </c>
      <c r="H17" s="16">
        <f>'04 - 2022'!E23-'04 - 2022'!E22</f>
        <v>27.910000000000082</v>
      </c>
      <c r="I17" s="16">
        <f>'04 - 2022'!F23-'04 - 2022'!F22</f>
        <v>7.2000000000000455</v>
      </c>
      <c r="J17" s="16">
        <f>'04 - 2022'!G23-'04 - 2022'!G22</f>
        <v>40.680000000000291</v>
      </c>
      <c r="K17" s="14">
        <v>0.74</v>
      </c>
      <c r="L17" s="16">
        <v>67</v>
      </c>
      <c r="M17" s="11"/>
    </row>
    <row r="18" spans="1:13" x14ac:dyDescent="0.25">
      <c r="A18" t="s">
        <v>27</v>
      </c>
      <c r="B18">
        <f t="shared" si="0"/>
        <v>17</v>
      </c>
      <c r="C18" s="14">
        <v>4</v>
      </c>
      <c r="D18" s="14">
        <v>2022</v>
      </c>
      <c r="E18" s="16">
        <f>'04 - 2022'!B24-'04 - 2022'!B23</f>
        <v>3481</v>
      </c>
      <c r="F18" s="16">
        <f>'04 - 2022'!C24-'04 - 2022'!C23</f>
        <v>5521</v>
      </c>
      <c r="G18" s="14">
        <v>0.11799999999999999</v>
      </c>
      <c r="H18" s="16">
        <f>'04 - 2022'!E24-'04 - 2022'!E23</f>
        <v>23.870000000000005</v>
      </c>
      <c r="I18" s="16">
        <f>'04 - 2022'!F24-'04 - 2022'!F23</f>
        <v>5.8199999999999363</v>
      </c>
      <c r="J18" s="16">
        <f>'04 - 2022'!G24-'04 - 2022'!G23</f>
        <v>39.519999999996799</v>
      </c>
      <c r="K18" s="14">
        <v>0.74</v>
      </c>
      <c r="L18" s="16">
        <v>71</v>
      </c>
      <c r="M18" s="11"/>
    </row>
    <row r="19" spans="1:13" x14ac:dyDescent="0.25">
      <c r="A19" t="s">
        <v>27</v>
      </c>
      <c r="B19">
        <f>B18+1</f>
        <v>18</v>
      </c>
      <c r="C19" s="14">
        <v>4</v>
      </c>
      <c r="D19" s="14">
        <v>2022</v>
      </c>
      <c r="E19" s="16">
        <f>'04 - 2022'!B25-'04 - 2022'!B24</f>
        <v>3528</v>
      </c>
      <c r="F19" s="16">
        <f>'04 - 2022'!C25-'04 - 2022'!C24</f>
        <v>5473</v>
      </c>
      <c r="G19" s="14">
        <v>0.11799999999999999</v>
      </c>
      <c r="H19" s="16">
        <f>'04 - 2022'!E25-'04 - 2022'!E24</f>
        <v>23.739999999999895</v>
      </c>
      <c r="I19" s="16">
        <f>'04 - 2022'!F25-'04 - 2022'!F24</f>
        <v>6.2200000000000273</v>
      </c>
      <c r="J19" s="16">
        <f>'04 - 2022'!G25-'04 - 2022'!G24</f>
        <v>38.480000000003201</v>
      </c>
      <c r="K19" s="14">
        <v>0.74</v>
      </c>
      <c r="L19" s="16">
        <v>56</v>
      </c>
      <c r="M19" s="11"/>
    </row>
    <row r="20" spans="1:13" x14ac:dyDescent="0.25">
      <c r="A20" t="s">
        <v>27</v>
      </c>
      <c r="B20">
        <f t="shared" si="0"/>
        <v>19</v>
      </c>
      <c r="C20" s="14">
        <v>4</v>
      </c>
      <c r="D20" s="14">
        <v>2022</v>
      </c>
      <c r="E20" s="16">
        <f>'04 - 2022'!B26-'04 - 2022'!B25</f>
        <v>3723</v>
      </c>
      <c r="F20" s="16">
        <f>'04 - 2022'!C26-'04 - 2022'!C25</f>
        <v>5420</v>
      </c>
      <c r="G20" s="14">
        <v>0.11799999999999999</v>
      </c>
      <c r="H20" s="16">
        <f>'04 - 2022'!E26-'04 - 2022'!E25</f>
        <v>22.790000000000077</v>
      </c>
      <c r="I20" s="16">
        <f>'04 - 2022'!F26-'04 - 2022'!F25</f>
        <v>6.5099999999999909</v>
      </c>
      <c r="J20" s="16">
        <f>'04 - 2022'!G26-'04 - 2022'!G25</f>
        <v>38.180000000000291</v>
      </c>
      <c r="K20" s="14">
        <v>0.74</v>
      </c>
      <c r="L20" s="4">
        <v>72</v>
      </c>
      <c r="M20" s="11"/>
    </row>
    <row r="21" spans="1:13" x14ac:dyDescent="0.25">
      <c r="A21" t="s">
        <v>27</v>
      </c>
      <c r="B21">
        <f t="shared" si="0"/>
        <v>20</v>
      </c>
      <c r="C21" s="14">
        <v>4</v>
      </c>
      <c r="D21" s="14">
        <v>2022</v>
      </c>
      <c r="E21" s="16">
        <f>'04 - 2022'!B27-'04 - 2022'!B26</f>
        <v>3616</v>
      </c>
      <c r="F21" s="16">
        <f>'04 - 2022'!C27-'04 - 2022'!C26</f>
        <v>5258</v>
      </c>
      <c r="G21" s="14">
        <v>0.11799999999999999</v>
      </c>
      <c r="H21" s="16">
        <f>'04 - 2022'!E27-'04 - 2022'!E26</f>
        <v>22.139999999999986</v>
      </c>
      <c r="I21" s="16">
        <f>'04 - 2022'!F27-'04 - 2022'!F26</f>
        <v>6.9700000000000273</v>
      </c>
      <c r="J21" s="16">
        <f>'04 - 2022'!G27-'04 - 2022'!G26</f>
        <v>37.260000000002037</v>
      </c>
      <c r="K21" s="14">
        <v>0.74</v>
      </c>
      <c r="L21" s="4">
        <v>72</v>
      </c>
      <c r="M21" s="11"/>
    </row>
    <row r="22" spans="1:13" x14ac:dyDescent="0.25">
      <c r="A22" t="s">
        <v>27</v>
      </c>
      <c r="B22">
        <f t="shared" si="0"/>
        <v>21</v>
      </c>
      <c r="C22" s="14">
        <v>4</v>
      </c>
      <c r="D22" s="14">
        <v>2022</v>
      </c>
      <c r="E22" s="16">
        <f>'04 - 2022'!B28-'04 - 2022'!B27</f>
        <v>3591</v>
      </c>
      <c r="F22" s="16">
        <f>'04 - 2022'!C28-'04 - 2022'!C27</f>
        <v>5440</v>
      </c>
      <c r="G22" s="14">
        <v>0.11799999999999999</v>
      </c>
      <c r="H22" s="16">
        <f>'04 - 2022'!E28-'04 - 2022'!E27</f>
        <v>24.360000000000014</v>
      </c>
      <c r="I22" s="16">
        <f>'04 - 2022'!F28-'04 - 2022'!F27</f>
        <v>7.1899999999998272</v>
      </c>
      <c r="J22" s="16">
        <f>'04 - 2022'!G28-'04 - 2022'!G27</f>
        <v>38.110000000000582</v>
      </c>
      <c r="K22" s="14">
        <v>0.74</v>
      </c>
      <c r="L22" s="16">
        <v>64</v>
      </c>
      <c r="M22" s="11"/>
    </row>
    <row r="23" spans="1:13" x14ac:dyDescent="0.25">
      <c r="A23" t="s">
        <v>27</v>
      </c>
      <c r="B23">
        <f t="shared" si="0"/>
        <v>22</v>
      </c>
      <c r="C23" s="14">
        <v>4</v>
      </c>
      <c r="D23" s="14">
        <v>2022</v>
      </c>
      <c r="E23" s="16">
        <f>'04 - 2022'!B29-'04 - 2022'!B28</f>
        <v>3596</v>
      </c>
      <c r="F23" s="16">
        <f>'04 - 2022'!C29-'04 - 2022'!C28</f>
        <v>5425</v>
      </c>
      <c r="G23" s="14">
        <v>0.11799999999999999</v>
      </c>
      <c r="H23" s="16">
        <f>'04 - 2022'!E29-'04 - 2022'!E28</f>
        <v>24</v>
      </c>
      <c r="I23" s="16">
        <f>'04 - 2022'!F29-'04 - 2022'!F28</f>
        <v>6.2100000000000364</v>
      </c>
      <c r="J23" s="16">
        <f>'04 - 2022'!G29-'04 - 2022'!G28</f>
        <v>35.229999999995925</v>
      </c>
      <c r="K23" s="14">
        <v>0.74</v>
      </c>
      <c r="L23" s="16">
        <v>63</v>
      </c>
      <c r="M23" s="11"/>
    </row>
    <row r="24" spans="1:13" x14ac:dyDescent="0.25">
      <c r="A24" t="s">
        <v>27</v>
      </c>
      <c r="B24">
        <f t="shared" si="0"/>
        <v>23</v>
      </c>
      <c r="C24" s="14">
        <v>4</v>
      </c>
      <c r="D24" s="14">
        <v>2022</v>
      </c>
      <c r="E24" s="16">
        <f>'04 - 2022'!B30-'04 - 2022'!B29</f>
        <v>3864</v>
      </c>
      <c r="F24" s="16">
        <f>'04 - 2022'!C30-'04 - 2022'!C29</f>
        <v>5654</v>
      </c>
      <c r="G24" s="14">
        <v>0.11799999999999999</v>
      </c>
      <c r="H24" s="16">
        <f>'04 - 2022'!E30-'04 - 2022'!E29</f>
        <v>24.279999999999973</v>
      </c>
      <c r="I24" s="16">
        <f>'04 - 2022'!F30-'04 - 2022'!F29</f>
        <v>6.9200000000000728</v>
      </c>
      <c r="J24" s="16">
        <f>'04 - 2022'!G30-'04 - 2022'!G29</f>
        <v>38.940000000002328</v>
      </c>
      <c r="K24" s="14">
        <v>0.74</v>
      </c>
      <c r="L24" s="16">
        <v>65</v>
      </c>
      <c r="M24" s="11"/>
    </row>
    <row r="25" spans="1:13" x14ac:dyDescent="0.25">
      <c r="A25" t="s">
        <v>27</v>
      </c>
      <c r="B25">
        <f t="shared" si="0"/>
        <v>24</v>
      </c>
      <c r="C25" s="14">
        <v>4</v>
      </c>
      <c r="D25" s="14">
        <v>2022</v>
      </c>
      <c r="E25" s="16">
        <f>'04 - 2022'!B31-'04 - 2022'!B30</f>
        <v>3868</v>
      </c>
      <c r="F25" s="16">
        <f>'04 - 2022'!C31-'04 - 2022'!C30</f>
        <v>5376</v>
      </c>
      <c r="G25" s="14">
        <v>0.11799999999999999</v>
      </c>
      <c r="H25" s="16">
        <f>'04 - 2022'!E31-'04 - 2022'!E30</f>
        <v>24.720000000000027</v>
      </c>
      <c r="I25" s="16">
        <f>'04 - 2022'!F31-'04 - 2022'!F30</f>
        <v>6.2999999999999545</v>
      </c>
      <c r="J25" s="16">
        <f>'04 - 2022'!G31-'04 - 2022'!G30</f>
        <v>37.169999999998254</v>
      </c>
      <c r="K25" s="14">
        <v>0.74</v>
      </c>
      <c r="L25" s="4">
        <v>57</v>
      </c>
      <c r="M25" s="11"/>
    </row>
    <row r="26" spans="1:13" x14ac:dyDescent="0.25">
      <c r="A26" t="s">
        <v>27</v>
      </c>
      <c r="B26">
        <f>B25+1</f>
        <v>25</v>
      </c>
      <c r="C26" s="14">
        <v>4</v>
      </c>
      <c r="D26" s="14">
        <v>2022</v>
      </c>
      <c r="E26" s="16">
        <f>'04 - 2022'!B32-'04 - 2022'!B31</f>
        <v>3608</v>
      </c>
      <c r="F26" s="16">
        <f>'04 - 2022'!C32-'04 - 2022'!C31</f>
        <v>5312</v>
      </c>
      <c r="G26" s="14">
        <v>0.11799999999999999</v>
      </c>
      <c r="H26" s="16">
        <f>'04 - 2022'!E32-'04 - 2022'!E31</f>
        <v>23.779999999999973</v>
      </c>
      <c r="I26" s="16">
        <f>'04 - 2022'!F32-'04 - 2022'!F31</f>
        <v>6.9000000000000909</v>
      </c>
      <c r="J26" s="16">
        <f>'04 - 2022'!G32-'04 - 2022'!G31</f>
        <v>36.680000000000291</v>
      </c>
      <c r="K26" s="14">
        <v>0.74</v>
      </c>
      <c r="L26" s="4">
        <v>51</v>
      </c>
      <c r="M26" s="11"/>
    </row>
    <row r="27" spans="1:13" x14ac:dyDescent="0.25">
      <c r="A27" t="s">
        <v>27</v>
      </c>
      <c r="B27">
        <f t="shared" si="0"/>
        <v>26</v>
      </c>
      <c r="C27" s="14">
        <v>4</v>
      </c>
      <c r="D27" s="14">
        <v>2022</v>
      </c>
      <c r="E27" s="16">
        <f>'04 - 2022'!B33-'04 - 2022'!B32</f>
        <v>3782</v>
      </c>
      <c r="F27" s="16">
        <f>'04 - 2022'!C33-'04 - 2022'!C32</f>
        <v>5442</v>
      </c>
      <c r="G27" s="14">
        <v>0.11799999999999999</v>
      </c>
      <c r="H27" s="16">
        <f>'04 - 2022'!E33-'04 - 2022'!E32</f>
        <v>24.049999999999955</v>
      </c>
      <c r="I27" s="16">
        <f>'04 - 2022'!F33-'04 - 2022'!F32</f>
        <v>5.7899999999999636</v>
      </c>
      <c r="J27" s="16">
        <f>'04 - 2022'!G33-'04 - 2022'!G32</f>
        <v>35.349999999998545</v>
      </c>
      <c r="K27" s="14">
        <v>0.74</v>
      </c>
      <c r="L27" s="16">
        <v>55</v>
      </c>
      <c r="M27" s="11"/>
    </row>
    <row r="28" spans="1:13" x14ac:dyDescent="0.25">
      <c r="A28" t="s">
        <v>27</v>
      </c>
      <c r="B28">
        <f t="shared" si="0"/>
        <v>27</v>
      </c>
      <c r="C28" s="14">
        <v>4</v>
      </c>
      <c r="D28" s="14">
        <v>2022</v>
      </c>
      <c r="E28" s="16">
        <f>'04 - 2022'!B34-'04 - 2022'!B33</f>
        <v>3787</v>
      </c>
      <c r="F28" s="16">
        <f>'04 - 2022'!C34-'04 - 2022'!C33</f>
        <v>5413</v>
      </c>
      <c r="G28" s="14">
        <v>0.11799999999999999</v>
      </c>
      <c r="H28" s="16">
        <f>'04 - 2022'!E34-'04 - 2022'!E33</f>
        <v>23.800000000000068</v>
      </c>
      <c r="I28" s="16">
        <f>'04 - 2022'!F34-'04 - 2022'!F33</f>
        <v>7.0999999999999091</v>
      </c>
      <c r="J28" s="16">
        <f>'04 - 2022'!G34-'04 - 2022'!G33</f>
        <v>37.5</v>
      </c>
      <c r="K28" s="14">
        <v>0.74</v>
      </c>
      <c r="L28" s="4">
        <v>58</v>
      </c>
      <c r="M28" s="11"/>
    </row>
    <row r="29" spans="1:13" x14ac:dyDescent="0.25">
      <c r="A29" t="s">
        <v>27</v>
      </c>
      <c r="B29">
        <f t="shared" si="0"/>
        <v>28</v>
      </c>
      <c r="C29" s="14">
        <v>4</v>
      </c>
      <c r="D29" s="14">
        <v>2022</v>
      </c>
      <c r="E29" s="16">
        <v>0</v>
      </c>
      <c r="F29" s="16">
        <v>0</v>
      </c>
      <c r="G29" s="14">
        <v>0.11799999999999999</v>
      </c>
      <c r="H29" s="16">
        <v>0</v>
      </c>
      <c r="I29" s="16">
        <v>0</v>
      </c>
      <c r="J29" s="16">
        <v>0</v>
      </c>
      <c r="K29" s="14">
        <v>0.74</v>
      </c>
      <c r="L29" s="4"/>
      <c r="M29" s="11"/>
    </row>
    <row r="30" spans="1:13" x14ac:dyDescent="0.25">
      <c r="A30" s="14" t="s">
        <v>27</v>
      </c>
      <c r="B30" s="14">
        <f t="shared" si="0"/>
        <v>29</v>
      </c>
      <c r="C30" s="14">
        <v>4</v>
      </c>
      <c r="D30" s="14">
        <v>2022</v>
      </c>
      <c r="E30" s="16">
        <v>0</v>
      </c>
      <c r="F30" s="16">
        <v>0</v>
      </c>
      <c r="G30" s="14">
        <v>0.11799999999999999</v>
      </c>
      <c r="H30" s="16">
        <v>0</v>
      </c>
      <c r="I30" s="16">
        <v>0</v>
      </c>
      <c r="J30" s="16">
        <v>0</v>
      </c>
      <c r="K30" s="14">
        <v>0.74</v>
      </c>
      <c r="L30" s="16"/>
    </row>
    <row r="31" spans="1:13" x14ac:dyDescent="0.25">
      <c r="A31" s="14" t="s">
        <v>27</v>
      </c>
      <c r="B31" s="14">
        <f t="shared" si="0"/>
        <v>30</v>
      </c>
      <c r="C31" s="14">
        <v>4</v>
      </c>
      <c r="D31" s="14">
        <v>2022</v>
      </c>
      <c r="E31" s="16">
        <f>'04 - 2022'!B37-'04 - 2022'!B36</f>
        <v>0</v>
      </c>
      <c r="F31" s="16">
        <f>'04 - 2022'!C37-'04 - 2022'!C36</f>
        <v>0</v>
      </c>
      <c r="G31" s="14">
        <v>0.11799999999999999</v>
      </c>
      <c r="H31" s="16">
        <f>'04 - 2022'!E37-'04 - 2022'!E36</f>
        <v>0</v>
      </c>
      <c r="I31" s="16">
        <f>'04 - 2022'!F37-'04 - 2022'!F36</f>
        <v>0</v>
      </c>
      <c r="J31" s="16">
        <f>'04 - 2022'!G37-'04 - 2022'!G36</f>
        <v>0</v>
      </c>
      <c r="K31" s="14">
        <v>0.74</v>
      </c>
      <c r="L31" s="16"/>
    </row>
  </sheetData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1"/>
  <sheetViews>
    <sheetView topLeftCell="A7" zoomScaleNormal="100" workbookViewId="0">
      <selection activeCell="G41" sqref="G41"/>
    </sheetView>
  </sheetViews>
  <sheetFormatPr defaultRowHeight="15" x14ac:dyDescent="0.25"/>
  <cols>
    <col min="1" max="1" width="13.5703125" style="14" customWidth="1"/>
    <col min="2" max="2" width="12.5703125" style="14" customWidth="1"/>
    <col min="3" max="3" width="13.140625" style="14" customWidth="1"/>
    <col min="4" max="4" width="9.85546875" style="14" customWidth="1"/>
    <col min="5" max="5" width="11.42578125" style="14" customWidth="1"/>
    <col min="6" max="6" width="11.7109375" style="14" customWidth="1"/>
    <col min="7" max="7" width="11.28515625" style="14" customWidth="1"/>
    <col min="8" max="9" width="13.5703125" style="14" customWidth="1"/>
    <col min="10" max="10" width="14.28515625" style="14" customWidth="1"/>
    <col min="11" max="11" width="16.42578125" style="14" customWidth="1"/>
    <col min="12" max="12" width="39" style="14" customWidth="1"/>
    <col min="13" max="13" width="14.140625" style="14" customWidth="1"/>
    <col min="14" max="16384" width="9.140625" style="14"/>
  </cols>
  <sheetData>
    <row r="1" spans="1:17" x14ac:dyDescent="0.25">
      <c r="H1" s="15"/>
      <c r="I1" s="15"/>
    </row>
    <row r="3" spans="1:17" ht="18.75" x14ac:dyDescent="0.3">
      <c r="A3" s="97" t="s">
        <v>30</v>
      </c>
      <c r="B3" s="97"/>
      <c r="C3" s="97"/>
      <c r="D3" s="97"/>
      <c r="E3" s="97"/>
      <c r="F3" s="97"/>
      <c r="G3" s="97"/>
      <c r="H3" s="97"/>
      <c r="I3" s="97"/>
      <c r="J3" s="97"/>
    </row>
    <row r="4" spans="1:17" ht="16.5" thickBot="1" x14ac:dyDescent="0.3">
      <c r="A4" s="98" t="s">
        <v>37</v>
      </c>
      <c r="B4" s="98"/>
      <c r="C4" s="98"/>
      <c r="D4" s="98"/>
      <c r="E4" s="98"/>
      <c r="F4" s="98"/>
      <c r="G4" s="98"/>
      <c r="H4" s="98"/>
      <c r="I4" s="98"/>
      <c r="J4" s="98"/>
    </row>
    <row r="5" spans="1:17" ht="16.5" thickBot="1" x14ac:dyDescent="0.3">
      <c r="A5" s="39"/>
      <c r="B5" s="99" t="s">
        <v>36</v>
      </c>
      <c r="C5" s="100"/>
      <c r="D5" s="99" t="s">
        <v>0</v>
      </c>
      <c r="E5" s="101"/>
      <c r="F5" s="101"/>
      <c r="G5" s="102"/>
      <c r="H5" s="103" t="s">
        <v>1</v>
      </c>
      <c r="I5" s="104"/>
      <c r="J5" s="62" t="s">
        <v>2</v>
      </c>
      <c r="K5" s="40"/>
    </row>
    <row r="6" spans="1:17" ht="12" customHeight="1" x14ac:dyDescent="0.25">
      <c r="A6" s="64" t="s">
        <v>3</v>
      </c>
      <c r="B6" s="65" t="s">
        <v>33</v>
      </c>
      <c r="C6" s="66" t="s">
        <v>34</v>
      </c>
      <c r="D6" s="66" t="s">
        <v>4</v>
      </c>
      <c r="E6" s="66" t="s">
        <v>5</v>
      </c>
      <c r="F6" s="66" t="s">
        <v>6</v>
      </c>
      <c r="G6" s="67" t="s">
        <v>7</v>
      </c>
      <c r="H6" s="66" t="s">
        <v>28</v>
      </c>
      <c r="I6" s="66" t="s">
        <v>29</v>
      </c>
      <c r="J6" s="66" t="s">
        <v>8</v>
      </c>
      <c r="K6" s="41" t="s">
        <v>31</v>
      </c>
      <c r="L6" s="68" t="s">
        <v>32</v>
      </c>
    </row>
    <row r="7" spans="1:17" s="12" customFormat="1" ht="12.95" customHeight="1" thickBot="1" x14ac:dyDescent="0.3">
      <c r="A7" s="69">
        <v>44286</v>
      </c>
      <c r="B7" s="70">
        <v>887019</v>
      </c>
      <c r="C7" s="71">
        <v>573506</v>
      </c>
      <c r="D7" s="72">
        <v>0.75</v>
      </c>
      <c r="E7" s="73">
        <v>384.24</v>
      </c>
      <c r="F7" s="74">
        <v>1886.87</v>
      </c>
      <c r="G7" s="74">
        <v>40166.97</v>
      </c>
      <c r="H7" s="70">
        <v>14528</v>
      </c>
      <c r="I7" s="70">
        <v>152554</v>
      </c>
      <c r="J7" s="70">
        <v>54402221</v>
      </c>
      <c r="K7" s="75">
        <v>4000</v>
      </c>
      <c r="L7" s="76"/>
      <c r="M7" s="17"/>
    </row>
    <row r="8" spans="1:17" s="28" customFormat="1" ht="12.95" customHeight="1" thickTop="1" x14ac:dyDescent="0.25">
      <c r="A8" s="77">
        <f>A7+1</f>
        <v>44287</v>
      </c>
      <c r="B8" s="78">
        <v>890858</v>
      </c>
      <c r="C8" s="78">
        <v>579185</v>
      </c>
      <c r="D8" s="79">
        <v>0.65</v>
      </c>
      <c r="E8" s="80">
        <v>410.33</v>
      </c>
      <c r="F8" s="56">
        <v>1894.12</v>
      </c>
      <c r="G8" s="78">
        <v>40211.1</v>
      </c>
      <c r="H8" s="78">
        <v>14528</v>
      </c>
      <c r="I8" s="78">
        <v>152682</v>
      </c>
      <c r="J8" s="78">
        <v>54422690</v>
      </c>
      <c r="K8" s="81"/>
      <c r="L8" s="82"/>
      <c r="M8" s="83"/>
    </row>
    <row r="9" spans="1:17" s="28" customFormat="1" ht="12.95" customHeight="1" x14ac:dyDescent="0.25">
      <c r="A9" s="77">
        <f t="shared" ref="A9:A37" si="0">A8+1</f>
        <v>44288</v>
      </c>
      <c r="B9" s="34">
        <v>894622</v>
      </c>
      <c r="C9" s="35">
        <v>585063</v>
      </c>
      <c r="D9" s="57">
        <v>0.57999999999999996</v>
      </c>
      <c r="E9" s="54">
        <v>434.76</v>
      </c>
      <c r="F9" s="26">
        <v>1902.56</v>
      </c>
      <c r="G9" s="26">
        <v>40255.19</v>
      </c>
      <c r="H9" s="34">
        <v>14528</v>
      </c>
      <c r="I9" s="36">
        <v>152800</v>
      </c>
      <c r="J9" s="36">
        <v>54442116</v>
      </c>
      <c r="K9" s="37"/>
      <c r="L9" s="84"/>
      <c r="M9" s="83"/>
    </row>
    <row r="10" spans="1:17" s="28" customFormat="1" ht="12.95" customHeight="1" x14ac:dyDescent="0.25">
      <c r="A10" s="77">
        <f t="shared" si="0"/>
        <v>44289</v>
      </c>
      <c r="B10" s="36">
        <v>898176</v>
      </c>
      <c r="C10" s="36">
        <v>590589</v>
      </c>
      <c r="D10" s="57">
        <v>0.48</v>
      </c>
      <c r="E10" s="54">
        <v>461</v>
      </c>
      <c r="F10" s="26">
        <v>1909.42</v>
      </c>
      <c r="G10" s="26">
        <v>40297.279999999999</v>
      </c>
      <c r="H10" s="34">
        <v>14528</v>
      </c>
      <c r="I10" s="36">
        <v>152906</v>
      </c>
      <c r="J10" s="58">
        <v>54462455</v>
      </c>
      <c r="K10" s="37"/>
      <c r="L10" s="84"/>
      <c r="M10" s="83"/>
    </row>
    <row r="11" spans="1:17" s="28" customFormat="1" ht="12.95" customHeight="1" x14ac:dyDescent="0.25">
      <c r="A11" s="77">
        <f t="shared" si="0"/>
        <v>44290</v>
      </c>
      <c r="B11" s="36">
        <v>901725</v>
      </c>
      <c r="C11" s="36">
        <v>596031</v>
      </c>
      <c r="D11" s="57">
        <v>0.4</v>
      </c>
      <c r="E11" s="54">
        <v>479.55</v>
      </c>
      <c r="F11" s="26">
        <v>1916.37</v>
      </c>
      <c r="G11" s="26">
        <v>40332.19</v>
      </c>
      <c r="H11" s="34">
        <v>14528</v>
      </c>
      <c r="I11" s="36">
        <v>152990</v>
      </c>
      <c r="J11" s="36">
        <v>54482209</v>
      </c>
      <c r="K11" s="37"/>
      <c r="L11" s="84"/>
      <c r="M11" s="83"/>
    </row>
    <row r="12" spans="1:17" s="28" customFormat="1" ht="12.95" customHeight="1" x14ac:dyDescent="0.25">
      <c r="A12" s="77">
        <f t="shared" si="0"/>
        <v>44291</v>
      </c>
      <c r="B12" s="34">
        <v>905180</v>
      </c>
      <c r="C12" s="34">
        <v>601292</v>
      </c>
      <c r="D12" s="57">
        <v>0.32</v>
      </c>
      <c r="E12" s="85">
        <v>500.07</v>
      </c>
      <c r="F12" s="34">
        <v>1922.24</v>
      </c>
      <c r="G12" s="34">
        <v>40368.47</v>
      </c>
      <c r="H12" s="34">
        <v>14528</v>
      </c>
      <c r="I12" s="34">
        <v>153083</v>
      </c>
      <c r="J12" s="34">
        <v>54501244</v>
      </c>
      <c r="K12" s="37"/>
      <c r="L12" s="84"/>
      <c r="M12" s="83"/>
      <c r="N12" s="27"/>
    </row>
    <row r="13" spans="1:17" s="28" customFormat="1" ht="12.95" customHeight="1" x14ac:dyDescent="0.25">
      <c r="A13" s="77">
        <f t="shared" si="0"/>
        <v>44292</v>
      </c>
      <c r="B13" s="46">
        <v>908680</v>
      </c>
      <c r="C13" s="35">
        <v>606629</v>
      </c>
      <c r="D13" s="57">
        <v>0.25</v>
      </c>
      <c r="E13" s="54">
        <v>523.39</v>
      </c>
      <c r="F13" s="26">
        <v>1929.64</v>
      </c>
      <c r="G13" s="26">
        <v>40406.25</v>
      </c>
      <c r="H13" s="36">
        <v>14528</v>
      </c>
      <c r="I13" s="35">
        <v>153185</v>
      </c>
      <c r="J13" s="35">
        <v>54521180</v>
      </c>
      <c r="K13" s="37"/>
      <c r="L13" s="84"/>
      <c r="M13" s="83"/>
      <c r="N13" s="29"/>
      <c r="O13" s="29"/>
      <c r="P13" s="29"/>
      <c r="Q13" s="29"/>
    </row>
    <row r="14" spans="1:17" s="28" customFormat="1" ht="12.95" customHeight="1" x14ac:dyDescent="0.25">
      <c r="A14" s="77">
        <f t="shared" si="0"/>
        <v>44293</v>
      </c>
      <c r="B14" s="46">
        <v>912150</v>
      </c>
      <c r="C14" s="35">
        <v>611907</v>
      </c>
      <c r="D14" s="57">
        <v>0.8</v>
      </c>
      <c r="E14" s="54">
        <v>544.48</v>
      </c>
      <c r="F14" s="26">
        <v>1935.6</v>
      </c>
      <c r="G14" s="26">
        <v>40439.410000000003</v>
      </c>
      <c r="H14" s="34">
        <v>14528</v>
      </c>
      <c r="I14" s="35">
        <v>153249</v>
      </c>
      <c r="J14" s="35">
        <v>54540617</v>
      </c>
      <c r="K14" s="37"/>
      <c r="L14" s="84"/>
      <c r="M14" s="83"/>
      <c r="N14" s="29"/>
      <c r="O14" s="29"/>
      <c r="P14" s="29"/>
      <c r="Q14" s="29"/>
    </row>
    <row r="15" spans="1:17" s="28" customFormat="1" ht="12.95" customHeight="1" x14ac:dyDescent="0.25">
      <c r="A15" s="77">
        <f t="shared" si="0"/>
        <v>44294</v>
      </c>
      <c r="B15" s="36">
        <v>915627</v>
      </c>
      <c r="C15" s="36">
        <v>617420</v>
      </c>
      <c r="D15" s="57">
        <v>0.73</v>
      </c>
      <c r="E15" s="54">
        <v>566.1</v>
      </c>
      <c r="F15" s="26">
        <v>1940.73</v>
      </c>
      <c r="G15" s="35">
        <v>40475.17</v>
      </c>
      <c r="H15" s="34">
        <v>14528</v>
      </c>
      <c r="I15" s="36">
        <v>153338</v>
      </c>
      <c r="J15" s="36">
        <v>54560141</v>
      </c>
      <c r="K15" s="37"/>
      <c r="L15" s="84"/>
      <c r="M15" s="83"/>
      <c r="N15" s="29"/>
      <c r="O15" s="29"/>
      <c r="P15" s="29"/>
      <c r="Q15" s="29"/>
    </row>
    <row r="16" spans="1:17" s="28" customFormat="1" ht="12.95" customHeight="1" x14ac:dyDescent="0.25">
      <c r="A16" s="77">
        <f t="shared" si="0"/>
        <v>44295</v>
      </c>
      <c r="B16" s="34">
        <v>919199</v>
      </c>
      <c r="C16" s="92">
        <v>623179</v>
      </c>
      <c r="D16" s="93">
        <v>0.65</v>
      </c>
      <c r="E16" s="94">
        <v>588.77</v>
      </c>
      <c r="F16" s="95">
        <v>1947.18</v>
      </c>
      <c r="G16" s="96">
        <v>40512.17</v>
      </c>
      <c r="H16" s="92">
        <v>14528</v>
      </c>
      <c r="I16" s="92">
        <v>153434</v>
      </c>
      <c r="J16" s="92">
        <v>54580444</v>
      </c>
      <c r="K16" s="37"/>
      <c r="L16" s="84"/>
      <c r="M16" s="83"/>
      <c r="N16" s="29"/>
      <c r="O16" s="29"/>
      <c r="P16" s="29"/>
      <c r="Q16" s="29"/>
    </row>
    <row r="17" spans="1:19" s="28" customFormat="1" ht="12.95" customHeight="1" x14ac:dyDescent="0.25">
      <c r="A17" s="77">
        <f t="shared" si="0"/>
        <v>44296</v>
      </c>
      <c r="B17" s="34">
        <v>922527</v>
      </c>
      <c r="C17" s="92">
        <v>628546</v>
      </c>
      <c r="D17" s="93">
        <v>0.57999999999999996</v>
      </c>
      <c r="E17" s="94">
        <v>609.51</v>
      </c>
      <c r="F17" s="95">
        <v>1952.57</v>
      </c>
      <c r="G17" s="96">
        <v>40550</v>
      </c>
      <c r="H17" s="92">
        <v>14528</v>
      </c>
      <c r="I17" s="92">
        <v>153528</v>
      </c>
      <c r="J17" s="92">
        <v>54599380</v>
      </c>
      <c r="K17" s="37"/>
      <c r="L17" s="84"/>
      <c r="M17" s="83"/>
      <c r="N17" s="29"/>
      <c r="O17" s="29"/>
      <c r="P17" s="29"/>
      <c r="Q17" s="29"/>
    </row>
    <row r="18" spans="1:19" s="28" customFormat="1" ht="12.95" customHeight="1" x14ac:dyDescent="0.25">
      <c r="A18" s="77">
        <f t="shared" si="0"/>
        <v>44297</v>
      </c>
      <c r="B18" s="86">
        <v>925891</v>
      </c>
      <c r="C18" s="92">
        <v>633818</v>
      </c>
      <c r="D18" s="93">
        <v>0.5</v>
      </c>
      <c r="E18" s="94">
        <v>632.17999999999995</v>
      </c>
      <c r="F18" s="95">
        <v>1958.22</v>
      </c>
      <c r="G18" s="96">
        <v>40594.32</v>
      </c>
      <c r="H18" s="92">
        <v>14528</v>
      </c>
      <c r="I18" s="92">
        <v>153610</v>
      </c>
      <c r="J18" s="92">
        <v>54618586</v>
      </c>
      <c r="K18" s="37"/>
      <c r="L18" s="84"/>
      <c r="M18" s="83"/>
      <c r="N18" s="29"/>
      <c r="O18" s="30"/>
      <c r="P18" s="29"/>
      <c r="Q18" s="29"/>
    </row>
    <row r="19" spans="1:19" s="28" customFormat="1" ht="12.95" customHeight="1" x14ac:dyDescent="0.25">
      <c r="A19" s="77">
        <f t="shared" si="0"/>
        <v>44298</v>
      </c>
      <c r="B19" s="47">
        <v>929323</v>
      </c>
      <c r="C19" s="47">
        <v>639203</v>
      </c>
      <c r="D19" s="57">
        <v>0.4</v>
      </c>
      <c r="E19" s="60">
        <v>654.41</v>
      </c>
      <c r="F19" s="26">
        <v>1964.33</v>
      </c>
      <c r="G19" s="48">
        <v>40624.959999999999</v>
      </c>
      <c r="H19" s="34">
        <v>14528</v>
      </c>
      <c r="I19" s="47">
        <v>153712</v>
      </c>
      <c r="J19" s="47">
        <v>54639552</v>
      </c>
      <c r="K19" s="37"/>
      <c r="L19" s="84"/>
      <c r="M19" s="83"/>
      <c r="N19" s="29"/>
      <c r="O19" s="30"/>
      <c r="P19" s="29"/>
      <c r="Q19" s="29"/>
    </row>
    <row r="20" spans="1:19" s="28" customFormat="1" ht="12.95" customHeight="1" x14ac:dyDescent="0.25">
      <c r="A20" s="77">
        <f t="shared" si="0"/>
        <v>44299</v>
      </c>
      <c r="B20" s="47">
        <v>932692</v>
      </c>
      <c r="C20" s="47">
        <v>644619</v>
      </c>
      <c r="D20" s="57">
        <v>0.32</v>
      </c>
      <c r="E20" s="60">
        <v>673.89</v>
      </c>
      <c r="F20" s="26">
        <v>1971.45</v>
      </c>
      <c r="G20" s="48">
        <v>40661.089999999997</v>
      </c>
      <c r="H20" s="34">
        <v>14528</v>
      </c>
      <c r="I20" s="47">
        <v>153819</v>
      </c>
      <c r="J20" s="47">
        <v>54660488</v>
      </c>
      <c r="K20" s="37"/>
      <c r="L20" s="84"/>
      <c r="M20" s="83"/>
      <c r="N20" s="31"/>
      <c r="O20" s="29"/>
      <c r="P20" s="29"/>
      <c r="Q20" s="29"/>
    </row>
    <row r="21" spans="1:19" s="28" customFormat="1" ht="12.95" customHeight="1" x14ac:dyDescent="0.25">
      <c r="A21" s="77">
        <f t="shared" si="0"/>
        <v>44300</v>
      </c>
      <c r="B21" s="47">
        <v>936190</v>
      </c>
      <c r="C21" s="47">
        <v>650133</v>
      </c>
      <c r="D21" s="57">
        <v>0.25</v>
      </c>
      <c r="E21" s="60">
        <v>695.5</v>
      </c>
      <c r="F21" s="26">
        <v>1978.98</v>
      </c>
      <c r="G21" s="48">
        <v>40700.160000000003</v>
      </c>
      <c r="H21" s="36">
        <v>14528</v>
      </c>
      <c r="I21" s="47">
        <v>153916</v>
      </c>
      <c r="J21" s="47">
        <v>54680768</v>
      </c>
      <c r="K21" s="37"/>
      <c r="L21" s="84"/>
      <c r="M21" s="83"/>
      <c r="N21" s="31"/>
      <c r="O21" s="31"/>
      <c r="P21" s="32"/>
      <c r="Q21" s="32"/>
      <c r="S21" s="27"/>
    </row>
    <row r="22" spans="1:19" s="28" customFormat="1" ht="12.95" customHeight="1" x14ac:dyDescent="0.25">
      <c r="A22" s="77">
        <f t="shared" si="0"/>
        <v>44301</v>
      </c>
      <c r="B22" s="34">
        <v>939694</v>
      </c>
      <c r="C22" s="86">
        <v>655533</v>
      </c>
      <c r="D22" s="57">
        <v>0.78</v>
      </c>
      <c r="E22" s="60">
        <v>716.29</v>
      </c>
      <c r="F22" s="26">
        <v>1986.7</v>
      </c>
      <c r="G22" s="48">
        <v>40738.5</v>
      </c>
      <c r="H22" s="36">
        <v>14528</v>
      </c>
      <c r="I22" s="48">
        <v>154019</v>
      </c>
      <c r="J22" s="47">
        <v>54702511</v>
      </c>
      <c r="K22" s="37"/>
      <c r="L22" s="84"/>
      <c r="M22" s="83"/>
      <c r="N22" s="31"/>
      <c r="O22" s="31"/>
      <c r="P22" s="29"/>
      <c r="Q22" s="29"/>
    </row>
    <row r="23" spans="1:19" s="28" customFormat="1" ht="12.95" customHeight="1" x14ac:dyDescent="0.25">
      <c r="A23" s="77">
        <f t="shared" si="0"/>
        <v>44302</v>
      </c>
      <c r="B23" s="47">
        <v>943415</v>
      </c>
      <c r="C23" s="47">
        <v>661303</v>
      </c>
      <c r="D23" s="57">
        <v>0.7</v>
      </c>
      <c r="E23" s="60">
        <v>744.2</v>
      </c>
      <c r="F23" s="26">
        <v>1993.9</v>
      </c>
      <c r="G23" s="48">
        <v>40779.18</v>
      </c>
      <c r="H23" s="36">
        <v>14528</v>
      </c>
      <c r="I23" s="47">
        <v>154134</v>
      </c>
      <c r="J23" s="47">
        <v>54725839</v>
      </c>
      <c r="K23" s="37"/>
      <c r="L23" s="84"/>
      <c r="M23" s="83"/>
      <c r="N23" s="31"/>
      <c r="O23" s="29"/>
      <c r="P23" s="29"/>
      <c r="Q23" s="29"/>
    </row>
    <row r="24" spans="1:19" s="28" customFormat="1" ht="12.95" customHeight="1" x14ac:dyDescent="0.25">
      <c r="A24" s="77">
        <f t="shared" si="0"/>
        <v>44303</v>
      </c>
      <c r="B24" s="47">
        <v>946896</v>
      </c>
      <c r="C24" s="47">
        <v>666824</v>
      </c>
      <c r="D24" s="57">
        <v>0.62</v>
      </c>
      <c r="E24" s="54">
        <v>768.07</v>
      </c>
      <c r="F24" s="26">
        <v>1999.72</v>
      </c>
      <c r="G24" s="48">
        <v>40818.699999999997</v>
      </c>
      <c r="H24" s="36">
        <v>14528</v>
      </c>
      <c r="I24" s="47">
        <v>154228</v>
      </c>
      <c r="J24" s="47">
        <v>54749850</v>
      </c>
      <c r="K24" s="37"/>
      <c r="L24" s="87"/>
      <c r="M24" s="83"/>
      <c r="N24" s="31"/>
      <c r="O24" s="31"/>
      <c r="P24" s="29"/>
      <c r="Q24" s="29"/>
    </row>
    <row r="25" spans="1:19" s="28" customFormat="1" ht="12.95" customHeight="1" x14ac:dyDescent="0.25">
      <c r="A25" s="77">
        <f t="shared" si="0"/>
        <v>44304</v>
      </c>
      <c r="B25" s="48">
        <v>950424</v>
      </c>
      <c r="C25" s="48">
        <v>672297</v>
      </c>
      <c r="D25" s="59">
        <v>0.54</v>
      </c>
      <c r="E25" s="60">
        <v>791.81</v>
      </c>
      <c r="F25" s="26">
        <v>2005.94</v>
      </c>
      <c r="G25" s="48">
        <v>40857.18</v>
      </c>
      <c r="H25" s="36">
        <v>14528</v>
      </c>
      <c r="I25" s="47">
        <v>154329</v>
      </c>
      <c r="J25" s="47">
        <v>54773561</v>
      </c>
      <c r="K25" s="38"/>
      <c r="L25" s="87"/>
      <c r="M25" s="83"/>
      <c r="N25" s="31"/>
      <c r="O25" s="31"/>
      <c r="P25" s="29"/>
      <c r="Q25" s="29"/>
    </row>
    <row r="26" spans="1:19" s="28" customFormat="1" ht="12.95" customHeight="1" x14ac:dyDescent="0.25">
      <c r="A26" s="77">
        <f t="shared" si="0"/>
        <v>44305</v>
      </c>
      <c r="B26" s="48">
        <v>954147</v>
      </c>
      <c r="C26" s="48">
        <v>677717</v>
      </c>
      <c r="D26" s="59">
        <v>0.48</v>
      </c>
      <c r="E26" s="60">
        <v>814.6</v>
      </c>
      <c r="F26" s="26">
        <v>2012.45</v>
      </c>
      <c r="G26" s="48">
        <v>40895.360000000001</v>
      </c>
      <c r="H26" s="34">
        <v>14528</v>
      </c>
      <c r="I26" s="47">
        <v>154425</v>
      </c>
      <c r="J26" s="47">
        <v>54793416</v>
      </c>
      <c r="K26" s="37"/>
      <c r="L26" s="87"/>
      <c r="M26" s="83"/>
      <c r="N26" s="31"/>
      <c r="O26" s="31"/>
      <c r="P26" s="29"/>
      <c r="Q26" s="29"/>
    </row>
    <row r="27" spans="1:19" s="28" customFormat="1" ht="12.95" customHeight="1" x14ac:dyDescent="0.25">
      <c r="A27" s="77">
        <f t="shared" si="0"/>
        <v>44306</v>
      </c>
      <c r="B27" s="47">
        <v>957763</v>
      </c>
      <c r="C27" s="47">
        <v>682975</v>
      </c>
      <c r="D27" s="57">
        <v>0.4</v>
      </c>
      <c r="E27" s="54">
        <v>836.74</v>
      </c>
      <c r="F27" s="26">
        <v>2019.42</v>
      </c>
      <c r="G27" s="48">
        <v>40932.620000000003</v>
      </c>
      <c r="H27" s="34">
        <v>14528</v>
      </c>
      <c r="I27" s="47">
        <v>154530</v>
      </c>
      <c r="J27" s="47">
        <v>54812376</v>
      </c>
      <c r="K27" s="37"/>
      <c r="L27" s="84"/>
      <c r="M27" s="83"/>
    </row>
    <row r="28" spans="1:19" s="28" customFormat="1" ht="12.95" customHeight="1" x14ac:dyDescent="0.25">
      <c r="A28" s="77">
        <f t="shared" si="0"/>
        <v>44307</v>
      </c>
      <c r="B28" s="49">
        <v>961354</v>
      </c>
      <c r="C28" s="47">
        <v>688415</v>
      </c>
      <c r="D28" s="57">
        <v>0.78</v>
      </c>
      <c r="E28" s="60">
        <v>861.1</v>
      </c>
      <c r="F28" s="26">
        <v>2026.61</v>
      </c>
      <c r="G28" s="48">
        <v>40970.730000000003</v>
      </c>
      <c r="H28" s="36">
        <v>14528</v>
      </c>
      <c r="I28" s="47">
        <v>154633</v>
      </c>
      <c r="J28" s="47">
        <v>54833824</v>
      </c>
      <c r="K28" s="37"/>
      <c r="L28" s="84"/>
      <c r="M28" s="83"/>
    </row>
    <row r="29" spans="1:19" s="28" customFormat="1" ht="12.95" customHeight="1" x14ac:dyDescent="0.25">
      <c r="A29" s="77">
        <f t="shared" si="0"/>
        <v>44308</v>
      </c>
      <c r="B29" s="47">
        <v>964950</v>
      </c>
      <c r="C29" s="47">
        <v>693840</v>
      </c>
      <c r="D29" s="57">
        <v>0.7</v>
      </c>
      <c r="E29" s="60">
        <v>885.1</v>
      </c>
      <c r="F29" s="26">
        <v>2032.82</v>
      </c>
      <c r="G29" s="48">
        <v>41005.96</v>
      </c>
      <c r="H29" s="36">
        <v>14528</v>
      </c>
      <c r="I29" s="47">
        <v>154729</v>
      </c>
      <c r="J29" s="47">
        <v>54855856</v>
      </c>
      <c r="K29" s="37"/>
      <c r="L29" s="84"/>
      <c r="M29" s="83"/>
      <c r="N29" s="27"/>
    </row>
    <row r="30" spans="1:19" s="28" customFormat="1" ht="12.95" customHeight="1" x14ac:dyDescent="0.25">
      <c r="A30" s="77">
        <f t="shared" si="0"/>
        <v>44309</v>
      </c>
      <c r="B30" s="47">
        <v>968814</v>
      </c>
      <c r="C30" s="47">
        <v>699494</v>
      </c>
      <c r="D30" s="57">
        <v>0.62</v>
      </c>
      <c r="E30" s="60">
        <v>909.38</v>
      </c>
      <c r="F30" s="26">
        <v>2039.74</v>
      </c>
      <c r="G30" s="48">
        <v>41044.9</v>
      </c>
      <c r="H30" s="36">
        <v>14528</v>
      </c>
      <c r="I30" s="47">
        <v>154834</v>
      </c>
      <c r="J30" s="47">
        <v>54878103</v>
      </c>
      <c r="K30" s="37"/>
      <c r="L30" s="84"/>
      <c r="M30" s="83"/>
    </row>
    <row r="31" spans="1:19" s="28" customFormat="1" ht="12.95" customHeight="1" x14ac:dyDescent="0.25">
      <c r="A31" s="77">
        <f t="shared" si="0"/>
        <v>44310</v>
      </c>
      <c r="B31" s="47">
        <v>972682</v>
      </c>
      <c r="C31" s="47">
        <v>704870</v>
      </c>
      <c r="D31" s="57">
        <v>0.52</v>
      </c>
      <c r="E31" s="60">
        <v>934.1</v>
      </c>
      <c r="F31" s="26">
        <v>2046.04</v>
      </c>
      <c r="G31" s="48">
        <v>41082.07</v>
      </c>
      <c r="H31" s="36">
        <v>14528</v>
      </c>
      <c r="I31" s="47">
        <v>154932</v>
      </c>
      <c r="J31" s="47">
        <v>54900034</v>
      </c>
      <c r="K31" s="37"/>
      <c r="L31" s="88"/>
      <c r="M31" s="83"/>
      <c r="N31" s="27"/>
      <c r="O31" s="27"/>
    </row>
    <row r="32" spans="1:19" s="28" customFormat="1" ht="12.95" customHeight="1" x14ac:dyDescent="0.25">
      <c r="A32" s="77">
        <f t="shared" si="0"/>
        <v>44311</v>
      </c>
      <c r="B32" s="47">
        <v>976290</v>
      </c>
      <c r="C32" s="47">
        <v>710182</v>
      </c>
      <c r="D32" s="57">
        <v>0.45</v>
      </c>
      <c r="E32" s="60">
        <v>957.88</v>
      </c>
      <c r="F32" s="26">
        <v>2052.94</v>
      </c>
      <c r="G32" s="48">
        <v>41118.75</v>
      </c>
      <c r="H32" s="36">
        <v>14528</v>
      </c>
      <c r="I32" s="47">
        <v>155022</v>
      </c>
      <c r="J32" s="47">
        <v>54924118</v>
      </c>
      <c r="K32" s="37"/>
      <c r="L32" s="88"/>
      <c r="M32" s="83"/>
      <c r="N32" s="27"/>
      <c r="O32" s="27"/>
    </row>
    <row r="33" spans="1:16" s="28" customFormat="1" ht="12.95" customHeight="1" x14ac:dyDescent="0.25">
      <c r="A33" s="77">
        <f t="shared" si="0"/>
        <v>44312</v>
      </c>
      <c r="B33" s="47">
        <v>980072</v>
      </c>
      <c r="C33" s="47">
        <v>715624</v>
      </c>
      <c r="D33" s="57">
        <v>0.36</v>
      </c>
      <c r="E33" s="60">
        <v>981.93</v>
      </c>
      <c r="F33" s="26">
        <v>2058.73</v>
      </c>
      <c r="G33" s="48">
        <v>41154.1</v>
      </c>
      <c r="H33" s="36">
        <v>14528</v>
      </c>
      <c r="I33" s="47">
        <v>155122</v>
      </c>
      <c r="J33" s="47">
        <v>54948184</v>
      </c>
      <c r="K33" s="37"/>
      <c r="L33" s="84"/>
      <c r="M33" s="89"/>
      <c r="N33" s="27"/>
      <c r="O33" s="27"/>
    </row>
    <row r="34" spans="1:16" s="28" customFormat="1" ht="12.95" customHeight="1" x14ac:dyDescent="0.25">
      <c r="A34" s="77">
        <f t="shared" si="0"/>
        <v>44313</v>
      </c>
      <c r="B34" s="48">
        <v>983859</v>
      </c>
      <c r="C34" s="50">
        <v>721037</v>
      </c>
      <c r="D34" s="59">
        <v>0.28000000000000003</v>
      </c>
      <c r="E34" s="60">
        <v>1005.73</v>
      </c>
      <c r="F34" s="26">
        <v>2065.83</v>
      </c>
      <c r="G34" s="48">
        <v>41191.599999999999</v>
      </c>
      <c r="H34" s="36">
        <v>14528</v>
      </c>
      <c r="I34" s="48">
        <v>155218</v>
      </c>
      <c r="J34" s="48">
        <v>54971300</v>
      </c>
      <c r="K34" s="37"/>
      <c r="L34" s="84"/>
      <c r="M34" s="89"/>
      <c r="N34" s="27"/>
      <c r="P34" s="27"/>
    </row>
    <row r="35" spans="1:16" s="28" customFormat="1" ht="12.95" customHeight="1" x14ac:dyDescent="0.25">
      <c r="A35" s="77">
        <f>A34+1</f>
        <v>44314</v>
      </c>
      <c r="B35" s="48"/>
      <c r="C35" s="50"/>
      <c r="D35" s="59"/>
      <c r="E35" s="60"/>
      <c r="F35" s="26"/>
      <c r="G35" s="48"/>
      <c r="H35" s="36"/>
      <c r="I35" s="48"/>
      <c r="J35" s="48"/>
      <c r="K35" s="37"/>
      <c r="L35" s="84"/>
      <c r="M35" s="83"/>
      <c r="N35" s="27"/>
      <c r="O35" s="27"/>
    </row>
    <row r="36" spans="1:16" s="28" customFormat="1" ht="12.95" customHeight="1" x14ac:dyDescent="0.25">
      <c r="A36" s="42">
        <f t="shared" si="0"/>
        <v>44315</v>
      </c>
      <c r="B36" s="36"/>
      <c r="C36" s="55"/>
      <c r="D36" s="57"/>
      <c r="E36" s="54"/>
      <c r="F36" s="35"/>
      <c r="G36" s="35"/>
      <c r="H36" s="36"/>
      <c r="I36" s="36"/>
      <c r="J36" s="36"/>
      <c r="K36" s="37"/>
      <c r="L36" s="84"/>
      <c r="M36" s="83"/>
      <c r="N36" s="27"/>
      <c r="O36" s="27"/>
    </row>
    <row r="37" spans="1:16" s="28" customFormat="1" ht="12.95" customHeight="1" thickBot="1" x14ac:dyDescent="0.3">
      <c r="A37" s="90">
        <f t="shared" si="0"/>
        <v>44316</v>
      </c>
      <c r="B37" s="51"/>
      <c r="C37" s="52"/>
      <c r="D37" s="63"/>
      <c r="E37" s="61"/>
      <c r="F37" s="53"/>
      <c r="G37" s="53"/>
      <c r="H37" s="51"/>
      <c r="I37" s="51"/>
      <c r="J37" s="51"/>
      <c r="K37" s="43"/>
      <c r="L37" s="91"/>
      <c r="M37" s="83"/>
      <c r="N37" s="27"/>
      <c r="O37" s="27"/>
    </row>
    <row r="38" spans="1:16" s="28" customFormat="1" ht="12.95" customHeight="1" x14ac:dyDescent="0.25">
      <c r="A38" s="44" t="s">
        <v>35</v>
      </c>
      <c r="B38" s="45">
        <f t="shared" ref="B38:J38" si="1">B37-B7</f>
        <v>-887019</v>
      </c>
      <c r="C38" s="45">
        <f t="shared" si="1"/>
        <v>-573506</v>
      </c>
      <c r="D38" s="45">
        <f t="shared" si="1"/>
        <v>-0.75</v>
      </c>
      <c r="E38" s="45">
        <f t="shared" si="1"/>
        <v>-384.24</v>
      </c>
      <c r="F38" s="45">
        <f t="shared" si="1"/>
        <v>-1886.87</v>
      </c>
      <c r="G38" s="45">
        <f t="shared" si="1"/>
        <v>-40166.97</v>
      </c>
      <c r="H38" s="45">
        <f t="shared" si="1"/>
        <v>-14528</v>
      </c>
      <c r="I38" s="45">
        <f t="shared" si="1"/>
        <v>-152554</v>
      </c>
      <c r="J38" s="45">
        <f t="shared" si="1"/>
        <v>-54402221</v>
      </c>
      <c r="K38" s="45">
        <f>SUM(K7:K37)</f>
        <v>4000</v>
      </c>
      <c r="L38" s="14"/>
      <c r="M38" s="14"/>
      <c r="N38" s="27"/>
      <c r="O38" s="27"/>
    </row>
    <row r="39" spans="1:16" s="33" customFormat="1" x14ac:dyDescent="0.25">
      <c r="A39" s="14"/>
      <c r="B39" s="14"/>
      <c r="C39" s="45"/>
      <c r="D39" s="14"/>
      <c r="E39" s="16"/>
      <c r="F39" s="16"/>
      <c r="G39" s="16"/>
      <c r="H39" s="13">
        <f>H38*219.969</f>
        <v>-3195709.6319999998</v>
      </c>
      <c r="I39" s="45">
        <f>I38*219.969</f>
        <v>-33557150.825999998</v>
      </c>
      <c r="J39" s="16"/>
      <c r="K39" s="14"/>
      <c r="L39" s="14"/>
      <c r="M39" s="14"/>
    </row>
    <row r="40" spans="1:16" s="33" customFormat="1" x14ac:dyDescent="0.25">
      <c r="A40" s="14"/>
      <c r="B40" s="14"/>
      <c r="C40" s="45"/>
      <c r="D40" s="14"/>
      <c r="E40" s="16"/>
      <c r="F40" s="16"/>
      <c r="G40" s="16"/>
      <c r="H40" s="13">
        <f>H39*219.969</f>
        <v>-702957052.04140794</v>
      </c>
      <c r="I40" s="45">
        <f>I39*219.969</f>
        <v>-7381532910.0443935</v>
      </c>
      <c r="J40" s="16"/>
      <c r="K40" s="14"/>
      <c r="L40" s="14"/>
    </row>
    <row r="41" spans="1:16" x14ac:dyDescent="0.25">
      <c r="C41" s="25"/>
      <c r="I41" s="24"/>
    </row>
  </sheetData>
  <mergeCells count="5">
    <mergeCell ref="A3:J3"/>
    <mergeCell ref="A4:J4"/>
    <mergeCell ref="B5:C5"/>
    <mergeCell ref="D5:G5"/>
    <mergeCell ref="H5:I5"/>
  </mergeCells>
  <printOptions horizontalCentered="1"/>
  <pageMargins left="0.7" right="0.7" top="0.75" bottom="0.75" header="0.3" footer="0.3"/>
  <pageSetup scale="9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Total Daily </vt:lpstr>
      <vt:lpstr>Submetering Daily </vt:lpstr>
      <vt:lpstr>04 - 2022</vt:lpstr>
      <vt:lpstr>'04 - 2022'!Print_Area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Bethelrose Diumano</dc:creator>
  <cp:lastModifiedBy>Bethelrose Diumano</cp:lastModifiedBy>
  <cp:lastPrinted>2020-05-02T15:33:01Z</cp:lastPrinted>
  <dcterms:created xsi:type="dcterms:W3CDTF">2017-04-26T09:20:12Z</dcterms:created>
  <dcterms:modified xsi:type="dcterms:W3CDTF">2022-04-27T09:47:30Z</dcterms:modified>
</cp:coreProperties>
</file>