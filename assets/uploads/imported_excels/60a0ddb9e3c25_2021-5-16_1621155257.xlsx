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filterPrivacy="1" defaultThemeVersion="124226"/>
  <xr:revisionPtr revIDLastSave="0" documentId="13_ncr:1_{C7C49D72-6A51-42AE-B4C4-E17DDB16D9D5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8" l="1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V6" i="2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M5" i="3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<sst xmlns="http://schemas.openxmlformats.org/spreadsheetml/2006/main" count="201" uniqueCount="128">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</sst>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-393190</c:v>
                </c:pt>
                <c:pt idx="1">
                  <c:v>-2233200</c:v>
                </c:pt>
                <c:pt idx="2">
                  <c:v>-216090</c:v>
                </c:pt>
                <c:pt idx="3">
                  <c:v>-852900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-49363</c:v>
                </c:pt>
                <c:pt idx="1">
                  <c:v>0.181183863283501</c:v>
                </c:pt>
                <c:pt idx="2" formatCode="_(* #,##0.00_);_(* \(#,##0.00\);_(* &quot;-&quot;??_);_(@_)">
                  <c:v>-194353</c:v>
                </c:pt>
                <c:pt idx="3">
                  <c:v>0.71336076374487511</c:v>
                </c:pt>
                <c:pt idx="4" formatCode="0.00">
                  <c:v>-26423</c:v>
                </c:pt>
                <c:pt idx="5">
                  <c:v>9.698400055790668E-2</c:v>
                </c:pt>
                <c:pt idx="6" formatCode="0.00">
                  <c:v>-35295</c:v>
                </c:pt>
                <c:pt idx="7">
                  <c:v>0.12954813229729084</c:v>
                </c:pt>
                <c:pt idx="8" formatCode="0.00">
                  <c:v>-5973</c:v>
                </c:pt>
                <c:pt idx="9">
                  <c:v>2.192353008107999E-2</c:v>
                </c:pt>
                <c:pt idx="10" formatCode="0.00">
                  <c:v>-403</c:v>
                </c:pt>
                <c:pt idx="11">
                  <c:v>1.4791867776117924E-3</c:v>
                </c:pt>
                <c:pt idx="12" formatCode="0.00">
                  <c:v>-66885</c:v>
                </c:pt>
                <c:pt idx="13">
                  <c:v>0.24549728938105392</c:v>
                </c:pt>
                <c:pt idx="14" formatCode="_(* #,##0.00_);_(* \(#,##0.00\);_(* &quot;-&quot;??_);_(@_)">
                  <c:v>-244163</c:v>
                </c:pt>
                <c:pt idx="15">
                  <c:v>0.89618531310676941</c:v>
                </c:pt>
                <c:pt idx="16" formatCode="0.00">
                  <c:v>-110631</c:v>
                </c:pt>
                <c:pt idx="17">
                  <c:v>0.40606429874434291</c:v>
                </c:pt>
                <c:pt idx="18" formatCode="0.00">
                  <c:v>-19342</c:v>
                </c:pt>
                <c:pt idx="19">
                  <c:v>7.099362444805779E-2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-272447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-752831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863744"/>
        <c:axId val="138865280"/>
      </c:barChart>
      <c:catAx>
        <c:axId val="138863744"/>
        <c:scaling>
          <c:orientation val="minMax"/>
        </c:scaling>
        <c:delete val="1"/>
        <c:axPos val="b"/>
        <c:majorTickMark val="none"/>
        <c:minorTickMark val="none"/>
        <c:tickLblPos val="nextTo"/>
        <c:crossAx val="138865280"/>
        <c:crosses val="autoZero"/>
        <c:auto val="1"/>
        <c:lblAlgn val="ctr"/>
        <c:lblOffset val="100"/>
        <c:noMultiLvlLbl val="0"/>
      </c:catAx>
      <c:valAx>
        <c:axId val="13886528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38863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15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5</v>
      </c>
      <c r="D2" s="46">
        <v>2021</v>
      </c>
      <c r="E2" s="107">
        <v>22430.000000000291</v>
      </c>
      <c r="F2" s="48">
        <v>0.14000000000000001</v>
      </c>
      <c r="G2" s="107">
        <v>6219</v>
      </c>
      <c r="H2" s="48">
        <v>0.4453480216384178</v>
      </c>
      <c r="I2" s="65">
        <v>252</v>
      </c>
      <c r="J2" s="76">
        <v>0.4</v>
      </c>
      <c r="K2" s="108"/>
      <c r="L2" s="76">
        <v>1.5287027707808565</v>
      </c>
      <c r="M2" s="72">
        <v>25</v>
      </c>
      <c r="N2" s="72">
        <v>65</v>
      </c>
      <c r="O2" s="72">
        <v>186</v>
      </c>
    </row>
    <row r="3" spans="1:15" ht="15" x14ac:dyDescent="0.25">
      <c r="A3" s="45" t="s">
        <v>9</v>
      </c>
      <c r="B3" s="46">
        <f>B2+1</f>
        <v>2</v>
      </c>
      <c r="C3" s="47">
        <v>5</v>
      </c>
      <c r="D3" s="46">
        <v>2021</v>
      </c>
      <c r="E3" s="107">
        <v>24299.999999999047</v>
      </c>
      <c r="F3" s="48">
        <v>0.14000000000000001</v>
      </c>
      <c r="G3" s="107">
        <v>6856</v>
      </c>
      <c r="H3" s="48">
        <v>0.4453480216384178</v>
      </c>
      <c r="I3" s="65">
        <v>272</v>
      </c>
      <c r="J3" s="76">
        <v>0.4</v>
      </c>
      <c r="K3" s="108"/>
      <c r="L3" s="76">
        <v>1.5287027707808565</v>
      </c>
      <c r="M3" s="72">
        <v>23</v>
      </c>
      <c r="N3" s="72">
        <v>63</v>
      </c>
      <c r="O3" s="72">
        <v>180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5</v>
      </c>
      <c r="D4" s="46">
        <v>2021</v>
      </c>
      <c r="E4" s="107">
        <v>24100.000000000364</v>
      </c>
      <c r="F4" s="48">
        <v>0.14000000000000001</v>
      </c>
      <c r="G4" s="107">
        <v>6515</v>
      </c>
      <c r="H4" s="48">
        <v>0.4453480216384178</v>
      </c>
      <c r="I4" s="65">
        <v>324</v>
      </c>
      <c r="J4" s="76">
        <v>0.4</v>
      </c>
      <c r="K4" s="108"/>
      <c r="L4" s="76">
        <v>1.5287027707808565</v>
      </c>
      <c r="M4" s="72">
        <v>23</v>
      </c>
      <c r="N4" s="72">
        <v>60</v>
      </c>
      <c r="O4" s="72">
        <v>179</v>
      </c>
    </row>
    <row r="5" spans="1:15" ht="15" x14ac:dyDescent="0.25">
      <c r="A5" s="45" t="s">
        <v>9</v>
      </c>
      <c r="B5" s="46">
        <f t="shared" si="0"/>
        <v>4</v>
      </c>
      <c r="C5" s="47">
        <v>5</v>
      </c>
      <c r="D5" s="46">
        <v>2021</v>
      </c>
      <c r="E5" s="107">
        <v>22899.999999999636</v>
      </c>
      <c r="F5" s="48">
        <v>0.14000000000000001</v>
      </c>
      <c r="G5" s="107">
        <v>5608</v>
      </c>
      <c r="H5" s="48">
        <v>0.4453480216384178</v>
      </c>
      <c r="I5" s="65">
        <v>253</v>
      </c>
      <c r="J5" s="76">
        <v>0.4</v>
      </c>
      <c r="K5" s="108"/>
      <c r="L5" s="76">
        <v>1.5287027707808565</v>
      </c>
      <c r="M5" s="72">
        <v>22</v>
      </c>
      <c r="N5" s="72">
        <v>55</v>
      </c>
      <c r="O5" s="72">
        <v>176</v>
      </c>
    </row>
    <row r="6" spans="1:15" ht="15" x14ac:dyDescent="0.25">
      <c r="A6" s="45" t="s">
        <v>9</v>
      </c>
      <c r="B6" s="46">
        <f t="shared" si="0"/>
        <v>5</v>
      </c>
      <c r="C6" s="47">
        <v>5</v>
      </c>
      <c r="D6" s="46">
        <v>2021</v>
      </c>
      <c r="E6" s="107">
        <v>23720.000000000255</v>
      </c>
      <c r="F6" s="48">
        <v>0.14000000000000001</v>
      </c>
      <c r="G6" s="107">
        <v>7378</v>
      </c>
      <c r="H6" s="48">
        <v>0.4453480216384178</v>
      </c>
      <c r="I6" s="65">
        <v>283</v>
      </c>
      <c r="J6" s="76">
        <v>0.4</v>
      </c>
      <c r="K6" s="108"/>
      <c r="L6" s="76">
        <v>1.5287027707808565</v>
      </c>
      <c r="M6" s="72">
        <v>20</v>
      </c>
      <c r="N6" s="72">
        <v>52</v>
      </c>
      <c r="O6" s="72">
        <v>132</v>
      </c>
    </row>
    <row r="7" spans="1:15" ht="15" x14ac:dyDescent="0.25">
      <c r="A7" s="45" t="s">
        <v>9</v>
      </c>
      <c r="B7" s="46">
        <f t="shared" si="0"/>
        <v>6</v>
      </c>
      <c r="C7" s="47">
        <v>5</v>
      </c>
      <c r="D7" s="46">
        <v>2021</v>
      </c>
      <c r="E7" s="107">
        <v>19600.000000000589</v>
      </c>
      <c r="F7" s="48">
        <v>0.14000000000000001</v>
      </c>
      <c r="G7" s="107">
        <v>5365</v>
      </c>
      <c r="H7" s="48">
        <v>0.4453480216384178</v>
      </c>
      <c r="I7" s="65">
        <v>264</v>
      </c>
      <c r="J7" s="76">
        <v>0.4</v>
      </c>
      <c r="K7" s="108"/>
      <c r="L7" s="76">
        <v>1.5287027707808565</v>
      </c>
      <c r="M7" s="72">
        <v>21</v>
      </c>
      <c r="N7" s="72">
        <v>56</v>
      </c>
      <c r="O7" s="72">
        <v>151</v>
      </c>
    </row>
    <row r="8" spans="1:15" ht="15" x14ac:dyDescent="0.25">
      <c r="A8" s="45" t="s">
        <v>9</v>
      </c>
      <c r="B8" s="46">
        <f t="shared" si="0"/>
        <v>7</v>
      </c>
      <c r="C8" s="47">
        <v>5</v>
      </c>
      <c r="D8" s="46">
        <v>2021</v>
      </c>
      <c r="E8" s="107">
        <v>21469.9999999998</v>
      </c>
      <c r="F8" s="48">
        <v>0.14000000000000001</v>
      </c>
      <c r="G8" s="107">
        <v>5828</v>
      </c>
      <c r="H8" s="48">
        <v>0.4453480216384178</v>
      </c>
      <c r="I8" s="65">
        <v>245</v>
      </c>
      <c r="J8" s="76">
        <v>0.4</v>
      </c>
      <c r="K8" s="108"/>
      <c r="L8" s="76">
        <v>1.5287027707808565</v>
      </c>
      <c r="M8" s="72">
        <v>21</v>
      </c>
      <c r="N8" s="72">
        <v>59</v>
      </c>
      <c r="O8" s="72">
        <v>223</v>
      </c>
    </row>
    <row r="9" spans="1:15" ht="15" x14ac:dyDescent="0.25">
      <c r="A9" s="45" t="s">
        <v>9</v>
      </c>
      <c r="B9" s="46">
        <f t="shared" si="0"/>
        <v>8</v>
      </c>
      <c r="C9" s="47">
        <v>5</v>
      </c>
      <c r="D9" s="46">
        <v>2021</v>
      </c>
      <c r="E9" s="107">
        <v>21609.999999999673</v>
      </c>
      <c r="F9" s="48">
        <v>0.14000000000000001</v>
      </c>
      <c r="G9" s="107">
        <v>6025</v>
      </c>
      <c r="H9" s="48">
        <v>0.4453480216384178</v>
      </c>
      <c r="I9" s="65">
        <v>215</v>
      </c>
      <c r="J9" s="76">
        <v>0.4</v>
      </c>
      <c r="K9" s="108"/>
      <c r="L9" s="76">
        <v>1.5287027707808565</v>
      </c>
      <c r="M9" s="72">
        <v>19</v>
      </c>
      <c r="N9" s="72">
        <v>50</v>
      </c>
      <c r="O9" s="72">
        <v>164</v>
      </c>
    </row>
    <row r="10" spans="1:15" ht="15" x14ac:dyDescent="0.25">
      <c r="A10" s="45" t="s">
        <v>9</v>
      </c>
      <c r="B10" s="46">
        <f t="shared" si="0"/>
        <v>9</v>
      </c>
      <c r="C10" s="47">
        <v>5</v>
      </c>
      <c r="D10" s="46">
        <v>2021</v>
      </c>
      <c r="E10" s="107">
        <v>22349.999999999905</v>
      </c>
      <c r="F10" s="48">
        <v>0.14000000000000001</v>
      </c>
      <c r="G10" s="107">
        <v>6540</v>
      </c>
      <c r="H10" s="48">
        <v>0.4453480216384178</v>
      </c>
      <c r="I10" s="65">
        <v>258</v>
      </c>
      <c r="J10" s="76">
        <v>0.4</v>
      </c>
      <c r="K10" s="108"/>
      <c r="L10" s="76">
        <v>1.5287027707808565</v>
      </c>
      <c r="M10" s="72">
        <v>18</v>
      </c>
      <c r="N10" s="72">
        <v>49</v>
      </c>
      <c r="O10" s="72">
        <v>155</v>
      </c>
    </row>
    <row r="11" spans="1:15" ht="15" x14ac:dyDescent="0.25">
      <c r="A11" s="45" t="s">
        <v>9</v>
      </c>
      <c r="B11" s="46">
        <f t="shared" si="0"/>
        <v>10</v>
      </c>
      <c r="C11" s="47">
        <v>5</v>
      </c>
      <c r="D11" s="46">
        <v>2021</v>
      </c>
      <c r="E11" s="107">
        <v>21659.999999999854</v>
      </c>
      <c r="F11" s="48">
        <v>0.14000000000000001</v>
      </c>
      <c r="G11" s="107">
        <v>5672</v>
      </c>
      <c r="H11" s="48">
        <v>0.4453480216384178</v>
      </c>
      <c r="I11" s="65">
        <v>284</v>
      </c>
      <c r="J11" s="76">
        <v>0.4</v>
      </c>
      <c r="K11" s="108"/>
      <c r="L11" s="76">
        <v>1.5287027707808565</v>
      </c>
      <c r="M11" s="72">
        <v>23</v>
      </c>
      <c r="N11" s="72">
        <v>61</v>
      </c>
      <c r="O11" s="72">
        <v>172</v>
      </c>
    </row>
    <row r="12" spans="1:15" ht="15" x14ac:dyDescent="0.25">
      <c r="A12" s="45" t="s">
        <v>9</v>
      </c>
      <c r="B12" s="46">
        <f t="shared" si="0"/>
        <v>11</v>
      </c>
      <c r="C12" s="47">
        <v>5</v>
      </c>
      <c r="D12" s="46">
        <v>2021</v>
      </c>
      <c r="E12" s="107">
        <v>19320.000000000393</v>
      </c>
      <c r="F12" s="48">
        <v>0.14000000000000001</v>
      </c>
      <c r="G12" s="107">
        <v>4511</v>
      </c>
      <c r="H12" s="48">
        <v>0.4453480216384178</v>
      </c>
      <c r="I12" s="65">
        <v>239</v>
      </c>
      <c r="J12" s="76">
        <v>0.4</v>
      </c>
      <c r="K12" s="108"/>
      <c r="L12" s="76">
        <v>1.5287027707808565</v>
      </c>
      <c r="M12" s="72">
        <v>20</v>
      </c>
      <c r="N12" s="72">
        <v>54</v>
      </c>
      <c r="O12" s="72">
        <v>156</v>
      </c>
    </row>
    <row r="13" spans="1:15" ht="15" x14ac:dyDescent="0.25">
      <c r="A13" s="45" t="s">
        <v>9</v>
      </c>
      <c r="B13" s="46">
        <f t="shared" si="0"/>
        <v>12</v>
      </c>
      <c r="C13" s="47">
        <v>5</v>
      </c>
      <c r="D13" s="46">
        <v>2021</v>
      </c>
      <c r="E13" s="107">
        <v>19429.999999999836</v>
      </c>
      <c r="F13" s="48">
        <v>0.14000000000000001</v>
      </c>
      <c r="G13" s="107">
        <v>6130</v>
      </c>
      <c r="H13" s="48">
        <v>0.4453480216384178</v>
      </c>
      <c r="I13" s="65">
        <v>248</v>
      </c>
      <c r="J13" s="76">
        <v>0.4</v>
      </c>
      <c r="K13" s="108"/>
      <c r="L13" s="76">
        <v>1.5287027707808565</v>
      </c>
      <c r="M13" s="72">
        <v>21</v>
      </c>
      <c r="N13" s="72">
        <v>59</v>
      </c>
      <c r="O13" s="72">
        <v>149</v>
      </c>
    </row>
    <row r="14" spans="1:15" ht="15" x14ac:dyDescent="0.25">
      <c r="A14" s="45" t="s">
        <v>9</v>
      </c>
      <c r="B14" s="46">
        <f t="shared" si="0"/>
        <v>13</v>
      </c>
      <c r="C14" s="47">
        <v>5</v>
      </c>
      <c r="D14" s="46">
        <v>2021</v>
      </c>
      <c r="E14" s="107">
        <v>20859.999999999902</v>
      </c>
      <c r="F14" s="48">
        <v>0.14000000000000001</v>
      </c>
      <c r="G14" s="107">
        <v>5563</v>
      </c>
      <c r="H14" s="48">
        <v>0.4453480216384178</v>
      </c>
      <c r="I14" s="65">
        <v>201</v>
      </c>
      <c r="J14" s="76">
        <v>0.4</v>
      </c>
      <c r="K14" s="108"/>
      <c r="L14" s="76">
        <v>1.5287027707808565</v>
      </c>
      <c r="M14" s="72">
        <v>23</v>
      </c>
      <c r="N14" s="72">
        <v>63</v>
      </c>
      <c r="O14" s="72">
        <v>205</v>
      </c>
    </row>
    <row r="15" spans="1:15" ht="15" x14ac:dyDescent="0.25">
      <c r="A15" s="45" t="s">
        <v>9</v>
      </c>
      <c r="B15" s="46">
        <f t="shared" si="0"/>
        <v>14</v>
      </c>
      <c r="C15" s="47">
        <v>5</v>
      </c>
      <c r="D15" s="46">
        <v>2021</v>
      </c>
      <c r="E15" s="107">
        <v>19520.000000000662</v>
      </c>
      <c r="F15" s="48">
        <v>0.14000000000000001</v>
      </c>
      <c r="G15" s="107">
        <v>5347</v>
      </c>
      <c r="H15" s="48">
        <v>0.4453480216384178</v>
      </c>
      <c r="I15" s="65">
        <v>232</v>
      </c>
      <c r="J15" s="76">
        <v>0.4</v>
      </c>
      <c r="K15" s="108"/>
      <c r="L15" s="76">
        <v>1.5287027707808565</v>
      </c>
      <c r="M15" s="72">
        <v>24</v>
      </c>
      <c r="N15" s="72">
        <v>62</v>
      </c>
      <c r="O15" s="72">
        <v>206</v>
      </c>
    </row>
    <row r="16" spans="1:15" ht="15" x14ac:dyDescent="0.25">
      <c r="A16" s="45" t="s">
        <v>9</v>
      </c>
      <c r="B16" s="46">
        <f t="shared" si="0"/>
        <v>15</v>
      </c>
      <c r="C16" s="47">
        <v>5</v>
      </c>
      <c r="D16" s="46">
        <v>2021</v>
      </c>
      <c r="E16" s="107">
        <v>19839.999999999691</v>
      </c>
      <c r="F16" s="48">
        <v>0.14000000000000001</v>
      </c>
      <c r="G16" s="107">
        <v>5669</v>
      </c>
      <c r="H16" s="48">
        <v>0.4453480216384178</v>
      </c>
      <c r="I16" s="65">
        <v>225</v>
      </c>
      <c r="J16" s="76">
        <v>0.4</v>
      </c>
      <c r="K16" s="108"/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5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/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5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/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5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/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5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/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5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/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5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/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5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/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5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/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5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5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5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5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5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5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5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5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323109.99999999988</v>
      </c>
      <c r="F33" s="104">
        <v>0</v>
      </c>
      <c r="G33" s="101">
        <f>SUM(G2:G32)</f>
        <v>89226</v>
      </c>
      <c r="H33" s="102">
        <v>0</v>
      </c>
      <c r="I33" s="103">
        <f>SUM(I2:I32)</f>
        <v>3795</v>
      </c>
      <c r="J33" s="104">
        <v>0</v>
      </c>
      <c r="K33" s="105">
        <v>0</v>
      </c>
      <c r="L33" s="102">
        <v>0</v>
      </c>
      <c r="M33" s="106">
        <f t="shared" ref="M33:O33" si="1">SUM(M2:M32)</f>
        <v>303</v>
      </c>
      <c r="N33" s="106">
        <f t="shared" si="1"/>
        <v>808</v>
      </c>
      <c r="O33" s="106">
        <f t="shared" si="1"/>
        <v>2434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1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44317</v>
      </c>
      <c r="B4" s="1">
        <v>901.74</v>
      </c>
      <c r="C4" s="1">
        <v>216.09</v>
      </c>
      <c r="D4" s="1">
        <v>7332163.1799999997</v>
      </c>
      <c r="E4" s="1">
        <v>7996109.6100000003</v>
      </c>
      <c r="F4" s="1">
        <v>2.2332000000000001</v>
      </c>
      <c r="G4" s="1">
        <v>691.69</v>
      </c>
      <c r="H4" s="1">
        <v>586.33000000000004</v>
      </c>
      <c r="I4" s="1">
        <v>215.95</v>
      </c>
      <c r="J4" s="1">
        <v>304.91000000000003</v>
      </c>
      <c r="K4" s="1">
        <v>325.52999999999997</v>
      </c>
      <c r="L4" s="1">
        <v>222.46</v>
      </c>
      <c r="M4" s="1">
        <v>471.63</v>
      </c>
      <c r="N4" s="1">
        <v>425.19</v>
      </c>
      <c r="O4" s="1">
        <v>136.34</v>
      </c>
      <c r="P4" s="1">
        <v>553.29</v>
      </c>
      <c r="Q4" s="1">
        <v>416.93</v>
      </c>
      <c r="R4" s="1">
        <v>139.01</v>
      </c>
      <c r="S4" s="1">
        <v>107.22</v>
      </c>
      <c r="T4" s="1">
        <v>393.19</v>
      </c>
      <c r="V4" s="71">
        <v>25</v>
      </c>
      <c r="W4" s="71">
        <v>65</v>
      </c>
      <c r="X4" s="71">
        <v>186</v>
      </c>
      <c r="Y4" s="17"/>
    </row>
    <row r="5" spans="1:25" ht="21" customHeight="1" x14ac:dyDescent="0.25">
      <c r="A5" s="8">
        <v>44318</v>
      </c>
      <c r="B5" s="1">
        <v>902.93</v>
      </c>
      <c r="C5" s="1">
        <v>216.32</v>
      </c>
      <c r="D5" s="1">
        <v>7334547.8099999996</v>
      </c>
      <c r="E5" s="1">
        <v>7999270.3700000001</v>
      </c>
      <c r="F5" s="1">
        <v>2.2357</v>
      </c>
      <c r="G5" s="1">
        <v>692.62</v>
      </c>
      <c r="H5" s="1">
        <v>587.22</v>
      </c>
      <c r="I5" s="1">
        <v>216.33</v>
      </c>
      <c r="J5" s="1">
        <v>305.02</v>
      </c>
      <c r="K5" s="1">
        <v>325.83</v>
      </c>
      <c r="L5" s="1">
        <v>222.67</v>
      </c>
      <c r="M5" s="1">
        <v>472.36</v>
      </c>
      <c r="N5" s="1">
        <v>425.92</v>
      </c>
      <c r="O5" s="1">
        <v>136.57</v>
      </c>
      <c r="P5" s="1">
        <v>554.35</v>
      </c>
      <c r="Q5" s="1">
        <v>417.67</v>
      </c>
      <c r="R5" s="1">
        <v>139.29</v>
      </c>
      <c r="S5" s="1">
        <v>107.35</v>
      </c>
      <c r="T5" s="1">
        <v>393.7</v>
      </c>
      <c r="V5" s="71">
        <v>23</v>
      </c>
      <c r="W5" s="71">
        <v>63</v>
      </c>
      <c r="X5" s="71">
        <v>180</v>
      </c>
      <c r="Y5" s="17"/>
    </row>
    <row r="6" spans="1:25" ht="21" customHeight="1" x14ac:dyDescent="0.25">
      <c r="A6" s="8">
        <v>44319</v>
      </c>
      <c r="B6" s="1">
        <v>904.37</v>
      </c>
      <c r="C6" s="1">
        <v>216.56</v>
      </c>
      <c r="D6" s="1">
        <v>7337012.1600000001</v>
      </c>
      <c r="E6" s="1">
        <v>8002453.1799999997</v>
      </c>
      <c r="F6" s="1">
        <v>2.2381000000000002</v>
      </c>
      <c r="G6" s="1">
        <v>693.6</v>
      </c>
      <c r="H6" s="1">
        <v>588.27</v>
      </c>
      <c r="I6" s="1">
        <v>216.7</v>
      </c>
      <c r="J6" s="1">
        <v>305.14</v>
      </c>
      <c r="K6" s="1">
        <v>326.02</v>
      </c>
      <c r="L6" s="1">
        <v>222.87</v>
      </c>
      <c r="M6" s="1">
        <v>473.11</v>
      </c>
      <c r="N6" s="1">
        <v>426.78</v>
      </c>
      <c r="O6" s="1">
        <v>136.80000000000001</v>
      </c>
      <c r="P6" s="1">
        <v>555.34</v>
      </c>
      <c r="Q6" s="1">
        <v>418.47</v>
      </c>
      <c r="R6" s="1">
        <v>139.57</v>
      </c>
      <c r="S6" s="1">
        <v>107.47</v>
      </c>
      <c r="T6" s="1">
        <v>394.23</v>
      </c>
      <c r="V6" s="71">
        <v>23</v>
      </c>
      <c r="W6" s="71">
        <v>60</v>
      </c>
      <c r="X6" s="71">
        <v>179</v>
      </c>
      <c r="Y6" s="17"/>
    </row>
    <row r="7" spans="1:25" ht="21" customHeight="1" x14ac:dyDescent="0.25">
      <c r="A7" s="8">
        <v>44320</v>
      </c>
      <c r="B7" s="1">
        <v>905.84</v>
      </c>
      <c r="C7" s="1">
        <v>216.79</v>
      </c>
      <c r="D7" s="109">
        <v>7339828.1699999999</v>
      </c>
      <c r="E7" s="1">
        <v>8005751.1399999997</v>
      </c>
      <c r="F7" s="1">
        <v>2.2406999999999999</v>
      </c>
      <c r="G7" s="1">
        <v>694.64</v>
      </c>
      <c r="H7" s="1">
        <v>589.32000000000005</v>
      </c>
      <c r="I7" s="1">
        <v>217.07</v>
      </c>
      <c r="J7" s="1">
        <v>305.39</v>
      </c>
      <c r="K7" s="1">
        <v>326.23</v>
      </c>
      <c r="L7" s="1">
        <v>223.1</v>
      </c>
      <c r="M7" s="1">
        <v>473.89</v>
      </c>
      <c r="N7" s="1">
        <v>427.64</v>
      </c>
      <c r="O7" s="1">
        <v>137.06</v>
      </c>
      <c r="P7" s="1">
        <v>556.48</v>
      </c>
      <c r="Q7" s="1">
        <v>419.27</v>
      </c>
      <c r="R7" s="1">
        <v>139.84</v>
      </c>
      <c r="S7" s="1">
        <v>107.58</v>
      </c>
      <c r="T7" s="1">
        <v>394.71</v>
      </c>
      <c r="V7" s="71">
        <v>22</v>
      </c>
      <c r="W7" s="71">
        <v>55</v>
      </c>
      <c r="X7" s="71">
        <v>176</v>
      </c>
      <c r="Y7" s="17"/>
    </row>
    <row r="8" spans="1:25" ht="21" customHeight="1" x14ac:dyDescent="0.25">
      <c r="A8" s="8">
        <v>44321</v>
      </c>
      <c r="B8" s="1">
        <v>907.15</v>
      </c>
      <c r="C8" s="1">
        <v>217.01</v>
      </c>
      <c r="D8" s="1">
        <v>7342221.54</v>
      </c>
      <c r="E8" s="1">
        <v>8008324.5599999996</v>
      </c>
      <c r="F8" s="1">
        <v>2.2431000000000001</v>
      </c>
      <c r="G8" s="1">
        <v>695.55</v>
      </c>
      <c r="H8" s="1">
        <v>590.13</v>
      </c>
      <c r="I8" s="1">
        <v>217.39</v>
      </c>
      <c r="J8" s="1">
        <v>305.57</v>
      </c>
      <c r="K8" s="1">
        <v>326.54000000000002</v>
      </c>
      <c r="L8" s="1">
        <v>223.27</v>
      </c>
      <c r="M8" s="1">
        <v>474.56</v>
      </c>
      <c r="N8" s="1">
        <v>428.41</v>
      </c>
      <c r="O8" s="1">
        <v>137.28</v>
      </c>
      <c r="P8" s="1">
        <v>557.48</v>
      </c>
      <c r="Q8" s="1">
        <v>420.01</v>
      </c>
      <c r="R8" s="1">
        <v>140.16</v>
      </c>
      <c r="S8" s="1">
        <v>107.7</v>
      </c>
      <c r="T8" s="1">
        <v>395.21</v>
      </c>
      <c r="V8" s="71">
        <v>20</v>
      </c>
      <c r="W8" s="71">
        <v>52</v>
      </c>
      <c r="X8" s="71">
        <v>132</v>
      </c>
      <c r="Y8" s="17"/>
    </row>
    <row r="9" spans="1:25" ht="21" customHeight="1" x14ac:dyDescent="0.25">
      <c r="A9" s="8">
        <v>44322</v>
      </c>
      <c r="B9" s="111">
        <v>908.7</v>
      </c>
      <c r="C9" s="15">
        <v>217.23</v>
      </c>
      <c r="D9" s="111">
        <v>7345069.6600000001</v>
      </c>
      <c r="E9" s="111">
        <v>8011394.3600000003</v>
      </c>
      <c r="F9" s="15">
        <v>2.2458</v>
      </c>
      <c r="G9" s="111">
        <v>696.64</v>
      </c>
      <c r="H9" s="111">
        <v>591.13</v>
      </c>
      <c r="I9" s="111">
        <v>217.8</v>
      </c>
      <c r="J9" s="1">
        <v>305.83</v>
      </c>
      <c r="K9" s="1">
        <v>326.89999999999998</v>
      </c>
      <c r="L9" s="1">
        <v>223.52</v>
      </c>
      <c r="M9" s="1">
        <v>475.43</v>
      </c>
      <c r="N9" s="1">
        <v>429.34</v>
      </c>
      <c r="O9" s="1">
        <v>137.51</v>
      </c>
      <c r="P9" s="1">
        <v>558.67999999999995</v>
      </c>
      <c r="Q9" s="1">
        <v>420.85</v>
      </c>
      <c r="R9" s="1">
        <v>140.46</v>
      </c>
      <c r="S9" s="1">
        <v>107.83</v>
      </c>
      <c r="T9" s="1">
        <v>395.75</v>
      </c>
      <c r="V9" s="71">
        <v>21</v>
      </c>
      <c r="W9" s="71">
        <v>56</v>
      </c>
      <c r="X9" s="71">
        <v>151</v>
      </c>
      <c r="Y9" s="17"/>
    </row>
    <row r="10" spans="1:25" ht="21" customHeight="1" x14ac:dyDescent="0.25">
      <c r="A10" s="8">
        <v>44323</v>
      </c>
      <c r="B10" s="1">
        <v>909.84</v>
      </c>
      <c r="C10" s="1">
        <v>217.41</v>
      </c>
      <c r="D10" s="1">
        <v>7346902.0099999998</v>
      </c>
      <c r="E10" s="1">
        <v>8013544.9199999999</v>
      </c>
      <c r="F10" s="1">
        <v>2.2480000000000002</v>
      </c>
      <c r="G10" s="1">
        <v>697.43</v>
      </c>
      <c r="H10" s="1">
        <v>591.77</v>
      </c>
      <c r="I10" s="1">
        <v>218.06</v>
      </c>
      <c r="J10" s="1">
        <v>305.99</v>
      </c>
      <c r="K10" s="1">
        <v>327.10000000000002</v>
      </c>
      <c r="L10" s="1">
        <v>223.67</v>
      </c>
      <c r="M10" s="1">
        <v>475.94</v>
      </c>
      <c r="N10" s="1">
        <v>429.9</v>
      </c>
      <c r="O10" s="1">
        <v>137.69999999999999</v>
      </c>
      <c r="P10" s="1">
        <v>559.48</v>
      </c>
      <c r="Q10" s="1">
        <v>421.44</v>
      </c>
      <c r="R10" s="1">
        <v>140.78</v>
      </c>
      <c r="S10" s="1">
        <v>107.95</v>
      </c>
      <c r="T10" s="1">
        <v>396.25</v>
      </c>
      <c r="V10" s="71">
        <v>21</v>
      </c>
      <c r="W10" s="71">
        <v>59</v>
      </c>
      <c r="X10" s="71">
        <v>223</v>
      </c>
      <c r="Y10" s="17"/>
    </row>
    <row r="11" spans="1:25" ht="21" customHeight="1" x14ac:dyDescent="0.25">
      <c r="A11" s="8">
        <v>44324</v>
      </c>
      <c r="B11" s="1">
        <v>911.21</v>
      </c>
      <c r="C11" s="1">
        <v>217.66</v>
      </c>
      <c r="D11" s="1">
        <v>7349250.8700000001</v>
      </c>
      <c r="E11" s="1">
        <v>8015809.5700000003</v>
      </c>
      <c r="F11" s="1">
        <v>2.2505000000000002</v>
      </c>
      <c r="G11" s="1">
        <v>698.38</v>
      </c>
      <c r="H11" s="1">
        <v>592.47</v>
      </c>
      <c r="I11" s="1">
        <v>218.38</v>
      </c>
      <c r="J11" s="1">
        <v>306.18</v>
      </c>
      <c r="K11" s="1">
        <v>327.35000000000002</v>
      </c>
      <c r="L11" s="1">
        <v>223.85</v>
      </c>
      <c r="M11" s="1">
        <v>476.65</v>
      </c>
      <c r="N11" s="1">
        <v>430.61</v>
      </c>
      <c r="O11" s="1">
        <v>137.91</v>
      </c>
      <c r="P11" s="1">
        <v>560.44000000000005</v>
      </c>
      <c r="Q11" s="1">
        <v>422.18</v>
      </c>
      <c r="R11" s="1">
        <v>141.06</v>
      </c>
      <c r="S11" s="1">
        <v>108.07</v>
      </c>
      <c r="T11" s="1">
        <v>396.56</v>
      </c>
      <c r="V11" s="71">
        <v>19</v>
      </c>
      <c r="W11" s="71">
        <v>50</v>
      </c>
      <c r="X11" s="71">
        <v>164</v>
      </c>
      <c r="Y11" s="17"/>
    </row>
    <row r="12" spans="1:25" ht="21" customHeight="1" x14ac:dyDescent="0.25">
      <c r="A12" s="8">
        <v>44325</v>
      </c>
      <c r="B12" s="1">
        <v>912.72</v>
      </c>
      <c r="C12" s="1">
        <v>217.88</v>
      </c>
      <c r="D12" s="1">
        <v>7351809.2199999997</v>
      </c>
      <c r="E12" s="1">
        <v>8018550.7999999998</v>
      </c>
      <c r="F12" s="1">
        <v>2.2530999999999999</v>
      </c>
      <c r="G12" s="1">
        <v>699.31</v>
      </c>
      <c r="H12" s="1">
        <v>593.30999999999995</v>
      </c>
      <c r="I12" s="1">
        <v>218.71</v>
      </c>
      <c r="J12" s="1">
        <v>306.38</v>
      </c>
      <c r="K12" s="1">
        <v>327.63</v>
      </c>
      <c r="L12" s="1">
        <v>224.06</v>
      </c>
      <c r="M12" s="1">
        <v>477.36</v>
      </c>
      <c r="N12" s="1">
        <v>431.38</v>
      </c>
      <c r="O12" s="1">
        <v>138.13</v>
      </c>
      <c r="P12" s="1">
        <v>561.51</v>
      </c>
      <c r="Q12" s="1">
        <v>422.87</v>
      </c>
      <c r="R12" s="1">
        <v>141.38</v>
      </c>
      <c r="S12" s="1">
        <v>108.17</v>
      </c>
      <c r="T12" s="1">
        <v>397.06</v>
      </c>
      <c r="V12" s="71">
        <v>18</v>
      </c>
      <c r="W12" s="71">
        <v>49</v>
      </c>
      <c r="X12" s="71">
        <v>155</v>
      </c>
      <c r="Y12" s="17"/>
    </row>
    <row r="13" spans="1:25" ht="21" customHeight="1" x14ac:dyDescent="0.25">
      <c r="A13" s="8">
        <v>44326</v>
      </c>
      <c r="B13" s="1">
        <v>914.09</v>
      </c>
      <c r="C13" s="1">
        <v>218.1</v>
      </c>
      <c r="D13" s="1">
        <v>7354278.9500000002</v>
      </c>
      <c r="E13" s="1">
        <v>8021548.7999999998</v>
      </c>
      <c r="F13" s="1">
        <v>2.2553999999999998</v>
      </c>
      <c r="G13" s="1">
        <v>700.25</v>
      </c>
      <c r="H13" s="1">
        <v>594.14</v>
      </c>
      <c r="I13" s="1">
        <v>219.06</v>
      </c>
      <c r="J13" s="1">
        <v>306.51</v>
      </c>
      <c r="K13" s="1">
        <v>327.84</v>
      </c>
      <c r="L13" s="1">
        <v>224.22</v>
      </c>
      <c r="M13" s="1">
        <v>478.12</v>
      </c>
      <c r="N13" s="1">
        <v>432.17</v>
      </c>
      <c r="O13" s="1">
        <v>138.34</v>
      </c>
      <c r="P13" s="1">
        <v>562.6</v>
      </c>
      <c r="Q13" s="1">
        <v>423.67</v>
      </c>
      <c r="R13" s="1">
        <v>141.63999999999999</v>
      </c>
      <c r="S13" s="1">
        <v>108.29</v>
      </c>
      <c r="T13" s="1">
        <v>397.57</v>
      </c>
      <c r="V13" s="71">
        <v>23</v>
      </c>
      <c r="W13" s="71">
        <v>61</v>
      </c>
      <c r="X13" s="71">
        <v>172</v>
      </c>
      <c r="Y13" s="17"/>
    </row>
    <row r="14" spans="1:25" ht="21" customHeight="1" x14ac:dyDescent="0.25">
      <c r="A14" s="8">
        <v>44327</v>
      </c>
      <c r="B14" s="1">
        <v>915.38</v>
      </c>
      <c r="C14" s="1">
        <v>218.31</v>
      </c>
      <c r="D14" s="1">
        <v>7356527.7999999998</v>
      </c>
      <c r="E14" s="1">
        <v>8024229.2699999996</v>
      </c>
      <c r="F14" s="1">
        <v>2.2578999999999998</v>
      </c>
      <c r="G14" s="1">
        <v>701.1</v>
      </c>
      <c r="H14" s="1">
        <v>594.86</v>
      </c>
      <c r="I14" s="1">
        <v>219.35</v>
      </c>
      <c r="J14" s="1">
        <v>306.63</v>
      </c>
      <c r="K14" s="1">
        <v>328.4</v>
      </c>
      <c r="L14" s="1">
        <v>224.43</v>
      </c>
      <c r="M14" s="1">
        <v>478.82</v>
      </c>
      <c r="N14" s="1">
        <v>432.92</v>
      </c>
      <c r="O14" s="1">
        <v>138.58000000000001</v>
      </c>
      <c r="P14" s="1">
        <v>563.61</v>
      </c>
      <c r="Q14" s="1">
        <v>424.4</v>
      </c>
      <c r="R14" s="1">
        <v>141.94999999999999</v>
      </c>
      <c r="S14" s="1">
        <v>108.44</v>
      </c>
      <c r="T14" s="1">
        <v>398.07</v>
      </c>
      <c r="V14" s="71">
        <v>20</v>
      </c>
      <c r="W14" s="71">
        <v>54</v>
      </c>
      <c r="X14" s="71">
        <v>156</v>
      </c>
      <c r="Y14" s="17"/>
    </row>
    <row r="15" spans="1:25" ht="21" customHeight="1" x14ac:dyDescent="0.25">
      <c r="A15" s="8">
        <v>44328</v>
      </c>
      <c r="B15" s="1">
        <v>916.4</v>
      </c>
      <c r="C15" s="1">
        <v>218.52</v>
      </c>
      <c r="D15" s="1">
        <v>7358453.5800000001</v>
      </c>
      <c r="E15" s="1">
        <v>8026686.5700000003</v>
      </c>
      <c r="F15" s="1">
        <v>2.2602000000000002</v>
      </c>
      <c r="G15" s="1">
        <v>701.74</v>
      </c>
      <c r="H15" s="1">
        <v>595.51</v>
      </c>
      <c r="I15" s="1">
        <v>219.59</v>
      </c>
      <c r="J15" s="1">
        <v>306.75</v>
      </c>
      <c r="K15" s="1">
        <v>328.32</v>
      </c>
      <c r="L15" s="1">
        <v>224.6</v>
      </c>
      <c r="M15" s="1">
        <v>479.38</v>
      </c>
      <c r="N15" s="1">
        <v>433.47</v>
      </c>
      <c r="O15" s="1">
        <v>138.79</v>
      </c>
      <c r="P15" s="1">
        <v>564.51</v>
      </c>
      <c r="Q15" s="1">
        <v>424.96</v>
      </c>
      <c r="R15" s="1">
        <v>142.26</v>
      </c>
      <c r="S15" s="1">
        <v>108.57</v>
      </c>
      <c r="T15" s="1">
        <v>398.55</v>
      </c>
      <c r="V15" s="71">
        <v>21</v>
      </c>
      <c r="W15" s="71">
        <v>59</v>
      </c>
      <c r="X15" s="71">
        <v>149</v>
      </c>
      <c r="Y15" s="17"/>
    </row>
    <row r="16" spans="1:25" ht="21" customHeight="1" x14ac:dyDescent="0.25">
      <c r="A16" s="8">
        <v>44329</v>
      </c>
      <c r="B16" s="1">
        <v>917.43</v>
      </c>
      <c r="C16" s="1">
        <v>218.73</v>
      </c>
      <c r="D16" s="1">
        <v>7360726.3099999996</v>
      </c>
      <c r="E16" s="1">
        <v>8029536.5899999999</v>
      </c>
      <c r="F16" s="1">
        <v>2.2625999999999999</v>
      </c>
      <c r="G16" s="1">
        <v>702.48</v>
      </c>
      <c r="H16" s="1">
        <v>596.14</v>
      </c>
      <c r="I16" s="1">
        <v>219.89</v>
      </c>
      <c r="J16" s="1">
        <v>306.91000000000003</v>
      </c>
      <c r="K16" s="1">
        <v>328.56</v>
      </c>
      <c r="L16" s="1">
        <v>224.8</v>
      </c>
      <c r="M16" s="1">
        <v>479.95</v>
      </c>
      <c r="N16" s="1">
        <v>433.99</v>
      </c>
      <c r="O16" s="1">
        <v>139.01</v>
      </c>
      <c r="P16" s="1">
        <v>565.58000000000004</v>
      </c>
      <c r="Q16" s="1">
        <v>425.56</v>
      </c>
      <c r="R16" s="1">
        <v>142.6</v>
      </c>
      <c r="S16" s="1">
        <v>108.71</v>
      </c>
      <c r="T16" s="1">
        <v>399</v>
      </c>
      <c r="V16" s="71">
        <v>23</v>
      </c>
      <c r="W16" s="71">
        <v>63</v>
      </c>
      <c r="X16" s="71">
        <v>205</v>
      </c>
      <c r="Y16" s="17"/>
    </row>
    <row r="17" spans="1:25" ht="21" customHeight="1" x14ac:dyDescent="0.25">
      <c r="A17" s="8">
        <v>44330</v>
      </c>
      <c r="B17" s="1">
        <v>918.5</v>
      </c>
      <c r="C17" s="1">
        <v>218.95</v>
      </c>
      <c r="D17" s="1">
        <v>7363070.5</v>
      </c>
      <c r="E17" s="1">
        <v>8032262.6600000001</v>
      </c>
      <c r="F17" s="1">
        <v>2.2650999999999999</v>
      </c>
      <c r="G17" s="1">
        <v>703.21</v>
      </c>
      <c r="H17" s="1">
        <v>596.79</v>
      </c>
      <c r="I17" s="1">
        <v>220.16</v>
      </c>
      <c r="J17" s="1">
        <v>307.10000000000002</v>
      </c>
      <c r="K17" s="1">
        <v>328.8</v>
      </c>
      <c r="L17" s="1">
        <v>225.03</v>
      </c>
      <c r="M17" s="1">
        <v>480.53</v>
      </c>
      <c r="N17" s="1">
        <v>434.54</v>
      </c>
      <c r="O17" s="1">
        <v>139.24</v>
      </c>
      <c r="P17" s="1">
        <v>566.54</v>
      </c>
      <c r="Q17" s="1">
        <v>426.2</v>
      </c>
      <c r="R17" s="1">
        <v>142.91999999999999</v>
      </c>
      <c r="S17" s="1">
        <v>108.83</v>
      </c>
      <c r="T17" s="1">
        <v>399.68</v>
      </c>
      <c r="V17" s="71">
        <v>24</v>
      </c>
      <c r="W17" s="71">
        <v>62</v>
      </c>
      <c r="X17" s="71">
        <v>206</v>
      </c>
      <c r="Y17" s="17"/>
    </row>
    <row r="18" spans="1:25" ht="21" customHeight="1" x14ac:dyDescent="0.25">
      <c r="A18" s="8">
        <v>44331</v>
      </c>
      <c r="B18" s="1">
        <v>919.6</v>
      </c>
      <c r="C18" s="1">
        <v>219.17</v>
      </c>
      <c r="D18" s="1">
        <v>7365281.9100000001</v>
      </c>
      <c r="E18" s="1">
        <v>8034482.0199999996</v>
      </c>
      <c r="F18" s="1">
        <v>2.2677999999999998</v>
      </c>
      <c r="G18" s="1">
        <v>703.86</v>
      </c>
      <c r="H18" s="1">
        <v>597.39</v>
      </c>
      <c r="I18" s="1">
        <v>220.41</v>
      </c>
      <c r="J18" s="1">
        <v>307.35000000000002</v>
      </c>
      <c r="K18" s="1">
        <v>329.1</v>
      </c>
      <c r="L18" s="1">
        <v>225.26</v>
      </c>
      <c r="M18" s="1">
        <v>481.13</v>
      </c>
      <c r="N18" s="1">
        <v>435.09</v>
      </c>
      <c r="O18" s="1">
        <v>139.46</v>
      </c>
      <c r="P18" s="1">
        <v>567.61</v>
      </c>
      <c r="Q18" s="1">
        <v>426.79</v>
      </c>
      <c r="R18" s="1">
        <v>143.25</v>
      </c>
      <c r="S18" s="1">
        <v>108.95</v>
      </c>
      <c r="T18" s="1">
        <v>399.85</v>
      </c>
      <c r="V18" s="71"/>
      <c r="W18" s="71"/>
      <c r="X18" s="71"/>
      <c r="Y18" s="17"/>
    </row>
    <row r="19" spans="1:25" ht="21" customHeight="1" x14ac:dyDescent="0.25">
      <c r="A19" s="8">
        <v>44332</v>
      </c>
      <c r="B19" s="1">
        <v>920.73</v>
      </c>
      <c r="C19" s="1">
        <v>219.4</v>
      </c>
      <c r="D19" s="1">
        <v>7367542.9199999999</v>
      </c>
      <c r="E19" s="1">
        <v>8037280.3300000001</v>
      </c>
      <c r="F19" s="1">
        <v>2.27</v>
      </c>
      <c r="G19" s="1">
        <v>704.62</v>
      </c>
      <c r="H19" s="1">
        <v>598.09</v>
      </c>
      <c r="I19" s="1">
        <v>220.7</v>
      </c>
      <c r="J19" s="1">
        <v>307.56</v>
      </c>
      <c r="K19" s="1">
        <v>329.41</v>
      </c>
      <c r="L19" s="1">
        <v>225.49</v>
      </c>
      <c r="M19" s="1">
        <v>481.78</v>
      </c>
      <c r="N19" s="1">
        <v>435.7</v>
      </c>
      <c r="O19" s="1">
        <v>139.69</v>
      </c>
      <c r="P19" s="1">
        <v>568.6</v>
      </c>
      <c r="Q19" s="1">
        <v>427.36</v>
      </c>
      <c r="R19" s="1">
        <v>143.56</v>
      </c>
      <c r="S19" s="1">
        <v>109.12</v>
      </c>
      <c r="T19" s="1">
        <v>400.38</v>
      </c>
      <c r="V19" s="71"/>
      <c r="W19" s="71"/>
      <c r="X19" s="71"/>
      <c r="Y19" s="17"/>
    </row>
    <row r="20" spans="1:25" ht="21" customHeight="1" x14ac:dyDescent="0.25">
      <c r="A20" s="8">
        <v>44333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44334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44335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44336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44337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44338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44339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44340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44341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44342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44343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44344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44345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44346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44347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44348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303</v>
      </c>
      <c r="W35" s="78">
        <f>SUM(W4:W34)</f>
        <v>808</v>
      </c>
      <c r="X35" s="78">
        <f>SUM(X4:X34)</f>
        <v>2434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41" sqref="D4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44317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2499.9999999999468</v>
      </c>
      <c r="E4" s="2">
        <f>('Kwh Reading'!C5-'Kwh Reading'!C4)*1000</f>
        <v>229.99999999998977</v>
      </c>
      <c r="F4" s="2">
        <f>('Kwh Reading'!J5-'Kwh Reading'!J4)*1000</f>
        <v>109.9999999999568</v>
      </c>
      <c r="G4" s="2">
        <f>('Kwh Reading'!K5-'Kwh Reading'!K4)*1000</f>
        <v>300.00000000001137</v>
      </c>
      <c r="H4" s="2">
        <f>('Kwh Reading'!L5-'Kwh Reading'!L4)*1000</f>
        <v>209.99999999997954</v>
      </c>
      <c r="I4" s="2">
        <f>('Kwh Reading'!R5-'Kwh Reading'!R4)*1000</f>
        <v>280.00000000000114</v>
      </c>
      <c r="J4" s="2">
        <f>('Kwh Reading'!S5-'Kwh Reading'!S4)*1000</f>
        <v>129.99999999999545</v>
      </c>
      <c r="K4" s="2">
        <f>('Kwh Reading'!I5-'Kwh Reading'!I4)*1000</f>
        <v>380.00000000002387</v>
      </c>
      <c r="L4" s="2">
        <f>('Kwh Reading'!B5-'Kwh Reading'!B4)*1000</f>
        <v>1189.9999999999409</v>
      </c>
      <c r="M4" s="2">
        <f>('Kwh Reading'!M5-'Kwh Reading'!M4)*1000</f>
        <v>730.00000000001819</v>
      </c>
      <c r="N4" s="2">
        <f>('Kwh Reading'!H5-'Kwh Reading'!H4)*1000</f>
        <v>889.99999999998636</v>
      </c>
      <c r="O4" s="2">
        <f>('Kwh Reading'!P5-'Kwh Reading'!P4)*1000</f>
        <v>1060.0000000000591</v>
      </c>
      <c r="P4" s="2">
        <f>('Kwh Reading'!G5-'Kwh Reading'!G4)*1000</f>
        <v>929.99999999994998</v>
      </c>
      <c r="Q4" s="2">
        <f>('Kwh Reading'!Q5-'Kwh Reading'!Q4)*1000</f>
        <v>740.00000000000909</v>
      </c>
      <c r="R4" s="2">
        <f>('Kwh Reading'!N5-'Kwh Reading'!N4)*1000</f>
        <v>730.00000000001819</v>
      </c>
      <c r="S4" s="2">
        <f>'Kwh Reading'!E5-'Kwh Reading'!E4</f>
        <v>3160.7599999997765</v>
      </c>
      <c r="T4" s="2">
        <f>'Kwh Reading'!D5-'Kwh Reading'!D4</f>
        <v>2384.6299999998882</v>
      </c>
      <c r="U4" s="27">
        <f>('Kwh Reading'!O5-'Kwh Reading'!O4)*1000</f>
        <v>229.99999999998977</v>
      </c>
      <c r="V4" s="16">
        <f>B4-(SUM(C4:U4))</f>
        <v>8824.6100000004699</v>
      </c>
    </row>
    <row r="5" spans="1:22" x14ac:dyDescent="0.25">
      <c r="A5" s="3">
        <f>'Kwh Reading'!A5</f>
        <v>44318</v>
      </c>
      <c r="B5" s="26">
        <f>TOTAL!E3</f>
        <v>24299.999999999047</v>
      </c>
      <c r="C5" s="4">
        <f>('Kwh Reading'!T6-'Kwh Reading'!T5)*1000</f>
        <v>530.00000000002956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120.00000000000455</v>
      </c>
      <c r="G5" s="2">
        <f>('Kwh Reading'!K6-'Kwh Reading'!K5)*1000</f>
        <v>189.99999999999773</v>
      </c>
      <c r="H5" s="2">
        <f>('Kwh Reading'!L6-'Kwh Reading'!L5)*1000</f>
        <v>200.00000000001705</v>
      </c>
      <c r="I5" s="2">
        <f>('Kwh Reading'!R6-'Kwh Reading'!R5)*1000</f>
        <v>280.00000000000114</v>
      </c>
      <c r="J5" s="2">
        <f>('Kwh Reading'!S6-'Kwh Reading'!S5)*1000</f>
        <v>120.00000000000455</v>
      </c>
      <c r="K5" s="2">
        <f>('Kwh Reading'!I6-'Kwh Reading'!I5)*1000</f>
        <v>369.99999999997613</v>
      </c>
      <c r="L5" s="2">
        <f>('Kwh Reading'!B6-'Kwh Reading'!B5)*1000</f>
        <v>1440.0000000000546</v>
      </c>
      <c r="M5" s="2">
        <f>('Kwh Reading'!M6-'Kwh Reading'!M5)*1000</f>
        <v>750</v>
      </c>
      <c r="N5" s="2">
        <f>('Kwh Reading'!H6-'Kwh Reading'!H5)*1000</f>
        <v>1049.9999999999545</v>
      </c>
      <c r="O5" s="2">
        <f>('Kwh Reading'!P6-'Kwh Reading'!P5)*1000</f>
        <v>990.00000000000909</v>
      </c>
      <c r="P5" s="2">
        <f>('Kwh Reading'!G6-'Kwh Reading'!G5)*1000</f>
        <v>980.00000000001819</v>
      </c>
      <c r="Q5" s="2">
        <f>('Kwh Reading'!Q6-'Kwh Reading'!Q5)*1000</f>
        <v>800.00000000001137</v>
      </c>
      <c r="R5" s="2">
        <f>('Kwh Reading'!N6-'Kwh Reading'!N5)*1000</f>
        <v>859.9999999999568</v>
      </c>
      <c r="S5" s="2">
        <f>'Kwh Reading'!E6-'Kwh Reading'!E5</f>
        <v>3182.8099999995902</v>
      </c>
      <c r="T5" s="2">
        <f>'Kwh Reading'!D6-'Kwh Reading'!D5</f>
        <v>2464.3500000005588</v>
      </c>
      <c r="U5" s="27">
        <f>('Kwh Reading'!O6-'Kwh Reading'!O5)*1000</f>
        <v>230.00000000001819</v>
      </c>
      <c r="V5" s="16">
        <f t="shared" ref="V5:V9" si="0">B5-(SUM(C5:U5))</f>
        <v>7102.8399999986577</v>
      </c>
    </row>
    <row r="6" spans="1:22" x14ac:dyDescent="0.25">
      <c r="A6" s="3">
        <f>'Kwh Reading'!A6</f>
        <v>44319</v>
      </c>
      <c r="B6" s="26">
        <f>TOTAL!E4</f>
        <v>24100.000000000364</v>
      </c>
      <c r="C6" s="4">
        <f>('Kwh Reading'!T7-'Kwh Reading'!T6)*1000</f>
        <v>479.99999999996135</v>
      </c>
      <c r="D6" s="2">
        <f>('Kwh Reading'!F7-'Kwh Reading'!F6)*1000000</f>
        <v>2599.9999999997135</v>
      </c>
      <c r="E6" s="2">
        <f>('Kwh Reading'!C7-'Kwh Reading'!C6)*1000</f>
        <v>229.99999999998977</v>
      </c>
      <c r="F6" s="2">
        <f>('Kwh Reading'!J7-'Kwh Reading'!J6)*1000</f>
        <v>250</v>
      </c>
      <c r="G6" s="2">
        <f>('Kwh Reading'!K7-'Kwh Reading'!K6)*1000</f>
        <v>210.00000000003638</v>
      </c>
      <c r="H6" s="2">
        <f>('Kwh Reading'!L7-'Kwh Reading'!L6)*1000</f>
        <v>229.99999999998977</v>
      </c>
      <c r="I6" s="2">
        <f>('Kwh Reading'!R7-'Kwh Reading'!R6)*1000</f>
        <v>270.00000000001023</v>
      </c>
      <c r="J6" s="2">
        <f>('Kwh Reading'!S7-'Kwh Reading'!S6)*1000</f>
        <v>109.99999999999943</v>
      </c>
      <c r="K6" s="2">
        <f>('Kwh Reading'!I7-'Kwh Reading'!I6)*1000</f>
        <v>370.00000000000455</v>
      </c>
      <c r="L6" s="2">
        <f>('Kwh Reading'!B7-'Kwh Reading'!B6)*1000</f>
        <v>1470.0000000000273</v>
      </c>
      <c r="M6" s="2">
        <f>('Kwh Reading'!M7-'Kwh Reading'!M6)*1000</f>
        <v>779.99999999997272</v>
      </c>
      <c r="N6" s="2">
        <f>('Kwh Reading'!H7-'Kwh Reading'!H6)*1000</f>
        <v>1050.0000000000682</v>
      </c>
      <c r="O6" s="2">
        <f>('Kwh Reading'!P7-'Kwh Reading'!P6)*1000</f>
        <v>1139.9999999999864</v>
      </c>
      <c r="P6" s="2">
        <f>('Kwh Reading'!G7-'Kwh Reading'!G6)*1000</f>
        <v>1039.9999999999636</v>
      </c>
      <c r="Q6" s="2">
        <f>('Kwh Reading'!Q7-'Kwh Reading'!Q6)*1000</f>
        <v>799.99999999995453</v>
      </c>
      <c r="R6" s="2">
        <f>('Kwh Reading'!N7-'Kwh Reading'!N6)*1000</f>
        <v>860.00000000001364</v>
      </c>
      <c r="S6" s="2">
        <f>'Kwh Reading'!E7-'Kwh Reading'!E6</f>
        <v>3297.9599999999627</v>
      </c>
      <c r="T6" s="2">
        <f>'Kwh Reading'!D7-'Kwh Reading'!D6</f>
        <v>2816.0099999997765</v>
      </c>
      <c r="U6" s="27">
        <f>('Kwh Reading'!O7-'Kwh Reading'!O6)*1000</f>
        <v>259.99999999999091</v>
      </c>
      <c r="V6" s="16">
        <f t="shared" si="0"/>
        <v>5836.0300000009447</v>
      </c>
    </row>
    <row r="7" spans="1:22" x14ac:dyDescent="0.25">
      <c r="A7" s="3">
        <f>'Kwh Reading'!A7</f>
        <v>44320</v>
      </c>
      <c r="B7" s="26">
        <f>TOTAL!E5</f>
        <v>22899.999999999636</v>
      </c>
      <c r="C7" s="4">
        <f>('Kwh Reading'!T8-'Kwh Reading'!T7)*1000</f>
        <v>500</v>
      </c>
      <c r="D7" s="2">
        <f>('Kwh Reading'!F8-'Kwh Reading'!F7)*1000000</f>
        <v>2400.0000000001796</v>
      </c>
      <c r="E7" s="2">
        <f>('Kwh Reading'!C8-'Kwh Reading'!C7)*1000</f>
        <v>219.99999999999886</v>
      </c>
      <c r="F7" s="2">
        <f>('Kwh Reading'!J8-'Kwh Reading'!J7)*1000</f>
        <v>180.00000000000682</v>
      </c>
      <c r="G7" s="2">
        <f>('Kwh Reading'!K8-'Kwh Reading'!K7)*1000</f>
        <v>310.00000000000227</v>
      </c>
      <c r="H7" s="2">
        <f>('Kwh Reading'!L8-'Kwh Reading'!L7)*1000</f>
        <v>170.00000000001592</v>
      </c>
      <c r="I7" s="2">
        <f>('Kwh Reading'!R8-'Kwh Reading'!R7)*1000</f>
        <v>319.99999999999318</v>
      </c>
      <c r="J7" s="2">
        <f>('Kwh Reading'!S8-'Kwh Reading'!S7)*1000</f>
        <v>120.00000000000455</v>
      </c>
      <c r="K7" s="2">
        <f>('Kwh Reading'!I8-'Kwh Reading'!I7)*1000</f>
        <v>319.99999999999318</v>
      </c>
      <c r="L7" s="2">
        <f>('Kwh Reading'!B8-'Kwh Reading'!B7)*1000</f>
        <v>1309.9999999999454</v>
      </c>
      <c r="M7" s="2">
        <f>('Kwh Reading'!M8-'Kwh Reading'!M7)*1000</f>
        <v>670.00000000001592</v>
      </c>
      <c r="N7" s="2">
        <f>('Kwh Reading'!H8-'Kwh Reading'!H7)*1000</f>
        <v>809.99999999994543</v>
      </c>
      <c r="O7" s="2">
        <f>('Kwh Reading'!P8-'Kwh Reading'!P7)*1000</f>
        <v>1000</v>
      </c>
      <c r="P7" s="2">
        <f>('Kwh Reading'!G8-'Kwh Reading'!G7)*1000</f>
        <v>909.99999999996817</v>
      </c>
      <c r="Q7" s="2">
        <f>('Kwh Reading'!Q8-'Kwh Reading'!Q7)*1000</f>
        <v>740.00000000000909</v>
      </c>
      <c r="R7" s="2">
        <f>('Kwh Reading'!N8-'Kwh Reading'!N7)*1000</f>
        <v>770.00000000003865</v>
      </c>
      <c r="S7" s="2">
        <f>'Kwh Reading'!E8-'Kwh Reading'!E7</f>
        <v>2573.4199999999255</v>
      </c>
      <c r="T7" s="2">
        <f>'Kwh Reading'!D8-'Kwh Reading'!D7</f>
        <v>2393.3700000001118</v>
      </c>
      <c r="U7" s="27">
        <f>('Kwh Reading'!O8-'Kwh Reading'!O7)*1000</f>
        <v>219.99999999999886</v>
      </c>
      <c r="V7" s="16">
        <f t="shared" si="0"/>
        <v>6963.2099999994844</v>
      </c>
    </row>
    <row r="8" spans="1:22" x14ac:dyDescent="0.25">
      <c r="A8" s="3">
        <f>'Kwh Reading'!A8</f>
        <v>44321</v>
      </c>
      <c r="B8" s="26">
        <f>TOTAL!E6</f>
        <v>23720.000000000255</v>
      </c>
      <c r="C8" s="4">
        <f>('Kwh Reading'!T9-'Kwh Reading'!T8)*1000</f>
        <v>540.00000000002046</v>
      </c>
      <c r="D8" s="2">
        <f>('Kwh Reading'!F9-'Kwh Reading'!F8)*1000000</f>
        <v>2699.9999999999245</v>
      </c>
      <c r="E8" s="2">
        <f>('Kwh Reading'!C9-'Kwh Reading'!C8)*1000</f>
        <v>219.99999999999886</v>
      </c>
      <c r="F8" s="2">
        <f>('Kwh Reading'!J9-'Kwh Reading'!J8)*1000</f>
        <v>259.99999999999091</v>
      </c>
      <c r="G8" s="2">
        <f>('Kwh Reading'!K9-'Kwh Reading'!K8)*1000</f>
        <v>359.9999999999568</v>
      </c>
      <c r="H8" s="2">
        <f>('Kwh Reading'!L9-'Kwh Reading'!L8)*1000</f>
        <v>250</v>
      </c>
      <c r="I8" s="2">
        <f>('Kwh Reading'!R9-'Kwh Reading'!R8)*1000</f>
        <v>300.00000000001137</v>
      </c>
      <c r="J8" s="2">
        <f>('Kwh Reading'!S9-'Kwh Reading'!S8)*1000</f>
        <v>129.99999999999545</v>
      </c>
      <c r="K8" s="2">
        <f>('Kwh Reading'!I9-'Kwh Reading'!I8)*1000</f>
        <v>410.00000000002501</v>
      </c>
      <c r="L8" s="2">
        <f>('Kwh Reading'!B9-'Kwh Reading'!B8)*1000</f>
        <v>1550.0000000000682</v>
      </c>
      <c r="M8" s="2">
        <f>('Kwh Reading'!M9-'Kwh Reading'!M8)*1000</f>
        <v>870.00000000000455</v>
      </c>
      <c r="N8" s="2">
        <f>('Kwh Reading'!H9-'Kwh Reading'!H8)*1000</f>
        <v>1000</v>
      </c>
      <c r="O8" s="2">
        <f>('Kwh Reading'!P9-'Kwh Reading'!P8)*1000</f>
        <v>1199.9999999999318</v>
      </c>
      <c r="P8" s="2">
        <f>('Kwh Reading'!G9-'Kwh Reading'!G8)*1000</f>
        <v>1090.0000000000318</v>
      </c>
      <c r="Q8" s="2">
        <f>('Kwh Reading'!Q9-'Kwh Reading'!Q8)*1000</f>
        <v>840.00000000003183</v>
      </c>
      <c r="R8" s="2">
        <f>('Kwh Reading'!N9-'Kwh Reading'!N8)*1000</f>
        <v>929.99999999994998</v>
      </c>
      <c r="S8" s="2">
        <f>'Kwh Reading'!E9-'Kwh Reading'!E8</f>
        <v>3069.8000000007451</v>
      </c>
      <c r="T8" s="2">
        <f>'Kwh Reading'!D9-'Kwh Reading'!D8</f>
        <v>2848.1200000001118</v>
      </c>
      <c r="U8" s="27">
        <f>('Kwh Reading'!O9-'Kwh Reading'!O8)*1000</f>
        <v>229.99999999998977</v>
      </c>
      <c r="V8" s="16">
        <f t="shared" si="0"/>
        <v>4922.079999999467</v>
      </c>
    </row>
    <row r="9" spans="1:22" x14ac:dyDescent="0.25">
      <c r="A9" s="3">
        <f>'Kwh Reading'!A9</f>
        <v>44322</v>
      </c>
      <c r="B9" s="26">
        <f>TOTAL!E7</f>
        <v>19600.000000000589</v>
      </c>
      <c r="C9" s="4">
        <f>('Kwh Reading'!T10-'Kwh Reading'!T9)*1000</f>
        <v>500</v>
      </c>
      <c r="D9" s="2">
        <f>('Kwh Reading'!F10-'Kwh Reading'!F9)*1000000</f>
        <v>2200.0000000002019</v>
      </c>
      <c r="E9" s="2">
        <f>('Kwh Reading'!C10-'Kwh Reading'!C9)*1000</f>
        <v>180.00000000000682</v>
      </c>
      <c r="F9" s="2">
        <f>('Kwh Reading'!J10-'Kwh Reading'!J9)*1000</f>
        <v>160.00000000002501</v>
      </c>
      <c r="G9" s="2">
        <f>('Kwh Reading'!K10-'Kwh Reading'!K9)*1000</f>
        <v>200.00000000004547</v>
      </c>
      <c r="H9" s="2">
        <f>('Kwh Reading'!L10-'Kwh Reading'!L9)*1000</f>
        <v>149.99999999997726</v>
      </c>
      <c r="I9" s="2">
        <f>('Kwh Reading'!R10-'Kwh Reading'!R9)*1000</f>
        <v>319.99999999999318</v>
      </c>
      <c r="J9" s="2">
        <f>('Kwh Reading'!S10-'Kwh Reading'!S9)*1000</f>
        <v>120.00000000000455</v>
      </c>
      <c r="K9" s="2">
        <f>('Kwh Reading'!I10-'Kwh Reading'!I9)*1000</f>
        <v>259.99999999999091</v>
      </c>
      <c r="L9" s="2">
        <f>('Kwh Reading'!B10-'Kwh Reading'!B9)*1000</f>
        <v>1139.9999999999864</v>
      </c>
      <c r="M9" s="2">
        <f>('Kwh Reading'!M10-'Kwh Reading'!M9)*1000</f>
        <v>509.99999999999091</v>
      </c>
      <c r="N9" s="2">
        <f>('Kwh Reading'!H10-'Kwh Reading'!H9)*1000</f>
        <v>639.99999999998636</v>
      </c>
      <c r="O9" s="2">
        <f>('Kwh Reading'!P10-'Kwh Reading'!P9)*1000</f>
        <v>800.00000000006821</v>
      </c>
      <c r="P9" s="2">
        <f>('Kwh Reading'!G10-'Kwh Reading'!G9)*1000</f>
        <v>789.99999999996362</v>
      </c>
      <c r="Q9" s="2">
        <f>('Kwh Reading'!Q10-'Kwh Reading'!Q9)*1000</f>
        <v>589.99999999997499</v>
      </c>
      <c r="R9" s="2">
        <f>('Kwh Reading'!N10-'Kwh Reading'!N9)*1000</f>
        <v>560.00000000000227</v>
      </c>
      <c r="S9" s="2">
        <f>'Kwh Reading'!E10-'Kwh Reading'!E9</f>
        <v>2150.5599999995902</v>
      </c>
      <c r="T9" s="2">
        <f>'Kwh Reading'!D10-'Kwh Reading'!D9</f>
        <v>1832.3499999996275</v>
      </c>
      <c r="U9" s="27">
        <f>('Kwh Reading'!O10-'Kwh Reading'!O9)*1000</f>
        <v>189.99999999999773</v>
      </c>
      <c r="V9" s="16">
        <f t="shared" si="0"/>
        <v>6307.090000001157</v>
      </c>
    </row>
    <row r="10" spans="1:22" x14ac:dyDescent="0.25">
      <c r="A10" s="3">
        <f>'Kwh Reading'!A10</f>
        <v>44323</v>
      </c>
      <c r="B10" s="26">
        <f>TOTAL!E8</f>
        <v>21469.9999999998</v>
      </c>
      <c r="C10" s="4">
        <f>('Kwh Reading'!T11-'Kwh Reading'!T10)*1000</f>
        <v>310.00000000000227</v>
      </c>
      <c r="D10" s="2">
        <f>('Kwh Reading'!F11-'Kwh Reading'!F10)*1000000</f>
        <v>2499.9999999999468</v>
      </c>
      <c r="E10" s="2">
        <f>('Kwh Reading'!C11-'Kwh Reading'!C10)*1000</f>
        <v>250</v>
      </c>
      <c r="F10" s="2">
        <f>('Kwh Reading'!J11-'Kwh Reading'!J10)*1000</f>
        <v>189.99999999999773</v>
      </c>
      <c r="G10" s="2">
        <f>('Kwh Reading'!K11-'Kwh Reading'!K10)*1000</f>
        <v>250</v>
      </c>
      <c r="H10" s="2">
        <f>('Kwh Reading'!L11-'Kwh Reading'!L10)*1000</f>
        <v>180.00000000000682</v>
      </c>
      <c r="I10" s="2">
        <f>('Kwh Reading'!R11-'Kwh Reading'!R10)*1000</f>
        <v>280.00000000000114</v>
      </c>
      <c r="J10" s="2">
        <f>('Kwh Reading'!S11-'Kwh Reading'!S10)*1000</f>
        <v>119.99999999999034</v>
      </c>
      <c r="K10" s="2">
        <f>('Kwh Reading'!I11-'Kwh Reading'!I10)*1000</f>
        <v>319.99999999999318</v>
      </c>
      <c r="L10" s="2">
        <f>('Kwh Reading'!B11-'Kwh Reading'!B10)*1000</f>
        <v>1370.0000000000045</v>
      </c>
      <c r="M10" s="2">
        <f>('Kwh Reading'!M11-'Kwh Reading'!M10)*1000</f>
        <v>709.99999999997954</v>
      </c>
      <c r="N10" s="2">
        <f>('Kwh Reading'!H11-'Kwh Reading'!H10)*1000</f>
        <v>700.00000000004547</v>
      </c>
      <c r="O10" s="2">
        <f>('Kwh Reading'!P11-'Kwh Reading'!P10)*1000</f>
        <v>960.00000000003638</v>
      </c>
      <c r="P10" s="2">
        <f>('Kwh Reading'!G11-'Kwh Reading'!G10)*1000</f>
        <v>950.00000000004547</v>
      </c>
      <c r="Q10" s="2">
        <f>('Kwh Reading'!Q11-'Kwh Reading'!Q10)*1000</f>
        <v>740.00000000000909</v>
      </c>
      <c r="R10" s="2">
        <f>('Kwh Reading'!N11-'Kwh Reading'!N10)*1000</f>
        <v>710.00000000003638</v>
      </c>
      <c r="S10" s="34">
        <f>'Kwh Reading'!E11-'Kwh Reading'!E10</f>
        <v>2264.6500000003725</v>
      </c>
      <c r="T10" s="34">
        <f>'Kwh Reading'!D11-'Kwh Reading'!D10</f>
        <v>2348.8600000003353</v>
      </c>
      <c r="U10" s="27">
        <f>('Kwh Reading'!O11-'Kwh Reading'!O10)*1000</f>
        <v>210.00000000000796</v>
      </c>
      <c r="V10" s="16">
        <f t="shared" ref="V10:V34" si="1">B10-(SUM(C10:U10))</f>
        <v>6106.4899999989902</v>
      </c>
    </row>
    <row r="11" spans="1:22" x14ac:dyDescent="0.25">
      <c r="A11" s="3">
        <f>'Kwh Reading'!A11</f>
        <v>44324</v>
      </c>
      <c r="B11" s="26">
        <f>TOTAL!E9</f>
        <v>21609.999999999673</v>
      </c>
      <c r="C11" s="4">
        <f>('Kwh Reading'!T12-'Kwh Reading'!T11)*1000</f>
        <v>500</v>
      </c>
      <c r="D11" s="2">
        <f>('Kwh Reading'!F12-'Kwh Reading'!F11)*1000000</f>
        <v>2599.9999999997135</v>
      </c>
      <c r="E11" s="2">
        <f>('Kwh Reading'!C12-'Kwh Reading'!C11)*1000</f>
        <v>219.99999999999886</v>
      </c>
      <c r="F11" s="2">
        <f>('Kwh Reading'!J12-'Kwh Reading'!J11)*1000</f>
        <v>199.99999999998863</v>
      </c>
      <c r="G11" s="2">
        <f>('Kwh Reading'!K12-'Kwh Reading'!K11)*1000</f>
        <v>279.99999999997272</v>
      </c>
      <c r="H11" s="2">
        <f>('Kwh Reading'!L12-'Kwh Reading'!L11)*1000</f>
        <v>210.00000000000796</v>
      </c>
      <c r="I11" s="2">
        <f>('Kwh Reading'!R12-'Kwh Reading'!R11)*1000</f>
        <v>319.99999999999318</v>
      </c>
      <c r="J11" s="2">
        <f>('Kwh Reading'!S12-'Kwh Reading'!S11)*1000</f>
        <v>100.00000000000853</v>
      </c>
      <c r="K11" s="2">
        <f>('Kwh Reading'!I12-'Kwh Reading'!I11)*1000</f>
        <v>330.00000000001251</v>
      </c>
      <c r="L11" s="2">
        <f>('Kwh Reading'!B12-'Kwh Reading'!B11)*1000</f>
        <v>1509.9999999999909</v>
      </c>
      <c r="M11" s="2">
        <f>('Kwh Reading'!M12-'Kwh Reading'!M11)*1000</f>
        <v>710.00000000003638</v>
      </c>
      <c r="N11" s="2">
        <f>('Kwh Reading'!H12-'Kwh Reading'!H11)*1000</f>
        <v>839.99999999991815</v>
      </c>
      <c r="O11" s="2">
        <f>('Kwh Reading'!P12-'Kwh Reading'!P11)*1000</f>
        <v>1069.9999999999363</v>
      </c>
      <c r="P11" s="2">
        <f>('Kwh Reading'!G12-'Kwh Reading'!G11)*1000</f>
        <v>929.99999999994998</v>
      </c>
      <c r="Q11" s="2">
        <f>('Kwh Reading'!Q12-'Kwh Reading'!Q11)*1000</f>
        <v>689.99999999999773</v>
      </c>
      <c r="R11" s="2">
        <f>('Kwh Reading'!N12-'Kwh Reading'!N11)*1000</f>
        <v>769.99999999998181</v>
      </c>
      <c r="S11" s="34">
        <f>'Kwh Reading'!E12-'Kwh Reading'!E11</f>
        <v>2741.2299999995157</v>
      </c>
      <c r="T11" s="34">
        <f>'Kwh Reading'!D12-'Kwh Reading'!D11</f>
        <v>2558.3499999996275</v>
      </c>
      <c r="U11" s="27">
        <f>('Kwh Reading'!O12-'Kwh Reading'!O11)*1000</f>
        <v>219.99999999999886</v>
      </c>
      <c r="V11" s="16">
        <f t="shared" si="1"/>
        <v>4810.4200000010242</v>
      </c>
    </row>
    <row r="12" spans="1:22" x14ac:dyDescent="0.25">
      <c r="A12" s="3">
        <f>'Kwh Reading'!A12</f>
        <v>44325</v>
      </c>
      <c r="B12" s="26">
        <f>TOTAL!E10</f>
        <v>22349.999999999905</v>
      </c>
      <c r="C12" s="4">
        <f>('Kwh Reading'!T13-'Kwh Reading'!T12)*1000</f>
        <v>509.99999999999091</v>
      </c>
      <c r="D12" s="2">
        <f>('Kwh Reading'!F13-'Kwh Reading'!F12)*1000000</f>
        <v>2299.9999999999686</v>
      </c>
      <c r="E12" s="2">
        <f>('Kwh Reading'!C13-'Kwh Reading'!C12)*1000</f>
        <v>219.99999999999886</v>
      </c>
      <c r="F12" s="2">
        <f>('Kwh Reading'!J13-'Kwh Reading'!J12)*1000</f>
        <v>129.99999999999545</v>
      </c>
      <c r="G12" s="2">
        <f>('Kwh Reading'!K13-'Kwh Reading'!K12)*1000</f>
        <v>209.99999999997954</v>
      </c>
      <c r="H12" s="2">
        <f>('Kwh Reading'!L13-'Kwh Reading'!L12)*1000</f>
        <v>159.99999999999659</v>
      </c>
      <c r="I12" s="2">
        <f>('Kwh Reading'!R13-'Kwh Reading'!R12)*1000</f>
        <v>259.99999999999091</v>
      </c>
      <c r="J12" s="2">
        <f>('Kwh Reading'!S13-'Kwh Reading'!S12)*1000</f>
        <v>120.00000000000455</v>
      </c>
      <c r="K12" s="2">
        <f>('Kwh Reading'!I13-'Kwh Reading'!I12)*1000</f>
        <v>349.99999999999432</v>
      </c>
      <c r="L12" s="2">
        <f>('Kwh Reading'!B13-'Kwh Reading'!B12)*1000</f>
        <v>1370.0000000000045</v>
      </c>
      <c r="M12" s="2">
        <f>('Kwh Reading'!M13-'Kwh Reading'!M12)*1000</f>
        <v>759.99999999999091</v>
      </c>
      <c r="N12" s="2">
        <f>('Kwh Reading'!H13-'Kwh Reading'!H12)*1000</f>
        <v>830.00000000004093</v>
      </c>
      <c r="O12" s="2">
        <f>('Kwh Reading'!P13-'Kwh Reading'!P12)*1000</f>
        <v>1090.0000000000318</v>
      </c>
      <c r="P12" s="2">
        <f>('Kwh Reading'!G13-'Kwh Reading'!G12)*1000</f>
        <v>940.00000000005457</v>
      </c>
      <c r="Q12" s="2">
        <f>('Kwh Reading'!Q13-'Kwh Reading'!Q12)*1000</f>
        <v>800.00000000001137</v>
      </c>
      <c r="R12" s="2">
        <f>('Kwh Reading'!N13-'Kwh Reading'!N12)*1000</f>
        <v>790.00000000002046</v>
      </c>
      <c r="S12" s="34">
        <f>'Kwh Reading'!E13-'Kwh Reading'!E12</f>
        <v>2998</v>
      </c>
      <c r="T12" s="34">
        <f>'Kwh Reading'!D13-'Kwh Reading'!D12</f>
        <v>2469.730000000447</v>
      </c>
      <c r="U12" s="27">
        <f>('Kwh Reading'!O13-'Kwh Reading'!O12)*1000</f>
        <v>210.00000000000796</v>
      </c>
      <c r="V12" s="16">
        <f t="shared" si="1"/>
        <v>5832.2699999993747</v>
      </c>
    </row>
    <row r="13" spans="1:22" x14ac:dyDescent="0.25">
      <c r="A13" s="3">
        <f>'Kwh Reading'!A13</f>
        <v>44326</v>
      </c>
      <c r="B13" s="26">
        <f>TOTAL!E11</f>
        <v>21659.999999999854</v>
      </c>
      <c r="C13" s="4">
        <f>('Kwh Reading'!T14-'Kwh Reading'!T13)*1000</f>
        <v>500</v>
      </c>
      <c r="D13" s="2">
        <f>('Kwh Reading'!F14-'Kwh Reading'!F13)*1000000</f>
        <v>2499.9999999999468</v>
      </c>
      <c r="E13" s="2">
        <f>('Kwh Reading'!C14-'Kwh Reading'!C13)*1000</f>
        <v>210.00000000000796</v>
      </c>
      <c r="F13" s="2">
        <f>('Kwh Reading'!J14-'Kwh Reading'!J13)*1000</f>
        <v>120.00000000000455</v>
      </c>
      <c r="G13" s="2">
        <f>('Kwh Reading'!K14-'Kwh Reading'!K13)*1000</f>
        <v>560.00000000000227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149.99999999999147</v>
      </c>
      <c r="K13" s="2">
        <f>('Kwh Reading'!I14-'Kwh Reading'!I13)*1000</f>
        <v>289.99999999999204</v>
      </c>
      <c r="L13" s="2">
        <f>('Kwh Reading'!B14-'Kwh Reading'!B13)*1000</f>
        <v>1289.9999999999636</v>
      </c>
      <c r="M13" s="2">
        <f>('Kwh Reading'!M14-'Kwh Reading'!M13)*1000</f>
        <v>699.99999999998863</v>
      </c>
      <c r="N13" s="2">
        <f>('Kwh Reading'!H14-'Kwh Reading'!H13)*1000</f>
        <v>720.00000000002728</v>
      </c>
      <c r="O13" s="2">
        <f>('Kwh Reading'!P14-'Kwh Reading'!P13)*1000</f>
        <v>1009.9999999999909</v>
      </c>
      <c r="P13" s="2">
        <f>('Kwh Reading'!G14-'Kwh Reading'!G13)*1000</f>
        <v>850.00000000002274</v>
      </c>
      <c r="Q13" s="2">
        <f>('Kwh Reading'!Q14-'Kwh Reading'!Q13)*1000</f>
        <v>729.99999999996135</v>
      </c>
      <c r="R13" s="2">
        <f>('Kwh Reading'!N14-'Kwh Reading'!N13)*1000</f>
        <v>750</v>
      </c>
      <c r="S13" s="34">
        <f>'Kwh Reading'!E14-'Kwh Reading'!E13</f>
        <v>2680.4699999997392</v>
      </c>
      <c r="T13" s="34">
        <f>'Kwh Reading'!D14-'Kwh Reading'!D13</f>
        <v>2248.8499999996275</v>
      </c>
      <c r="U13" s="27">
        <f>('Kwh Reading'!O14-'Kwh Reading'!O13)*1000</f>
        <v>240.00000000000909</v>
      </c>
      <c r="V13" s="16">
        <f t="shared" si="1"/>
        <v>5590.6800000005678</v>
      </c>
    </row>
    <row r="14" spans="1:22" x14ac:dyDescent="0.25">
      <c r="A14" s="3">
        <f>'Kwh Reading'!A14</f>
        <v>44327</v>
      </c>
      <c r="B14" s="26">
        <f>TOTAL!E12</f>
        <v>19320.000000000393</v>
      </c>
      <c r="C14" s="4">
        <f>('Kwh Reading'!T15-'Kwh Reading'!T14)*1000</f>
        <v>480.00000000001819</v>
      </c>
      <c r="D14" s="2">
        <f>('Kwh Reading'!F15-'Kwh Reading'!F14)*1000000</f>
        <v>2300.0000000004129</v>
      </c>
      <c r="E14" s="2">
        <f>('Kwh Reading'!C15-'Kwh Reading'!C14)*1000</f>
        <v>210.00000000000796</v>
      </c>
      <c r="F14" s="2">
        <f>('Kwh Reading'!J15-'Kwh Reading'!J14)*1000</f>
        <v>120.00000000000455</v>
      </c>
      <c r="G14" s="2">
        <f>('Kwh Reading'!K15-'Kwh Reading'!K14)*1000</f>
        <v>-79.999999999984084</v>
      </c>
      <c r="H14" s="2">
        <f>('Kwh Reading'!L15-'Kwh Reading'!L14)*1000</f>
        <v>169.99999999998749</v>
      </c>
      <c r="I14" s="2">
        <f>('Kwh Reading'!R15-'Kwh Reading'!R14)*1000</f>
        <v>310.00000000000227</v>
      </c>
      <c r="J14" s="2">
        <f>('Kwh Reading'!S15-'Kwh Reading'!S14)*1000</f>
        <v>129.99999999999545</v>
      </c>
      <c r="K14" s="2">
        <f>('Kwh Reading'!I15-'Kwh Reading'!I14)*1000</f>
        <v>240.00000000000909</v>
      </c>
      <c r="L14" s="2">
        <f>('Kwh Reading'!B15-'Kwh Reading'!B14)*1000</f>
        <v>1019.9999999999818</v>
      </c>
      <c r="M14" s="2">
        <f>('Kwh Reading'!M15-'Kwh Reading'!M14)*1000</f>
        <v>560.00000000000227</v>
      </c>
      <c r="N14" s="2">
        <f>('Kwh Reading'!H15-'Kwh Reading'!H14)*1000</f>
        <v>649.99999999997726</v>
      </c>
      <c r="O14" s="2">
        <f>('Kwh Reading'!P15-'Kwh Reading'!P14)*1000</f>
        <v>899.99999999997726</v>
      </c>
      <c r="P14" s="2">
        <f>('Kwh Reading'!G15-'Kwh Reading'!G14)*1000</f>
        <v>639.99999999998636</v>
      </c>
      <c r="Q14" s="2">
        <f>('Kwh Reading'!Q15-'Kwh Reading'!Q14)*1000</f>
        <v>560.00000000000227</v>
      </c>
      <c r="R14" s="2">
        <f>('Kwh Reading'!N15-'Kwh Reading'!N14)*1000</f>
        <v>550.00000000001137</v>
      </c>
      <c r="S14" s="34">
        <f>'Kwh Reading'!E15-'Kwh Reading'!E14</f>
        <v>2457.3000000007451</v>
      </c>
      <c r="T14" s="34">
        <f>'Kwh Reading'!D15-'Kwh Reading'!D14</f>
        <v>1925.7800000002608</v>
      </c>
      <c r="U14" s="27">
        <f>('Kwh Reading'!O15-'Kwh Reading'!O14)*1000</f>
        <v>209.99999999997954</v>
      </c>
      <c r="V14" s="16">
        <f t="shared" si="1"/>
        <v>5966.9199999990142</v>
      </c>
    </row>
    <row r="15" spans="1:22" x14ac:dyDescent="0.25">
      <c r="A15" s="3">
        <f>'Kwh Reading'!A15</f>
        <v>44328</v>
      </c>
      <c r="B15" s="26">
        <f>TOTAL!E13</f>
        <v>19429.999999999836</v>
      </c>
      <c r="C15" s="4">
        <f>('Kwh Reading'!T16-'Kwh Reading'!T15)*1000</f>
        <v>449.99999999998863</v>
      </c>
      <c r="D15" s="2">
        <f>('Kwh Reading'!F16-'Kwh Reading'!F15)*1000000</f>
        <v>2399.9999999997358</v>
      </c>
      <c r="E15" s="2">
        <f>('Kwh Reading'!C16-'Kwh Reading'!C15)*1000</f>
        <v>209.99999999997954</v>
      </c>
      <c r="F15" s="2">
        <f>('Kwh Reading'!J16-'Kwh Reading'!J15)*1000</f>
        <v>160.00000000002501</v>
      </c>
      <c r="G15" s="2">
        <f>('Kwh Reading'!K16-'Kwh Reading'!K15)*1000</f>
        <v>240.00000000000909</v>
      </c>
      <c r="H15" s="2">
        <f>('Kwh Reading'!L16-'Kwh Reading'!L15)*1000</f>
        <v>200.00000000001705</v>
      </c>
      <c r="I15" s="2">
        <f>('Kwh Reading'!R16-'Kwh Reading'!R15)*1000</f>
        <v>340.00000000000341</v>
      </c>
      <c r="J15" s="2">
        <f>('Kwh Reading'!S16-'Kwh Reading'!S15)*1000</f>
        <v>140.00000000000057</v>
      </c>
      <c r="K15" s="2">
        <f>('Kwh Reading'!I16-'Kwh Reading'!I15)*1000</f>
        <v>299.99999999998295</v>
      </c>
      <c r="L15" s="2">
        <f>('Kwh Reading'!B16-'Kwh Reading'!B15)*1000</f>
        <v>1029.9999999999727</v>
      </c>
      <c r="M15" s="2">
        <f>('Kwh Reading'!M16-'Kwh Reading'!M15)*1000</f>
        <v>569.99999999999318</v>
      </c>
      <c r="N15" s="2">
        <f>('Kwh Reading'!H16-'Kwh Reading'!H15)*1000</f>
        <v>629.99999999999545</v>
      </c>
      <c r="O15" s="2">
        <f>('Kwh Reading'!P16-'Kwh Reading'!P15)*1000</f>
        <v>1070.00000000005</v>
      </c>
      <c r="P15" s="2">
        <f>('Kwh Reading'!G16-'Kwh Reading'!G15)*1000</f>
        <v>740.00000000000909</v>
      </c>
      <c r="Q15" s="2">
        <f>('Kwh Reading'!Q16-'Kwh Reading'!Q15)*1000</f>
        <v>600.00000000002274</v>
      </c>
      <c r="R15" s="2">
        <f>('Kwh Reading'!N16-'Kwh Reading'!N15)*1000</f>
        <v>519.99999999998181</v>
      </c>
      <c r="S15" s="34">
        <f>'Kwh Reading'!E16-'Kwh Reading'!E15</f>
        <v>2850.019999999553</v>
      </c>
      <c r="T15" s="34">
        <f>'Kwh Reading'!D16-'Kwh Reading'!D15</f>
        <v>2272.7299999995157</v>
      </c>
      <c r="U15" s="27">
        <f>('Kwh Reading'!O16-'Kwh Reading'!O15)*1000</f>
        <v>219.99999999999886</v>
      </c>
      <c r="V15" s="16">
        <f t="shared" si="1"/>
        <v>4487.2500000010023</v>
      </c>
    </row>
    <row r="16" spans="1:22" x14ac:dyDescent="0.25">
      <c r="A16" s="3">
        <f>'Kwh Reading'!A16</f>
        <v>44329</v>
      </c>
      <c r="B16" s="26">
        <f>TOTAL!E14</f>
        <v>20859.999999999902</v>
      </c>
      <c r="C16" s="4">
        <f>('Kwh Reading'!T17-'Kwh Reading'!T16)*1000</f>
        <v>680.00000000000682</v>
      </c>
      <c r="D16" s="2">
        <f>('Kwh Reading'!F17-'Kwh Reading'!F16)*1000000</f>
        <v>2499.9999999999468</v>
      </c>
      <c r="E16" s="2">
        <f>('Kwh Reading'!C17-'Kwh Reading'!C16)*1000</f>
        <v>219.99999999999886</v>
      </c>
      <c r="F16" s="2">
        <f>('Kwh Reading'!J17-'Kwh Reading'!J16)*1000</f>
        <v>189.99999999999773</v>
      </c>
      <c r="G16" s="2">
        <f>('Kwh Reading'!K17-'Kwh Reading'!K16)*1000</f>
        <v>240.00000000000909</v>
      </c>
      <c r="H16" s="2">
        <f>('Kwh Reading'!L17-'Kwh Reading'!L16)*1000</f>
        <v>229.99999999998977</v>
      </c>
      <c r="I16" s="2">
        <f>('Kwh Reading'!R17-'Kwh Reading'!R16)*1000</f>
        <v>319.99999999999318</v>
      </c>
      <c r="J16" s="2">
        <f>('Kwh Reading'!S17-'Kwh Reading'!S16)*1000</f>
        <v>120.00000000000455</v>
      </c>
      <c r="K16" s="2">
        <f>('Kwh Reading'!I17-'Kwh Reading'!I16)*1000</f>
        <v>270.00000000001023</v>
      </c>
      <c r="L16" s="2">
        <f>('Kwh Reading'!B17-'Kwh Reading'!B16)*1000</f>
        <v>1070.00000000005</v>
      </c>
      <c r="M16" s="2">
        <f>('Kwh Reading'!M17-'Kwh Reading'!M16)*1000</f>
        <v>579.99999999998408</v>
      </c>
      <c r="N16" s="2">
        <f>('Kwh Reading'!H17-'Kwh Reading'!H16)*1000</f>
        <v>649.99999999997726</v>
      </c>
      <c r="O16" s="2">
        <f>('Kwh Reading'!P17-'Kwh Reading'!P16)*1000</f>
        <v>959.99999999992269</v>
      </c>
      <c r="P16" s="2">
        <f>('Kwh Reading'!G17-'Kwh Reading'!G16)*1000</f>
        <v>730.00000000001819</v>
      </c>
      <c r="Q16" s="2">
        <f>('Kwh Reading'!Q17-'Kwh Reading'!Q16)*1000</f>
        <v>639.99999999998636</v>
      </c>
      <c r="R16" s="2">
        <f>('Kwh Reading'!N17-'Kwh Reading'!N16)*1000</f>
        <v>550.00000000001137</v>
      </c>
      <c r="S16" s="34">
        <f>'Kwh Reading'!E17-'Kwh Reading'!E16</f>
        <v>2726.070000000298</v>
      </c>
      <c r="T16" s="34">
        <f>'Kwh Reading'!D17-'Kwh Reading'!D16</f>
        <v>2344.1900000004098</v>
      </c>
      <c r="U16" s="27">
        <f>('Kwh Reading'!O17-'Kwh Reading'!O16)*1000</f>
        <v>230.00000000001819</v>
      </c>
      <c r="V16" s="16">
        <f t="shared" si="1"/>
        <v>5609.7399999992704</v>
      </c>
    </row>
    <row r="17" spans="1:22" x14ac:dyDescent="0.25">
      <c r="A17" s="3">
        <f>'Kwh Reading'!A17</f>
        <v>44330</v>
      </c>
      <c r="B17" s="26">
        <f>TOTAL!E15</f>
        <v>19520.000000000662</v>
      </c>
      <c r="C17" s="4">
        <f>('Kwh Reading'!T18-'Kwh Reading'!T17)*1000</f>
        <v>170.00000000001592</v>
      </c>
      <c r="D17" s="2">
        <f>('Kwh Reading'!F18-'Kwh Reading'!F17)*1000000</f>
        <v>2699.9999999999245</v>
      </c>
      <c r="E17" s="2">
        <f>('Kwh Reading'!C18-'Kwh Reading'!C17)*1000</f>
        <v>219.99999999999886</v>
      </c>
      <c r="F17" s="2">
        <f>('Kwh Reading'!J18-'Kwh Reading'!J17)*1000</f>
        <v>250</v>
      </c>
      <c r="G17" s="2">
        <f>('Kwh Reading'!K18-'Kwh Reading'!K17)*1000</f>
        <v>300.00000000001137</v>
      </c>
      <c r="H17" s="2">
        <f>('Kwh Reading'!L18-'Kwh Reading'!L17)*1000</f>
        <v>229.99999999998977</v>
      </c>
      <c r="I17" s="2">
        <f>('Kwh Reading'!R18-'Kwh Reading'!R17)*1000</f>
        <v>330.00000000001251</v>
      </c>
      <c r="J17" s="2">
        <f>('Kwh Reading'!S18-'Kwh Reading'!S17)*1000</f>
        <v>120.00000000000455</v>
      </c>
      <c r="K17" s="2">
        <f>('Kwh Reading'!I18-'Kwh Reading'!I17)*1000</f>
        <v>250</v>
      </c>
      <c r="L17" s="2">
        <f>('Kwh Reading'!B18-'Kwh Reading'!B17)*1000</f>
        <v>1100.0000000000227</v>
      </c>
      <c r="M17" s="2">
        <f>('Kwh Reading'!M18-'Kwh Reading'!M17)*1000</f>
        <v>600.00000000002274</v>
      </c>
      <c r="N17" s="2">
        <f>('Kwh Reading'!H18-'Kwh Reading'!H17)*1000</f>
        <v>600.00000000002274</v>
      </c>
      <c r="O17" s="2">
        <f>('Kwh Reading'!P18-'Kwh Reading'!P17)*1000</f>
        <v>1070.00000000005</v>
      </c>
      <c r="P17" s="2">
        <f>('Kwh Reading'!G18-'Kwh Reading'!G17)*1000</f>
        <v>649.99999999997726</v>
      </c>
      <c r="Q17" s="2">
        <f>('Kwh Reading'!Q18-'Kwh Reading'!Q17)*1000</f>
        <v>590.00000000003183</v>
      </c>
      <c r="R17" s="2">
        <f>('Kwh Reading'!N18-'Kwh Reading'!N17)*1000</f>
        <v>549.99999999995453</v>
      </c>
      <c r="S17" s="34">
        <f>'Kwh Reading'!E18-'Kwh Reading'!E17</f>
        <v>2219.359999999404</v>
      </c>
      <c r="T17" s="34">
        <f>'Kwh Reading'!D18-'Kwh Reading'!D17</f>
        <v>2211.410000000149</v>
      </c>
      <c r="U17" s="27">
        <f>('Kwh Reading'!O18-'Kwh Reading'!O17)*1000</f>
        <v>219.99999999999886</v>
      </c>
      <c r="V17" s="16">
        <f t="shared" si="1"/>
        <v>5139.2300000010728</v>
      </c>
    </row>
    <row r="18" spans="1:22" x14ac:dyDescent="0.25">
      <c r="A18" s="3">
        <f>'Kwh Reading'!A18</f>
        <v>44331</v>
      </c>
      <c r="B18" s="26">
        <f>TOTAL!E16</f>
        <v>19839.999999999691</v>
      </c>
      <c r="C18" s="4">
        <f>('Kwh Reading'!T19-'Kwh Reading'!T18)*1000</f>
        <v>529.99999999997272</v>
      </c>
      <c r="D18" s="2">
        <f>('Kwh Reading'!F19-'Kwh Reading'!F18)*1000000</f>
        <v>2200.0000000002019</v>
      </c>
      <c r="E18" s="2">
        <f>('Kwh Reading'!C19-'Kwh Reading'!C18)*1000</f>
        <v>230.00000000001819</v>
      </c>
      <c r="F18" s="2">
        <f>('Kwh Reading'!J19-'Kwh Reading'!J18)*1000</f>
        <v>209.99999999997954</v>
      </c>
      <c r="G18" s="2">
        <f>('Kwh Reading'!K19-'Kwh Reading'!K18)*1000</f>
        <v>310.00000000000227</v>
      </c>
      <c r="H18" s="2">
        <f>('Kwh Reading'!L19-'Kwh Reading'!L18)*1000</f>
        <v>230.00000000001819</v>
      </c>
      <c r="I18" s="2">
        <f>('Kwh Reading'!R19-'Kwh Reading'!R18)*1000</f>
        <v>310.00000000000227</v>
      </c>
      <c r="J18" s="2">
        <f>('Kwh Reading'!S19-'Kwh Reading'!S18)*1000</f>
        <v>170.00000000000171</v>
      </c>
      <c r="K18" s="2">
        <f>('Kwh Reading'!I19-'Kwh Reading'!I18)*1000</f>
        <v>289.99999999999204</v>
      </c>
      <c r="L18" s="2">
        <f>('Kwh Reading'!B19-'Kwh Reading'!B18)*1000</f>
        <v>1129.9999999999955</v>
      </c>
      <c r="M18" s="2">
        <f>('Kwh Reading'!M19-'Kwh Reading'!M18)*1000</f>
        <v>649.99999999997726</v>
      </c>
      <c r="N18" s="2">
        <f>('Kwh Reading'!H19-'Kwh Reading'!H18)*1000</f>
        <v>700.00000000004547</v>
      </c>
      <c r="O18" s="2">
        <f>('Kwh Reading'!P19-'Kwh Reading'!P18)*1000</f>
        <v>990.00000000000909</v>
      </c>
      <c r="P18" s="2">
        <f>('Kwh Reading'!G19-'Kwh Reading'!G18)*1000</f>
        <v>759.99999999999091</v>
      </c>
      <c r="Q18" s="2">
        <f>('Kwh Reading'!Q19-'Kwh Reading'!Q18)*1000</f>
        <v>569.99999999999318</v>
      </c>
      <c r="R18" s="2">
        <f>('Kwh Reading'!N19-'Kwh Reading'!N18)*1000</f>
        <v>610.00000000001364</v>
      </c>
      <c r="S18" s="34">
        <f>'Kwh Reading'!E19-'Kwh Reading'!E18</f>
        <v>2798.3100000005215</v>
      </c>
      <c r="T18" s="34">
        <f>'Kwh Reading'!D19-'Kwh Reading'!D18</f>
        <v>2261.0099999997765</v>
      </c>
      <c r="U18" s="27">
        <f>('Kwh Reading'!O19-'Kwh Reading'!O18)*1000</f>
        <v>229.99999999998977</v>
      </c>
      <c r="V18" s="16">
        <f t="shared" si="1"/>
        <v>4660.679999999189</v>
      </c>
    </row>
    <row r="19" spans="1:22" x14ac:dyDescent="0.25">
      <c r="A19" s="3">
        <f>'Kwh Reading'!A19</f>
        <v>44332</v>
      </c>
      <c r="B19" s="26">
        <f>TOTAL!E17</f>
        <v>0</v>
      </c>
      <c r="C19" s="4">
        <f>('Kwh Reading'!T20-'Kwh Reading'!T19)*1000</f>
        <v>-400380</v>
      </c>
      <c r="D19" s="2">
        <f>('Kwh Reading'!F20-'Kwh Reading'!F19)*1000000</f>
        <v>-2270000</v>
      </c>
      <c r="E19" s="2">
        <f>('Kwh Reading'!C20-'Kwh Reading'!C19)*1000</f>
        <v>-219400</v>
      </c>
      <c r="F19" s="2">
        <f>('Kwh Reading'!J20-'Kwh Reading'!J19)*1000</f>
        <v>-307560</v>
      </c>
      <c r="G19" s="2">
        <f>('Kwh Reading'!K20-'Kwh Reading'!K19)*1000</f>
        <v>-329410</v>
      </c>
      <c r="H19" s="2">
        <f>('Kwh Reading'!L20-'Kwh Reading'!L19)*1000</f>
        <v>-225490</v>
      </c>
      <c r="I19" s="2">
        <f>('Kwh Reading'!R20-'Kwh Reading'!R19)*1000</f>
        <v>-143560</v>
      </c>
      <c r="J19" s="2">
        <f>('Kwh Reading'!S20-'Kwh Reading'!S19)*1000</f>
        <v>-109120</v>
      </c>
      <c r="K19" s="2">
        <f>('Kwh Reading'!I20-'Kwh Reading'!I19)*1000</f>
        <v>-220700</v>
      </c>
      <c r="L19" s="2">
        <f>('Kwh Reading'!B20-'Kwh Reading'!B19)*1000</f>
        <v>-920730</v>
      </c>
      <c r="M19" s="2">
        <f>('Kwh Reading'!M20-'Kwh Reading'!M19)*1000</f>
        <v>-481780</v>
      </c>
      <c r="N19" s="2">
        <f>('Kwh Reading'!H20-'Kwh Reading'!H19)*1000</f>
        <v>-598090</v>
      </c>
      <c r="O19" s="2">
        <f>('Kwh Reading'!P20-'Kwh Reading'!P19)*1000</f>
        <v>-568600</v>
      </c>
      <c r="P19" s="2">
        <f>('Kwh Reading'!G20-'Kwh Reading'!G19)*1000</f>
        <v>-704620</v>
      </c>
      <c r="Q19" s="2">
        <f>('Kwh Reading'!Q20-'Kwh Reading'!Q19)*1000</f>
        <v>-427360</v>
      </c>
      <c r="R19" s="2">
        <f>('Kwh Reading'!N20-'Kwh Reading'!N19)*1000</f>
        <v>-435700</v>
      </c>
      <c r="S19" s="34">
        <f>'Kwh Reading'!E20-'Kwh Reading'!E19</f>
        <v>-8037280.3300000001</v>
      </c>
      <c r="T19" s="34">
        <f>'Kwh Reading'!D20-'Kwh Reading'!D19</f>
        <v>-7367542.9199999999</v>
      </c>
      <c r="U19" s="27">
        <f>('Kwh Reading'!O20-'Kwh Reading'!O19)*1000</f>
        <v>-139690</v>
      </c>
      <c r="V19" s="16">
        <f t="shared" si="1"/>
        <v>23907013.25</v>
      </c>
    </row>
    <row r="20" spans="1:22" x14ac:dyDescent="0.25">
      <c r="A20" s="3">
        <f>'Kwh Reading'!A20</f>
        <v>44333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44334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44335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44336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44337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44338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44339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44340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44341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44342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44343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44344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44345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44346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44347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326199.99999999959</v>
      </c>
      <c r="C35" s="75">
        <f t="shared" ref="C35" si="2">SUM(C4:C34)</f>
        <v>-393190</v>
      </c>
      <c r="D35" s="75">
        <f t="shared" ref="D35" si="3">SUM(D4:D34)</f>
        <v>-2233200</v>
      </c>
      <c r="E35" s="75">
        <f t="shared" ref="E35" si="4">SUM(E4:E34)</f>
        <v>-216090</v>
      </c>
      <c r="F35" s="75">
        <f t="shared" ref="F35" si="5">SUM(F4:F34)</f>
        <v>-304910</v>
      </c>
      <c r="G35" s="75">
        <f t="shared" ref="G35:U35" si="6">SUM(G4:G34)</f>
        <v>-325529.99999999994</v>
      </c>
      <c r="H35" s="75">
        <f t="shared" si="6"/>
        <v>-222460</v>
      </c>
      <c r="I35" s="75">
        <f t="shared" si="6"/>
        <v>-139010</v>
      </c>
      <c r="J35" s="75">
        <f t="shared" si="6"/>
        <v>-107220</v>
      </c>
      <c r="K35" s="75">
        <f t="shared" si="6"/>
        <v>-215950</v>
      </c>
      <c r="L35" s="75">
        <f t="shared" si="6"/>
        <v>-901740</v>
      </c>
      <c r="M35" s="75">
        <f t="shared" si="6"/>
        <v>-471630</v>
      </c>
      <c r="N35" s="75">
        <f t="shared" si="6"/>
        <v>-586330</v>
      </c>
      <c r="O35" s="75">
        <f t="shared" si="6"/>
        <v>-553289.99999999988</v>
      </c>
      <c r="P35" s="75">
        <f t="shared" si="6"/>
        <v>-691690</v>
      </c>
      <c r="Q35" s="75">
        <f t="shared" si="6"/>
        <v>-416930</v>
      </c>
      <c r="R35" s="75">
        <f t="shared" si="6"/>
        <v>-425190</v>
      </c>
      <c r="S35" s="75">
        <f t="shared" si="6"/>
        <v>-7996109.6100000003</v>
      </c>
      <c r="T35" s="75">
        <f t="shared" si="6"/>
        <v>-7332163.1799999997</v>
      </c>
      <c r="U35" s="75">
        <f t="shared" si="6"/>
        <v>-136340</v>
      </c>
      <c r="V35" s="75">
        <f>SUM(V4:V34)</f>
        <v>23995172.789999999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44317</v>
      </c>
      <c r="B3" s="83">
        <f>TOTAL!E2</f>
        <v>22430.000000000291</v>
      </c>
      <c r="C3" s="1">
        <f>'Kwh Consumption'!C4</f>
        <v>509.99999999999091</v>
      </c>
      <c r="D3" s="1">
        <f>'Kwh Consumption'!D4</f>
        <v>2499.9999999999468</v>
      </c>
      <c r="E3" s="1">
        <f>'Kwh Consumption'!E4</f>
        <v>229.99999999998977</v>
      </c>
      <c r="F3" s="1">
        <f>('Kwh Consumption'!F4+'Kwh Consumption'!G4+'Kwh Consumption'!H4)</f>
        <v>619.9999999999477</v>
      </c>
      <c r="G3" s="16">
        <f>('Kwh Consumption'!I4+'Kwh Consumption'!J4)</f>
        <v>409.99999999999659</v>
      </c>
      <c r="H3" s="1">
        <f>('Kwh Consumption'!K4+'Kwh Consumption'!L4)</f>
        <v>1569.9999999999648</v>
      </c>
      <c r="I3" s="1">
        <f>('Kwh Consumption'!M4+'Kwh Consumption'!N4+'Kwh Consumption'!O4+'Kwh Consumption'!P4+'Kwh Consumption'!Q4+'Kwh Consumption'!R4)</f>
        <v>5080.0000000000409</v>
      </c>
      <c r="J3" s="1">
        <f>('Kwh Consumption'!S4+'Kwh Consumption'!T4)</f>
        <v>5545.3899999996647</v>
      </c>
      <c r="K3" s="1">
        <f>'Kwh Consumption'!U4</f>
        <v>229.99999999998977</v>
      </c>
      <c r="L3" s="32">
        <f t="shared" ref="L3:L33" si="0">B3-C3-D3-E3-F3-G3-H3-I3-J3-K3</f>
        <v>5734.61000000076</v>
      </c>
    </row>
    <row r="4" spans="1:12" x14ac:dyDescent="0.25">
      <c r="A4" s="14">
        <f>'Kwh Reading'!A5</f>
        <v>44318</v>
      </c>
      <c r="B4" s="83">
        <f>TOTAL!E3</f>
        <v>24299.999999999047</v>
      </c>
      <c r="C4" s="1">
        <f>'Kwh Consumption'!C5</f>
        <v>530.00000000002956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510.00000000001933</v>
      </c>
      <c r="G4" s="16">
        <f>('Kwh Consumption'!I5+'Kwh Consumption'!J5)</f>
        <v>400.00000000000568</v>
      </c>
      <c r="H4" s="1">
        <f>('Kwh Consumption'!K5+'Kwh Consumption'!L5)</f>
        <v>1810.0000000000307</v>
      </c>
      <c r="I4" s="1">
        <f>('Kwh Consumption'!M5+'Kwh Consumption'!N5+'Kwh Consumption'!O5+'Kwh Consumption'!P5+'Kwh Consumption'!Q5+'Kwh Consumption'!R5)</f>
        <v>5429.9999999999491</v>
      </c>
      <c r="J4" s="1">
        <f>('Kwh Consumption'!S5+'Kwh Consumption'!T5)</f>
        <v>5647.160000000149</v>
      </c>
      <c r="K4" s="1">
        <f>'Kwh Consumption'!U5</f>
        <v>230.00000000001819</v>
      </c>
      <c r="L4" s="32">
        <f t="shared" si="0"/>
        <v>7102.8399999986577</v>
      </c>
    </row>
    <row r="5" spans="1:12" x14ac:dyDescent="0.25">
      <c r="A5" s="14">
        <f>'Kwh Reading'!A6</f>
        <v>44319</v>
      </c>
      <c r="B5" s="83">
        <f>TOTAL!E4</f>
        <v>24100.000000000364</v>
      </c>
      <c r="C5" s="1">
        <f>'Kwh Consumption'!C6</f>
        <v>479.99999999996135</v>
      </c>
      <c r="D5" s="1">
        <f>'Kwh Consumption'!D6</f>
        <v>2599.9999999997135</v>
      </c>
      <c r="E5" s="1">
        <f>'Kwh Consumption'!E6</f>
        <v>229.99999999998977</v>
      </c>
      <c r="F5" s="1">
        <f>('Kwh Consumption'!F6+'Kwh Consumption'!G6+'Kwh Consumption'!H6)</f>
        <v>690.00000000002615</v>
      </c>
      <c r="G5" s="16">
        <f>('Kwh Consumption'!I6+'Kwh Consumption'!J6)</f>
        <v>380.00000000000966</v>
      </c>
      <c r="H5" s="1">
        <f>('Kwh Consumption'!K6+'Kwh Consumption'!L6)</f>
        <v>1840.0000000000318</v>
      </c>
      <c r="I5" s="1">
        <f>('Kwh Consumption'!M6+'Kwh Consumption'!N6+'Kwh Consumption'!O6+'Kwh Consumption'!P6+'Kwh Consumption'!Q6+'Kwh Consumption'!R6)</f>
        <v>5669.9999999999591</v>
      </c>
      <c r="J5" s="1">
        <f>('Kwh Consumption'!S6+'Kwh Consumption'!T6)</f>
        <v>6113.9699999997392</v>
      </c>
      <c r="K5" s="1">
        <f>'Kwh Consumption'!U6</f>
        <v>259.99999999999091</v>
      </c>
      <c r="L5" s="32">
        <f t="shared" si="0"/>
        <v>5836.0300000009429</v>
      </c>
    </row>
    <row r="6" spans="1:12" x14ac:dyDescent="0.25">
      <c r="A6" s="14">
        <f>'Kwh Reading'!A7</f>
        <v>44320</v>
      </c>
      <c r="B6" s="83">
        <f>TOTAL!E5</f>
        <v>22899.999999999636</v>
      </c>
      <c r="C6" s="1">
        <f>'Kwh Consumption'!C7</f>
        <v>500</v>
      </c>
      <c r="D6" s="1">
        <f>'Kwh Consumption'!D7</f>
        <v>2400.0000000001796</v>
      </c>
      <c r="E6" s="1">
        <f>'Kwh Consumption'!E7</f>
        <v>219.99999999999886</v>
      </c>
      <c r="F6" s="1">
        <f>('Kwh Consumption'!F7+'Kwh Consumption'!G7+'Kwh Consumption'!H7)</f>
        <v>660.00000000002501</v>
      </c>
      <c r="G6" s="16">
        <f>('Kwh Consumption'!I7+'Kwh Consumption'!J7)</f>
        <v>439.99999999999773</v>
      </c>
      <c r="H6" s="1">
        <f>('Kwh Consumption'!K7+'Kwh Consumption'!L7)</f>
        <v>1629.9999999999386</v>
      </c>
      <c r="I6" s="1">
        <f>('Kwh Consumption'!M7+'Kwh Consumption'!N7+'Kwh Consumption'!O7+'Kwh Consumption'!P7+'Kwh Consumption'!Q7+'Kwh Consumption'!R7)</f>
        <v>4899.9999999999764</v>
      </c>
      <c r="J6" s="1">
        <f>('Kwh Consumption'!S7+'Kwh Consumption'!T7)</f>
        <v>4966.7900000000373</v>
      </c>
      <c r="K6" s="1">
        <f>'Kwh Consumption'!U7</f>
        <v>219.99999999999886</v>
      </c>
      <c r="L6" s="32">
        <f t="shared" si="0"/>
        <v>6963.2099999994853</v>
      </c>
    </row>
    <row r="7" spans="1:12" x14ac:dyDescent="0.25">
      <c r="A7" s="14">
        <f>'Kwh Reading'!A8</f>
        <v>44321</v>
      </c>
      <c r="B7" s="83">
        <f>TOTAL!E6</f>
        <v>23720.000000000255</v>
      </c>
      <c r="C7" s="1">
        <f>'Kwh Consumption'!C8</f>
        <v>540.00000000002046</v>
      </c>
      <c r="D7" s="1">
        <f>'Kwh Consumption'!D8</f>
        <v>2699.9999999999245</v>
      </c>
      <c r="E7" s="1">
        <f>'Kwh Consumption'!E8</f>
        <v>219.99999999999886</v>
      </c>
      <c r="F7" s="1">
        <f>('Kwh Consumption'!F8+'Kwh Consumption'!G8+'Kwh Consumption'!H8)</f>
        <v>869.9999999999477</v>
      </c>
      <c r="G7" s="16">
        <f>('Kwh Consumption'!I8+'Kwh Consumption'!J8)</f>
        <v>430.00000000000682</v>
      </c>
      <c r="H7" s="1">
        <f>('Kwh Consumption'!K8+'Kwh Consumption'!L8)</f>
        <v>1960.0000000000932</v>
      </c>
      <c r="I7" s="1">
        <f>('Kwh Consumption'!M8+'Kwh Consumption'!N8+'Kwh Consumption'!O8+'Kwh Consumption'!P8+'Kwh Consumption'!Q8+'Kwh Consumption'!R8)</f>
        <v>5929.99999999995</v>
      </c>
      <c r="J7" s="1">
        <f>('Kwh Consumption'!S8+'Kwh Consumption'!T8)</f>
        <v>5917.9200000008568</v>
      </c>
      <c r="K7" s="1">
        <f>'Kwh Consumption'!U8</f>
        <v>229.99999999998977</v>
      </c>
      <c r="L7" s="32">
        <f t="shared" si="0"/>
        <v>4922.0799999994624</v>
      </c>
    </row>
    <row r="8" spans="1:12" x14ac:dyDescent="0.25">
      <c r="A8" s="14">
        <f>'Kwh Reading'!A9</f>
        <v>44322</v>
      </c>
      <c r="B8" s="83">
        <f>TOTAL!E7</f>
        <v>19600.000000000589</v>
      </c>
      <c r="C8" s="1">
        <f>'Kwh Consumption'!C9</f>
        <v>500</v>
      </c>
      <c r="D8" s="1">
        <f>'Kwh Consumption'!D9</f>
        <v>2200.0000000002019</v>
      </c>
      <c r="E8" s="1">
        <f>'Kwh Consumption'!E9</f>
        <v>180.00000000000682</v>
      </c>
      <c r="F8" s="1">
        <f>('Kwh Consumption'!F9+'Kwh Consumption'!G9+'Kwh Consumption'!H9)</f>
        <v>510.00000000004775</v>
      </c>
      <c r="G8" s="16">
        <f>('Kwh Consumption'!I9+'Kwh Consumption'!J9)</f>
        <v>439.99999999999773</v>
      </c>
      <c r="H8" s="1">
        <f>('Kwh Consumption'!K9+'Kwh Consumption'!L9)</f>
        <v>1399.9999999999773</v>
      </c>
      <c r="I8" s="1">
        <f>('Kwh Consumption'!M9+'Kwh Consumption'!N9+'Kwh Consumption'!O9+'Kwh Consumption'!P9+'Kwh Consumption'!Q9+'Kwh Consumption'!R9)</f>
        <v>3889.9999999999864</v>
      </c>
      <c r="J8" s="1">
        <f>('Kwh Consumption'!S9+'Kwh Consumption'!T9)</f>
        <v>3982.9099999992177</v>
      </c>
      <c r="K8" s="1">
        <f>'Kwh Consumption'!U9</f>
        <v>189.99999999999773</v>
      </c>
      <c r="L8" s="32">
        <f t="shared" si="0"/>
        <v>6307.0900000011552</v>
      </c>
    </row>
    <row r="9" spans="1:12" x14ac:dyDescent="0.25">
      <c r="A9" s="14">
        <f>'Kwh Reading'!A10</f>
        <v>44323</v>
      </c>
      <c r="B9" s="83">
        <f>TOTAL!E8</f>
        <v>21469.9999999998</v>
      </c>
      <c r="C9" s="1">
        <f>'Kwh Consumption'!C10</f>
        <v>310.00000000000227</v>
      </c>
      <c r="D9" s="1">
        <f>'Kwh Consumption'!D10</f>
        <v>2499.9999999999468</v>
      </c>
      <c r="E9" s="1">
        <f>'Kwh Consumption'!E10</f>
        <v>250</v>
      </c>
      <c r="F9" s="1">
        <f>('Kwh Consumption'!F10+'Kwh Consumption'!G10+'Kwh Consumption'!H10)</f>
        <v>620.00000000000455</v>
      </c>
      <c r="G9" s="16">
        <f>('Kwh Consumption'!I10+'Kwh Consumption'!J10)</f>
        <v>399.99999999999147</v>
      </c>
      <c r="H9" s="1">
        <f>('Kwh Consumption'!K10+'Kwh Consumption'!L10)</f>
        <v>1689.9999999999977</v>
      </c>
      <c r="I9" s="1">
        <f>('Kwh Consumption'!M10+'Kwh Consumption'!N10+'Kwh Consumption'!O10+'Kwh Consumption'!P10+'Kwh Consumption'!Q10+'Kwh Consumption'!R10)</f>
        <v>4770.0000000001528</v>
      </c>
      <c r="J9" s="1">
        <f>('Kwh Consumption'!S10+'Kwh Consumption'!T10)</f>
        <v>4613.5100000007078</v>
      </c>
      <c r="K9" s="1">
        <f>'Kwh Consumption'!U10</f>
        <v>210.00000000000796</v>
      </c>
      <c r="L9" s="32">
        <f t="shared" si="0"/>
        <v>6106.4899999989875</v>
      </c>
    </row>
    <row r="10" spans="1:12" x14ac:dyDescent="0.25">
      <c r="A10" s="14">
        <f>'Kwh Reading'!A11</f>
        <v>44324</v>
      </c>
      <c r="B10" s="83">
        <f>TOTAL!E9</f>
        <v>21609.999999999673</v>
      </c>
      <c r="C10" s="1">
        <f>'Kwh Consumption'!C11</f>
        <v>500</v>
      </c>
      <c r="D10" s="1">
        <f>'Kwh Consumption'!D11</f>
        <v>2599.9999999997135</v>
      </c>
      <c r="E10" s="1">
        <f>'Kwh Consumption'!E11</f>
        <v>219.99999999999886</v>
      </c>
      <c r="F10" s="1">
        <f>('Kwh Consumption'!F11+'Kwh Consumption'!G11+'Kwh Consumption'!H11)</f>
        <v>689.9999999999693</v>
      </c>
      <c r="G10" s="16">
        <f>('Kwh Consumption'!I11+'Kwh Consumption'!J11)</f>
        <v>420.00000000000171</v>
      </c>
      <c r="H10" s="1">
        <f>('Kwh Consumption'!K11+'Kwh Consumption'!L11)</f>
        <v>1840.0000000000034</v>
      </c>
      <c r="I10" s="1">
        <f>('Kwh Consumption'!M11+'Kwh Consumption'!N11+'Kwh Consumption'!O11+'Kwh Consumption'!P11+'Kwh Consumption'!Q11+'Kwh Consumption'!R11)</f>
        <v>5009.9999999998199</v>
      </c>
      <c r="J10" s="1">
        <f>('Kwh Consumption'!S11+'Kwh Consumption'!T11)</f>
        <v>5299.5799999991432</v>
      </c>
      <c r="K10" s="1">
        <f>'Kwh Consumption'!U11</f>
        <v>219.99999999999886</v>
      </c>
      <c r="L10" s="32">
        <f t="shared" si="0"/>
        <v>4810.4200000010233</v>
      </c>
    </row>
    <row r="11" spans="1:12" x14ac:dyDescent="0.25">
      <c r="A11" s="14">
        <f>'Kwh Reading'!A12</f>
        <v>44325</v>
      </c>
      <c r="B11" s="83">
        <f>TOTAL!E10</f>
        <v>22349.999999999905</v>
      </c>
      <c r="C11" s="1">
        <f>'Kwh Consumption'!C12</f>
        <v>509.99999999999091</v>
      </c>
      <c r="D11" s="1">
        <f>'Kwh Consumption'!D12</f>
        <v>2299.9999999999686</v>
      </c>
      <c r="E11" s="1">
        <f>'Kwh Consumption'!E12</f>
        <v>219.99999999999886</v>
      </c>
      <c r="F11" s="1">
        <f>('Kwh Consumption'!F12+'Kwh Consumption'!G12+'Kwh Consumption'!H12)</f>
        <v>499.99999999997158</v>
      </c>
      <c r="G11" s="16">
        <f>('Kwh Consumption'!I12+'Kwh Consumption'!J12)</f>
        <v>379.99999999999545</v>
      </c>
      <c r="H11" s="1">
        <f>('Kwh Consumption'!K12+'Kwh Consumption'!L12)</f>
        <v>1719.9999999999989</v>
      </c>
      <c r="I11" s="1">
        <f>('Kwh Consumption'!M12+'Kwh Consumption'!N12+'Kwh Consumption'!O12+'Kwh Consumption'!P12+'Kwh Consumption'!Q12+'Kwh Consumption'!R12)</f>
        <v>5210.0000000001492</v>
      </c>
      <c r="J11" s="1">
        <f>('Kwh Consumption'!S12+'Kwh Consumption'!T12)</f>
        <v>5467.730000000447</v>
      </c>
      <c r="K11" s="1">
        <f>'Kwh Consumption'!U12</f>
        <v>210.00000000000796</v>
      </c>
      <c r="L11" s="32">
        <f t="shared" si="0"/>
        <v>5832.2699999993738</v>
      </c>
    </row>
    <row r="12" spans="1:12" x14ac:dyDescent="0.25">
      <c r="A12" s="14">
        <f>'Kwh Reading'!A13</f>
        <v>44326</v>
      </c>
      <c r="B12" s="83">
        <f>TOTAL!E11</f>
        <v>21659.999999999854</v>
      </c>
      <c r="C12" s="1">
        <f>'Kwh Consumption'!C13</f>
        <v>500</v>
      </c>
      <c r="D12" s="1">
        <f>'Kwh Consumption'!D13</f>
        <v>2499.9999999999468</v>
      </c>
      <c r="E12" s="1">
        <f>'Kwh Consumption'!E13</f>
        <v>210.00000000000796</v>
      </c>
      <c r="F12" s="1">
        <f>('Kwh Consumption'!F13+'Kwh Consumption'!G13+'Kwh Consumption'!H13)</f>
        <v>890.00000000001478</v>
      </c>
      <c r="G12" s="16">
        <f>('Kwh Consumption'!I13+'Kwh Consumption'!J13)</f>
        <v>459.99999999999375</v>
      </c>
      <c r="H12" s="1">
        <f>('Kwh Consumption'!K13+'Kwh Consumption'!L13)</f>
        <v>1579.9999999999557</v>
      </c>
      <c r="I12" s="1">
        <f>('Kwh Consumption'!M13+'Kwh Consumption'!N13+'Kwh Consumption'!O13+'Kwh Consumption'!P13+'Kwh Consumption'!Q13+'Kwh Consumption'!R13)</f>
        <v>4759.9999999999909</v>
      </c>
      <c r="J12" s="1">
        <f>('Kwh Consumption'!S13+'Kwh Consumption'!T13)</f>
        <v>4929.3199999993667</v>
      </c>
      <c r="K12" s="1">
        <f>'Kwh Consumption'!U13</f>
        <v>240.00000000000909</v>
      </c>
      <c r="L12" s="32">
        <f t="shared" si="0"/>
        <v>5590.6800000005715</v>
      </c>
    </row>
    <row r="13" spans="1:12" x14ac:dyDescent="0.25">
      <c r="A13" s="14">
        <f>'Kwh Reading'!A14</f>
        <v>44327</v>
      </c>
      <c r="B13" s="83">
        <f>TOTAL!E12</f>
        <v>19320.000000000393</v>
      </c>
      <c r="C13" s="1">
        <f>'Kwh Consumption'!C14</f>
        <v>480.00000000001819</v>
      </c>
      <c r="D13" s="1">
        <f>'Kwh Consumption'!D14</f>
        <v>2300.0000000004129</v>
      </c>
      <c r="E13" s="1">
        <f>'Kwh Consumption'!E14</f>
        <v>210.00000000000796</v>
      </c>
      <c r="F13" s="1">
        <f>('Kwh Consumption'!F14+'Kwh Consumption'!G14+'Kwh Consumption'!H14)</f>
        <v>210.00000000000796</v>
      </c>
      <c r="G13" s="16">
        <f>('Kwh Consumption'!I14+'Kwh Consumption'!J14)</f>
        <v>439.99999999999773</v>
      </c>
      <c r="H13" s="1">
        <f>('Kwh Consumption'!K14+'Kwh Consumption'!L14)</f>
        <v>1259.9999999999909</v>
      </c>
      <c r="I13" s="1">
        <f>('Kwh Consumption'!M14+'Kwh Consumption'!N14+'Kwh Consumption'!O14+'Kwh Consumption'!P14+'Kwh Consumption'!Q14+'Kwh Consumption'!R14)</f>
        <v>3859.9999999999568</v>
      </c>
      <c r="J13" s="1">
        <f>('Kwh Consumption'!S14+'Kwh Consumption'!T14)</f>
        <v>4383.0800000010058</v>
      </c>
      <c r="K13" s="1">
        <f>'Kwh Consumption'!U14</f>
        <v>209.99999999997954</v>
      </c>
      <c r="L13" s="32">
        <f t="shared" si="0"/>
        <v>5966.9199999990178</v>
      </c>
    </row>
    <row r="14" spans="1:12" x14ac:dyDescent="0.25">
      <c r="A14" s="14">
        <f>'Kwh Reading'!A15</f>
        <v>44328</v>
      </c>
      <c r="B14" s="83">
        <f>TOTAL!E13</f>
        <v>19429.999999999836</v>
      </c>
      <c r="C14" s="1">
        <f>'Kwh Consumption'!C15</f>
        <v>449.99999999998863</v>
      </c>
      <c r="D14" s="1">
        <f>'Kwh Consumption'!D15</f>
        <v>2399.9999999997358</v>
      </c>
      <c r="E14" s="1">
        <f>'Kwh Consumption'!E15</f>
        <v>209.99999999997954</v>
      </c>
      <c r="F14" s="1">
        <f>('Kwh Consumption'!F15+'Kwh Consumption'!G15+'Kwh Consumption'!H15)</f>
        <v>600.00000000005116</v>
      </c>
      <c r="G14" s="16">
        <f>('Kwh Consumption'!I15+'Kwh Consumption'!J15)</f>
        <v>480.00000000000398</v>
      </c>
      <c r="H14" s="1">
        <f>('Kwh Consumption'!K15+'Kwh Consumption'!L15)</f>
        <v>1329.9999999999557</v>
      </c>
      <c r="I14" s="1">
        <f>('Kwh Consumption'!M15+'Kwh Consumption'!N15+'Kwh Consumption'!O15+'Kwh Consumption'!P15+'Kwh Consumption'!Q15+'Kwh Consumption'!R15)</f>
        <v>4130.0000000000528</v>
      </c>
      <c r="J14" s="1">
        <f>('Kwh Consumption'!S15+'Kwh Consumption'!T15)</f>
        <v>5122.7499999990687</v>
      </c>
      <c r="K14" s="1">
        <f>'Kwh Consumption'!U15</f>
        <v>219.99999999999886</v>
      </c>
      <c r="L14" s="32">
        <f t="shared" si="0"/>
        <v>4487.2500000010014</v>
      </c>
    </row>
    <row r="15" spans="1:12" x14ac:dyDescent="0.25">
      <c r="A15" s="14">
        <f>'Kwh Reading'!A16</f>
        <v>44329</v>
      </c>
      <c r="B15" s="83">
        <f>TOTAL!E14</f>
        <v>20859.999999999902</v>
      </c>
      <c r="C15" s="1">
        <f>'Kwh Consumption'!C16</f>
        <v>680.00000000000682</v>
      </c>
      <c r="D15" s="1">
        <f>'Kwh Consumption'!D16</f>
        <v>2499.9999999999468</v>
      </c>
      <c r="E15" s="1">
        <f>'Kwh Consumption'!E16</f>
        <v>219.99999999999886</v>
      </c>
      <c r="F15" s="1">
        <f>('Kwh Consumption'!F16+'Kwh Consumption'!G16+'Kwh Consumption'!H16)</f>
        <v>659.99999999999659</v>
      </c>
      <c r="G15" s="16">
        <f>('Kwh Consumption'!I16+'Kwh Consumption'!J16)</f>
        <v>439.99999999999773</v>
      </c>
      <c r="H15" s="1">
        <f>('Kwh Consumption'!K16+'Kwh Consumption'!L16)</f>
        <v>1340.0000000000603</v>
      </c>
      <c r="I15" s="1">
        <f>('Kwh Consumption'!M16+'Kwh Consumption'!N16+'Kwh Consumption'!O16+'Kwh Consumption'!P16+'Kwh Consumption'!Q16+'Kwh Consumption'!R16)</f>
        <v>4109.9999999999</v>
      </c>
      <c r="J15" s="1">
        <f>('Kwh Consumption'!S16+'Kwh Consumption'!T16)</f>
        <v>5070.2600000007078</v>
      </c>
      <c r="K15" s="1">
        <f>'Kwh Consumption'!U16</f>
        <v>230.00000000001819</v>
      </c>
      <c r="L15" s="32">
        <f t="shared" si="0"/>
        <v>5609.7399999992685</v>
      </c>
    </row>
    <row r="16" spans="1:12" x14ac:dyDescent="0.25">
      <c r="A16" s="14">
        <f>'Kwh Reading'!A17</f>
        <v>44330</v>
      </c>
      <c r="B16" s="83">
        <f>TOTAL!E15</f>
        <v>19520.000000000662</v>
      </c>
      <c r="C16" s="1">
        <f>'Kwh Consumption'!C17</f>
        <v>170.00000000001592</v>
      </c>
      <c r="D16" s="1">
        <f>'Kwh Consumption'!D17</f>
        <v>2699.9999999999245</v>
      </c>
      <c r="E16" s="1">
        <f>'Kwh Consumption'!E17</f>
        <v>219.99999999999886</v>
      </c>
      <c r="F16" s="1">
        <f>('Kwh Consumption'!F17+'Kwh Consumption'!G17+'Kwh Consumption'!H17)</f>
        <v>780.00000000000114</v>
      </c>
      <c r="G16" s="16">
        <f>('Kwh Consumption'!I17+'Kwh Consumption'!J17)</f>
        <v>450.00000000001705</v>
      </c>
      <c r="H16" s="1">
        <f>('Kwh Consumption'!K17+'Kwh Consumption'!L17)</f>
        <v>1350.0000000000227</v>
      </c>
      <c r="I16" s="1">
        <f>('Kwh Consumption'!M17+'Kwh Consumption'!N17+'Kwh Consumption'!O17+'Kwh Consumption'!P17+'Kwh Consumption'!Q17+'Kwh Consumption'!R17)</f>
        <v>4060.0000000000591</v>
      </c>
      <c r="J16" s="1">
        <f>('Kwh Consumption'!S17+'Kwh Consumption'!T17)</f>
        <v>4430.769999999553</v>
      </c>
      <c r="K16" s="1">
        <f>'Kwh Consumption'!U17</f>
        <v>219.99999999999886</v>
      </c>
      <c r="L16" s="32">
        <f t="shared" si="0"/>
        <v>5139.2300000010737</v>
      </c>
    </row>
    <row r="17" spans="1:12" x14ac:dyDescent="0.25">
      <c r="A17" s="14">
        <f>'Kwh Reading'!A18</f>
        <v>44331</v>
      </c>
      <c r="B17" s="83">
        <f>TOTAL!E16</f>
        <v>19839.999999999691</v>
      </c>
      <c r="C17" s="1">
        <f>'Kwh Consumption'!C18</f>
        <v>529.99999999997272</v>
      </c>
      <c r="D17" s="1">
        <f>'Kwh Consumption'!D18</f>
        <v>2200.0000000002019</v>
      </c>
      <c r="E17" s="1">
        <f>'Kwh Consumption'!E18</f>
        <v>230.00000000001819</v>
      </c>
      <c r="F17" s="1">
        <f>('Kwh Consumption'!F18+'Kwh Consumption'!G18+'Kwh Consumption'!H18)</f>
        <v>750</v>
      </c>
      <c r="G17" s="16">
        <f>('Kwh Consumption'!I18+'Kwh Consumption'!J18)</f>
        <v>480.00000000000398</v>
      </c>
      <c r="H17" s="1">
        <f>('Kwh Consumption'!K18+'Kwh Consumption'!L18)</f>
        <v>1419.9999999999875</v>
      </c>
      <c r="I17" s="1">
        <f>('Kwh Consumption'!M18+'Kwh Consumption'!N18+'Kwh Consumption'!O18+'Kwh Consumption'!P18+'Kwh Consumption'!Q18+'Kwh Consumption'!R18)</f>
        <v>4280.0000000000291</v>
      </c>
      <c r="J17" s="1">
        <f>('Kwh Consumption'!S18+'Kwh Consumption'!T18)</f>
        <v>5059.320000000298</v>
      </c>
      <c r="K17" s="31">
        <f>'Kwh Consumption'!U18</f>
        <v>229.99999999998977</v>
      </c>
      <c r="L17" s="32">
        <f t="shared" si="0"/>
        <v>4660.6799999991863</v>
      </c>
    </row>
    <row r="18" spans="1:12" x14ac:dyDescent="0.25">
      <c r="A18" s="14">
        <f>'Kwh Reading'!A19</f>
        <v>44332</v>
      </c>
      <c r="B18" s="83">
        <f>TOTAL!E17</f>
        <v>0</v>
      </c>
      <c r="C18" s="1">
        <f>'Kwh Consumption'!C19</f>
        <v>-400380</v>
      </c>
      <c r="D18" s="1">
        <f>'Kwh Consumption'!D19</f>
        <v>-2270000</v>
      </c>
      <c r="E18" s="1">
        <f>'Kwh Consumption'!E19</f>
        <v>-219400</v>
      </c>
      <c r="F18" s="1">
        <f>('Kwh Consumption'!F19+'Kwh Consumption'!G19+'Kwh Consumption'!H19)</f>
        <v>-862460</v>
      </c>
      <c r="G18" s="16">
        <f>('Kwh Consumption'!I19+'Kwh Consumption'!J19)</f>
        <v>-252680</v>
      </c>
      <c r="H18" s="1">
        <f>('Kwh Consumption'!K19+'Kwh Consumption'!L19)</f>
        <v>-1141430</v>
      </c>
      <c r="I18" s="1">
        <f>('Kwh Consumption'!M19+'Kwh Consumption'!N19+'Kwh Consumption'!O19+'Kwh Consumption'!P19+'Kwh Consumption'!Q19+'Kwh Consumption'!R19)</f>
        <v>-3216150</v>
      </c>
      <c r="J18" s="1">
        <f>('Kwh Consumption'!S19+'Kwh Consumption'!T19)</f>
        <v>-15404823.25</v>
      </c>
      <c r="K18" s="31">
        <f>'Kwh Consumption'!U19</f>
        <v>-139690</v>
      </c>
      <c r="L18" s="32">
        <f t="shared" si="0"/>
        <v>23907013.25</v>
      </c>
    </row>
    <row r="19" spans="1:12" x14ac:dyDescent="0.25">
      <c r="A19" s="14">
        <f>'Kwh Reading'!A20</f>
        <v>44333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44334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44335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44336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44337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44338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44339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44340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44341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44342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44343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44344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44345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44346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44347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323109.99999999988</v>
      </c>
      <c r="C34" s="75">
        <f>SUM(C3:C33)</f>
        <v>-393190</v>
      </c>
      <c r="D34" s="75">
        <f t="shared" ref="D34:L34" si="1">SUM(D3:D33)</f>
        <v>-2233200</v>
      </c>
      <c r="E34" s="75">
        <f t="shared" si="1"/>
        <v>-216090</v>
      </c>
      <c r="F34" s="75">
        <f t="shared" si="1"/>
        <v>-852900</v>
      </c>
      <c r="G34" s="75">
        <f t="shared" si="1"/>
        <v>-246229.99999999997</v>
      </c>
      <c r="H34" s="75">
        <f t="shared" si="1"/>
        <v>-1117690</v>
      </c>
      <c r="I34" s="75">
        <f t="shared" si="1"/>
        <v>-3145060</v>
      </c>
      <c r="J34" s="75">
        <f t="shared" si="1"/>
        <v>-15328272.789999999</v>
      </c>
      <c r="K34" s="75">
        <f t="shared" si="1"/>
        <v>-136340</v>
      </c>
      <c r="L34" s="75">
        <f t="shared" si="1"/>
        <v>23992082.789999999</v>
      </c>
      <c r="M34" s="84">
        <f>C34+D34+E34+F34+G34+H34+I34+J34+K34+L34</f>
        <v>323110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-55046.600000000006</v>
      </c>
      <c r="D36" s="75">
        <f>D34*B36</f>
        <v>-312648.00000000006</v>
      </c>
      <c r="E36" s="75">
        <f>E34*B36</f>
        <v>-30252.600000000002</v>
      </c>
      <c r="F36" s="75">
        <f>F34*B36</f>
        <v>-119406.00000000001</v>
      </c>
      <c r="G36" s="75">
        <f>G34*B36</f>
        <v>-34472.199999999997</v>
      </c>
      <c r="H36" s="75">
        <f>H34*B36</f>
        <v>-156476.6</v>
      </c>
      <c r="I36" s="75">
        <f>I34*B36</f>
        <v>-440308.4</v>
      </c>
      <c r="J36" s="75">
        <f>J34*B36</f>
        <v>-2145958.1905999999</v>
      </c>
      <c r="K36" s="75">
        <f>K34*B36</f>
        <v>-19087.600000000002</v>
      </c>
      <c r="L36" s="75">
        <f>L34*B36</f>
        <v>3358891.5906000002</v>
      </c>
      <c r="M36" s="84">
        <f>C36+D36+E36+F36+G36+H36+I36+J36+K36+L36</f>
        <v>45235.400000000373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44317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349.99999999999261</v>
      </c>
      <c r="F3" s="1">
        <f>'Kwh Consumption'!E4*' Kwh area wise $ '!B3</f>
        <v>32.199999999998568</v>
      </c>
      <c r="G3" s="1">
        <f>('Kwh Consumption'!F4+'Kwh Consumption'!G4+'Kwh Consumption'!H4)*' Kwh area wise $ '!B3</f>
        <v>86.799999999992693</v>
      </c>
      <c r="H3" s="16">
        <f>('Kwh Consumption'!I4+'Kwh Consumption'!J4)*' Kwh area wise $ '!B3</f>
        <v>57.39999999999953</v>
      </c>
      <c r="I3" s="1">
        <f>('Kwh Consumption'!K4+'Kwh Consumption'!L4)*' Kwh area wise $ '!B3</f>
        <v>219.79999999999509</v>
      </c>
      <c r="J3" s="1">
        <f>('Kwh Consumption'!M4+'Kwh Consumption'!N4+'Kwh Consumption'!O4+'Kwh Consumption'!P4+'Kwh Consumption'!Q4+'Kwh Consumption'!R4)*' Kwh area wise $ '!B3</f>
        <v>711.20000000000584</v>
      </c>
      <c r="K3" s="1">
        <f>('Kwh Consumption'!S4+'Kwh Consumption'!T4)*' Kwh area wise $ '!B3</f>
        <v>776.35459999995317</v>
      </c>
      <c r="L3" s="1">
        <f>'Kwh Consumption'!U4*' Kwh area wise $ '!B3</f>
        <v>32.199999999998568</v>
      </c>
      <c r="M3" s="1">
        <f>'Kwh Consumption'!V4*' Kwh area wise $ '!B3</f>
        <v>1235.445400000066</v>
      </c>
    </row>
    <row r="4" spans="1:13" x14ac:dyDescent="0.25">
      <c r="A4" s="14">
        <f>'Kwh Reading'!A5</f>
        <v>44318</v>
      </c>
      <c r="B4" s="11">
        <f>TOTAL!F3</f>
        <v>0.14000000000000001</v>
      </c>
      <c r="C4" s="11">
        <f>'Kwh Consumption'!B5*' Kwh area wise $ '!B4</f>
        <v>3401.9999999998668</v>
      </c>
      <c r="D4" s="1">
        <f>'Kwh Consumption'!C5*' Kwh area wise $ '!B4</f>
        <v>74.200000000004138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71.400000000002706</v>
      </c>
      <c r="H4" s="16">
        <f>('Kwh Consumption'!I5+'Kwh Consumption'!J5)*' Kwh area wise $ '!B4</f>
        <v>56.000000000000803</v>
      </c>
      <c r="I4" s="1">
        <f>('Kwh Consumption'!K5+'Kwh Consumption'!L5)*' Kwh area wise $ '!B4</f>
        <v>253.40000000000433</v>
      </c>
      <c r="J4" s="1">
        <f>('Kwh Consumption'!M5+'Kwh Consumption'!N5+'Kwh Consumption'!O5+'Kwh Consumption'!P5+'Kwh Consumption'!Q5+'Kwh Consumption'!R5)*' Kwh area wise $ '!B4</f>
        <v>760.199999999993</v>
      </c>
      <c r="K4" s="1">
        <f>('Kwh Consumption'!S5+'Kwh Consumption'!T5)*' Kwh area wise $ '!B4</f>
        <v>790.60240000002091</v>
      </c>
      <c r="L4" s="1">
        <f>'Kwh Consumption'!U5*' Kwh area wise $ '!B4</f>
        <v>32.200000000002547</v>
      </c>
      <c r="M4" s="1">
        <f>'Kwh Consumption'!V5*' Kwh area wise $ '!B4</f>
        <v>994.3975999998122</v>
      </c>
    </row>
    <row r="5" spans="1:13" x14ac:dyDescent="0.25">
      <c r="A5" s="14">
        <f>'Kwh Reading'!A6</f>
        <v>44319</v>
      </c>
      <c r="B5" s="11">
        <f>TOTAL!F4</f>
        <v>0.14000000000000001</v>
      </c>
      <c r="C5" s="11">
        <f>'Kwh Consumption'!B6*' Kwh area wise $ '!B5</f>
        <v>3374.0000000000514</v>
      </c>
      <c r="D5" s="1">
        <f>'Kwh Consumption'!C6*' Kwh area wise $ '!B5</f>
        <v>67.199999999994589</v>
      </c>
      <c r="E5" s="1">
        <f>'Kwh Consumption'!D6*' Kwh area wise $ '!B5</f>
        <v>363.99999999995993</v>
      </c>
      <c r="F5" s="1">
        <f>'Kwh Consumption'!E6*' Kwh area wise $ '!B5</f>
        <v>32.199999999998568</v>
      </c>
      <c r="G5" s="1">
        <f>('Kwh Consumption'!F6+'Kwh Consumption'!G6+'Kwh Consumption'!H6)*' Kwh area wise $ '!B5</f>
        <v>96.600000000003675</v>
      </c>
      <c r="H5" s="16">
        <f>('Kwh Consumption'!I6+'Kwh Consumption'!J6)*' Kwh area wise $ '!B5</f>
        <v>53.20000000000136</v>
      </c>
      <c r="I5" s="1">
        <f>('Kwh Consumption'!K6+'Kwh Consumption'!L6)*' Kwh area wise $ '!B5</f>
        <v>257.60000000000446</v>
      </c>
      <c r="J5" s="1">
        <f>('Kwh Consumption'!M6+'Kwh Consumption'!N6+'Kwh Consumption'!O6+'Kwh Consumption'!P6+'Kwh Consumption'!Q6+'Kwh Consumption'!R6)*' Kwh area wise $ '!B5</f>
        <v>793.79999999999438</v>
      </c>
      <c r="K5" s="1">
        <f>('Kwh Consumption'!S6+'Kwh Consumption'!T6)*' Kwh area wise $ '!B5</f>
        <v>855.95579999996357</v>
      </c>
      <c r="L5" s="1">
        <f>'Kwh Consumption'!U6*' Kwh area wise $ '!B5</f>
        <v>36.399999999998727</v>
      </c>
      <c r="M5" s="1">
        <f>'Kwh Consumption'!V6*' Kwh area wise $ '!B5</f>
        <v>817.04420000013238</v>
      </c>
    </row>
    <row r="6" spans="1:13" x14ac:dyDescent="0.25">
      <c r="A6" s="14">
        <f>'Kwh Reading'!A7</f>
        <v>44320</v>
      </c>
      <c r="B6" s="11">
        <f>TOTAL!F5</f>
        <v>0.14000000000000001</v>
      </c>
      <c r="C6" s="11">
        <f>'Kwh Consumption'!B7*' Kwh area wise $ '!B6</f>
        <v>3205.9999999999495</v>
      </c>
      <c r="D6" s="1">
        <f>'Kwh Consumption'!C7*' Kwh area wise $ '!B6</f>
        <v>70</v>
      </c>
      <c r="E6" s="1">
        <f>'Kwh Consumption'!D7*' Kwh area wise $ '!B6</f>
        <v>336.00000000002518</v>
      </c>
      <c r="F6" s="1">
        <f>'Kwh Consumption'!E7*' Kwh area wise $ '!B6</f>
        <v>30.799999999999844</v>
      </c>
      <c r="G6" s="1">
        <f>('Kwh Consumption'!F7+'Kwh Consumption'!G7+'Kwh Consumption'!H7)*' Kwh area wise $ '!B6</f>
        <v>92.400000000003516</v>
      </c>
      <c r="H6" s="16">
        <f>('Kwh Consumption'!I7+'Kwh Consumption'!J7)*' Kwh area wise $ '!B6</f>
        <v>61.599999999999689</v>
      </c>
      <c r="I6" s="1">
        <f>('Kwh Consumption'!K7+'Kwh Consumption'!L7)*' Kwh area wise $ '!B6</f>
        <v>228.19999999999143</v>
      </c>
      <c r="J6" s="1">
        <f>('Kwh Consumption'!M7+'Kwh Consumption'!N7+'Kwh Consumption'!O7+'Kwh Consumption'!P7+'Kwh Consumption'!Q7+'Kwh Consumption'!R7)*' Kwh area wise $ '!B6</f>
        <v>685.9999999999967</v>
      </c>
      <c r="K6" s="1">
        <f>('Kwh Consumption'!S7+'Kwh Consumption'!T7)*' Kwh area wise $ '!B6</f>
        <v>695.35060000000533</v>
      </c>
      <c r="L6" s="1">
        <f>'Kwh Consumption'!U7*' Kwh area wise $ '!B6</f>
        <v>30.799999999999844</v>
      </c>
      <c r="M6" s="1">
        <f>'Kwh Consumption'!V7*' Kwh area wise $ '!B6</f>
        <v>974.84939999992787</v>
      </c>
    </row>
    <row r="7" spans="1:13" x14ac:dyDescent="0.25">
      <c r="A7" s="14">
        <f>'Kwh Reading'!A8</f>
        <v>44321</v>
      </c>
      <c r="B7" s="11">
        <f>TOTAL!F6</f>
        <v>0.14000000000000001</v>
      </c>
      <c r="C7" s="11">
        <f>'Kwh Consumption'!B8*' Kwh area wise $ '!B7</f>
        <v>3320.8000000000361</v>
      </c>
      <c r="D7" s="1">
        <f>'Kwh Consumption'!C8*' Kwh area wise $ '!B7</f>
        <v>75.600000000002879</v>
      </c>
      <c r="E7" s="1">
        <f>'Kwh Consumption'!D8*' Kwh area wise $ '!B7</f>
        <v>377.99999999998948</v>
      </c>
      <c r="F7" s="1">
        <f>'Kwh Consumption'!E8*' Kwh area wise $ '!B7</f>
        <v>30.799999999999844</v>
      </c>
      <c r="G7" s="1">
        <f>('Kwh Consumption'!F8+'Kwh Consumption'!G8+'Kwh Consumption'!H8)*' Kwh area wise $ '!B7</f>
        <v>121.79999999999269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274.40000000001305</v>
      </c>
      <c r="J7" s="1">
        <f>('Kwh Consumption'!M8+'Kwh Consumption'!N8+'Kwh Consumption'!O8+'Kwh Consumption'!P8+'Kwh Consumption'!Q8+'Kwh Consumption'!R8)*' Kwh area wise $ '!B7</f>
        <v>830.19999999999311</v>
      </c>
      <c r="K7" s="1">
        <f>('Kwh Consumption'!S8+'Kwh Consumption'!T8)*' Kwh area wise $ '!B7</f>
        <v>828.50880000012</v>
      </c>
      <c r="L7" s="1">
        <f>'Kwh Consumption'!U8*' Kwh area wise $ '!B7</f>
        <v>32.199999999998568</v>
      </c>
      <c r="M7" s="1">
        <f>'Kwh Consumption'!V8*' Kwh area wise $ '!B7</f>
        <v>689.09119999992549</v>
      </c>
    </row>
    <row r="8" spans="1:13" x14ac:dyDescent="0.25">
      <c r="A8" s="14">
        <f>'Kwh Reading'!A9</f>
        <v>44322</v>
      </c>
      <c r="B8" s="11">
        <f>TOTAL!F7</f>
        <v>0.14000000000000001</v>
      </c>
      <c r="C8" s="11">
        <f>'Kwh Consumption'!B9*' Kwh area wise $ '!B8</f>
        <v>2744.0000000000828</v>
      </c>
      <c r="D8" s="1">
        <f>'Kwh Consumption'!C9*' Kwh area wise $ '!B8</f>
        <v>70</v>
      </c>
      <c r="E8" s="1">
        <f>'Kwh Consumption'!D9*' Kwh area wise $ '!B8</f>
        <v>308.00000000002831</v>
      </c>
      <c r="F8" s="1">
        <f>'Kwh Consumption'!E9*' Kwh area wise $ '!B8</f>
        <v>25.200000000000959</v>
      </c>
      <c r="G8" s="1">
        <f>('Kwh Consumption'!F9+'Kwh Consumption'!G9+'Kwh Consumption'!H9)*' Kwh area wise $ '!B8</f>
        <v>71.400000000006685</v>
      </c>
      <c r="H8" s="16">
        <f>('Kwh Consumption'!I9+'Kwh Consumption'!J9)*' Kwh area wise $ '!B8</f>
        <v>61.599999999999689</v>
      </c>
      <c r="I8" s="1">
        <f>('Kwh Consumption'!K9+'Kwh Consumption'!L9)*' Kwh area wise $ '!B8</f>
        <v>195.99999999999685</v>
      </c>
      <c r="J8" s="1">
        <f>('Kwh Consumption'!M9+'Kwh Consumption'!N9+'Kwh Consumption'!O9+'Kwh Consumption'!P9+'Kwh Consumption'!Q9+'Kwh Consumption'!R9)*' Kwh area wise $ '!B8</f>
        <v>544.59999999999809</v>
      </c>
      <c r="K8" s="1">
        <f>('Kwh Consumption'!S9+'Kwh Consumption'!T9)*' Kwh area wise $ '!B8</f>
        <v>557.6073999998905</v>
      </c>
      <c r="L8" s="1">
        <f>'Kwh Consumption'!U9*' Kwh area wise $ '!B8</f>
        <v>26.599999999999685</v>
      </c>
      <c r="M8" s="1">
        <f>'Kwh Consumption'!V9*' Kwh area wise $ '!B8</f>
        <v>882.99260000016204</v>
      </c>
    </row>
    <row r="9" spans="1:13" x14ac:dyDescent="0.25">
      <c r="A9" s="14">
        <f>'Kwh Reading'!A10</f>
        <v>44323</v>
      </c>
      <c r="B9" s="11">
        <f>TOTAL!F8</f>
        <v>0.14000000000000001</v>
      </c>
      <c r="C9" s="11">
        <f>'Kwh Consumption'!B10*' Kwh area wise $ '!B9</f>
        <v>3005.7999999999724</v>
      </c>
      <c r="D9" s="1">
        <f>'Kwh Consumption'!C10*' Kwh area wise $ '!B9</f>
        <v>43.400000000000325</v>
      </c>
      <c r="E9" s="1">
        <f>'Kwh Consumption'!D10*' Kwh area wise $ '!B9</f>
        <v>349.99999999999261</v>
      </c>
      <c r="F9" s="1">
        <f>'Kwh Consumption'!E10*' Kwh area wise $ '!B9</f>
        <v>35</v>
      </c>
      <c r="G9" s="1">
        <f>('Kwh Consumption'!F10+'Kwh Consumption'!G10+'Kwh Consumption'!H10)*' Kwh area wise $ '!B9</f>
        <v>86.800000000000651</v>
      </c>
      <c r="H9" s="16">
        <f>('Kwh Consumption'!I10+'Kwh Consumption'!J10)*' Kwh area wise $ '!B9</f>
        <v>55.999999999998813</v>
      </c>
      <c r="I9" s="1">
        <f>('Kwh Consumption'!K10+'Kwh Consumption'!L10)*' Kwh area wise $ '!B9</f>
        <v>236.59999999999971</v>
      </c>
      <c r="J9" s="1">
        <f>('Kwh Consumption'!M10+'Kwh Consumption'!N10+'Kwh Consumption'!O10+'Kwh Consumption'!P10+'Kwh Consumption'!Q10+'Kwh Consumption'!R10)*' Kwh area wise $ '!B9</f>
        <v>667.80000000002144</v>
      </c>
      <c r="K9" s="1">
        <f>('Kwh Consumption'!S10+'Kwh Consumption'!T10)*' Kwh area wise $ '!B9</f>
        <v>645.89140000009911</v>
      </c>
      <c r="L9" s="1">
        <f>'Kwh Consumption'!U10*' Kwh area wise $ '!B9</f>
        <v>29.400000000001118</v>
      </c>
      <c r="M9" s="1">
        <f>'Kwh Consumption'!V10*' Kwh area wise $ '!B9</f>
        <v>854.90859999985867</v>
      </c>
    </row>
    <row r="10" spans="1:13" x14ac:dyDescent="0.25">
      <c r="A10" s="14">
        <f>'Kwh Reading'!A11</f>
        <v>44324</v>
      </c>
      <c r="B10" s="11">
        <f>TOTAL!F9</f>
        <v>0.14000000000000001</v>
      </c>
      <c r="C10" s="11">
        <f>'Kwh Consumption'!B11*' Kwh area wise $ '!B10</f>
        <v>3025.3999999999546</v>
      </c>
      <c r="D10" s="1">
        <f>'Kwh Consumption'!C11*' Kwh area wise $ '!B10</f>
        <v>70</v>
      </c>
      <c r="E10" s="1">
        <f>'Kwh Consumption'!D11*' Kwh area wise $ '!B10</f>
        <v>363.99999999995993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96.599999999995717</v>
      </c>
      <c r="H10" s="16">
        <f>('Kwh Consumption'!I11+'Kwh Consumption'!J11)*' Kwh area wise $ '!B10</f>
        <v>58.800000000000246</v>
      </c>
      <c r="I10" s="1">
        <f>('Kwh Consumption'!K11+'Kwh Consumption'!L11)*' Kwh area wise $ '!B10</f>
        <v>257.60000000000048</v>
      </c>
      <c r="J10" s="1">
        <f>('Kwh Consumption'!M11+'Kwh Consumption'!N11+'Kwh Consumption'!O11+'Kwh Consumption'!P11+'Kwh Consumption'!Q11+'Kwh Consumption'!R11)*' Kwh area wise $ '!B10</f>
        <v>701.39999999997485</v>
      </c>
      <c r="K10" s="1">
        <f>('Kwh Consumption'!S11+'Kwh Consumption'!T11)*' Kwh area wise $ '!B10</f>
        <v>741.94119999988015</v>
      </c>
      <c r="L10" s="1">
        <f>'Kwh Consumption'!U11*' Kwh area wise $ '!B10</f>
        <v>30.799999999999844</v>
      </c>
      <c r="M10" s="1">
        <f>'Kwh Consumption'!V11*' Kwh area wise $ '!B10</f>
        <v>673.45880000014347</v>
      </c>
    </row>
    <row r="11" spans="1:13" x14ac:dyDescent="0.25">
      <c r="A11" s="14">
        <f>'Kwh Reading'!A12</f>
        <v>44325</v>
      </c>
      <c r="B11" s="11">
        <f>TOTAL!F10</f>
        <v>0.14000000000000001</v>
      </c>
      <c r="C11" s="11">
        <f>'Kwh Consumption'!B12*' Kwh area wise $ '!B11</f>
        <v>3128.9999999999873</v>
      </c>
      <c r="D11" s="1">
        <f>'Kwh Consumption'!C12*' Kwh area wise $ '!B11</f>
        <v>71.399999999998727</v>
      </c>
      <c r="E11" s="1">
        <f>'Kwh Consumption'!D12*' Kwh area wise $ '!B11</f>
        <v>321.99999999999562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69.999999999996021</v>
      </c>
      <c r="H11" s="16">
        <f>('Kwh Consumption'!I12+'Kwh Consumption'!J12)*' Kwh area wise $ '!B11</f>
        <v>53.19999999999937</v>
      </c>
      <c r="I11" s="1">
        <f>('Kwh Consumption'!K12+'Kwh Consumption'!L12)*' Kwh area wise $ '!B11</f>
        <v>240.79999999999987</v>
      </c>
      <c r="J11" s="1">
        <f>('Kwh Consumption'!M12+'Kwh Consumption'!N12+'Kwh Consumption'!O12+'Kwh Consumption'!P12+'Kwh Consumption'!Q12+'Kwh Consumption'!R12)*' Kwh area wise $ '!B11</f>
        <v>729.4000000000209</v>
      </c>
      <c r="K11" s="1">
        <f>('Kwh Consumption'!S12+'Kwh Consumption'!T12)*' Kwh area wise $ '!B11</f>
        <v>765.48220000006268</v>
      </c>
      <c r="L11" s="1">
        <f>'Kwh Consumption'!U12*' Kwh area wise $ '!B11</f>
        <v>29.400000000001118</v>
      </c>
      <c r="M11" s="1">
        <f>'Kwh Consumption'!V12*' Kwh area wise $ '!B11</f>
        <v>816.51779999991254</v>
      </c>
    </row>
    <row r="12" spans="1:13" x14ac:dyDescent="0.25">
      <c r="A12" s="14">
        <f>'Kwh Reading'!A13</f>
        <v>44326</v>
      </c>
      <c r="B12" s="11">
        <f>TOTAL!F11</f>
        <v>0.14000000000000001</v>
      </c>
      <c r="C12" s="11">
        <f>'Kwh Consumption'!B13*' Kwh area wise $ '!B12</f>
        <v>3032.3999999999801</v>
      </c>
      <c r="D12" s="1">
        <f>'Kwh Consumption'!C13*' Kwh area wise $ '!B12</f>
        <v>70</v>
      </c>
      <c r="E12" s="1">
        <f>'Kwh Consumption'!D13*' Kwh area wise $ '!B12</f>
        <v>349.99999999999261</v>
      </c>
      <c r="F12" s="1">
        <f>'Kwh Consumption'!E13*' Kwh area wise $ '!B12</f>
        <v>29.400000000001118</v>
      </c>
      <c r="G12" s="1">
        <f>('Kwh Consumption'!F13+'Kwh Consumption'!G13+'Kwh Consumption'!H13)*' Kwh area wise $ '!B12</f>
        <v>124.60000000000208</v>
      </c>
      <c r="H12" s="16">
        <f>('Kwh Consumption'!I13+'Kwh Consumption'!J13)*' Kwh area wise $ '!B12</f>
        <v>64.399999999999125</v>
      </c>
      <c r="I12" s="1">
        <f>('Kwh Consumption'!K13+'Kwh Consumption'!L13)*' Kwh area wise $ '!B12</f>
        <v>221.19999999999382</v>
      </c>
      <c r="J12" s="1">
        <f>('Kwh Consumption'!M13+'Kwh Consumption'!N13+'Kwh Consumption'!O13+'Kwh Consumption'!P13+'Kwh Consumption'!Q13+'Kwh Consumption'!R13)*' Kwh area wise $ '!B12</f>
        <v>666.39999999999884</v>
      </c>
      <c r="K12" s="1">
        <f>('Kwh Consumption'!S13+'Kwh Consumption'!T13)*' Kwh area wise $ '!B12</f>
        <v>690.10479999991139</v>
      </c>
      <c r="L12" s="1">
        <f>'Kwh Consumption'!U13*' Kwh area wise $ '!B12</f>
        <v>33.600000000001273</v>
      </c>
      <c r="M12" s="1">
        <f>'Kwh Consumption'!V13*' Kwh area wise $ '!B12</f>
        <v>782.69520000007958</v>
      </c>
    </row>
    <row r="13" spans="1:13" x14ac:dyDescent="0.25">
      <c r="A13" s="14">
        <f>'Kwh Reading'!A14</f>
        <v>44327</v>
      </c>
      <c r="B13" s="11">
        <f>TOTAL!F12</f>
        <v>0.14000000000000001</v>
      </c>
      <c r="C13" s="11">
        <f>'Kwh Consumption'!B14*' Kwh area wise $ '!B13</f>
        <v>2704.8000000000552</v>
      </c>
      <c r="D13" s="1">
        <f>'Kwh Consumption'!C14*' Kwh area wise $ '!B13</f>
        <v>67.200000000002547</v>
      </c>
      <c r="E13" s="1">
        <f>'Kwh Consumption'!D14*' Kwh area wise $ '!B13</f>
        <v>322.00000000005781</v>
      </c>
      <c r="F13" s="1">
        <f>'Kwh Consumption'!E14*' Kwh area wise $ '!B13</f>
        <v>29.400000000001118</v>
      </c>
      <c r="G13" s="1">
        <f>('Kwh Consumption'!F14+'Kwh Consumption'!G14+'Kwh Consumption'!H14)*' Kwh area wise $ '!B13</f>
        <v>29.400000000001118</v>
      </c>
      <c r="H13" s="16">
        <f>('Kwh Consumption'!I14+'Kwh Consumption'!J14)*' Kwh area wise $ '!B13</f>
        <v>61.599999999999689</v>
      </c>
      <c r="I13" s="1">
        <f>('Kwh Consumption'!K14+'Kwh Consumption'!L14)*' Kwh area wise $ '!B13</f>
        <v>176.39999999999876</v>
      </c>
      <c r="J13" s="1">
        <f>('Kwh Consumption'!M14+'Kwh Consumption'!N14+'Kwh Consumption'!O14+'Kwh Consumption'!P14+'Kwh Consumption'!Q14+'Kwh Consumption'!R14)*' Kwh area wise $ '!B13</f>
        <v>540.39999999999395</v>
      </c>
      <c r="K13" s="1">
        <f>('Kwh Consumption'!S14+'Kwh Consumption'!T14)*' Kwh area wise $ '!B13</f>
        <v>613.63120000014089</v>
      </c>
      <c r="L13" s="1">
        <f>'Kwh Consumption'!U14*' Kwh area wise $ '!B13</f>
        <v>29.399999999997139</v>
      </c>
      <c r="M13" s="1">
        <f>'Kwh Consumption'!V14*' Kwh area wise $ '!B13</f>
        <v>835.36879999986206</v>
      </c>
    </row>
    <row r="14" spans="1:13" x14ac:dyDescent="0.25">
      <c r="A14" s="14">
        <f>'Kwh Reading'!A15</f>
        <v>44328</v>
      </c>
      <c r="B14" s="11">
        <f>TOTAL!F13</f>
        <v>0.14000000000000001</v>
      </c>
      <c r="C14" s="11">
        <f>'Kwh Consumption'!B15*' Kwh area wise $ '!B14</f>
        <v>2720.1999999999775</v>
      </c>
      <c r="D14" s="1">
        <f>'Kwh Consumption'!C15*' Kwh area wise $ '!B14</f>
        <v>62.999999999998415</v>
      </c>
      <c r="E14" s="1">
        <f>'Kwh Consumption'!D15*' Kwh area wise $ '!B14</f>
        <v>335.99999999996305</v>
      </c>
      <c r="F14" s="1">
        <f>'Kwh Consumption'!E15*' Kwh area wise $ '!B14</f>
        <v>29.399999999997139</v>
      </c>
      <c r="G14" s="1">
        <f>('Kwh Consumption'!F15+'Kwh Consumption'!G15+'Kwh Consumption'!H15)*' Kwh area wise $ '!B14</f>
        <v>84.000000000007176</v>
      </c>
      <c r="H14" s="16">
        <f>('Kwh Consumption'!I15+'Kwh Consumption'!J15)*' Kwh area wise $ '!B14</f>
        <v>67.200000000000557</v>
      </c>
      <c r="I14" s="1">
        <f>('Kwh Consumption'!K15+'Kwh Consumption'!L15)*' Kwh area wise $ '!B14</f>
        <v>186.19999999999382</v>
      </c>
      <c r="J14" s="1">
        <f>('Kwh Consumption'!M15+'Kwh Consumption'!N15+'Kwh Consumption'!O15+'Kwh Consumption'!P15+'Kwh Consumption'!Q15+'Kwh Consumption'!R15)*' Kwh area wise $ '!B14</f>
        <v>578.20000000000744</v>
      </c>
      <c r="K14" s="1">
        <f>('Kwh Consumption'!S15+'Kwh Consumption'!T15)*' Kwh area wise $ '!B14</f>
        <v>717.18499999986966</v>
      </c>
      <c r="L14" s="1">
        <f>'Kwh Consumption'!U15*' Kwh area wise $ '!B14</f>
        <v>30.799999999999844</v>
      </c>
      <c r="M14" s="1">
        <f>'Kwh Consumption'!V15*' Kwh area wise $ '!B14</f>
        <v>628.21500000014032</v>
      </c>
    </row>
    <row r="15" spans="1:13" x14ac:dyDescent="0.25">
      <c r="A15" s="14">
        <f>'Kwh Reading'!A16</f>
        <v>44329</v>
      </c>
      <c r="B15" s="11">
        <f>TOTAL!F14</f>
        <v>0.14000000000000001</v>
      </c>
      <c r="C15" s="11">
        <f>'Kwh Consumption'!B16*' Kwh area wise $ '!B15</f>
        <v>2920.3999999999864</v>
      </c>
      <c r="D15" s="1">
        <f>'Kwh Consumption'!C16*' Kwh area wise $ '!B15</f>
        <v>95.200000000000969</v>
      </c>
      <c r="E15" s="1">
        <f>'Kwh Consumption'!D16*' Kwh area wise $ '!B15</f>
        <v>349.99999999999261</v>
      </c>
      <c r="F15" s="1">
        <f>'Kwh Consumption'!E16*' Kwh area wise $ '!B15</f>
        <v>30.799999999999844</v>
      </c>
      <c r="G15" s="1">
        <f>('Kwh Consumption'!F16+'Kwh Consumption'!G16+'Kwh Consumption'!H16)*' Kwh area wise $ '!B15</f>
        <v>92.399999999999537</v>
      </c>
      <c r="H15" s="16">
        <f>('Kwh Consumption'!I16+'Kwh Consumption'!J16)*' Kwh area wise $ '!B15</f>
        <v>61.599999999999689</v>
      </c>
      <c r="I15" s="1">
        <f>('Kwh Consumption'!K16+'Kwh Consumption'!L16)*' Kwh area wise $ '!B15</f>
        <v>187.60000000000846</v>
      </c>
      <c r="J15" s="1">
        <f>('Kwh Consumption'!M16+'Kwh Consumption'!N16+'Kwh Consumption'!O16+'Kwh Consumption'!P16+'Kwh Consumption'!Q16+'Kwh Consumption'!R16)*' Kwh area wise $ '!B15</f>
        <v>575.39999999998599</v>
      </c>
      <c r="K15" s="1">
        <f>('Kwh Consumption'!S16+'Kwh Consumption'!T16)*' Kwh area wise $ '!B15</f>
        <v>709.83640000009916</v>
      </c>
      <c r="L15" s="1">
        <f>'Kwh Consumption'!U16*' Kwh area wise $ '!B15</f>
        <v>32.200000000002547</v>
      </c>
      <c r="M15" s="1">
        <f>'Kwh Consumption'!V16*' Kwh area wise $ '!B15</f>
        <v>785.36359999989793</v>
      </c>
    </row>
    <row r="16" spans="1:13" x14ac:dyDescent="0.25">
      <c r="A16" s="14">
        <f>'Kwh Reading'!A17</f>
        <v>44330</v>
      </c>
      <c r="B16" s="11">
        <f>TOTAL!F15</f>
        <v>0.14000000000000001</v>
      </c>
      <c r="C16" s="11">
        <f>'Kwh Consumption'!B17*' Kwh area wise $ '!B16</f>
        <v>2732.800000000093</v>
      </c>
      <c r="D16" s="1">
        <f>'Kwh Consumption'!C17*' Kwh area wise $ '!B16</f>
        <v>23.800000000002232</v>
      </c>
      <c r="E16" s="1">
        <f>'Kwh Consumption'!D17*' Kwh area wise $ '!B16</f>
        <v>377.99999999998948</v>
      </c>
      <c r="F16" s="1">
        <f>'Kwh Consumption'!E17*' Kwh area wise $ '!B16</f>
        <v>30.799999999999844</v>
      </c>
      <c r="G16" s="1">
        <f>('Kwh Consumption'!F17+'Kwh Consumption'!G17+'Kwh Consumption'!H17)*' Kwh area wise $ '!B16</f>
        <v>109.20000000000017</v>
      </c>
      <c r="H16" s="16">
        <f>('Kwh Consumption'!I17+'Kwh Consumption'!J17)*' Kwh area wise $ '!B16</f>
        <v>63.000000000002395</v>
      </c>
      <c r="I16" s="1">
        <f>('Kwh Consumption'!K17+'Kwh Consumption'!L17)*' Kwh area wise $ '!B16</f>
        <v>189.00000000000321</v>
      </c>
      <c r="J16" s="1">
        <f>('Kwh Consumption'!M17+'Kwh Consumption'!N17+'Kwh Consumption'!O17+'Kwh Consumption'!P17+'Kwh Consumption'!Q17+'Kwh Consumption'!R17)*' Kwh area wise $ '!B16</f>
        <v>568.40000000000828</v>
      </c>
      <c r="K16" s="1">
        <f>('Kwh Consumption'!S17+'Kwh Consumption'!T17)*' Kwh area wise $ '!B16</f>
        <v>620.30779999993752</v>
      </c>
      <c r="L16" s="1">
        <f>'Kwh Consumption'!U17*' Kwh area wise $ '!B16</f>
        <v>30.799999999999844</v>
      </c>
      <c r="M16" s="1">
        <f>'Kwh Consumption'!V17*' Kwh area wise $ '!B16</f>
        <v>719.49220000015021</v>
      </c>
    </row>
    <row r="17" spans="1:13" x14ac:dyDescent="0.25">
      <c r="A17" s="14">
        <f>'Kwh Reading'!A18</f>
        <v>44331</v>
      </c>
      <c r="B17" s="11">
        <f>TOTAL!F16</f>
        <v>0.14000000000000001</v>
      </c>
      <c r="C17" s="11">
        <f>'Kwh Consumption'!B18*' Kwh area wise $ '!B17</f>
        <v>2777.5999999999572</v>
      </c>
      <c r="D17" s="1">
        <f>'Kwh Consumption'!C18*' Kwh area wise $ '!B17</f>
        <v>74.19999999999618</v>
      </c>
      <c r="E17" s="1">
        <f>'Kwh Consumption'!D18*' Kwh area wise $ '!B17</f>
        <v>308.00000000002831</v>
      </c>
      <c r="F17" s="1">
        <f>'Kwh Consumption'!E18*' Kwh area wise $ '!B17</f>
        <v>32.200000000002547</v>
      </c>
      <c r="G17" s="1">
        <f>('Kwh Consumption'!F18+'Kwh Consumption'!G18+'Kwh Consumption'!H18)*' Kwh area wise $ '!B17</f>
        <v>105.00000000000001</v>
      </c>
      <c r="H17" s="16">
        <f>('Kwh Consumption'!I18+'Kwh Consumption'!J18)*' Kwh area wise $ '!B17</f>
        <v>67.200000000000557</v>
      </c>
      <c r="I17" s="1">
        <f>('Kwh Consumption'!K18+'Kwh Consumption'!L18)*' Kwh area wise $ '!B17</f>
        <v>198.79999999999828</v>
      </c>
      <c r="J17" s="1">
        <f>('Kwh Consumption'!M18+'Kwh Consumption'!N18+'Kwh Consumption'!O18+'Kwh Consumption'!P18+'Kwh Consumption'!Q18+'Kwh Consumption'!R18)*' Kwh area wise $ '!B17</f>
        <v>599.20000000000414</v>
      </c>
      <c r="K17" s="1">
        <f>('Kwh Consumption'!S18+'Kwh Consumption'!T18)*' Kwh area wise $ '!B17</f>
        <v>708.30480000004184</v>
      </c>
      <c r="L17" s="1">
        <f>'Kwh Consumption'!U18*' Kwh area wise $ '!B17</f>
        <v>32.199999999998568</v>
      </c>
      <c r="M17" s="1">
        <f>'Kwh Consumption'!V18*' Kwh area wise $ '!B17</f>
        <v>652.49519999988649</v>
      </c>
    </row>
    <row r="18" spans="1:13" x14ac:dyDescent="0.25">
      <c r="A18" s="14">
        <f>'Kwh Reading'!A19</f>
        <v>44332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-56053.200000000004</v>
      </c>
      <c r="E18" s="1">
        <f>'Kwh Consumption'!D19*' Kwh area wise $ '!B18</f>
        <v>-317800.00000000006</v>
      </c>
      <c r="F18" s="1">
        <f>'Kwh Consumption'!E19*' Kwh area wise $ '!B18</f>
        <v>-30716.000000000004</v>
      </c>
      <c r="G18" s="1">
        <f>('Kwh Consumption'!F19+'Kwh Consumption'!G19+'Kwh Consumption'!H19)*' Kwh area wise $ '!B18</f>
        <v>-120744.40000000001</v>
      </c>
      <c r="H18" s="16">
        <f>('Kwh Consumption'!I19+'Kwh Consumption'!J19)*' Kwh area wise $ '!B18</f>
        <v>-35375.200000000004</v>
      </c>
      <c r="I18" s="1">
        <f>('Kwh Consumption'!K19+'Kwh Consumption'!L19)*' Kwh area wise $ '!B18</f>
        <v>-159800.20000000001</v>
      </c>
      <c r="J18" s="1">
        <f>('Kwh Consumption'!M19+'Kwh Consumption'!N19+'Kwh Consumption'!O19+'Kwh Consumption'!P19+'Kwh Consumption'!Q19+'Kwh Consumption'!R19)*' Kwh area wise $ '!B18</f>
        <v>-450261.00000000006</v>
      </c>
      <c r="K18" s="1">
        <f>('Kwh Consumption'!S19+'Kwh Consumption'!T19)*' Kwh area wise $ '!B18</f>
        <v>-2156675.2550000004</v>
      </c>
      <c r="L18" s="1">
        <f>'Kwh Consumption'!U19*' Kwh area wise $ '!B18</f>
        <v>-19556.600000000002</v>
      </c>
      <c r="M18" s="1">
        <f>'Kwh Consumption'!V19*' Kwh area wise $ '!B18</f>
        <v>3346981.8550000004</v>
      </c>
    </row>
    <row r="19" spans="1:13" x14ac:dyDescent="0.25">
      <c r="A19" s="14">
        <f>'Kwh Reading'!A20</f>
        <v>44333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44334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44335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44336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44337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44338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44339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44340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44341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44342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44343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44344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44345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44346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44347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45667.999999999942</v>
      </c>
      <c r="D34" s="75">
        <f t="shared" si="0"/>
        <v>-55046.600000000006</v>
      </c>
      <c r="E34" s="75">
        <f t="shared" si="0"/>
        <v>-312648.00000000006</v>
      </c>
      <c r="F34" s="75">
        <f t="shared" si="0"/>
        <v>-30252.600000000002</v>
      </c>
      <c r="G34" s="75">
        <f t="shared" si="0"/>
        <v>-119406</v>
      </c>
      <c r="H34" s="75">
        <f t="shared" si="0"/>
        <v>-34472.200000000004</v>
      </c>
      <c r="I34" s="75">
        <f t="shared" si="0"/>
        <v>-156476.6</v>
      </c>
      <c r="J34" s="75">
        <f t="shared" si="0"/>
        <v>-440308.40000000008</v>
      </c>
      <c r="K34" s="75">
        <f t="shared" si="0"/>
        <v>-2145958.1906000003</v>
      </c>
      <c r="L34" s="75">
        <f t="shared" si="0"/>
        <v>-19087.600000000002</v>
      </c>
      <c r="M34" s="75">
        <f>SUM(M3:M33)</f>
        <v>3359324.1906000003</v>
      </c>
      <c r="N34" s="84">
        <f>D34+E34+F34+G34+H34+I34+J34+K34+L34+M34</f>
        <v>45667.999999999534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C19" sqref="C1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44317</v>
      </c>
      <c r="B3" s="33">
        <v>156543</v>
      </c>
      <c r="C3" s="56">
        <v>115904</v>
      </c>
      <c r="D3" s="33">
        <v>200729</v>
      </c>
      <c r="E3" s="33">
        <v>244163</v>
      </c>
      <c r="F3" s="33">
        <v>66885</v>
      </c>
      <c r="G3" s="33">
        <v>110631</v>
      </c>
      <c r="H3" s="33">
        <v>49363</v>
      </c>
      <c r="I3" s="33">
        <v>61718</v>
      </c>
      <c r="J3" s="33">
        <v>19342</v>
      </c>
      <c r="K3" s="33">
        <v>1024</v>
      </c>
      <c r="L3" s="33">
        <v>16853</v>
      </c>
      <c r="M3" s="33">
        <v>23293</v>
      </c>
      <c r="N3" s="33">
        <v>6938</v>
      </c>
      <c r="O3" s="33">
        <v>1616</v>
      </c>
      <c r="P3" s="33">
        <v>26423</v>
      </c>
      <c r="Q3" s="33">
        <v>403</v>
      </c>
      <c r="R3" s="33">
        <v>5973</v>
      </c>
    </row>
    <row r="4" spans="1:21" x14ac:dyDescent="0.25">
      <c r="A4" s="54">
        <v>44318</v>
      </c>
      <c r="B4" s="56">
        <v>156694</v>
      </c>
      <c r="C4" s="56">
        <v>116124</v>
      </c>
      <c r="D4" s="55">
        <v>200857</v>
      </c>
      <c r="E4" s="55">
        <v>244214</v>
      </c>
      <c r="F4" s="55">
        <v>66886</v>
      </c>
      <c r="G4" s="55">
        <v>110649</v>
      </c>
      <c r="H4" s="33">
        <v>49394</v>
      </c>
      <c r="I4" s="55">
        <v>61819</v>
      </c>
      <c r="J4" s="55">
        <v>19353</v>
      </c>
      <c r="K4" s="55">
        <v>1024</v>
      </c>
      <c r="L4" s="55">
        <v>16860</v>
      </c>
      <c r="M4" s="55">
        <v>23306</v>
      </c>
      <c r="N4" s="55">
        <v>6940</v>
      </c>
      <c r="O4" s="55">
        <v>1616</v>
      </c>
      <c r="P4" s="55">
        <v>26436</v>
      </c>
      <c r="Q4" s="33">
        <v>409</v>
      </c>
      <c r="R4" s="55">
        <v>5979</v>
      </c>
    </row>
    <row r="5" spans="1:21" x14ac:dyDescent="0.25">
      <c r="A5" s="54">
        <v>44319</v>
      </c>
      <c r="B5" s="55">
        <v>156963</v>
      </c>
      <c r="C5" s="33">
        <v>116362</v>
      </c>
      <c r="D5" s="55">
        <v>201015</v>
      </c>
      <c r="E5" s="55">
        <v>244269</v>
      </c>
      <c r="F5" s="55">
        <v>66887</v>
      </c>
      <c r="G5" s="55">
        <v>110668</v>
      </c>
      <c r="H5" s="33">
        <v>49429</v>
      </c>
      <c r="I5" s="55">
        <v>61907</v>
      </c>
      <c r="J5" s="55">
        <v>19365</v>
      </c>
      <c r="K5" s="55">
        <v>1024</v>
      </c>
      <c r="L5" s="55">
        <v>16867</v>
      </c>
      <c r="M5" s="55">
        <v>23320</v>
      </c>
      <c r="N5" s="55">
        <v>6943</v>
      </c>
      <c r="O5" s="55">
        <v>1618</v>
      </c>
      <c r="P5" s="55">
        <v>26436</v>
      </c>
      <c r="Q5" s="33">
        <v>417</v>
      </c>
      <c r="R5" s="55">
        <v>5983</v>
      </c>
    </row>
    <row r="6" spans="1:21" x14ac:dyDescent="0.25">
      <c r="A6" s="54">
        <v>44320</v>
      </c>
      <c r="B6" s="56">
        <v>157137</v>
      </c>
      <c r="C6" s="56">
        <v>116484</v>
      </c>
      <c r="D6" s="55">
        <v>201136</v>
      </c>
      <c r="E6" s="55">
        <v>244327</v>
      </c>
      <c r="F6" s="55">
        <v>66887</v>
      </c>
      <c r="G6" s="55">
        <v>110686</v>
      </c>
      <c r="H6" s="33">
        <v>49465</v>
      </c>
      <c r="I6" s="55">
        <v>62002</v>
      </c>
      <c r="J6" s="55">
        <v>19378</v>
      </c>
      <c r="K6" s="55">
        <v>1024</v>
      </c>
      <c r="L6" s="55">
        <v>16873</v>
      </c>
      <c r="M6" s="55">
        <v>23332</v>
      </c>
      <c r="N6" s="55">
        <v>6956</v>
      </c>
      <c r="O6" s="55">
        <v>1618</v>
      </c>
      <c r="P6" s="55">
        <v>26436</v>
      </c>
      <c r="Q6" s="33">
        <v>431</v>
      </c>
      <c r="R6" s="55">
        <v>5987</v>
      </c>
    </row>
    <row r="7" spans="1:21" x14ac:dyDescent="0.25">
      <c r="A7" s="54">
        <v>44321</v>
      </c>
      <c r="B7" s="56">
        <v>157339</v>
      </c>
      <c r="C7" s="33">
        <v>116682</v>
      </c>
      <c r="D7" s="55">
        <v>201232</v>
      </c>
      <c r="E7" s="55">
        <v>244377</v>
      </c>
      <c r="F7" s="55">
        <v>66888</v>
      </c>
      <c r="G7" s="55">
        <v>110701</v>
      </c>
      <c r="H7" s="33">
        <v>49497</v>
      </c>
      <c r="I7" s="55">
        <v>62097</v>
      </c>
      <c r="J7" s="55">
        <v>19390</v>
      </c>
      <c r="K7" s="55">
        <v>1024</v>
      </c>
      <c r="L7" s="55">
        <v>16890</v>
      </c>
      <c r="M7" s="55">
        <v>23343</v>
      </c>
      <c r="N7" s="55">
        <v>6960</v>
      </c>
      <c r="O7" s="55">
        <v>1618</v>
      </c>
      <c r="P7" s="55">
        <v>26445</v>
      </c>
      <c r="Q7" s="33">
        <v>433</v>
      </c>
      <c r="R7" s="55">
        <v>5992</v>
      </c>
    </row>
    <row r="8" spans="1:21" x14ac:dyDescent="0.25">
      <c r="A8" s="54">
        <v>44322</v>
      </c>
      <c r="B8" s="33">
        <v>157636</v>
      </c>
      <c r="C8" s="56">
        <v>116817</v>
      </c>
      <c r="D8" s="55">
        <v>201373</v>
      </c>
      <c r="E8" s="55">
        <v>244432</v>
      </c>
      <c r="F8" s="55">
        <v>66889</v>
      </c>
      <c r="G8" s="55">
        <v>110725</v>
      </c>
      <c r="H8" s="33">
        <v>49547</v>
      </c>
      <c r="I8" s="55">
        <v>62176</v>
      </c>
      <c r="J8" s="55">
        <v>19404</v>
      </c>
      <c r="K8" s="55">
        <v>1024</v>
      </c>
      <c r="L8" s="55">
        <v>16887</v>
      </c>
      <c r="M8" s="55">
        <v>23356</v>
      </c>
      <c r="N8" s="55">
        <v>6964</v>
      </c>
      <c r="O8" s="55">
        <v>1620</v>
      </c>
      <c r="P8" s="55">
        <v>26449</v>
      </c>
      <c r="Q8" s="33">
        <v>438</v>
      </c>
      <c r="R8" s="55">
        <v>5997</v>
      </c>
    </row>
    <row r="9" spans="1:21" x14ac:dyDescent="0.25">
      <c r="A9" s="54">
        <v>44323</v>
      </c>
      <c r="B9" s="33">
        <v>157730</v>
      </c>
      <c r="C9" s="33">
        <v>117089</v>
      </c>
      <c r="D9" s="55">
        <v>201498</v>
      </c>
      <c r="E9" s="55">
        <v>244481</v>
      </c>
      <c r="F9" s="55">
        <v>66889</v>
      </c>
      <c r="G9" s="55">
        <v>110739</v>
      </c>
      <c r="H9" s="33">
        <v>49578</v>
      </c>
      <c r="I9" s="55">
        <v>62195</v>
      </c>
      <c r="J9" s="55">
        <v>19416</v>
      </c>
      <c r="K9" s="55">
        <v>1024</v>
      </c>
      <c r="L9" s="55">
        <v>16894</v>
      </c>
      <c r="M9" s="55">
        <v>23370</v>
      </c>
      <c r="N9" s="55">
        <v>6966</v>
      </c>
      <c r="O9" s="55">
        <v>1621</v>
      </c>
      <c r="P9" s="55">
        <v>26449</v>
      </c>
      <c r="Q9" s="33">
        <v>438</v>
      </c>
      <c r="R9" s="55">
        <v>6003</v>
      </c>
    </row>
    <row r="10" spans="1:21" x14ac:dyDescent="0.25">
      <c r="A10" s="54">
        <v>44324</v>
      </c>
      <c r="B10" s="33">
        <v>157865</v>
      </c>
      <c r="C10" s="56">
        <v>117275</v>
      </c>
      <c r="D10" s="55">
        <v>201626</v>
      </c>
      <c r="E10" s="55">
        <v>244532</v>
      </c>
      <c r="F10" s="55">
        <v>66892</v>
      </c>
      <c r="G10" s="55">
        <v>110754</v>
      </c>
      <c r="H10" s="33">
        <v>49617</v>
      </c>
      <c r="I10" s="55">
        <v>62214</v>
      </c>
      <c r="J10" s="55">
        <v>19428</v>
      </c>
      <c r="K10" s="55">
        <v>1024</v>
      </c>
      <c r="L10" s="55">
        <v>16901</v>
      </c>
      <c r="M10" s="55">
        <v>23382</v>
      </c>
      <c r="N10" s="55">
        <v>6966</v>
      </c>
      <c r="O10" s="55">
        <v>1621</v>
      </c>
      <c r="P10" s="55">
        <v>26449</v>
      </c>
      <c r="Q10" s="33">
        <v>439</v>
      </c>
      <c r="R10" s="55">
        <v>6005</v>
      </c>
    </row>
    <row r="11" spans="1:21" x14ac:dyDescent="0.25">
      <c r="A11" s="54">
        <v>44325</v>
      </c>
      <c r="B11" s="33">
        <v>158010</v>
      </c>
      <c r="C11" s="33">
        <v>117486</v>
      </c>
      <c r="D11" s="55">
        <v>201781</v>
      </c>
      <c r="E11" s="55">
        <v>244590</v>
      </c>
      <c r="F11" s="55">
        <v>66892</v>
      </c>
      <c r="G11" s="55">
        <v>110776</v>
      </c>
      <c r="H11" s="33">
        <v>49660</v>
      </c>
      <c r="I11" s="55">
        <v>62232</v>
      </c>
      <c r="J11" s="55">
        <v>19442</v>
      </c>
      <c r="K11" s="55">
        <v>1024</v>
      </c>
      <c r="L11" s="55">
        <v>16908</v>
      </c>
      <c r="M11" s="55">
        <v>23395</v>
      </c>
      <c r="N11" s="55">
        <v>6970</v>
      </c>
      <c r="O11" s="55">
        <v>1622</v>
      </c>
      <c r="P11" s="55">
        <v>26449</v>
      </c>
      <c r="Q11" s="33">
        <v>439</v>
      </c>
      <c r="R11" s="55">
        <v>6009</v>
      </c>
    </row>
    <row r="12" spans="1:21" x14ac:dyDescent="0.25">
      <c r="A12" s="54">
        <v>44326</v>
      </c>
      <c r="B12" s="33">
        <v>158129</v>
      </c>
      <c r="C12" s="56">
        <v>117595</v>
      </c>
      <c r="D12" s="55">
        <v>201929</v>
      </c>
      <c r="E12" s="55">
        <v>244650</v>
      </c>
      <c r="F12" s="55">
        <v>66893</v>
      </c>
      <c r="G12" s="55">
        <v>110792</v>
      </c>
      <c r="H12" s="33">
        <v>49704</v>
      </c>
      <c r="I12" s="55">
        <v>62264</v>
      </c>
      <c r="J12" s="55">
        <v>19454</v>
      </c>
      <c r="K12" s="55">
        <v>1024</v>
      </c>
      <c r="L12" s="55">
        <v>16916</v>
      </c>
      <c r="M12" s="55">
        <v>23406</v>
      </c>
      <c r="N12" s="55">
        <v>6973</v>
      </c>
      <c r="O12" s="55">
        <v>1622</v>
      </c>
      <c r="P12" s="55">
        <v>26459</v>
      </c>
      <c r="Q12" s="33">
        <v>444</v>
      </c>
      <c r="R12" s="55">
        <v>6014</v>
      </c>
    </row>
    <row r="13" spans="1:21" x14ac:dyDescent="0.25">
      <c r="A13" s="54">
        <v>44327</v>
      </c>
      <c r="B13" s="33">
        <v>158264</v>
      </c>
      <c r="C13" s="33">
        <v>117714</v>
      </c>
      <c r="D13" s="55">
        <v>202058</v>
      </c>
      <c r="E13" s="55">
        <v>244713</v>
      </c>
      <c r="F13" s="55">
        <v>66894</v>
      </c>
      <c r="G13" s="55">
        <v>110810</v>
      </c>
      <c r="H13" s="33">
        <v>49767</v>
      </c>
      <c r="I13" s="55">
        <v>62304</v>
      </c>
      <c r="J13" s="55">
        <v>19467</v>
      </c>
      <c r="K13" s="55">
        <v>1024</v>
      </c>
      <c r="L13" s="55">
        <v>16922</v>
      </c>
      <c r="M13" s="55">
        <v>23417</v>
      </c>
      <c r="N13" s="55">
        <v>6977</v>
      </c>
      <c r="O13" s="55">
        <v>1623</v>
      </c>
      <c r="P13" s="55">
        <v>26477</v>
      </c>
      <c r="Q13" s="33">
        <v>444</v>
      </c>
      <c r="R13" s="55">
        <v>6019</v>
      </c>
    </row>
    <row r="14" spans="1:21" x14ac:dyDescent="0.25">
      <c r="A14" s="54">
        <v>44328</v>
      </c>
      <c r="B14" s="33">
        <v>158399</v>
      </c>
      <c r="C14" s="56">
        <v>118174</v>
      </c>
      <c r="D14" s="55">
        <v>202151</v>
      </c>
      <c r="E14" s="55">
        <v>244772</v>
      </c>
      <c r="F14" s="55">
        <v>66895</v>
      </c>
      <c r="G14" s="55">
        <v>110824</v>
      </c>
      <c r="H14" s="33">
        <v>49803</v>
      </c>
      <c r="I14" s="55">
        <v>62320</v>
      </c>
      <c r="J14" s="55">
        <v>19479</v>
      </c>
      <c r="K14" s="55">
        <v>1024</v>
      </c>
      <c r="L14" s="55">
        <v>16928</v>
      </c>
      <c r="M14" s="55">
        <v>23429</v>
      </c>
      <c r="N14" s="55">
        <v>6978</v>
      </c>
      <c r="O14" s="55">
        <v>1623</v>
      </c>
      <c r="P14" s="55">
        <v>26477</v>
      </c>
      <c r="Q14" s="33">
        <v>444</v>
      </c>
      <c r="R14" s="55">
        <v>6024</v>
      </c>
    </row>
    <row r="15" spans="1:21" x14ac:dyDescent="0.25">
      <c r="A15" s="54">
        <v>44329</v>
      </c>
      <c r="B15" s="33">
        <v>158538</v>
      </c>
      <c r="C15" s="33">
        <v>118251</v>
      </c>
      <c r="D15" s="55">
        <v>202252</v>
      </c>
      <c r="E15" s="55">
        <v>244838</v>
      </c>
      <c r="F15" s="55">
        <v>66895</v>
      </c>
      <c r="G15" s="55">
        <v>110842</v>
      </c>
      <c r="H15" s="33">
        <v>49844</v>
      </c>
      <c r="I15" s="55">
        <v>62339</v>
      </c>
      <c r="J15" s="55">
        <v>19493</v>
      </c>
      <c r="K15" s="55">
        <v>1024</v>
      </c>
      <c r="L15" s="55">
        <v>16935</v>
      </c>
      <c r="M15" s="55">
        <v>23445</v>
      </c>
      <c r="N15" s="55">
        <v>6980</v>
      </c>
      <c r="O15" s="55">
        <v>1624</v>
      </c>
      <c r="P15" s="55">
        <v>26477</v>
      </c>
      <c r="Q15" s="33">
        <v>446</v>
      </c>
      <c r="R15" s="55">
        <v>6029</v>
      </c>
      <c r="T15" s="110"/>
      <c r="U15" s="110"/>
    </row>
    <row r="16" spans="1:21" x14ac:dyDescent="0.25">
      <c r="A16" s="54">
        <v>44330</v>
      </c>
      <c r="B16" s="33">
        <v>158655</v>
      </c>
      <c r="C16" s="56">
        <v>118419</v>
      </c>
      <c r="D16" s="55">
        <v>202346</v>
      </c>
      <c r="E16" s="55">
        <v>244897</v>
      </c>
      <c r="F16" s="55">
        <v>66895</v>
      </c>
      <c r="G16" s="55">
        <v>110860</v>
      </c>
      <c r="H16" s="33">
        <v>49880</v>
      </c>
      <c r="I16" s="55">
        <v>62365</v>
      </c>
      <c r="J16" s="55">
        <v>19506</v>
      </c>
      <c r="K16" s="55">
        <v>1024</v>
      </c>
      <c r="L16" s="55">
        <v>16541</v>
      </c>
      <c r="M16" s="55">
        <v>23457</v>
      </c>
      <c r="N16" s="55">
        <v>6982</v>
      </c>
      <c r="O16" s="55">
        <v>1624</v>
      </c>
      <c r="P16" s="55">
        <v>26477</v>
      </c>
      <c r="Q16" s="33">
        <v>446</v>
      </c>
      <c r="R16" s="55">
        <v>6032</v>
      </c>
    </row>
    <row r="17" spans="1:22" x14ac:dyDescent="0.25">
      <c r="A17" s="54">
        <v>44331</v>
      </c>
      <c r="B17" s="33">
        <v>158736</v>
      </c>
      <c r="C17" s="33">
        <v>118590</v>
      </c>
      <c r="D17" s="55">
        <v>202443</v>
      </c>
      <c r="E17" s="55">
        <v>244958</v>
      </c>
      <c r="F17" s="55">
        <v>66897</v>
      </c>
      <c r="G17" s="55">
        <v>110877</v>
      </c>
      <c r="H17" s="33">
        <v>49918</v>
      </c>
      <c r="I17" s="55">
        <v>62384</v>
      </c>
      <c r="J17" s="55">
        <v>19519</v>
      </c>
      <c r="K17" s="55">
        <v>1024</v>
      </c>
      <c r="L17" s="55">
        <v>16947</v>
      </c>
      <c r="M17" s="55">
        <v>23472</v>
      </c>
      <c r="N17" s="55">
        <v>6985</v>
      </c>
      <c r="O17" s="55">
        <v>1625</v>
      </c>
      <c r="P17" s="55">
        <v>26477</v>
      </c>
      <c r="Q17" s="33">
        <v>446</v>
      </c>
      <c r="R17" s="55">
        <v>6037</v>
      </c>
    </row>
    <row r="18" spans="1:22" x14ac:dyDescent="0.25">
      <c r="A18" s="54">
        <v>44332</v>
      </c>
      <c r="B18" s="33">
        <v>158814</v>
      </c>
      <c r="C18" s="56">
        <v>118788</v>
      </c>
      <c r="D18" s="55">
        <v>202566</v>
      </c>
      <c r="E18" s="55">
        <v>245020</v>
      </c>
      <c r="F18" s="55">
        <v>66897</v>
      </c>
      <c r="G18" s="55">
        <v>110900</v>
      </c>
      <c r="H18" s="33">
        <v>49962</v>
      </c>
      <c r="I18" s="55">
        <v>62404</v>
      </c>
      <c r="J18" s="33">
        <v>19533</v>
      </c>
      <c r="K18" s="55">
        <v>1024</v>
      </c>
      <c r="L18" s="55">
        <v>16952</v>
      </c>
      <c r="M18" s="55">
        <v>23485</v>
      </c>
      <c r="N18" s="55">
        <v>6997</v>
      </c>
      <c r="O18" s="55">
        <v>1626</v>
      </c>
      <c r="P18" s="55">
        <v>26477</v>
      </c>
      <c r="Q18" s="33">
        <v>446</v>
      </c>
      <c r="R18" s="55">
        <v>6043</v>
      </c>
      <c r="U18" s="110"/>
    </row>
    <row r="19" spans="1:22" x14ac:dyDescent="0.25">
      <c r="A19" s="54">
        <v>44333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44334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44335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44336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44337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44338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44339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44340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44341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44342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44343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44344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44345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44346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44347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44348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19" sqref="C19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44317</v>
      </c>
      <c r="B4" s="65">
        <v>469</v>
      </c>
      <c r="C4" s="66">
        <f>('Water Reading'!B4-'Water Reading'!B3)+('Water Reading'!C4-'Water Reading'!C3)</f>
        <v>371</v>
      </c>
      <c r="D4" s="67">
        <f>C4/B4</f>
        <v>0.79104477611940294</v>
      </c>
      <c r="E4" s="88">
        <f>'Water Reading'!H4-'Water Reading'!H3</f>
        <v>31</v>
      </c>
      <c r="F4" s="89">
        <f>E4/C4</f>
        <v>8.3557951482479784E-2</v>
      </c>
      <c r="G4" s="93">
        <f>('Water Reading'!D4-'Water Reading'!D3)-('Water Reading'!R4-'Water Reading'!R3)-('Water Reading'!Q4-'Water Reading'!Q3)</f>
        <v>116</v>
      </c>
      <c r="H4" s="89">
        <f>G4/C4</f>
        <v>0.31266846361185985</v>
      </c>
      <c r="I4" s="90">
        <f>'Water Reading'!P4-'Water Reading'!P3</f>
        <v>13</v>
      </c>
      <c r="J4" s="68">
        <f>I4/C4</f>
        <v>3.5040431266846361E-2</v>
      </c>
      <c r="K4" s="91">
        <f>('Water Reading'!I4-'Water Reading'!I3)-('Water Reading'!P4-'Water Reading'!P3)</f>
        <v>88</v>
      </c>
      <c r="L4" s="68">
        <f>K4/C4</f>
        <v>0.23719676549865229</v>
      </c>
      <c r="M4" s="90">
        <f>'Water Reading'!R4-'Water Reading'!R3</f>
        <v>6</v>
      </c>
      <c r="N4" s="92">
        <f>M4/C4</f>
        <v>1.6172506738544475E-2</v>
      </c>
      <c r="O4" s="90">
        <f>'Water Reading'!Q4-'Water Reading'!Q3</f>
        <v>6</v>
      </c>
      <c r="P4" s="99">
        <f>O4/C4</f>
        <v>1.6172506738544475E-2</v>
      </c>
      <c r="Q4" s="91">
        <f>'Water Reading'!F4-'Water Reading'!F3</f>
        <v>1</v>
      </c>
      <c r="R4" s="100">
        <f>Q4/C4</f>
        <v>2.6954177897574125E-3</v>
      </c>
      <c r="S4" s="90">
        <f>'Water Reading'!E4-'Water Reading'!E3</f>
        <v>51</v>
      </c>
      <c r="T4" s="100">
        <f>S4/C4</f>
        <v>0.13746630727762804</v>
      </c>
      <c r="U4" s="90">
        <f>'Water Reading'!G4-'Water Reading'!G3</f>
        <v>18</v>
      </c>
      <c r="V4" s="100">
        <f>U4/C4</f>
        <v>4.8517520215633422E-2</v>
      </c>
      <c r="W4" s="90">
        <f>'Water Reading'!J4-'Water Reading'!J3</f>
        <v>11</v>
      </c>
      <c r="X4" s="100">
        <f>W4/C4</f>
        <v>2.9649595687331536E-2</v>
      </c>
      <c r="Y4" s="66">
        <f t="shared" ref="Y4:Y34" si="0">E4+I4+K4+M4+O4+G4+Q4+S4+U4+W4</f>
        <v>341</v>
      </c>
      <c r="Z4" s="67">
        <f t="shared" ref="Z4:Z35" si="1">Y4/B4</f>
        <v>0.72707889125799574</v>
      </c>
    </row>
    <row r="5" spans="1:26" x14ac:dyDescent="0.25">
      <c r="A5" s="8">
        <f>'Water Reading'!A4</f>
        <v>44318</v>
      </c>
      <c r="B5" s="65">
        <f>TOTAL!I3</f>
        <v>272</v>
      </c>
      <c r="C5" s="66">
        <f>('Water Reading'!B5-'Water Reading'!B4)+('Water Reading'!C5-'Water Reading'!C4)</f>
        <v>507</v>
      </c>
      <c r="D5" s="67">
        <f t="shared" ref="D5:D34" si="2">C5/B5</f>
        <v>1.8639705882352942</v>
      </c>
      <c r="E5" s="88">
        <f>'Water Reading'!H5-'Water Reading'!H4</f>
        <v>35</v>
      </c>
      <c r="F5" s="89">
        <f t="shared" ref="F5:F34" si="3">E5/C5</f>
        <v>6.9033530571992116E-2</v>
      </c>
      <c r="G5" s="93">
        <f>('Water Reading'!D5-'Water Reading'!D4)-('Water Reading'!R5-'Water Reading'!R4)-('Water Reading'!Q5-'Water Reading'!Q4)</f>
        <v>146</v>
      </c>
      <c r="H5" s="89">
        <f t="shared" ref="H5:H34" si="4">G5/C5</f>
        <v>0.28796844181459569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88</v>
      </c>
      <c r="L5" s="68">
        <f t="shared" ref="L5:L34" si="6">K5/C5</f>
        <v>0.17357001972386588</v>
      </c>
      <c r="M5" s="90">
        <f>'Water Reading'!R5-'Water Reading'!R4</f>
        <v>4</v>
      </c>
      <c r="N5" s="92">
        <f t="shared" ref="N5:N34" si="7">M5/C5</f>
        <v>7.889546351084813E-3</v>
      </c>
      <c r="O5" s="90">
        <f>'Water Reading'!Q5-'Water Reading'!Q4</f>
        <v>8</v>
      </c>
      <c r="P5" s="99">
        <f t="shared" ref="P5:P34" si="8">O5/C5</f>
        <v>1.5779092702169626E-2</v>
      </c>
      <c r="Q5" s="91">
        <f>'Water Reading'!F5-'Water Reading'!F4</f>
        <v>1</v>
      </c>
      <c r="R5" s="100">
        <f t="shared" ref="R5:R34" si="9">Q5/C5</f>
        <v>1.9723865877712033E-3</v>
      </c>
      <c r="S5" s="90">
        <f>'Water Reading'!E5-'Water Reading'!E4</f>
        <v>55</v>
      </c>
      <c r="T5" s="100">
        <f t="shared" ref="T5:T34" si="10">S5/C5</f>
        <v>0.10848126232741617</v>
      </c>
      <c r="U5" s="90">
        <f>'Water Reading'!G5-'Water Reading'!G4</f>
        <v>19</v>
      </c>
      <c r="V5" s="100">
        <f t="shared" ref="V5:V34" si="11">U5/C5</f>
        <v>3.7475345167652857E-2</v>
      </c>
      <c r="W5" s="90">
        <f>'Water Reading'!J5-'Water Reading'!J4</f>
        <v>12</v>
      </c>
      <c r="X5" s="100">
        <f t="shared" ref="X5:X34" si="12">W5/C5</f>
        <v>2.3668639053254437E-2</v>
      </c>
      <c r="Y5" s="66">
        <f t="shared" si="0"/>
        <v>368</v>
      </c>
      <c r="Z5" s="67">
        <f t="shared" si="1"/>
        <v>1.3529411764705883</v>
      </c>
    </row>
    <row r="6" spans="1:26" x14ac:dyDescent="0.25">
      <c r="A6" s="8">
        <f>'Water Reading'!A5</f>
        <v>44319</v>
      </c>
      <c r="B6" s="65">
        <f>TOTAL!I4</f>
        <v>324</v>
      </c>
      <c r="C6" s="66">
        <f>('Water Reading'!B6-'Water Reading'!B5)+('Water Reading'!C6-'Water Reading'!C5)</f>
        <v>296</v>
      </c>
      <c r="D6" s="67">
        <f t="shared" si="2"/>
        <v>0.9135802469135802</v>
      </c>
      <c r="E6" s="88">
        <f>'Water Reading'!H6-'Water Reading'!H5</f>
        <v>36</v>
      </c>
      <c r="F6" s="89">
        <f t="shared" si="3"/>
        <v>0.12162162162162163</v>
      </c>
      <c r="G6" s="93">
        <f>('Water Reading'!D6-'Water Reading'!D5)-('Water Reading'!R6-'Water Reading'!R5)-('Water Reading'!Q6-'Water Reading'!Q5)</f>
        <v>103</v>
      </c>
      <c r="H6" s="89">
        <f t="shared" si="4"/>
        <v>0.34797297297297297</v>
      </c>
      <c r="I6" s="90">
        <f>'Water Reading'!P6-'Water Reading'!P5</f>
        <v>0</v>
      </c>
      <c r="J6" s="68">
        <f t="shared" si="5"/>
        <v>0</v>
      </c>
      <c r="K6" s="91">
        <f>('Water Reading'!I6-'Water Reading'!I5)-('Water Reading'!P6-'Water Reading'!P5)</f>
        <v>95</v>
      </c>
      <c r="L6" s="68">
        <f t="shared" si="6"/>
        <v>0.32094594594594594</v>
      </c>
      <c r="M6" s="90">
        <f>'Water Reading'!R6-'Water Reading'!R5</f>
        <v>4</v>
      </c>
      <c r="N6" s="92">
        <f t="shared" si="7"/>
        <v>1.3513513513513514E-2</v>
      </c>
      <c r="O6" s="90">
        <f>'Water Reading'!Q6-'Water Reading'!Q5</f>
        <v>14</v>
      </c>
      <c r="P6" s="99">
        <f t="shared" si="8"/>
        <v>4.72972972972973E-2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58</v>
      </c>
      <c r="T6" s="100">
        <f t="shared" si="10"/>
        <v>0.19594594594594594</v>
      </c>
      <c r="U6" s="90">
        <f>'Water Reading'!G6-'Water Reading'!G5</f>
        <v>18</v>
      </c>
      <c r="V6" s="100">
        <f t="shared" si="11"/>
        <v>6.0810810810810814E-2</v>
      </c>
      <c r="W6" s="90">
        <f>'Water Reading'!J6-'Water Reading'!J5</f>
        <v>13</v>
      </c>
      <c r="X6" s="100">
        <f t="shared" si="12"/>
        <v>4.3918918918918921E-2</v>
      </c>
      <c r="Y6" s="66">
        <f t="shared" si="0"/>
        <v>341</v>
      </c>
      <c r="Z6" s="67">
        <f t="shared" si="1"/>
        <v>1.0524691358024691</v>
      </c>
    </row>
    <row r="7" spans="1:26" x14ac:dyDescent="0.25">
      <c r="A7" s="8">
        <f>'Water Reading'!A6</f>
        <v>44320</v>
      </c>
      <c r="B7" s="65">
        <f>TOTAL!I5</f>
        <v>253</v>
      </c>
      <c r="C7" s="66">
        <f>('Water Reading'!B7-'Water Reading'!B6)+('Water Reading'!C7-'Water Reading'!C6)</f>
        <v>400</v>
      </c>
      <c r="D7" s="67">
        <f t="shared" si="2"/>
        <v>1.5810276679841897</v>
      </c>
      <c r="E7" s="88">
        <f>'Water Reading'!H7-'Water Reading'!H6</f>
        <v>32</v>
      </c>
      <c r="F7" s="89">
        <f t="shared" si="3"/>
        <v>0.08</v>
      </c>
      <c r="G7" s="93">
        <f>('Water Reading'!D7-'Water Reading'!D6)-('Water Reading'!R7-'Water Reading'!R6)-('Water Reading'!Q7-'Water Reading'!Q6)</f>
        <v>89</v>
      </c>
      <c r="H7" s="89">
        <f t="shared" si="4"/>
        <v>0.2225</v>
      </c>
      <c r="I7" s="90">
        <f>'Water Reading'!P7-'Water Reading'!P6</f>
        <v>9</v>
      </c>
      <c r="J7" s="68">
        <f t="shared" si="5"/>
        <v>2.2499999999999999E-2</v>
      </c>
      <c r="K7" s="91">
        <f>('Water Reading'!I7-'Water Reading'!I6)-('Water Reading'!P7-'Water Reading'!P6)</f>
        <v>86</v>
      </c>
      <c r="L7" s="68">
        <f t="shared" si="6"/>
        <v>0.215</v>
      </c>
      <c r="M7" s="90">
        <f>'Water Reading'!R7-'Water Reading'!R6</f>
        <v>5</v>
      </c>
      <c r="N7" s="92">
        <f t="shared" si="7"/>
        <v>1.2500000000000001E-2</v>
      </c>
      <c r="O7" s="90">
        <f>'Water Reading'!Q7-'Water Reading'!Q6</f>
        <v>2</v>
      </c>
      <c r="P7" s="99">
        <f t="shared" si="8"/>
        <v>5.0000000000000001E-3</v>
      </c>
      <c r="Q7" s="91">
        <f>'Water Reading'!F7-'Water Reading'!F6</f>
        <v>1</v>
      </c>
      <c r="R7" s="100">
        <f t="shared" si="9"/>
        <v>2.5000000000000001E-3</v>
      </c>
      <c r="S7" s="90">
        <f>'Water Reading'!E7-'Water Reading'!E6</f>
        <v>50</v>
      </c>
      <c r="T7" s="100">
        <f t="shared" si="10"/>
        <v>0.125</v>
      </c>
      <c r="U7" s="90">
        <f>'Water Reading'!G7-'Water Reading'!G6</f>
        <v>15</v>
      </c>
      <c r="V7" s="100">
        <f t="shared" si="11"/>
        <v>3.7499999999999999E-2</v>
      </c>
      <c r="W7" s="90">
        <f>'Water Reading'!J7-'Water Reading'!J6</f>
        <v>12</v>
      </c>
      <c r="X7" s="100">
        <f t="shared" si="12"/>
        <v>0.03</v>
      </c>
      <c r="Y7" s="66">
        <f t="shared" si="0"/>
        <v>301</v>
      </c>
      <c r="Z7" s="67">
        <f t="shared" si="1"/>
        <v>1.1897233201581028</v>
      </c>
    </row>
    <row r="8" spans="1:26" x14ac:dyDescent="0.25">
      <c r="A8" s="8">
        <f>'Water Reading'!A7</f>
        <v>44321</v>
      </c>
      <c r="B8" s="65">
        <f>TOTAL!I6</f>
        <v>283</v>
      </c>
      <c r="C8" s="66">
        <f>('Water Reading'!B8-'Water Reading'!B7)+('Water Reading'!C8-'Water Reading'!C7)</f>
        <v>432</v>
      </c>
      <c r="D8" s="67">
        <f t="shared" si="2"/>
        <v>1.5265017667844523</v>
      </c>
      <c r="E8" s="88">
        <f>'Water Reading'!H8-'Water Reading'!H7</f>
        <v>50</v>
      </c>
      <c r="F8" s="89">
        <f t="shared" si="3"/>
        <v>0.11574074074074074</v>
      </c>
      <c r="G8" s="93">
        <f>('Water Reading'!D8-'Water Reading'!D7)-('Water Reading'!R8-'Water Reading'!R7)-('Water Reading'!Q8-'Water Reading'!Q7)</f>
        <v>131</v>
      </c>
      <c r="H8" s="89">
        <f t="shared" si="4"/>
        <v>0.30324074074074076</v>
      </c>
      <c r="I8" s="90">
        <f>'Water Reading'!P8-'Water Reading'!P7</f>
        <v>4</v>
      </c>
      <c r="J8" s="68">
        <f t="shared" si="5"/>
        <v>9.2592592592592587E-3</v>
      </c>
      <c r="K8" s="91">
        <f>('Water Reading'!I8-'Water Reading'!I7)-('Water Reading'!P8-'Water Reading'!P7)</f>
        <v>75</v>
      </c>
      <c r="L8" s="68">
        <f t="shared" si="6"/>
        <v>0.1736111111111111</v>
      </c>
      <c r="M8" s="90">
        <f>'Water Reading'!R8-'Water Reading'!R7</f>
        <v>5</v>
      </c>
      <c r="N8" s="92">
        <f t="shared" si="7"/>
        <v>1.1574074074074073E-2</v>
      </c>
      <c r="O8" s="90">
        <f>'Water Reading'!Q8-'Water Reading'!Q7</f>
        <v>5</v>
      </c>
      <c r="P8" s="99">
        <f t="shared" si="8"/>
        <v>1.1574074074074073E-2</v>
      </c>
      <c r="Q8" s="91">
        <f>'Water Reading'!F8-'Water Reading'!F7</f>
        <v>1</v>
      </c>
      <c r="R8" s="100">
        <f t="shared" si="9"/>
        <v>2.3148148148148147E-3</v>
      </c>
      <c r="S8" s="90">
        <f>'Water Reading'!E8-'Water Reading'!E7</f>
        <v>55</v>
      </c>
      <c r="T8" s="100">
        <f t="shared" si="10"/>
        <v>0.12731481481481483</v>
      </c>
      <c r="U8" s="90">
        <f>'Water Reading'!G8-'Water Reading'!G7</f>
        <v>24</v>
      </c>
      <c r="V8" s="100">
        <f t="shared" si="11"/>
        <v>5.5555555555555552E-2</v>
      </c>
      <c r="W8" s="90">
        <f>'Water Reading'!J8-'Water Reading'!J7</f>
        <v>14</v>
      </c>
      <c r="X8" s="100">
        <f t="shared" si="12"/>
        <v>3.2407407407407406E-2</v>
      </c>
      <c r="Y8" s="66">
        <f t="shared" si="0"/>
        <v>364</v>
      </c>
      <c r="Z8" s="67">
        <f t="shared" si="1"/>
        <v>1.2862190812720848</v>
      </c>
    </row>
    <row r="9" spans="1:26" x14ac:dyDescent="0.25">
      <c r="A9" s="8">
        <f>'Water Reading'!A8</f>
        <v>44322</v>
      </c>
      <c r="B9" s="65">
        <f>TOTAL!I7</f>
        <v>264</v>
      </c>
      <c r="C9" s="66">
        <f>('Water Reading'!B9-'Water Reading'!B8)+('Water Reading'!C9-'Water Reading'!C8)</f>
        <v>366</v>
      </c>
      <c r="D9" s="67">
        <f t="shared" si="2"/>
        <v>1.3863636363636365</v>
      </c>
      <c r="E9" s="88">
        <f>'Water Reading'!H9-'Water Reading'!H8</f>
        <v>31</v>
      </c>
      <c r="F9" s="89">
        <f t="shared" si="3"/>
        <v>8.4699453551912565E-2</v>
      </c>
      <c r="G9" s="93">
        <f>('Water Reading'!D9-'Water Reading'!D8)-('Water Reading'!R9-'Water Reading'!R8)-('Water Reading'!Q9-'Water Reading'!Q8)</f>
        <v>119</v>
      </c>
      <c r="H9" s="89">
        <f t="shared" si="4"/>
        <v>0.3251366120218579</v>
      </c>
      <c r="I9" s="90">
        <f>'Water Reading'!P9-'Water Reading'!P8</f>
        <v>0</v>
      </c>
      <c r="J9" s="68">
        <f t="shared" si="5"/>
        <v>0</v>
      </c>
      <c r="K9" s="91">
        <f>('Water Reading'!I9-'Water Reading'!I8)-('Water Reading'!P9-'Water Reading'!P8)</f>
        <v>19</v>
      </c>
      <c r="L9" s="68">
        <f t="shared" si="6"/>
        <v>5.1912568306010931E-2</v>
      </c>
      <c r="M9" s="90">
        <f>'Water Reading'!R9-'Water Reading'!R8</f>
        <v>6</v>
      </c>
      <c r="N9" s="92">
        <f t="shared" si="7"/>
        <v>1.6393442622950821E-2</v>
      </c>
      <c r="O9" s="90">
        <f>'Water Reading'!Q9-'Water Reading'!Q8</f>
        <v>0</v>
      </c>
      <c r="P9" s="99">
        <f t="shared" si="8"/>
        <v>0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49</v>
      </c>
      <c r="T9" s="100">
        <f t="shared" si="10"/>
        <v>0.13387978142076504</v>
      </c>
      <c r="U9" s="90">
        <f>'Water Reading'!G9-'Water Reading'!G8</f>
        <v>14</v>
      </c>
      <c r="V9" s="100">
        <f t="shared" si="11"/>
        <v>3.825136612021858E-2</v>
      </c>
      <c r="W9" s="90">
        <f>'Water Reading'!J9-'Water Reading'!J8</f>
        <v>12</v>
      </c>
      <c r="X9" s="100">
        <f t="shared" si="12"/>
        <v>3.2786885245901641E-2</v>
      </c>
      <c r="Y9" s="66">
        <f t="shared" si="0"/>
        <v>250</v>
      </c>
      <c r="Z9" s="67">
        <f t="shared" si="1"/>
        <v>0.94696969696969702</v>
      </c>
    </row>
    <row r="10" spans="1:26" x14ac:dyDescent="0.25">
      <c r="A10" s="8">
        <f>'Water Reading'!A9</f>
        <v>44323</v>
      </c>
      <c r="B10" s="65">
        <f>TOTAL!I8</f>
        <v>245</v>
      </c>
      <c r="C10" s="66">
        <f>('Water Reading'!B10-'Water Reading'!B9)+('Water Reading'!C10-'Water Reading'!C9)</f>
        <v>321</v>
      </c>
      <c r="D10" s="67">
        <f t="shared" si="2"/>
        <v>1.310204081632653</v>
      </c>
      <c r="E10" s="88">
        <f>'Water Reading'!H10-'Water Reading'!H9</f>
        <v>39</v>
      </c>
      <c r="F10" s="89">
        <f t="shared" si="3"/>
        <v>0.12149532710280374</v>
      </c>
      <c r="G10" s="93">
        <f>('Water Reading'!D10-'Water Reading'!D9)-('Water Reading'!R10-'Water Reading'!R9)-('Water Reading'!Q10-'Water Reading'!Q9)</f>
        <v>125</v>
      </c>
      <c r="H10" s="89">
        <f t="shared" si="4"/>
        <v>0.38940809968847351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19</v>
      </c>
      <c r="L10" s="68">
        <f t="shared" si="6"/>
        <v>5.9190031152647975E-2</v>
      </c>
      <c r="M10" s="90">
        <f>'Water Reading'!R10-'Water Reading'!R9</f>
        <v>2</v>
      </c>
      <c r="N10" s="92">
        <f t="shared" si="7"/>
        <v>6.2305295950155761E-3</v>
      </c>
      <c r="O10" s="90">
        <f>'Water Reading'!Q10-'Water Reading'!Q9</f>
        <v>1</v>
      </c>
      <c r="P10" s="99">
        <f t="shared" si="8"/>
        <v>3.1152647975077881E-3</v>
      </c>
      <c r="Q10" s="91">
        <f>'Water Reading'!F10-'Water Reading'!F9</f>
        <v>3</v>
      </c>
      <c r="R10" s="100">
        <f t="shared" si="9"/>
        <v>9.3457943925233638E-3</v>
      </c>
      <c r="S10" s="90">
        <f>'Water Reading'!E10-'Water Reading'!E9</f>
        <v>51</v>
      </c>
      <c r="T10" s="100">
        <f t="shared" si="10"/>
        <v>0.15887850467289719</v>
      </c>
      <c r="U10" s="90">
        <f>'Water Reading'!G10-'Water Reading'!G9</f>
        <v>15</v>
      </c>
      <c r="V10" s="100">
        <f t="shared" si="11"/>
        <v>4.6728971962616821E-2</v>
      </c>
      <c r="W10" s="90">
        <f>'Water Reading'!J10-'Water Reading'!J9</f>
        <v>12</v>
      </c>
      <c r="X10" s="100">
        <f t="shared" si="12"/>
        <v>3.7383177570093455E-2</v>
      </c>
      <c r="Y10" s="66">
        <f t="shared" si="0"/>
        <v>267</v>
      </c>
      <c r="Z10" s="67">
        <f t="shared" si="1"/>
        <v>1.0897959183673469</v>
      </c>
    </row>
    <row r="11" spans="1:26" x14ac:dyDescent="0.25">
      <c r="A11" s="8">
        <f>'Water Reading'!A10</f>
        <v>44324</v>
      </c>
      <c r="B11" s="65">
        <f>TOTAL!I9</f>
        <v>215</v>
      </c>
      <c r="C11" s="66">
        <f>('Water Reading'!B11-'Water Reading'!B10)+('Water Reading'!C11-'Water Reading'!C10)</f>
        <v>356</v>
      </c>
      <c r="D11" s="67">
        <f t="shared" si="2"/>
        <v>1.655813953488372</v>
      </c>
      <c r="E11" s="88">
        <f>'Water Reading'!H11-'Water Reading'!H10</f>
        <v>43</v>
      </c>
      <c r="F11" s="89">
        <f t="shared" si="3"/>
        <v>0.12078651685393259</v>
      </c>
      <c r="G11" s="93">
        <f>('Water Reading'!D11-'Water Reading'!D10)-('Water Reading'!R11-'Water Reading'!R10)-('Water Reading'!Q11-'Water Reading'!Q10)</f>
        <v>151</v>
      </c>
      <c r="H11" s="89">
        <f t="shared" si="4"/>
        <v>0.4241573033707865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18</v>
      </c>
      <c r="L11" s="68">
        <f t="shared" si="6"/>
        <v>5.0561797752808987E-2</v>
      </c>
      <c r="M11" s="90">
        <f>'Water Reading'!R11-'Water Reading'!R10</f>
        <v>4</v>
      </c>
      <c r="N11" s="92">
        <f t="shared" si="7"/>
        <v>1.1235955056179775E-2</v>
      </c>
      <c r="O11" s="98">
        <f>'Water Reading'!Q11-'Water Reading'!Q10</f>
        <v>0</v>
      </c>
      <c r="P11" s="99">
        <f t="shared" si="8"/>
        <v>0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58</v>
      </c>
      <c r="T11" s="100">
        <f t="shared" si="10"/>
        <v>0.16292134831460675</v>
      </c>
      <c r="U11" s="90">
        <f>'Water Reading'!G11-'Water Reading'!G10</f>
        <v>22</v>
      </c>
      <c r="V11" s="100">
        <f t="shared" si="11"/>
        <v>6.1797752808988762E-2</v>
      </c>
      <c r="W11" s="90">
        <f>'Water Reading'!J11-'Water Reading'!J10</f>
        <v>14</v>
      </c>
      <c r="X11" s="100">
        <f t="shared" si="12"/>
        <v>3.9325842696629212E-2</v>
      </c>
      <c r="Y11" s="66">
        <f t="shared" si="0"/>
        <v>310</v>
      </c>
      <c r="Z11" s="67">
        <f t="shared" si="1"/>
        <v>1.441860465116279</v>
      </c>
    </row>
    <row r="12" spans="1:26" x14ac:dyDescent="0.25">
      <c r="A12" s="8">
        <f>'Water Reading'!A11</f>
        <v>44325</v>
      </c>
      <c r="B12" s="65">
        <f>TOTAL!I10</f>
        <v>258</v>
      </c>
      <c r="C12" s="66">
        <f>('Water Reading'!B12-'Water Reading'!B11)+('Water Reading'!C12-'Water Reading'!C11)</f>
        <v>228</v>
      </c>
      <c r="D12" s="67">
        <f t="shared" si="2"/>
        <v>0.88372093023255816</v>
      </c>
      <c r="E12" s="88">
        <f>'Water Reading'!H12-'Water Reading'!H11</f>
        <v>44</v>
      </c>
      <c r="F12" s="89">
        <f t="shared" si="3"/>
        <v>0.19298245614035087</v>
      </c>
      <c r="G12" s="93">
        <f>('Water Reading'!D12-'Water Reading'!D11)-('Water Reading'!R12-'Water Reading'!R11)-('Water Reading'!Q12-'Water Reading'!Q11)</f>
        <v>138</v>
      </c>
      <c r="H12" s="89">
        <f t="shared" si="4"/>
        <v>0.60526315789473684</v>
      </c>
      <c r="I12" s="90">
        <f>'Water Reading'!P12-'Water Reading'!P11</f>
        <v>10</v>
      </c>
      <c r="J12" s="68">
        <f t="shared" si="5"/>
        <v>4.3859649122807015E-2</v>
      </c>
      <c r="K12" s="91">
        <f>('Water Reading'!I12-'Water Reading'!I11)-('Water Reading'!P12-'Water Reading'!P11)</f>
        <v>22</v>
      </c>
      <c r="L12" s="68">
        <f t="shared" si="6"/>
        <v>9.6491228070175433E-2</v>
      </c>
      <c r="M12" s="90">
        <f>'Water Reading'!R12-'Water Reading'!R11</f>
        <v>5</v>
      </c>
      <c r="N12" s="92">
        <f t="shared" si="7"/>
        <v>2.1929824561403508E-2</v>
      </c>
      <c r="O12" s="98">
        <f>'Water Reading'!Q12-'Water Reading'!Q11</f>
        <v>5</v>
      </c>
      <c r="P12" s="99">
        <f t="shared" si="8"/>
        <v>2.1929824561403508E-2</v>
      </c>
      <c r="Q12" s="91">
        <f>'Water Reading'!F12-'Water Reading'!F11</f>
        <v>1</v>
      </c>
      <c r="R12" s="100">
        <f t="shared" si="9"/>
        <v>4.3859649122807015E-3</v>
      </c>
      <c r="S12" s="90">
        <f>'Water Reading'!E12-'Water Reading'!E11</f>
        <v>60</v>
      </c>
      <c r="T12" s="100">
        <f t="shared" si="10"/>
        <v>0.26315789473684209</v>
      </c>
      <c r="U12" s="90">
        <f>'Water Reading'!G12-'Water Reading'!G11</f>
        <v>16</v>
      </c>
      <c r="V12" s="100">
        <f t="shared" si="11"/>
        <v>7.0175438596491224E-2</v>
      </c>
      <c r="W12" s="90">
        <f>'Water Reading'!J12-'Water Reading'!J11</f>
        <v>12</v>
      </c>
      <c r="X12" s="100">
        <f t="shared" si="12"/>
        <v>5.2631578947368418E-2</v>
      </c>
      <c r="Y12" s="66">
        <f t="shared" si="0"/>
        <v>313</v>
      </c>
      <c r="Z12" s="67">
        <f t="shared" si="1"/>
        <v>1.2131782945736433</v>
      </c>
    </row>
    <row r="13" spans="1:26" x14ac:dyDescent="0.25">
      <c r="A13" s="8">
        <f>'Water Reading'!A12</f>
        <v>44326</v>
      </c>
      <c r="B13" s="65">
        <f>TOTAL!I11</f>
        <v>284</v>
      </c>
      <c r="C13" s="66">
        <f>('Water Reading'!B13-'Water Reading'!B12)+('Water Reading'!C13-'Water Reading'!C12)</f>
        <v>254</v>
      </c>
      <c r="D13" s="67">
        <f t="shared" si="2"/>
        <v>0.89436619718309862</v>
      </c>
      <c r="E13" s="87">
        <f>'Water Reading'!H13-'Water Reading'!H12</f>
        <v>63</v>
      </c>
      <c r="F13" s="89">
        <f t="shared" si="3"/>
        <v>0.24803149606299213</v>
      </c>
      <c r="G13" s="93">
        <f>('Water Reading'!D13-'Water Reading'!D12)-('Water Reading'!R13-'Water Reading'!R12)-('Water Reading'!Q13-'Water Reading'!Q12)</f>
        <v>124</v>
      </c>
      <c r="H13" s="89">
        <f t="shared" si="4"/>
        <v>0.48818897637795278</v>
      </c>
      <c r="I13" s="90">
        <f>'Water Reading'!P13-'Water Reading'!P12</f>
        <v>18</v>
      </c>
      <c r="J13" s="68">
        <f t="shared" si="5"/>
        <v>7.0866141732283464E-2</v>
      </c>
      <c r="K13" s="91">
        <f>('Water Reading'!I13-'Water Reading'!I12)-('Water Reading'!P13-'Water Reading'!P12)</f>
        <v>22</v>
      </c>
      <c r="L13" s="68">
        <f t="shared" si="6"/>
        <v>8.6614173228346455E-2</v>
      </c>
      <c r="M13" s="90">
        <f>'Water Reading'!R13-'Water Reading'!R12</f>
        <v>5</v>
      </c>
      <c r="N13" s="92">
        <f t="shared" si="7"/>
        <v>1.968503937007874E-2</v>
      </c>
      <c r="O13" s="90">
        <f>'Water Reading'!Q13-'Water Reading'!Q12</f>
        <v>0</v>
      </c>
      <c r="P13" s="99">
        <f t="shared" si="8"/>
        <v>0</v>
      </c>
      <c r="Q13" s="91">
        <f>'Water Reading'!F13-'Water Reading'!F12</f>
        <v>1</v>
      </c>
      <c r="R13" s="100">
        <f t="shared" si="9"/>
        <v>3.937007874015748E-3</v>
      </c>
      <c r="S13" s="94">
        <f>'Water Reading'!E13-'Water Reading'!E12</f>
        <v>63</v>
      </c>
      <c r="T13" s="100">
        <f t="shared" si="10"/>
        <v>0.24803149606299213</v>
      </c>
      <c r="U13" s="90">
        <f>'Water Reading'!G13-'Water Reading'!G12</f>
        <v>18</v>
      </c>
      <c r="V13" s="100">
        <f t="shared" si="11"/>
        <v>7.0866141732283464E-2</v>
      </c>
      <c r="W13" s="90">
        <f>'Water Reading'!J13-'Water Reading'!J12</f>
        <v>13</v>
      </c>
      <c r="X13" s="100">
        <f t="shared" si="12"/>
        <v>5.1181102362204724E-2</v>
      </c>
      <c r="Y13" s="66">
        <f t="shared" si="0"/>
        <v>327</v>
      </c>
      <c r="Z13" s="67">
        <f t="shared" si="1"/>
        <v>1.1514084507042253</v>
      </c>
    </row>
    <row r="14" spans="1:26" x14ac:dyDescent="0.25">
      <c r="A14" s="8">
        <f>'Water Reading'!A13</f>
        <v>44327</v>
      </c>
      <c r="B14" s="65">
        <f>TOTAL!I12</f>
        <v>239</v>
      </c>
      <c r="C14" s="66">
        <f>('Water Reading'!B14-'Water Reading'!B13)+('Water Reading'!C14-'Water Reading'!C13)</f>
        <v>595</v>
      </c>
      <c r="D14" s="67">
        <f t="shared" si="2"/>
        <v>2.489539748953975</v>
      </c>
      <c r="E14" s="88">
        <f>'Water Reading'!H14-'Water Reading'!H13</f>
        <v>36</v>
      </c>
      <c r="F14" s="89">
        <f t="shared" si="3"/>
        <v>6.0504201680672269E-2</v>
      </c>
      <c r="G14" s="93">
        <f>('Water Reading'!D14-'Water Reading'!D13)-('Water Reading'!R14-'Water Reading'!R13)-('Water Reading'!Q14-'Water Reading'!Q13)</f>
        <v>88</v>
      </c>
      <c r="H14" s="89">
        <f t="shared" si="4"/>
        <v>0.14789915966386555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Reading'!I13)-('Water Reading'!P14-'Water Reading'!P13)</f>
        <v>16</v>
      </c>
      <c r="L14" s="68">
        <f t="shared" si="6"/>
        <v>2.689075630252101E-2</v>
      </c>
      <c r="M14" s="90">
        <f>'Water Reading'!R14-'Water Reading'!R13</f>
        <v>5</v>
      </c>
      <c r="N14" s="92">
        <f t="shared" si="7"/>
        <v>8.4033613445378148E-3</v>
      </c>
      <c r="O14" s="90">
        <f>'Water Reading'!Q14-'Water Reading'!Q13</f>
        <v>0</v>
      </c>
      <c r="P14" s="99">
        <f t="shared" si="8"/>
        <v>0</v>
      </c>
      <c r="Q14" s="91">
        <f>'Water Reading'!F14-'Water Reading'!F13</f>
        <v>1</v>
      </c>
      <c r="R14" s="100">
        <f t="shared" si="9"/>
        <v>1.6806722689075631E-3</v>
      </c>
      <c r="S14" s="94">
        <f>'Water Reading'!E14-'Water Reading'!E13</f>
        <v>59</v>
      </c>
      <c r="T14" s="100">
        <f t="shared" si="10"/>
        <v>9.9159663865546213E-2</v>
      </c>
      <c r="U14" s="90">
        <f>'Water Reading'!G14-'Water Reading'!G13</f>
        <v>14</v>
      </c>
      <c r="V14" s="100">
        <f t="shared" si="11"/>
        <v>2.3529411764705882E-2</v>
      </c>
      <c r="W14" s="90">
        <f>'Water Reading'!J14-'Water Reading'!J13</f>
        <v>12</v>
      </c>
      <c r="X14" s="100">
        <f t="shared" si="12"/>
        <v>2.0168067226890758E-2</v>
      </c>
      <c r="Y14" s="66">
        <f t="shared" si="0"/>
        <v>231</v>
      </c>
      <c r="Z14" s="67">
        <f t="shared" si="1"/>
        <v>0.96652719665271969</v>
      </c>
    </row>
    <row r="15" spans="1:26" x14ac:dyDescent="0.25">
      <c r="A15" s="8">
        <f>'Water Reading'!A14</f>
        <v>44328</v>
      </c>
      <c r="B15" s="65">
        <f>TOTAL!I13</f>
        <v>248</v>
      </c>
      <c r="C15" s="66">
        <f>('Water Reading'!B15-'Water Reading'!B14)+('Water Reading'!C15-'Water Reading'!C14)</f>
        <v>216</v>
      </c>
      <c r="D15" s="67">
        <f t="shared" si="2"/>
        <v>0.87096774193548387</v>
      </c>
      <c r="E15" s="87">
        <f>'Water Reading'!H15-'Water Reading'!H14</f>
        <v>41</v>
      </c>
      <c r="F15" s="89">
        <f t="shared" si="3"/>
        <v>0.18981481481481483</v>
      </c>
      <c r="G15" s="93">
        <f>('Water Reading'!D15-'Water Reading'!D14)-('Water Reading'!R15-'Water Reading'!R14)-('Water Reading'!Q15-'Water Reading'!Q14)</f>
        <v>94</v>
      </c>
      <c r="H15" s="89">
        <f t="shared" si="4"/>
        <v>0.43518518518518517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Reading'!I14)-('Water Reading'!P15-'Water Reading'!P14)</f>
        <v>19</v>
      </c>
      <c r="L15" s="68">
        <f t="shared" si="6"/>
        <v>8.7962962962962965E-2</v>
      </c>
      <c r="M15" s="90">
        <f>'Water Reading'!R15-'Water Reading'!R14</f>
        <v>5</v>
      </c>
      <c r="N15" s="92">
        <f t="shared" si="7"/>
        <v>2.3148148148148147E-2</v>
      </c>
      <c r="O15" s="90">
        <f>'Water Reading'!Q15-'Water Reading'!Q14</f>
        <v>2</v>
      </c>
      <c r="P15" s="99">
        <f t="shared" si="8"/>
        <v>9.2592592592592587E-3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66</v>
      </c>
      <c r="T15" s="100">
        <f t="shared" si="10"/>
        <v>0.30555555555555558</v>
      </c>
      <c r="U15" s="90">
        <f>'Water Reading'!G15-'Water Reading'!G14</f>
        <v>18</v>
      </c>
      <c r="V15" s="100">
        <f t="shared" si="11"/>
        <v>8.3333333333333329E-2</v>
      </c>
      <c r="W15" s="90">
        <f>'Water Reading'!J15-'Water Reading'!J14</f>
        <v>14</v>
      </c>
      <c r="X15" s="100">
        <f t="shared" si="12"/>
        <v>6.4814814814814811E-2</v>
      </c>
      <c r="Y15" s="66">
        <f t="shared" si="0"/>
        <v>259</v>
      </c>
      <c r="Z15" s="67">
        <f t="shared" si="1"/>
        <v>1.0443548387096775</v>
      </c>
    </row>
    <row r="16" spans="1:26" x14ac:dyDescent="0.25">
      <c r="A16" s="8">
        <f>'Water Reading'!A15</f>
        <v>44329</v>
      </c>
      <c r="B16" s="65">
        <f>TOTAL!I14</f>
        <v>201</v>
      </c>
      <c r="C16" s="66">
        <f>('Water Reading'!B16-'Water Reading'!B15)+('Water Reading'!C16-'Water Reading'!C15)</f>
        <v>285</v>
      </c>
      <c r="D16" s="67">
        <f t="shared" si="2"/>
        <v>1.4179104477611941</v>
      </c>
      <c r="E16" s="87">
        <f>'Water Reading'!H16-'Water Reading'!H15</f>
        <v>36</v>
      </c>
      <c r="F16" s="89">
        <f t="shared" si="3"/>
        <v>0.12631578947368421</v>
      </c>
      <c r="G16" s="93">
        <f>('Water Reading'!D16-'Water Reading'!D15)-('Water Reading'!R16-'Water Reading'!R15)-('Water Reading'!Q16-'Water Reading'!Q15)</f>
        <v>91</v>
      </c>
      <c r="H16" s="89">
        <f t="shared" si="4"/>
        <v>0.31929824561403508</v>
      </c>
      <c r="I16" s="90">
        <f>'Water Reading'!P16-'Water Reading'!P15</f>
        <v>0</v>
      </c>
      <c r="J16" s="68">
        <f t="shared" si="5"/>
        <v>0</v>
      </c>
      <c r="K16" s="91">
        <f>('Water Reading'!I16-'Water Reading'!I15)-('Water Reading'!P16-'Water Reading'!P15)</f>
        <v>26</v>
      </c>
      <c r="L16" s="68">
        <f t="shared" si="6"/>
        <v>9.1228070175438603E-2</v>
      </c>
      <c r="M16" s="90">
        <f>'Water Reading'!R16-'Water Reading'!R15</f>
        <v>3</v>
      </c>
      <c r="N16" s="92">
        <f t="shared" si="7"/>
        <v>1.0526315789473684E-2</v>
      </c>
      <c r="O16" s="90">
        <f>'Water Reading'!Q16-'Water Reading'!Q15</f>
        <v>0</v>
      </c>
      <c r="P16" s="99">
        <f t="shared" si="8"/>
        <v>0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59</v>
      </c>
      <c r="T16" s="100">
        <f t="shared" si="10"/>
        <v>0.20701754385964913</v>
      </c>
      <c r="U16" s="90">
        <f>'Water Reading'!G16-'Water Reading'!G15</f>
        <v>18</v>
      </c>
      <c r="V16" s="100">
        <f t="shared" si="11"/>
        <v>6.3157894736842107E-2</v>
      </c>
      <c r="W16" s="90">
        <f>'Water Reading'!J16-'Water Reading'!J15</f>
        <v>13</v>
      </c>
      <c r="X16" s="100">
        <f t="shared" si="12"/>
        <v>4.5614035087719301E-2</v>
      </c>
      <c r="Y16" s="66">
        <f t="shared" si="0"/>
        <v>246</v>
      </c>
      <c r="Z16" s="67">
        <f t="shared" si="1"/>
        <v>1.2238805970149254</v>
      </c>
    </row>
    <row r="17" spans="1:26" x14ac:dyDescent="0.25">
      <c r="A17" s="8">
        <f>'Water Reading'!A16</f>
        <v>44330</v>
      </c>
      <c r="B17" s="65">
        <f>TOTAL!I15</f>
        <v>232</v>
      </c>
      <c r="C17" s="66">
        <f>('Water Reading'!B17-'Water Reading'!B16)+('Water Reading'!C17-'Water Reading'!C16)</f>
        <v>252</v>
      </c>
      <c r="D17" s="67">
        <f t="shared" si="2"/>
        <v>1.0862068965517242</v>
      </c>
      <c r="E17" s="87">
        <f>'Water Reading'!H17-'Water Reading'!H16</f>
        <v>38</v>
      </c>
      <c r="F17" s="89">
        <f t="shared" si="3"/>
        <v>0.15079365079365079</v>
      </c>
      <c r="G17" s="93">
        <f>('Water Reading'!D17-'Water Reading'!D16)-('Water Reading'!R17-'Water Reading'!R16)-('Water Reading'!Q17-'Water Reading'!Q16)</f>
        <v>92</v>
      </c>
      <c r="H17" s="89">
        <f t="shared" si="4"/>
        <v>0.36507936507936506</v>
      </c>
      <c r="I17" s="90">
        <f>'Water Reading'!P17-'Water Reading'!P16</f>
        <v>0</v>
      </c>
      <c r="J17" s="68">
        <f t="shared" si="5"/>
        <v>0</v>
      </c>
      <c r="K17" s="91">
        <f>('Water Reading'!I17-'Water Reading'!I16)-('Water Reading'!P17-'Water Reading'!P16)</f>
        <v>19</v>
      </c>
      <c r="L17" s="68">
        <f t="shared" si="6"/>
        <v>7.5396825396825393E-2</v>
      </c>
      <c r="M17" s="90">
        <f>'Water Reading'!R17-'Water Reading'!R16</f>
        <v>5</v>
      </c>
      <c r="N17" s="92">
        <f t="shared" si="7"/>
        <v>1.984126984126984E-2</v>
      </c>
      <c r="O17" s="90">
        <f>'Water Reading'!Q17-'Water Reading'!Q16</f>
        <v>0</v>
      </c>
      <c r="P17" s="99">
        <f t="shared" si="8"/>
        <v>0</v>
      </c>
      <c r="Q17" s="91">
        <f>'Water Reading'!F17-'Water Reading'!F16</f>
        <v>2</v>
      </c>
      <c r="R17" s="100">
        <f t="shared" si="9"/>
        <v>7.9365079365079361E-3</v>
      </c>
      <c r="S17" s="94">
        <f>'Water Reading'!E17-'Water Reading'!E16</f>
        <v>61</v>
      </c>
      <c r="T17" s="100">
        <f t="shared" si="10"/>
        <v>0.24206349206349206</v>
      </c>
      <c r="U17" s="90">
        <f>'Water Reading'!G17-'Water Reading'!G16</f>
        <v>17</v>
      </c>
      <c r="V17" s="100">
        <f t="shared" si="11"/>
        <v>6.7460317460317457E-2</v>
      </c>
      <c r="W17" s="90">
        <f>'Water Reading'!J17-'Water Reading'!J16</f>
        <v>13</v>
      </c>
      <c r="X17" s="100">
        <f t="shared" si="12"/>
        <v>5.1587301587301584E-2</v>
      </c>
      <c r="Y17" s="66">
        <f t="shared" si="0"/>
        <v>247</v>
      </c>
      <c r="Z17" s="67">
        <f t="shared" si="1"/>
        <v>1.0646551724137931</v>
      </c>
    </row>
    <row r="18" spans="1:26" x14ac:dyDescent="0.25">
      <c r="A18" s="8">
        <f>'Water Reading'!A17</f>
        <v>44331</v>
      </c>
      <c r="B18" s="65">
        <f>TOTAL!I16</f>
        <v>225</v>
      </c>
      <c r="C18" s="66">
        <f>('Water Reading'!B18-'Water Reading'!B17)+('Water Reading'!C18-'Water Reading'!C17)</f>
        <v>276</v>
      </c>
      <c r="D18" s="67">
        <f t="shared" si="2"/>
        <v>1.2266666666666666</v>
      </c>
      <c r="E18" s="87">
        <f>'Water Reading'!H18-'Water Reading'!H17</f>
        <v>44</v>
      </c>
      <c r="F18" s="89">
        <f t="shared" si="3"/>
        <v>0.15942028985507245</v>
      </c>
      <c r="G18" s="93">
        <f>('Water Reading'!D18-'Water Reading'!D17)-('Water Reading'!R18-'Water Reading'!R17)-('Water Reading'!Q18-'Water Reading'!Q17)</f>
        <v>117</v>
      </c>
      <c r="H18" s="89">
        <f t="shared" si="4"/>
        <v>0.42391304347826086</v>
      </c>
      <c r="I18" s="90">
        <f>'Water Reading'!P18-'Water Reading'!P17</f>
        <v>0</v>
      </c>
      <c r="J18" s="68">
        <f t="shared" si="5"/>
        <v>0</v>
      </c>
      <c r="K18" s="91">
        <f>('Water Reading'!I18-'Water Reading'!I17)-('Water Reading'!P18-'Water Reading'!P17)</f>
        <v>20</v>
      </c>
      <c r="L18" s="68">
        <f t="shared" si="6"/>
        <v>7.2463768115942032E-2</v>
      </c>
      <c r="M18" s="90">
        <f>'Water Reading'!R18-'Water Reading'!R17</f>
        <v>6</v>
      </c>
      <c r="N18" s="92">
        <f t="shared" si="7"/>
        <v>2.1739130434782608E-2</v>
      </c>
      <c r="O18" s="90">
        <f>'Water Reading'!Q18-'Water Reading'!Q17</f>
        <v>0</v>
      </c>
      <c r="P18" s="99">
        <f t="shared" si="8"/>
        <v>0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62</v>
      </c>
      <c r="T18" s="100">
        <f t="shared" si="10"/>
        <v>0.22463768115942029</v>
      </c>
      <c r="U18" s="90">
        <f>'Water Reading'!G18-'Water Reading'!G17</f>
        <v>23</v>
      </c>
      <c r="V18" s="100">
        <f t="shared" si="11"/>
        <v>8.3333333333333329E-2</v>
      </c>
      <c r="W18" s="90">
        <f>'Water Reading'!J18-'Water Reading'!J17</f>
        <v>14</v>
      </c>
      <c r="X18" s="100">
        <f t="shared" si="12"/>
        <v>5.0724637681159424E-2</v>
      </c>
      <c r="Y18" s="66">
        <f t="shared" si="0"/>
        <v>286</v>
      </c>
      <c r="Z18" s="67">
        <f t="shared" si="1"/>
        <v>1.2711111111111111</v>
      </c>
    </row>
    <row r="19" spans="1:26" x14ac:dyDescent="0.25">
      <c r="A19" s="8">
        <f>'Water Reading'!A18</f>
        <v>44332</v>
      </c>
      <c r="B19" s="65">
        <f>TOTAL!I17</f>
        <v>0</v>
      </c>
      <c r="C19" s="66">
        <f>('Water Reading'!B19-'Water Reading'!B18)+('Water Reading'!C19-'Water Reading'!C18)</f>
        <v>-277602</v>
      </c>
      <c r="D19" s="67" t="e">
        <f t="shared" si="2"/>
        <v>#DIV/0!</v>
      </c>
      <c r="E19" s="87">
        <f>'Water Reading'!H19-'Water Reading'!H18</f>
        <v>-49962</v>
      </c>
      <c r="F19" s="89">
        <f t="shared" si="3"/>
        <v>0.17997708950223701</v>
      </c>
      <c r="G19" s="93">
        <f>('Water Reading'!D19-'Water Reading'!D18)-('Water Reading'!R19-'Water Reading'!R18)-('Water Reading'!Q19-'Water Reading'!Q18)</f>
        <v>-196077</v>
      </c>
      <c r="H19" s="89">
        <f t="shared" si="4"/>
        <v>0.70632416192966907</v>
      </c>
      <c r="I19" s="90">
        <f>'Water Reading'!P19-'Water Reading'!P18</f>
        <v>-26477</v>
      </c>
      <c r="J19" s="68">
        <f t="shared" si="5"/>
        <v>9.5377554916751317E-2</v>
      </c>
      <c r="K19" s="91">
        <f>('Water Reading'!I19-'Water Reading'!I18)-('Water Reading'!P19-'Water Reading'!P18)</f>
        <v>-35927</v>
      </c>
      <c r="L19" s="68">
        <f t="shared" si="6"/>
        <v>0.12941909640420457</v>
      </c>
      <c r="M19" s="90">
        <f>'Water Reading'!R19-'Water Reading'!R18</f>
        <v>-6043</v>
      </c>
      <c r="N19" s="92">
        <f t="shared" si="7"/>
        <v>2.1768575154357678E-2</v>
      </c>
      <c r="O19" s="90">
        <f>'Water Reading'!Q19-'Water Reading'!Q18</f>
        <v>-446</v>
      </c>
      <c r="P19" s="99">
        <f t="shared" si="8"/>
        <v>1.6066166670268946E-3</v>
      </c>
      <c r="Q19" s="91">
        <f>'Water Reading'!F19-'Water Reading'!F18</f>
        <v>-66897</v>
      </c>
      <c r="R19" s="100">
        <f t="shared" si="9"/>
        <v>0.24098169321546675</v>
      </c>
      <c r="S19" s="94">
        <f>'Water Reading'!E19-'Water Reading'!E18</f>
        <v>-245020</v>
      </c>
      <c r="T19" s="100">
        <f t="shared" si="10"/>
        <v>0.88263052859849711</v>
      </c>
      <c r="U19" s="90">
        <f>'Water Reading'!G19-'Water Reading'!G18</f>
        <v>-110900</v>
      </c>
      <c r="V19" s="100">
        <f t="shared" si="11"/>
        <v>0.39949279904323454</v>
      </c>
      <c r="W19" s="90">
        <f>'Water Reading'!J19-'Water Reading'!J18</f>
        <v>-19533</v>
      </c>
      <c r="X19" s="100">
        <f t="shared" si="12"/>
        <v>7.0363325912637512E-2</v>
      </c>
      <c r="Y19" s="66">
        <f t="shared" si="0"/>
        <v>-757282</v>
      </c>
      <c r="Z19" s="67" t="e">
        <f t="shared" si="1"/>
        <v>#DIV/0!</v>
      </c>
    </row>
    <row r="20" spans="1:26" x14ac:dyDescent="0.25">
      <c r="A20" s="8">
        <f>'Water Reading'!A19</f>
        <v>44333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44334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44335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44336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44337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44338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44339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44340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44341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44342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44343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44344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44345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44346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44347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4012</v>
      </c>
      <c r="C35" s="75">
        <f>SUM(C4:C34)</f>
        <v>-272447</v>
      </c>
      <c r="D35" s="96">
        <f>C35/B35</f>
        <v>-67.908025922233307</v>
      </c>
      <c r="E35" s="7">
        <f>SUM(E4:E34)</f>
        <v>-49363</v>
      </c>
      <c r="F35" s="95">
        <f>E35/C35</f>
        <v>0.181183863283501</v>
      </c>
      <c r="G35" s="75">
        <f>SUM(G4:G34)</f>
        <v>-194353</v>
      </c>
      <c r="H35" s="95">
        <f>G35/C35</f>
        <v>0.71336076374487511</v>
      </c>
      <c r="I35" s="7">
        <f>SUM(I4:I34)</f>
        <v>-26423</v>
      </c>
      <c r="J35" s="95">
        <f>I35/C35</f>
        <v>9.698400055790668E-2</v>
      </c>
      <c r="K35" s="7">
        <f>SUM(K4:K34)</f>
        <v>-35295</v>
      </c>
      <c r="L35" s="95">
        <f>K35/C35</f>
        <v>0.12954813229729084</v>
      </c>
      <c r="M35" s="7">
        <f>SUM(M4:M34)</f>
        <v>-5973</v>
      </c>
      <c r="N35" s="95">
        <f>M35/C35</f>
        <v>2.192353008107999E-2</v>
      </c>
      <c r="O35" s="7">
        <f>SUM(O4:O34)</f>
        <v>-403</v>
      </c>
      <c r="P35" s="95">
        <f>O35/C35</f>
        <v>1.4791867776117924E-3</v>
      </c>
      <c r="Q35" s="7">
        <f>SUM(Q4:Q34)</f>
        <v>-66885</v>
      </c>
      <c r="R35" s="95">
        <f>Q35/C35</f>
        <v>0.24549728938105392</v>
      </c>
      <c r="S35" s="75">
        <f>SUM(S4:S34)</f>
        <v>-244163</v>
      </c>
      <c r="T35" s="95">
        <f>S35/C35</f>
        <v>0.89618531310676941</v>
      </c>
      <c r="U35" s="7">
        <f>SUM(U4:U34)</f>
        <v>-110631</v>
      </c>
      <c r="V35" s="95">
        <f>U35/C35</f>
        <v>0.40606429874434291</v>
      </c>
      <c r="W35" s="7">
        <f>SUM(W4:W34)</f>
        <v>-19342</v>
      </c>
      <c r="X35" s="95">
        <f>W35/C35</f>
        <v>7.099362444805779E-2</v>
      </c>
      <c r="Y35" s="75">
        <f>SUM(Y4:Y34)</f>
        <v>-752831</v>
      </c>
      <c r="Z35" s="95">
        <f t="shared" si="1"/>
        <v>-187.64481555333998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2021-05-16T08:51:54Z</dcterms:modified>
  <cp:category/>
  <cp:contentStatus/>
</cp:coreProperties>
</file>