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2" i="1" l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46" i="4" l="1"/>
  <c r="M152" i="4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42" i="4"/>
  <c r="K143" i="4"/>
  <c r="K148" i="4"/>
  <c r="K149" i="4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K144" i="4" s="1"/>
  <c r="J145" i="4"/>
  <c r="K145" i="4" s="1"/>
  <c r="J146" i="4"/>
  <c r="K146" i="4" s="1"/>
  <c r="J147" i="4"/>
  <c r="K147" i="4" s="1"/>
  <c r="J148" i="4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41" i="4" l="1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M153" i="3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M151" i="3"/>
  <c r="M154" i="3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M147" i="3"/>
  <c r="M149" i="3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<sst xmlns="http://schemas.openxmlformats.org/spreadsheetml/2006/main" count="606" uniqueCount="76">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</sst>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36" workbookViewId="0">
      <selection activeCell="S144" sqref="S14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>
        <v>0.67</v>
      </c>
      <c r="G141" s="4" t="str">
        <f>'Gas Water'!M143</f>
        <v/>
      </c>
      <c r="H141" s="154">
        <v>1.77</v>
      </c>
      <c r="I141" s="2" t="str">
        <f>'Gas Water'!L143</f>
        <v/>
      </c>
      <c r="J141" s="154">
        <v>12.93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>
        <v>0.67</v>
      </c>
      <c r="G142" s="4" t="str">
        <f>'Gas Water'!M144</f>
        <v/>
      </c>
      <c r="H142" s="154">
        <v>1.77</v>
      </c>
      <c r="I142" s="2" t="str">
        <f>'Gas Water'!L144</f>
        <v/>
      </c>
      <c r="J142" s="154">
        <v>12.93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>
        <v>0.67</v>
      </c>
      <c r="G143" s="4" t="str">
        <f>'Gas Water'!M145</f>
        <v/>
      </c>
      <c r="H143" s="154">
        <v>1.77</v>
      </c>
      <c r="I143" s="2" t="str">
        <f>'Gas Water'!L145</f>
        <v/>
      </c>
      <c r="J143" s="154">
        <v>12.93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>
        <v>0.67</v>
      </c>
      <c r="G144" s="4" t="str">
        <f>'Gas Water'!M146</f>
        <v/>
      </c>
      <c r="H144" s="154">
        <v>1.77</v>
      </c>
      <c r="I144" s="2" t="str">
        <f>'Gas Water'!L146</f>
        <v/>
      </c>
      <c r="J144" s="154">
        <v>12.93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>
        <v>0.67</v>
      </c>
      <c r="G145" s="4" t="str">
        <f>'Gas Water'!M147</f>
        <v/>
      </c>
      <c r="H145" s="154">
        <v>1.77</v>
      </c>
      <c r="I145" s="2" t="str">
        <f>'Gas Water'!L147</f>
        <v/>
      </c>
      <c r="J145" s="154">
        <v>12.93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>
        <v>0.67</v>
      </c>
      <c r="G146" s="4" t="str">
        <f>'Gas Water'!M148</f>
        <v/>
      </c>
      <c r="H146" s="154">
        <v>1.77</v>
      </c>
      <c r="I146" s="2" t="str">
        <f>'Gas Water'!L148</f>
        <v/>
      </c>
      <c r="J146" s="154">
        <v>12.93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>
        <v>0.67</v>
      </c>
      <c r="G147" s="4" t="str">
        <f>'Gas Water'!M149</f>
        <v/>
      </c>
      <c r="H147" s="154">
        <v>1.77</v>
      </c>
      <c r="I147" s="2" t="str">
        <f>'Gas Water'!L149</f>
        <v/>
      </c>
      <c r="J147" s="154">
        <v>12.93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>
        <v>0.67</v>
      </c>
      <c r="G148" s="4" t="str">
        <f>'Gas Water'!M150</f>
        <v/>
      </c>
      <c r="H148" s="154">
        <v>1.77</v>
      </c>
      <c r="I148" s="2" t="str">
        <f>'Gas Water'!L150</f>
        <v/>
      </c>
      <c r="J148" s="154">
        <v>12.93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>
        <v>0.67</v>
      </c>
      <c r="G149" s="4" t="str">
        <f>'Gas Water'!M151</f>
        <v/>
      </c>
      <c r="H149" s="154">
        <v>1.77</v>
      </c>
      <c r="I149" s="2" t="str">
        <f>'Gas Water'!L151</f>
        <v/>
      </c>
      <c r="J149" s="154">
        <v>12.93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>
        <v>0.67</v>
      </c>
      <c r="G150" s="4" t="str">
        <f>'Gas Water'!M152</f>
        <v/>
      </c>
      <c r="H150" s="154">
        <v>1.77</v>
      </c>
      <c r="I150" s="2" t="str">
        <f>'Gas Water'!L152</f>
        <v/>
      </c>
      <c r="J150" s="154">
        <v>12.93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>
        <v>0.67</v>
      </c>
      <c r="G151" s="4" t="str">
        <f>'Gas Water'!M153</f>
        <v/>
      </c>
      <c r="H151" s="154">
        <v>1.77</v>
      </c>
      <c r="I151" s="2" t="str">
        <f>'Gas Water'!L153</f>
        <v/>
      </c>
      <c r="J151" s="154">
        <v>12.93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>
        <v>0.67</v>
      </c>
      <c r="G152" s="4" t="str">
        <f>'Gas Water'!M154</f>
        <v/>
      </c>
      <c r="H152" s="154">
        <v>1.77</v>
      </c>
      <c r="I152" s="2" t="str">
        <f>'Gas Water'!L154</f>
        <v/>
      </c>
      <c r="J152" s="154">
        <v>12.93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>
        <v>0.67</v>
      </c>
      <c r="G153" s="4" t="str">
        <f>'Gas Water'!M155</f>
        <v/>
      </c>
      <c r="H153" s="154">
        <v>1.77</v>
      </c>
      <c r="I153" s="2" t="str">
        <f>'Gas Water'!L155</f>
        <v/>
      </c>
      <c r="J153" s="154">
        <v>12.93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>
        <v>0.67</v>
      </c>
      <c r="G154" s="4" t="str">
        <f>'Gas Water'!M156</f>
        <v/>
      </c>
      <c r="H154" s="154">
        <v>1.77</v>
      </c>
      <c r="I154" s="2" t="str">
        <f>'Gas Water'!L156</f>
        <v/>
      </c>
      <c r="J154" s="154">
        <v>12.93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>
        <v>0.67</v>
      </c>
      <c r="G155" s="4" t="str">
        <f>'Gas Water'!M157</f>
        <v/>
      </c>
      <c r="H155" s="154">
        <v>1.77</v>
      </c>
      <c r="I155" s="2" t="str">
        <f>'Gas Water'!L157</f>
        <v/>
      </c>
      <c r="J155" s="154">
        <v>12.93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>
        <v>0.67</v>
      </c>
      <c r="G156" s="4" t="str">
        <f>'Gas Water'!M158</f>
        <v/>
      </c>
      <c r="H156" s="154">
        <v>1.77</v>
      </c>
      <c r="I156" s="2" t="str">
        <f>'Gas Water'!L158</f>
        <v/>
      </c>
      <c r="J156" s="154">
        <v>12.93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>
        <v>0.67</v>
      </c>
      <c r="G157" s="4" t="str">
        <f>'Gas Water'!M159</f>
        <v/>
      </c>
      <c r="H157" s="154">
        <v>1.77</v>
      </c>
      <c r="I157" s="2" t="str">
        <f>'Gas Water'!L159</f>
        <v/>
      </c>
      <c r="J157" s="154">
        <v>12.93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>
        <v>0.67</v>
      </c>
      <c r="G158" s="4" t="str">
        <f>'Gas Water'!M160</f>
        <v/>
      </c>
      <c r="H158" s="154">
        <v>1.77</v>
      </c>
      <c r="I158" s="2" t="str">
        <f>'Gas Water'!L160</f>
        <v/>
      </c>
      <c r="J158" s="154">
        <v>12.93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str">
        <f>'Gas Water'!M161</f>
        <v/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str">
        <f>'Gas Water'!M162</f>
        <v/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str">
        <f>'Gas Water'!M163</f>
        <v/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str">
        <f>'Gas Water'!M164</f>
        <v/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str">
        <f>'Gas Water'!M165</f>
        <v/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str">
        <f>'Gas Water'!M166</f>
        <v/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str">
        <f>'Gas Water'!M167</f>
        <v/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str">
        <f>'Gas Water'!M168</f>
        <v/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21" workbookViewId="0">
      <selection activeCell="E142" sqref="E14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2526</v>
      </c>
      <c r="O148" s="32">
        <f>SUM(M12:M155)</f>
        <v>373590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>
        <f>AVERAGE(L125:L155)</f>
        <v>140.33333333333334</v>
      </c>
      <c r="O151" s="32">
        <f>AVERAGE(M125:M155)</f>
        <v>1591.5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353413</v>
      </c>
      <c r="J371" s="40">
        <f t="shared" si="29"/>
        <v>19335</v>
      </c>
      <c r="K371" s="40">
        <f t="shared" si="29"/>
        <v>17895</v>
      </c>
      <c r="L371" s="40">
        <f t="shared" si="29"/>
        <v>18692</v>
      </c>
      <c r="M371" s="40">
        <f t="shared" si="29"/>
        <v>390643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15" workbookViewId="0">
      <selection activeCell="L146" sqref="L146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3.8006367329015259E-2</v>
      </c>
      <c r="Q145" s="71">
        <f>IF(L124="",0,+SUM(L124:L154)/SUM(I124:I154))</f>
        <v>3.8006367329015259E-2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2919150.7799999951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2021-05-20T05:53:12Z</dcterms:modified>
  <cp:category/>
  <cp:contentStatus/>
</cp:coreProperties>
</file>