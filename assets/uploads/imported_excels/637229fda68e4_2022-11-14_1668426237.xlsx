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6729" documentId="8_{5B502D95-7A37-4D5A-8B6B-374537CC2F26}" xr6:coauthVersionLast="47" xr6:coauthVersionMax="47" xr10:uidLastSave="{3B882E65-9384-455E-ABBD-2E468BD4F219}"/>
  <bookViews>
    <workbookView xWindow="-120" yWindow="-120" windowWidth="15600" windowHeight="11760" tabRatio="764" firstSheet="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électricité'!$A$1:$J$32</definedName>
    <definedName name="_xlnm.Print_Area" localSheetId="3">'Suivi EAU-ELEC'!$A$1:$K$35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2" l="1"/>
  <c r="N26" i="2"/>
  <c r="N27" i="2"/>
  <c r="N28" i="2"/>
  <c r="N29" i="2"/>
  <c r="N30" i="2"/>
  <c r="N31" i="2"/>
  <c r="N32" i="2"/>
  <c r="M25" i="2"/>
  <c r="M26" i="2"/>
  <c r="M27" i="2"/>
  <c r="M28" i="2"/>
  <c r="M29" i="2"/>
  <c r="M30" i="2"/>
  <c r="M31" i="2"/>
  <c r="L25" i="2"/>
  <c r="L26" i="2"/>
  <c r="L27" i="2"/>
  <c r="L28" i="2"/>
  <c r="L29" i="2"/>
  <c r="L30" i="2"/>
  <c r="L31" i="2"/>
  <c r="L32" i="2"/>
  <c r="V18" i="2"/>
  <c r="V19" i="2"/>
  <c r="V20" i="2"/>
  <c r="V24" i="2"/>
  <c r="V25" i="2"/>
  <c r="V26" i="2"/>
  <c r="V27" i="2"/>
  <c r="V28" i="2"/>
  <c r="V29" i="2"/>
  <c r="V30" i="2"/>
  <c r="V31" i="2"/>
  <c r="V32" i="2"/>
  <c r="V10" i="2"/>
  <c r="V11" i="2"/>
  <c r="V12" i="2"/>
  <c r="V13" i="2"/>
  <c r="V14" i="2"/>
  <c r="V15" i="2"/>
  <c r="V16" i="2"/>
  <c r="V17" i="2"/>
  <c r="F12" i="2"/>
  <c r="F13" i="2"/>
  <c r="F14" i="2"/>
  <c r="F15" i="2"/>
  <c r="F16" i="2"/>
  <c r="F17" i="2"/>
  <c r="F18" i="2"/>
  <c r="F19" i="2"/>
  <c r="F20" i="2"/>
  <c r="F21" i="2"/>
  <c r="F22" i="2"/>
  <c r="F23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L12" i="2"/>
  <c r="L13" i="2"/>
  <c r="L14" i="2"/>
  <c r="L15" i="2"/>
  <c r="L16" i="2"/>
  <c r="L17" i="2"/>
  <c r="L18" i="2"/>
  <c r="L19" i="2"/>
  <c r="L20" i="2"/>
  <c r="L21" i="2"/>
  <c r="L22" i="2"/>
  <c r="L23" i="2"/>
  <c r="N12" i="2"/>
  <c r="N13" i="2"/>
  <c r="N14" i="2"/>
  <c r="N15" i="2"/>
  <c r="N16" i="2"/>
  <c r="N17" i="2"/>
  <c r="N18" i="2"/>
  <c r="N19" i="2"/>
  <c r="N20" i="2"/>
  <c r="N21" i="2"/>
  <c r="N22" i="2"/>
  <c r="N23" i="2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I8" i="6"/>
  <c r="M12" i="2" s="1"/>
  <c r="I9" i="6"/>
  <c r="M13" i="2" s="1"/>
  <c r="I10" i="6"/>
  <c r="M14" i="2" s="1"/>
  <c r="I11" i="6"/>
  <c r="M15" i="2" s="1"/>
  <c r="I12" i="6"/>
  <c r="M16" i="2" s="1"/>
  <c r="I13" i="6"/>
  <c r="M17" i="2" s="1"/>
  <c r="I14" i="6"/>
  <c r="M18" i="2" s="1"/>
  <c r="I15" i="6"/>
  <c r="M19" i="2" s="1"/>
  <c r="I16" i="6"/>
  <c r="M20" i="2" s="1"/>
  <c r="I17" i="6"/>
  <c r="M21" i="2" s="1"/>
  <c r="I18" i="6"/>
  <c r="M22" i="2" s="1"/>
  <c r="I19" i="6"/>
  <c r="M23" i="2" s="1"/>
  <c r="I20" i="6"/>
  <c r="G8" i="6"/>
  <c r="G9" i="6"/>
  <c r="G10" i="6"/>
  <c r="G11" i="6"/>
  <c r="G12" i="6"/>
  <c r="G13" i="6"/>
  <c r="G14" i="6"/>
  <c r="G15" i="6"/>
  <c r="G16" i="6"/>
  <c r="G17" i="6"/>
  <c r="G18" i="6"/>
  <c r="G19" i="6"/>
  <c r="E15" i="6"/>
  <c r="E16" i="6"/>
  <c r="E17" i="6"/>
  <c r="E18" i="6"/>
  <c r="E19" i="6"/>
  <c r="E20" i="6"/>
  <c r="E21" i="6"/>
  <c r="E22" i="6"/>
  <c r="C15" i="6"/>
  <c r="C16" i="6"/>
  <c r="C17" i="6"/>
  <c r="C18" i="6"/>
  <c r="E14" i="6"/>
  <c r="C14" i="6"/>
  <c r="E13" i="6"/>
  <c r="C13" i="6"/>
  <c r="E10" i="6"/>
  <c r="C10" i="6"/>
  <c r="E9" i="6"/>
  <c r="C9" i="6"/>
  <c r="E8" i="6"/>
  <c r="C8" i="6"/>
  <c r="C7" i="6"/>
  <c r="F10" i="2"/>
  <c r="K7" i="6"/>
  <c r="N11" i="2" s="1"/>
  <c r="I7" i="6"/>
  <c r="M11" i="2" s="1"/>
  <c r="G7" i="6"/>
  <c r="L11" i="2" s="1"/>
  <c r="E7" i="6"/>
  <c r="F11" i="2" s="1"/>
  <c r="N10" i="2"/>
  <c r="M10" i="2"/>
  <c r="L10" i="2"/>
  <c r="L31" i="22"/>
  <c r="K31" i="22"/>
  <c r="I31" i="22"/>
  <c r="G31" i="22"/>
  <c r="I31" i="21"/>
  <c r="H31" i="21"/>
  <c r="G31" i="21"/>
  <c r="F31" i="21"/>
  <c r="E31" i="21"/>
  <c r="X18" i="2"/>
  <c r="X19" i="2"/>
  <c r="X20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E30" i="6"/>
  <c r="Q39" i="2"/>
  <c r="K30" i="6"/>
  <c r="I30" i="6"/>
  <c r="G30" i="6"/>
  <c r="C30" i="6"/>
  <c r="K27" i="6"/>
  <c r="K28" i="6"/>
  <c r="K29" i="6"/>
  <c r="I27" i="6"/>
  <c r="I28" i="6"/>
  <c r="I29" i="6"/>
  <c r="G27" i="6"/>
  <c r="G28" i="6"/>
  <c r="G29" i="6"/>
  <c r="E27" i="6"/>
  <c r="E28" i="6"/>
  <c r="E29" i="6"/>
  <c r="C29" i="6"/>
  <c r="C27" i="6"/>
  <c r="C28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C22" i="6"/>
  <c r="K21" i="6"/>
  <c r="I21" i="6"/>
  <c r="G21" i="6"/>
  <c r="C21" i="6"/>
  <c r="G20" i="6"/>
  <c r="C20" i="6"/>
  <c r="C19" i="6"/>
  <c r="E12" i="6"/>
  <c r="C12" i="6"/>
  <c r="C11" i="6"/>
  <c r="E11" i="6"/>
  <c r="O39" i="2"/>
  <c r="H39" i="2"/>
  <c r="I25" i="21"/>
  <c r="I26" i="21"/>
  <c r="I27" i="21"/>
  <c r="I28" i="21"/>
  <c r="I29" i="21"/>
  <c r="I30" i="21"/>
  <c r="H24" i="21"/>
  <c r="H25" i="21"/>
  <c r="H26" i="21"/>
  <c r="H27" i="21"/>
  <c r="H28" i="21"/>
  <c r="H29" i="21"/>
  <c r="H30" i="21"/>
  <c r="L30" i="22"/>
  <c r="K29" i="22"/>
  <c r="K30" i="22"/>
  <c r="G30" i="22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10" i="22"/>
  <c r="G11" i="22"/>
  <c r="G12" i="22"/>
  <c r="G16" i="22"/>
  <c r="G17" i="22"/>
  <c r="G18" i="22"/>
  <c r="G19" i="22"/>
  <c r="G20" i="22"/>
  <c r="G22" i="22"/>
  <c r="G25" i="22"/>
  <c r="G26" i="22"/>
  <c r="G27" i="22"/>
  <c r="G28" i="22"/>
  <c r="G29" i="22"/>
  <c r="D28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M4" i="4"/>
  <c r="M5" i="4"/>
  <c r="M6" i="4"/>
  <c r="M7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8" i="10"/>
  <c r="F28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6" i="10"/>
  <c r="F16" i="10"/>
  <c r="E17" i="10"/>
  <c r="D25" i="10"/>
  <c r="F25" i="10"/>
  <c r="H25" i="10"/>
  <c r="I25" i="10"/>
  <c r="I17" i="10"/>
  <c r="E18" i="10"/>
  <c r="D26" i="10"/>
  <c r="F26" i="10"/>
  <c r="H26" i="10"/>
  <c r="I26" i="10"/>
  <c r="F27" i="10"/>
  <c r="H27" i="10"/>
  <c r="I27" i="10"/>
  <c r="H29" i="10"/>
  <c r="I29" i="10"/>
  <c r="H30" i="10"/>
  <c r="I30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8" i="10"/>
  <c r="I28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6" i="10"/>
  <c r="F18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8" i="10"/>
  <c r="E19" i="10"/>
  <c r="D24" i="10"/>
  <c r="F24" i="10"/>
  <c r="F31" i="10"/>
  <c r="H24" i="10"/>
  <c r="I24" i="10"/>
  <c r="I31" i="10"/>
  <c r="F17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L13" i="4"/>
  <c r="N13" i="4"/>
  <c r="O13" i="4"/>
  <c r="P13" i="4" s="1"/>
  <c r="L10" i="4"/>
  <c r="N10" i="4"/>
  <c r="O10" i="4"/>
  <c r="L31" i="4"/>
  <c r="N31" i="4"/>
  <c r="O31" i="4"/>
  <c r="P31" i="4" s="1"/>
  <c r="L28" i="4"/>
  <c r="N28" i="4"/>
  <c r="O28" i="4"/>
  <c r="P28" i="4" s="1"/>
  <c r="L16" i="4"/>
  <c r="N16" i="4"/>
  <c r="O16" i="4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Q21" i="2"/>
  <c r="Q26" i="2"/>
  <c r="J23" i="21"/>
  <c r="Q27" i="2"/>
  <c r="O27" i="2"/>
  <c r="J25" i="21"/>
  <c r="O33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15" i="4" l="1"/>
  <c r="V21" i="2"/>
  <c r="P16" i="4"/>
  <c r="V22" i="2"/>
  <c r="X22" i="2" s="1"/>
  <c r="P17" i="4"/>
  <c r="V23" i="2"/>
  <c r="Q40" i="2"/>
  <c r="E13" i="22"/>
  <c r="P9" i="4"/>
  <c r="P7" i="4"/>
  <c r="P11" i="4"/>
  <c r="C35" i="4"/>
  <c r="G35" i="4"/>
  <c r="E35" i="4"/>
  <c r="G28" i="4"/>
  <c r="E28" i="4"/>
  <c r="C28" i="4"/>
  <c r="G8" i="4"/>
  <c r="E8" i="4"/>
  <c r="C8" i="4"/>
  <c r="G21" i="4"/>
  <c r="E21" i="4"/>
  <c r="C21" i="4"/>
  <c r="G17" i="4"/>
  <c r="E17" i="4"/>
  <c r="C17" i="4"/>
  <c r="G16" i="4"/>
  <c r="E16" i="4"/>
  <c r="C16" i="4"/>
  <c r="G33" i="4"/>
  <c r="E33" i="4"/>
  <c r="C33" i="4"/>
  <c r="P10" i="4"/>
  <c r="G4" i="4"/>
  <c r="E4" i="4"/>
  <c r="C4" i="4"/>
  <c r="C31" i="4"/>
  <c r="G31" i="4"/>
  <c r="E31" i="4"/>
  <c r="E31" i="2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0" i="2"/>
  <c r="E16" i="22"/>
  <c r="E14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J14" i="21"/>
  <c r="I4" i="4"/>
  <c r="L4" i="4"/>
  <c r="N4" i="4" s="1"/>
  <c r="X21" i="2" l="1"/>
  <c r="G13" i="22"/>
  <c r="X23" i="2"/>
  <c r="G15" i="22"/>
  <c r="P8" i="4"/>
  <c r="P6" i="4"/>
  <c r="P5" i="4"/>
  <c r="X17" i="2"/>
  <c r="G9" i="22"/>
  <c r="X13" i="2"/>
  <c r="G5" i="22"/>
  <c r="X15" i="2"/>
  <c r="G7" i="22"/>
  <c r="X16" i="2"/>
  <c r="G8" i="22"/>
  <c r="G21" i="22"/>
  <c r="G14" i="22"/>
  <c r="G24" i="22"/>
  <c r="G23" i="22"/>
  <c r="F40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P4" i="4" l="1"/>
  <c r="X10" i="2"/>
  <c r="X11" i="2"/>
  <c r="G3" i="22"/>
  <c r="M3" i="22" s="1"/>
  <c r="X12" i="2"/>
  <c r="G4" i="22"/>
  <c r="X14" i="2"/>
  <c r="G6" i="22"/>
  <c r="I47" i="2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<sst xmlns="http://schemas.openxmlformats.org/spreadsheetml/2006/main" count="482" uniqueCount="186">
  <si>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</si>
  <si>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</si>
  <si>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</si>
  <si>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</si>
  <si>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</si>
  <si>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</si>
  <si>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</si>
  <si>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</si>
  <si>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</si>
  <si>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</si>
  <si>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</si>
  <si>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</si>
  <si>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</si>
  <si>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</si>
  <si>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</si>
  <si>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</si>
  <si>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</si>
  <si>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</si>
  <si>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</si>
  <si>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</si>
  <si>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</si>
  <si>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</si>
  <si>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</si>
  <si>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</si>
  <si>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</si>
  <si>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</si>
  <si>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</si>
  <si>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</si>
  <si>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</si>
  <si>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</si>
  <si>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</si>
  <si>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</si>
  <si>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</si>
  <si>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</si>
  <si>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</si>
  <si>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</si>
  <si>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</si>
  <si>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</si>
  <si>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</si>
  <si>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</si>
  <si>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</si>
  <si>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NOV 2022</t>
  </si>
  <si>
    <t>Département Engineering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</si>
  <si>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</si>
  <si>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</si>
  <si>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</si>
  <si>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</si>
  <si>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</si>
  <si>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</si>
  <si>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</si>
  <si>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</t>
  </si>
  <si>
    <t>Consommation  H.Creuse</t>
  </si>
  <si>
    <t>Compteur H.P</t>
  </si>
  <si>
    <t>Consommation H.Pleine</t>
  </si>
  <si>
    <t>Compteur H.Pt</t>
  </si>
  <si>
    <t>Consommation  H.Pointe</t>
  </si>
  <si>
    <t xml:space="preserve">      </t>
  </si>
  <si>
    <t>suivi Gaz NOV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</si>
  <si>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</si>
  <si>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</si>
  <si>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</si>
  <si>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</si>
  <si>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</si>
  <si>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</si>
  <si>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</si>
  <si>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</si>
  <si>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</si>
  <si>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</si>
  <si>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</si>
  <si>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</si>
  <si>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</si>
  <si>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</si>
  <si>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</si>
  <si>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</si>
  <si>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</si>
  <si>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</si>
  <si>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</si>
  <si>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</si>
  <si>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</si>
  <si>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</si>
  <si>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</si>
  <si>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</si>
  <si>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</si>
  <si>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</si>
  <si>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</si>
  <si>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</si>
  <si>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</si>
  <si>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NOV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</si>
  <si>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</si>
  <si>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</si>
  <si>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</si>
  <si>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</si>
  <si>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</si>
  <si>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</si>
  <si>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</si>
  <si>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</si>
  <si>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</si>
  <si>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</si>
  <si>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</si>
  <si>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</si>
  <si>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</si>
  <si>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</si>
  <si>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</si>
  <si>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</si>
  <si>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</si>
  <si>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</si>
  <si>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</si>
  <si>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</si>
  <si>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</si>
  <si>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</si>
  <si>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</si>
  <si>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</si>
  <si>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</si>
  <si>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</si>
  <si>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</si>
  <si>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</si>
  <si>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</si>
  <si>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</si>
  <si>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</si>
  <si>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</si>
  <si>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</si>
  <si>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</si>
  <si>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</si>
  <si>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</si>
  <si>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</si>
  <si>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</si>
  <si>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</si>
  <si>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</si>
  <si>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</si>
  <si>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</si>
  <si>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</si>
  <si>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</si>
  <si>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NOV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</si>
  <si>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</si>
  <si>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</si>
  <si>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</si>
  <si>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</si>
  <si>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</si>
  <si>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</si>
  <si>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</si>
  <si>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</si>
  <si>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</si>
  <si>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</si>
  <si>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</si>
  <si>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</si>
  <si>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</si>
  <si>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</si>
  <si>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</si>
  <si>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</si>
  <si>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</si>
  <si>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</si>
  <si>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</si>
  <si>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</si>
  <si>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</si>
  <si>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NOV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</si>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</sst>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€_-;\-* #,##0\ _€_-;_-* &quot;-&quot;\ _€_-;_-@_-"/>
    <numFmt numFmtId="165" formatCode="[$-40C]d\-mmm;@"/>
    <numFmt numFmtId="166" formatCode="[$-409]d\-mmm\-yy;@"/>
    <numFmt numFmtId="167" formatCode="[$-40C]d\-mmm\-yy;@"/>
    <numFmt numFmtId="168" formatCode="[$-40C]d\-mmm\-yyyy;@"/>
  </numFmts>
  <fonts count="5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name val="Arial"/>
      <family val="2"/>
    </font>
    <font>
      <b/>
      <sz val="15"/>
      <name val="Arial"/>
      <family val="2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sz val="12"/>
      <name val="Arial"/>
    </font>
    <font>
      <sz val="12"/>
      <name val="Arial"/>
      <family val="2"/>
    </font>
    <font>
      <b/>
      <sz val="14"/>
      <color indexed="8"/>
      <name val="Calibri"/>
    </font>
    <font>
      <b/>
      <sz val="12"/>
      <color indexed="8"/>
      <name val="Calibri"/>
    </font>
    <font>
      <b/>
      <sz val="12"/>
      <name val="Calibri"/>
    </font>
    <font>
      <sz val="12"/>
      <color indexed="8"/>
      <name val="Calibri"/>
    </font>
    <font>
      <b/>
      <sz val="16"/>
      <color indexed="8"/>
      <name val="Calibri"/>
    </font>
    <font>
      <sz val="14"/>
      <color indexed="8"/>
      <name val="Calibri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E1F2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16" fillId="0" borderId="0"/>
  </cellStyleXfs>
  <cellXfs count="38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25" fillId="0" borderId="21" xfId="0" applyFont="1" applyBorder="1" applyAlignment="1">
      <alignment horizontal="right" vertical="center"/>
    </xf>
    <xf numFmtId="0" fontId="27" fillId="12" borderId="4" xfId="0" applyFont="1" applyFill="1" applyBorder="1" applyAlignment="1">
      <alignment horizontal="center" vertical="center"/>
    </xf>
    <xf numFmtId="0" fontId="28" fillId="0" borderId="14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7" fillId="12" borderId="6" xfId="0" applyFont="1" applyFill="1" applyBorder="1" applyAlignment="1">
      <alignment horizontal="center" vertical="center"/>
    </xf>
    <xf numFmtId="0" fontId="28" fillId="0" borderId="19" xfId="0" applyFont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0" fontId="22" fillId="0" borderId="7" xfId="0" applyFont="1" applyBorder="1" applyAlignment="1">
      <alignment vertical="center" wrapText="1"/>
    </xf>
    <xf numFmtId="0" fontId="22" fillId="0" borderId="7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0" fillId="10" borderId="7" xfId="0" applyFill="1" applyBorder="1" applyAlignment="1">
      <alignment horizontal="right" vertical="center"/>
    </xf>
    <xf numFmtId="165" fontId="21" fillId="11" borderId="7" xfId="0" applyNumberFormat="1" applyFont="1" applyFill="1" applyBorder="1"/>
    <xf numFmtId="0" fontId="21" fillId="14" borderId="7" xfId="0" applyFont="1" applyFill="1" applyBorder="1"/>
    <xf numFmtId="0" fontId="21" fillId="0" borderId="7" xfId="0" applyFont="1" applyBorder="1"/>
    <xf numFmtId="0" fontId="21" fillId="0" borderId="0" xfId="0" applyFont="1"/>
    <xf numFmtId="0" fontId="21" fillId="0" borderId="18" xfId="0" applyFont="1" applyBorder="1"/>
    <xf numFmtId="0" fontId="22" fillId="0" borderId="7" xfId="0" applyFont="1" applyBorder="1"/>
    <xf numFmtId="0" fontId="23" fillId="0" borderId="7" xfId="0" applyFont="1" applyBorder="1"/>
    <xf numFmtId="0" fontId="14" fillId="0" borderId="7" xfId="0" applyFont="1" applyBorder="1" applyAlignment="1">
      <alignment horizontal="center" vertical="center"/>
    </xf>
    <xf numFmtId="14" fontId="18" fillId="15" borderId="15" xfId="0" applyNumberFormat="1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16" borderId="7" xfId="0" applyFont="1" applyFill="1" applyBorder="1" applyAlignment="1">
      <alignment horizontal="center" vertical="center"/>
    </xf>
    <xf numFmtId="0" fontId="18" fillId="17" borderId="7" xfId="0" applyFont="1" applyFill="1" applyBorder="1" applyAlignment="1">
      <alignment horizontal="center" vertical="center"/>
    </xf>
    <xf numFmtId="2" fontId="14" fillId="0" borderId="7" xfId="0" applyNumberFormat="1" applyFont="1" applyBorder="1" applyAlignment="1">
      <alignment horizontal="center" vertical="center"/>
    </xf>
    <xf numFmtId="2" fontId="21" fillId="0" borderId="14" xfId="0" applyNumberFormat="1" applyFont="1" applyBorder="1" applyAlignment="1">
      <alignment horizontal="center"/>
    </xf>
    <xf numFmtId="0" fontId="18" fillId="18" borderId="7" xfId="0" applyFont="1" applyFill="1" applyBorder="1" applyAlignment="1">
      <alignment horizontal="center" vertical="center"/>
    </xf>
    <xf numFmtId="0" fontId="18" fillId="13" borderId="7" xfId="0" applyFont="1" applyFill="1" applyBorder="1" applyAlignment="1">
      <alignment horizontal="center" vertical="center"/>
    </xf>
    <xf numFmtId="0" fontId="21" fillId="0" borderId="26" xfId="0" applyFont="1" applyBorder="1" applyAlignment="1">
      <alignment wrapText="1"/>
    </xf>
    <xf numFmtId="0" fontId="21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1" fillId="0" borderId="26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0" fillId="0" borderId="26" xfId="0" applyFont="1" applyBorder="1" applyAlignment="1">
      <alignment horizontal="center"/>
    </xf>
    <xf numFmtId="1" fontId="30" fillId="0" borderId="26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1" fontId="31" fillId="0" borderId="0" xfId="0" applyNumberFormat="1" applyFont="1" applyAlignment="1">
      <alignment horizontal="center"/>
    </xf>
    <xf numFmtId="0" fontId="21" fillId="0" borderId="26" xfId="0" applyFont="1" applyBorder="1" applyAlignment="1">
      <alignment horizontal="center" wrapText="1"/>
    </xf>
    <xf numFmtId="0" fontId="18" fillId="19" borderId="7" xfId="0" applyFont="1" applyFill="1" applyBorder="1" applyAlignment="1">
      <alignment horizontal="center" vertical="center"/>
    </xf>
    <xf numFmtId="0" fontId="18" fillId="20" borderId="7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/>
    </xf>
    <xf numFmtId="0" fontId="18" fillId="23" borderId="7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44" fillId="25" borderId="39" xfId="0" applyFont="1" applyFill="1" applyBorder="1" applyAlignment="1">
      <alignment horizontal="center" vertical="center" wrapText="1"/>
    </xf>
    <xf numFmtId="0" fontId="44" fillId="26" borderId="39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44" fillId="25" borderId="39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14" fontId="17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5" borderId="39" xfId="0" applyFont="1" applyFill="1" applyBorder="1" applyAlignment="1">
      <alignment horizontal="center" vertical="center" wrapText="1"/>
    </xf>
    <xf numFmtId="166" fontId="44" fillId="24" borderId="39" xfId="0" applyNumberFormat="1" applyFont="1" applyFill="1" applyBorder="1" applyAlignment="1">
      <alignment horizontal="center" vertical="center"/>
    </xf>
    <xf numFmtId="14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4" fontId="48" fillId="0" borderId="0" xfId="0" applyNumberFormat="1" applyFont="1" applyAlignment="1">
      <alignment horizontal="center" vertical="center" wrapText="1"/>
    </xf>
    <xf numFmtId="0" fontId="46" fillId="0" borderId="39" xfId="0" applyFont="1" applyBorder="1" applyAlignment="1">
      <alignment horizontal="center" vertical="center" wrapText="1"/>
    </xf>
    <xf numFmtId="0" fontId="46" fillId="0" borderId="39" xfId="0" applyFont="1" applyBorder="1" applyAlignment="1">
      <alignment horizontal="center" vertical="center"/>
    </xf>
    <xf numFmtId="0" fontId="47" fillId="0" borderId="39" xfId="0" applyFont="1" applyBorder="1" applyAlignment="1">
      <alignment horizontal="center" vertical="center"/>
    </xf>
    <xf numFmtId="165" fontId="46" fillId="0" borderId="31" xfId="0" applyNumberFormat="1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6" fillId="0" borderId="39" xfId="0" applyFont="1" applyBorder="1" applyAlignment="1">
      <alignment vertical="center"/>
    </xf>
    <xf numFmtId="0" fontId="48" fillId="0" borderId="0" xfId="0" applyFont="1" applyAlignment="1">
      <alignment vertical="center"/>
    </xf>
    <xf numFmtId="0" fontId="48" fillId="0" borderId="0" xfId="0" applyFont="1" applyAlignment="1">
      <alignment vertical="center" wrapText="1"/>
    </xf>
    <xf numFmtId="0" fontId="48" fillId="0" borderId="39" xfId="0" applyFont="1" applyBorder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167" fontId="46" fillId="0" borderId="31" xfId="0" applyNumberFormat="1" applyFont="1" applyBorder="1" applyAlignment="1">
      <alignment horizontal="center" vertical="center"/>
    </xf>
    <xf numFmtId="0" fontId="46" fillId="25" borderId="39" xfId="0" applyFont="1" applyFill="1" applyBorder="1" applyAlignment="1">
      <alignment horizontal="center" vertical="center" wrapText="1"/>
    </xf>
    <xf numFmtId="0" fontId="46" fillId="25" borderId="39" xfId="0" applyFont="1" applyFill="1" applyBorder="1" applyAlignment="1">
      <alignment horizontal="center" vertical="center"/>
    </xf>
    <xf numFmtId="0" fontId="46" fillId="28" borderId="39" xfId="0" applyFont="1" applyFill="1" applyBorder="1" applyAlignment="1">
      <alignment horizontal="center" vertical="center" wrapText="1"/>
    </xf>
    <xf numFmtId="0" fontId="46" fillId="28" borderId="39" xfId="0" applyFont="1" applyFill="1" applyBorder="1" applyAlignment="1">
      <alignment horizontal="center" vertical="center"/>
    </xf>
    <xf numFmtId="0" fontId="46" fillId="28" borderId="22" xfId="0" applyFont="1" applyFill="1" applyBorder="1" applyAlignment="1">
      <alignment horizontal="center" vertical="center"/>
    </xf>
    <xf numFmtId="0" fontId="46" fillId="0" borderId="18" xfId="0" applyFont="1" applyBorder="1" applyAlignment="1">
      <alignment horizontal="center" vertical="center"/>
    </xf>
    <xf numFmtId="0" fontId="46" fillId="0" borderId="33" xfId="0" applyFont="1" applyBorder="1" applyAlignment="1">
      <alignment horizontal="center" vertical="center"/>
    </xf>
    <xf numFmtId="0" fontId="46" fillId="0" borderId="40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45" fillId="29" borderId="8" xfId="0" applyFont="1" applyFill="1" applyBorder="1" applyAlignment="1">
      <alignment horizontal="center" vertical="center"/>
    </xf>
    <xf numFmtId="0" fontId="45" fillId="29" borderId="9" xfId="0" applyFont="1" applyFill="1" applyBorder="1" applyAlignment="1">
      <alignment horizontal="center" vertical="center"/>
    </xf>
    <xf numFmtId="166" fontId="44" fillId="24" borderId="41" xfId="0" applyNumberFormat="1" applyFont="1" applyFill="1" applyBorder="1" applyAlignment="1">
      <alignment horizontal="center" vertical="center"/>
    </xf>
    <xf numFmtId="0" fontId="44" fillId="25" borderId="41" xfId="0" applyFont="1" applyFill="1" applyBorder="1" applyAlignment="1">
      <alignment horizontal="center" vertical="center" wrapText="1"/>
    </xf>
    <xf numFmtId="1" fontId="44" fillId="25" borderId="41" xfId="0" applyNumberFormat="1" applyFont="1" applyFill="1" applyBorder="1" applyAlignment="1">
      <alignment horizontal="center" vertical="center"/>
    </xf>
    <xf numFmtId="0" fontId="44" fillId="26" borderId="41" xfId="0" applyFont="1" applyFill="1" applyBorder="1" applyAlignment="1">
      <alignment horizontal="center" vertical="center" wrapText="1"/>
    </xf>
    <xf numFmtId="0" fontId="44" fillId="24" borderId="39" xfId="0" applyFont="1" applyFill="1" applyBorder="1" applyAlignment="1">
      <alignment horizontal="center" vertical="center" wrapText="1"/>
    </xf>
    <xf numFmtId="0" fontId="44" fillId="24" borderId="41" xfId="0" applyFont="1" applyFill="1" applyBorder="1" applyAlignment="1">
      <alignment horizontal="center" vertical="center" wrapText="1"/>
    </xf>
    <xf numFmtId="0" fontId="9" fillId="26" borderId="39" xfId="0" applyFont="1" applyFill="1" applyBorder="1" applyAlignment="1">
      <alignment horizontal="center" vertical="center" wrapText="1"/>
    </xf>
    <xf numFmtId="0" fontId="9" fillId="24" borderId="39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9" xfId="0" applyBorder="1" applyAlignment="1">
      <alignment vertical="center"/>
    </xf>
    <xf numFmtId="0" fontId="8" fillId="0" borderId="0" xfId="0" applyFont="1" applyAlignment="1">
      <alignment vertical="center"/>
    </xf>
    <xf numFmtId="0" fontId="23" fillId="0" borderId="15" xfId="0" applyFont="1" applyBorder="1" applyAlignment="1">
      <alignment horizontal="center" vertical="center"/>
    </xf>
    <xf numFmtId="0" fontId="21" fillId="12" borderId="16" xfId="0" applyFont="1" applyFill="1" applyBorder="1" applyAlignment="1">
      <alignment horizontal="right" vertical="center"/>
    </xf>
    <xf numFmtId="0" fontId="0" fillId="0" borderId="15" xfId="0" applyBorder="1" applyAlignment="1">
      <alignment vertical="center"/>
    </xf>
    <xf numFmtId="0" fontId="25" fillId="0" borderId="16" xfId="0" applyFont="1" applyBorder="1" applyAlignment="1">
      <alignment vertical="center"/>
    </xf>
    <xf numFmtId="0" fontId="26" fillId="12" borderId="16" xfId="0" applyFont="1" applyFill="1" applyBorder="1" applyAlignment="1">
      <alignment horizontal="right" vertical="center"/>
    </xf>
    <xf numFmtId="0" fontId="25" fillId="0" borderId="0" xfId="0" applyFont="1" applyAlignment="1">
      <alignment vertical="center"/>
    </xf>
    <xf numFmtId="0" fontId="0" fillId="0" borderId="16" xfId="0" applyBorder="1" applyAlignment="1">
      <alignment horizontal="right" vertical="center"/>
    </xf>
    <xf numFmtId="0" fontId="0" fillId="0" borderId="17" xfId="0" applyBorder="1" applyAlignment="1">
      <alignment vertical="center"/>
    </xf>
    <xf numFmtId="0" fontId="0" fillId="0" borderId="22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22" fillId="0" borderId="7" xfId="0" applyFont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165" fontId="21" fillId="11" borderId="7" xfId="0" applyNumberFormat="1" applyFont="1" applyFill="1" applyBorder="1" applyAlignment="1">
      <alignment horizontal="center" vertical="center"/>
    </xf>
    <xf numFmtId="0" fontId="21" fillId="14" borderId="7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" fontId="30" fillId="0" borderId="26" xfId="0" applyNumberFormat="1" applyFont="1" applyBorder="1" applyAlignment="1">
      <alignment horizontal="center" vertical="center"/>
    </xf>
    <xf numFmtId="1" fontId="21" fillId="0" borderId="26" xfId="0" applyNumberFormat="1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0" fontId="6" fillId="27" borderId="39" xfId="0" applyFont="1" applyFill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 readingOrder="1"/>
    </xf>
    <xf numFmtId="0" fontId="9" fillId="24" borderId="39" xfId="0" applyFont="1" applyFill="1" applyBorder="1" applyAlignment="1">
      <alignment horizontal="center" vertical="center" wrapText="1"/>
    </xf>
    <xf numFmtId="0" fontId="9" fillId="25" borderId="39" xfId="0" applyFont="1" applyFill="1" applyBorder="1" applyAlignment="1">
      <alignment horizontal="center" vertical="center"/>
    </xf>
    <xf numFmtId="0" fontId="9" fillId="26" borderId="39" xfId="0" applyFont="1" applyFill="1" applyBorder="1" applyAlignment="1">
      <alignment horizontal="center" vertical="center"/>
    </xf>
    <xf numFmtId="0" fontId="9" fillId="25" borderId="39" xfId="0" applyFont="1" applyFill="1" applyBorder="1" applyAlignment="1">
      <alignment horizontal="center" vertical="center" wrapText="1"/>
    </xf>
    <xf numFmtId="0" fontId="49" fillId="27" borderId="39" xfId="0" applyFont="1" applyFill="1" applyBorder="1" applyAlignment="1">
      <alignment horizontal="center" vertical="center"/>
    </xf>
    <xf numFmtId="0" fontId="45" fillId="29" borderId="24" xfId="0" applyFont="1" applyFill="1" applyBorder="1" applyAlignment="1">
      <alignment horizontal="center" vertical="center"/>
    </xf>
    <xf numFmtId="0" fontId="45" fillId="29" borderId="28" xfId="0" applyFont="1" applyFill="1" applyBorder="1" applyAlignment="1">
      <alignment horizontal="center" vertical="center"/>
    </xf>
    <xf numFmtId="0" fontId="45" fillId="29" borderId="1" xfId="0" applyFont="1" applyFill="1" applyBorder="1" applyAlignment="1">
      <alignment horizontal="center" vertical="center"/>
    </xf>
    <xf numFmtId="0" fontId="46" fillId="0" borderId="39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6" fillId="20" borderId="39" xfId="0" applyFont="1" applyFill="1" applyBorder="1" applyAlignment="1">
      <alignment horizontal="center" vertical="center"/>
    </xf>
    <xf numFmtId="0" fontId="35" fillId="0" borderId="27" xfId="0" applyFont="1" applyBorder="1" applyAlignment="1">
      <alignment horizontal="center" vertical="center" wrapText="1"/>
    </xf>
    <xf numFmtId="0" fontId="35" fillId="0" borderId="29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26" xfId="0" applyFont="1" applyBorder="1" applyAlignment="1">
      <alignment horizontal="center" vertical="center" wrapText="1"/>
    </xf>
    <xf numFmtId="0" fontId="36" fillId="0" borderId="27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6" xfId="0" applyFont="1" applyBorder="1" applyAlignment="1">
      <alignment horizontal="left" vertical="center"/>
    </xf>
    <xf numFmtId="0" fontId="23" fillId="0" borderId="37" xfId="0" applyFont="1" applyBorder="1" applyAlignment="1">
      <alignment horizontal="left" vertical="center"/>
    </xf>
    <xf numFmtId="0" fontId="23" fillId="0" borderId="38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7" xfId="0" applyFont="1" applyBorder="1" applyAlignment="1">
      <alignment horizontal="center" vertical="center"/>
    </xf>
    <xf numFmtId="0" fontId="23" fillId="12" borderId="13" xfId="0" applyFont="1" applyFill="1" applyBorder="1" applyAlignment="1">
      <alignment horizontal="center" vertical="center"/>
    </xf>
    <xf numFmtId="0" fontId="23" fillId="12" borderId="7" xfId="0" applyFont="1" applyFill="1" applyBorder="1" applyAlignment="1">
      <alignment horizontal="center" vertical="center"/>
    </xf>
    <xf numFmtId="0" fontId="28" fillId="0" borderId="20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22" xfId="0" applyFont="1" applyBorder="1" applyAlignment="1">
      <alignment horizontal="left" vertical="center"/>
    </xf>
    <xf numFmtId="0" fontId="28" fillId="0" borderId="19" xfId="0" applyFont="1" applyBorder="1" applyAlignment="1">
      <alignment horizontal="left" vertical="center"/>
    </xf>
    <xf numFmtId="0" fontId="30" fillId="0" borderId="7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5" fillId="0" borderId="21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34" xfId="0" applyFont="1" applyBorder="1" applyAlignment="1">
      <alignment horizontal="left" vertical="center"/>
    </xf>
    <xf numFmtId="0" fontId="25" fillId="0" borderId="31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21" fillId="22" borderId="20" xfId="0" applyFont="1" applyFill="1" applyBorder="1" applyAlignment="1">
      <alignment horizontal="center" vertical="center"/>
    </xf>
    <xf numFmtId="0" fontId="21" fillId="22" borderId="14" xfId="0" applyFont="1" applyFill="1" applyBorder="1" applyAlignment="1">
      <alignment horizontal="center" vertical="center"/>
    </xf>
    <xf numFmtId="0" fontId="21" fillId="22" borderId="23" xfId="0" applyFont="1" applyFill="1" applyBorder="1" applyAlignment="1">
      <alignment horizontal="center" vertical="center"/>
    </xf>
    <xf numFmtId="0" fontId="21" fillId="22" borderId="22" xfId="0" applyFont="1" applyFill="1" applyBorder="1" applyAlignment="1">
      <alignment horizontal="center" vertical="center"/>
    </xf>
    <xf numFmtId="0" fontId="21" fillId="22" borderId="19" xfId="0" applyFont="1" applyFill="1" applyBorder="1" applyAlignment="1">
      <alignment horizontal="center" vertical="center"/>
    </xf>
    <xf numFmtId="0" fontId="21" fillId="22" borderId="18" xfId="0" applyFont="1" applyFill="1" applyBorder="1" applyAlignment="1">
      <alignment horizontal="center" vertical="center"/>
    </xf>
    <xf numFmtId="0" fontId="40" fillId="22" borderId="7" xfId="0" applyFont="1" applyFill="1" applyBorder="1" applyAlignment="1">
      <alignment horizontal="center" vertical="center"/>
    </xf>
    <xf numFmtId="0" fontId="41" fillId="12" borderId="31" xfId="0" applyFont="1" applyFill="1" applyBorder="1" applyAlignment="1">
      <alignment horizontal="center" vertical="center"/>
    </xf>
    <xf numFmtId="0" fontId="41" fillId="12" borderId="32" xfId="0" applyFont="1" applyFill="1" applyBorder="1" applyAlignment="1">
      <alignment horizontal="center" vertical="center"/>
    </xf>
    <xf numFmtId="0" fontId="41" fillId="12" borderId="33" xfId="0" applyFont="1" applyFill="1" applyBorder="1" applyAlignment="1">
      <alignment horizontal="center" vertical="center"/>
    </xf>
    <xf numFmtId="0" fontId="42" fillId="12" borderId="7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35" fillId="0" borderId="32" xfId="0" applyFont="1" applyBorder="1" applyAlignment="1">
      <alignment horizontal="center" vertical="center"/>
    </xf>
    <xf numFmtId="2" fontId="21" fillId="0" borderId="7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21" fillId="0" borderId="31" xfId="0" applyFont="1" applyBorder="1" applyAlignment="1">
      <alignment horizontal="right" vertical="center"/>
    </xf>
    <xf numFmtId="0" fontId="21" fillId="0" borderId="33" xfId="0" applyFont="1" applyBorder="1" applyAlignment="1">
      <alignment horizontal="right" vertical="center"/>
    </xf>
    <xf numFmtId="0" fontId="21" fillId="0" borderId="7" xfId="0" applyFont="1" applyBorder="1" applyAlignment="1">
      <alignment horizontal="right" vertical="center"/>
    </xf>
    <xf numFmtId="0" fontId="21" fillId="0" borderId="32" xfId="0" applyFont="1" applyBorder="1" applyAlignment="1">
      <alignment horizontal="right" vertical="center"/>
    </xf>
    <xf numFmtId="0" fontId="21" fillId="0" borderId="7" xfId="0" applyFont="1" applyBorder="1" applyAlignment="1">
      <alignment horizontal="center"/>
    </xf>
    <xf numFmtId="0" fontId="35" fillId="0" borderId="32" xfId="0" applyFont="1" applyBorder="1" applyAlignment="1">
      <alignment horizontal="left"/>
    </xf>
    <xf numFmtId="2" fontId="21" fillId="0" borderId="7" xfId="0" applyNumberFormat="1" applyFont="1" applyBorder="1" applyAlignment="1">
      <alignment horizontal="center"/>
    </xf>
    <xf numFmtId="0" fontId="35" fillId="0" borderId="14" xfId="0" applyFont="1" applyBorder="1" applyAlignment="1">
      <alignment horizontal="left"/>
    </xf>
    <xf numFmtId="0" fontId="35" fillId="0" borderId="19" xfId="0" applyFont="1" applyBorder="1" applyAlignment="1">
      <alignment horizontal="left"/>
    </xf>
    <xf numFmtId="0" fontId="23" fillId="0" borderId="31" xfId="0" applyFont="1" applyBorder="1" applyAlignment="1">
      <alignment horizontal="left"/>
    </xf>
    <xf numFmtId="0" fontId="23" fillId="0" borderId="32" xfId="0" applyFont="1" applyBorder="1" applyAlignment="1">
      <alignment horizontal="left"/>
    </xf>
    <xf numFmtId="0" fontId="23" fillId="0" borderId="33" xfId="0" applyFont="1" applyBorder="1" applyAlignment="1">
      <alignment horizontal="left"/>
    </xf>
    <xf numFmtId="0" fontId="39" fillId="0" borderId="7" xfId="0" applyFont="1" applyBorder="1" applyAlignment="1">
      <alignment horizontal="center"/>
    </xf>
    <xf numFmtId="0" fontId="21" fillId="22" borderId="20" xfId="0" applyFont="1" applyFill="1" applyBorder="1" applyAlignment="1">
      <alignment horizontal="left"/>
    </xf>
    <xf numFmtId="0" fontId="21" fillId="22" borderId="14" xfId="0" applyFont="1" applyFill="1" applyBorder="1" applyAlignment="1">
      <alignment horizontal="left"/>
    </xf>
    <xf numFmtId="0" fontId="21" fillId="22" borderId="23" xfId="0" applyFont="1" applyFill="1" applyBorder="1" applyAlignment="1">
      <alignment horizontal="left"/>
    </xf>
    <xf numFmtId="0" fontId="21" fillId="22" borderId="22" xfId="0" applyFont="1" applyFill="1" applyBorder="1" applyAlignment="1">
      <alignment horizontal="left"/>
    </xf>
    <xf numFmtId="0" fontId="21" fillId="22" borderId="19" xfId="0" applyFont="1" applyFill="1" applyBorder="1" applyAlignment="1">
      <alignment horizontal="left"/>
    </xf>
    <xf numFmtId="0" fontId="21" fillId="22" borderId="18" xfId="0" applyFont="1" applyFill="1" applyBorder="1" applyAlignment="1">
      <alignment horizontal="left"/>
    </xf>
    <xf numFmtId="0" fontId="40" fillId="22" borderId="7" xfId="0" applyFont="1" applyFill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33" xfId="0" applyFont="1" applyBorder="1" applyAlignment="1">
      <alignment horizontal="center"/>
    </xf>
    <xf numFmtId="0" fontId="41" fillId="12" borderId="31" xfId="0" applyFont="1" applyFill="1" applyBorder="1" applyAlignment="1">
      <alignment horizontal="left"/>
    </xf>
    <xf numFmtId="0" fontId="41" fillId="12" borderId="32" xfId="0" applyFont="1" applyFill="1" applyBorder="1" applyAlignment="1">
      <alignment horizontal="left"/>
    </xf>
    <xf numFmtId="0" fontId="41" fillId="12" borderId="33" xfId="0" applyFont="1" applyFill="1" applyBorder="1" applyAlignment="1">
      <alignment horizontal="left"/>
    </xf>
    <xf numFmtId="0" fontId="42" fillId="12" borderId="7" xfId="0" applyFont="1" applyFill="1" applyBorder="1" applyAlignment="1">
      <alignment horizontal="center"/>
    </xf>
    <xf numFmtId="2" fontId="42" fillId="12" borderId="7" xfId="0" applyNumberFormat="1" applyFont="1" applyFill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19" fillId="13" borderId="24" xfId="0" applyFont="1" applyFill="1" applyBorder="1" applyAlignment="1">
      <alignment horizontal="center"/>
    </xf>
    <xf numFmtId="0" fontId="0" fillId="13" borderId="28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9" fillId="13" borderId="25" xfId="0" applyFont="1" applyFill="1" applyBorder="1" applyAlignment="1">
      <alignment horizontal="center"/>
    </xf>
    <xf numFmtId="0" fontId="0" fillId="13" borderId="26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33" xfId="0" applyFill="1" applyBorder="1" applyAlignment="1">
      <alignment horizontal="center"/>
    </xf>
    <xf numFmtId="0" fontId="19" fillId="13" borderId="28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19" fillId="13" borderId="26" xfId="0" applyFont="1" applyFill="1" applyBorder="1" applyAlignment="1">
      <alignment horizontal="center"/>
    </xf>
    <xf numFmtId="0" fontId="19" fillId="13" borderId="5" xfId="0" applyFont="1" applyFill="1" applyBorder="1" applyAlignment="1">
      <alignment horizontal="center"/>
    </xf>
    <xf numFmtId="0" fontId="23" fillId="0" borderId="39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22" fillId="0" borderId="39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14" fontId="8" fillId="0" borderId="39" xfId="0" applyNumberFormat="1" applyFont="1" applyBorder="1" applyAlignment="1">
      <alignment horizontal="center" vertical="center" readingOrder="2"/>
    </xf>
    <xf numFmtId="14" fontId="0" fillId="0" borderId="39" xfId="0" applyNumberFormat="1" applyBorder="1" applyAlignment="1">
      <alignment horizontal="center" vertical="center" readingOrder="2"/>
    </xf>
    <xf numFmtId="14" fontId="8" fillId="0" borderId="39" xfId="0" applyNumberFormat="1" applyFont="1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23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left" vertical="center"/>
    </xf>
    <xf numFmtId="0" fontId="38" fillId="11" borderId="39" xfId="0" applyFont="1" applyFill="1" applyBorder="1" applyAlignment="1">
      <alignment horizontal="left" vertical="center"/>
    </xf>
    <xf numFmtId="0" fontId="24" fillId="11" borderId="39" xfId="0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3" fillId="0" borderId="39" xfId="0" applyFont="1" applyBorder="1" applyAlignment="1">
      <alignment horizontal="left" vertical="center"/>
    </xf>
    <xf numFmtId="0" fontId="23" fillId="12" borderId="39" xfId="0" applyFont="1" applyFill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0" fillId="0" borderId="39" xfId="0" applyBorder="1" applyAlignment="1">
      <alignment horizontal="right" vertical="center"/>
    </xf>
    <xf numFmtId="0" fontId="21" fillId="12" borderId="39" xfId="0" applyFont="1" applyFill="1" applyBorder="1" applyAlignment="1">
      <alignment horizontal="right" vertical="center"/>
    </xf>
    <xf numFmtId="0" fontId="25" fillId="0" borderId="39" xfId="0" applyFont="1" applyBorder="1" applyAlignment="1">
      <alignment horizontal="left" vertical="center"/>
    </xf>
    <xf numFmtId="0" fontId="25" fillId="0" borderId="39" xfId="0" applyFont="1" applyBorder="1" applyAlignment="1">
      <alignment vertical="center"/>
    </xf>
    <xf numFmtId="0" fontId="25" fillId="0" borderId="39" xfId="0" applyFont="1" applyBorder="1" applyAlignment="1">
      <alignment horizontal="right" vertical="center"/>
    </xf>
    <xf numFmtId="0" fontId="26" fillId="12" borderId="39" xfId="0" applyFont="1" applyFill="1" applyBorder="1" applyAlignment="1">
      <alignment horizontal="right" vertical="center"/>
    </xf>
    <xf numFmtId="0" fontId="25" fillId="0" borderId="39" xfId="0" applyFont="1" applyBorder="1" applyAlignment="1">
      <alignment horizontal="center" vertical="center"/>
    </xf>
    <xf numFmtId="0" fontId="28" fillId="0" borderId="39" xfId="0" applyFont="1" applyBorder="1" applyAlignment="1">
      <alignment horizontal="left" vertical="center"/>
    </xf>
    <xf numFmtId="0" fontId="27" fillId="12" borderId="39" xfId="0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0" fontId="30" fillId="0" borderId="39" xfId="0" applyFont="1" applyBorder="1" applyAlignment="1">
      <alignment horizontal="center" vertical="center"/>
    </xf>
    <xf numFmtId="168" fontId="8" fillId="0" borderId="39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34" fillId="10" borderId="39" xfId="0" applyFont="1" applyFill="1" applyBorder="1" applyAlignment="1">
      <alignment horizontal="center" vertical="center" wrapText="1"/>
    </xf>
    <xf numFmtId="0" fontId="9" fillId="5" borderId="39" xfId="0" applyFont="1" applyFill="1" applyBorder="1" applyAlignment="1">
      <alignment horizontal="center" vertical="center" wrapText="1"/>
    </xf>
    <xf numFmtId="0" fontId="1" fillId="8" borderId="39" xfId="0" applyFont="1" applyFill="1" applyBorder="1" applyAlignment="1">
      <alignment horizontal="center" vertical="center" wrapText="1"/>
    </xf>
    <xf numFmtId="0" fontId="1" fillId="7" borderId="39" xfId="0" applyFont="1" applyFill="1" applyBorder="1" applyAlignment="1">
      <alignment horizontal="center" vertical="center"/>
    </xf>
    <xf numFmtId="0" fontId="3" fillId="8" borderId="39" xfId="0" applyFont="1" applyFill="1" applyBorder="1" applyAlignment="1">
      <alignment horizontal="center" vertical="center" wrapText="1"/>
    </xf>
    <xf numFmtId="0" fontId="3" fillId="7" borderId="39" xfId="0" applyFont="1" applyFill="1" applyBorder="1" applyAlignment="1">
      <alignment horizontal="center" vertical="center"/>
    </xf>
    <xf numFmtId="14" fontId="4" fillId="2" borderId="39" xfId="0" applyNumberFormat="1" applyFont="1" applyFill="1" applyBorder="1" applyAlignment="1">
      <alignment horizontal="center" vertical="center"/>
    </xf>
    <xf numFmtId="0" fontId="32" fillId="10" borderId="39" xfId="0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1" fontId="7" fillId="6" borderId="39" xfId="0" applyNumberFormat="1" applyFont="1" applyFill="1" applyBorder="1" applyAlignment="1">
      <alignment horizontal="center" vertical="center"/>
    </xf>
    <xf numFmtId="2" fontId="33" fillId="7" borderId="39" xfId="0" applyNumberFormat="1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6" fillId="2" borderId="39" xfId="0" applyFont="1" applyFill="1" applyBorder="1" applyAlignment="1" applyProtection="1">
      <alignment horizontal="center" vertical="center"/>
      <protection locked="0"/>
    </xf>
    <xf numFmtId="14" fontId="5" fillId="2" borderId="39" xfId="0" applyNumberFormat="1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2" fontId="2" fillId="4" borderId="39" xfId="0" applyNumberFormat="1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2" fontId="2" fillId="4" borderId="39" xfId="0" applyNumberFormat="1" applyFont="1" applyFill="1" applyBorder="1" applyAlignment="1">
      <alignment horizontal="center" vertical="center"/>
    </xf>
    <xf numFmtId="164" fontId="2" fillId="4" borderId="39" xfId="0" applyNumberFormat="1" applyFont="1" applyFill="1" applyBorder="1" applyAlignment="1">
      <alignment horizontal="center" vertical="center"/>
    </xf>
    <xf numFmtId="164" fontId="15" fillId="4" borderId="39" xfId="0" applyNumberFormat="1" applyFont="1" applyFill="1" applyBorder="1" applyAlignment="1">
      <alignment horizontal="center" vertical="center"/>
    </xf>
    <xf numFmtId="0" fontId="15" fillId="2" borderId="39" xfId="0" applyFont="1" applyFill="1" applyBorder="1" applyAlignment="1">
      <alignment horizontal="center" vertical="center"/>
    </xf>
    <xf numFmtId="0" fontId="15" fillId="4" borderId="39" xfId="0" applyFont="1" applyFill="1" applyBorder="1" applyAlignment="1">
      <alignment horizontal="center" vertical="center"/>
    </xf>
    <xf numFmtId="2" fontId="15" fillId="4" borderId="39" xfId="0" applyNumberFormat="1" applyFont="1" applyFill="1" applyBorder="1" applyAlignment="1">
      <alignment horizontal="center" vertical="center"/>
    </xf>
    <xf numFmtId="14" fontId="1" fillId="2" borderId="39" xfId="0" applyNumberFormat="1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2" fontId="1" fillId="6" borderId="39" xfId="0" applyNumberFormat="1" applyFont="1" applyFill="1" applyBorder="1" applyAlignment="1">
      <alignment horizontal="center" vertical="center" wrapText="1"/>
    </xf>
    <xf numFmtId="2" fontId="20" fillId="6" borderId="39" xfId="0" applyNumberFormat="1" applyFont="1" applyFill="1" applyBorder="1" applyAlignment="1">
      <alignment horizontal="center" vertical="center" wrapText="1"/>
    </xf>
    <xf numFmtId="2" fontId="1" fillId="6" borderId="39" xfId="0" applyNumberFormat="1" applyFont="1" applyFill="1" applyBorder="1" applyAlignment="1">
      <alignment horizontal="center" vertical="center" wrapText="1"/>
    </xf>
    <xf numFmtId="2" fontId="12" fillId="6" borderId="39" xfId="0" applyNumberFormat="1" applyFont="1" applyFill="1" applyBorder="1" applyAlignment="1">
      <alignment horizontal="center" vertical="center" wrapText="1"/>
    </xf>
    <xf numFmtId="0" fontId="1" fillId="5" borderId="39" xfId="0" applyFont="1" applyFill="1" applyBorder="1" applyAlignment="1">
      <alignment horizontal="center" vertical="center" wrapText="1"/>
    </xf>
    <xf numFmtId="0" fontId="1" fillId="5" borderId="39" xfId="0" applyFont="1" applyFill="1" applyBorder="1" applyAlignment="1">
      <alignment horizontal="center" vertical="center" wrapText="1"/>
    </xf>
    <xf numFmtId="2" fontId="1" fillId="5" borderId="39" xfId="0" applyNumberFormat="1" applyFont="1" applyFill="1" applyBorder="1" applyAlignment="1">
      <alignment horizontal="center" vertical="center" wrapText="1"/>
    </xf>
    <xf numFmtId="2" fontId="12" fillId="5" borderId="39" xfId="0" applyNumberFormat="1" applyFont="1" applyFill="1" applyBorder="1" applyAlignment="1">
      <alignment horizontal="center" vertical="center" wrapText="1"/>
    </xf>
    <xf numFmtId="0" fontId="1" fillId="7" borderId="39" xfId="0" applyFont="1" applyFill="1" applyBorder="1" applyAlignment="1">
      <alignment horizontal="center" vertical="center" wrapText="1"/>
    </xf>
    <xf numFmtId="0" fontId="1" fillId="7" borderId="39" xfId="0" applyFont="1" applyFill="1" applyBorder="1" applyAlignment="1">
      <alignment horizontal="center" vertical="center" wrapText="1"/>
    </xf>
    <xf numFmtId="2" fontId="1" fillId="7" borderId="39" xfId="0" applyNumberFormat="1" applyFont="1" applyFill="1" applyBorder="1" applyAlignment="1">
      <alignment horizontal="center" vertical="center" wrapText="1"/>
    </xf>
    <xf numFmtId="2" fontId="11" fillId="7" borderId="39" xfId="0" applyNumberFormat="1" applyFont="1" applyFill="1" applyBorder="1" applyAlignment="1">
      <alignment horizontal="center" vertical="center" wrapText="1"/>
    </xf>
    <xf numFmtId="0" fontId="3" fillId="0" borderId="39" xfId="0" applyFont="1" applyBorder="1" applyAlignment="1">
      <alignment vertical="center"/>
    </xf>
    <xf numFmtId="0" fontId="10" fillId="21" borderId="42" xfId="0" applyFont="1" applyFill="1" applyBorder="1" applyAlignment="1">
      <alignment horizontal="center" vertical="center"/>
    </xf>
    <xf numFmtId="0" fontId="10" fillId="21" borderId="43" xfId="0" applyFont="1" applyFill="1" applyBorder="1" applyAlignment="1">
      <alignment horizontal="center" vertical="center"/>
    </xf>
    <xf numFmtId="0" fontId="10" fillId="21" borderId="44" xfId="0" applyFont="1" applyFill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166" fontId="4" fillId="3" borderId="39" xfId="0" applyNumberFormat="1" applyFont="1" applyFill="1" applyBorder="1" applyAlignment="1">
      <alignment horizontal="center" vertical="center"/>
    </xf>
    <xf numFmtId="0" fontId="9" fillId="30" borderId="39" xfId="0" applyFont="1" applyFill="1" applyBorder="1" applyAlignment="1">
      <alignment horizontal="center" vertical="center" wrapText="1"/>
    </xf>
    <xf numFmtId="0" fontId="1" fillId="30" borderId="39" xfId="0" applyFont="1" applyFill="1" applyBorder="1" applyAlignment="1">
      <alignment horizontal="center" vertical="center"/>
    </xf>
    <xf numFmtId="0" fontId="1" fillId="30" borderId="39" xfId="0" applyFont="1" applyFill="1" applyBorder="1" applyAlignment="1">
      <alignment horizontal="center" vertical="center"/>
    </xf>
    <xf numFmtId="2" fontId="7" fillId="30" borderId="39" xfId="0" applyNumberFormat="1" applyFont="1" applyFill="1" applyBorder="1" applyAlignment="1">
      <alignment horizontal="center" vertical="center"/>
    </xf>
    <xf numFmtId="14" fontId="6" fillId="30" borderId="39" xfId="0" applyNumberFormat="1" applyFont="1" applyFill="1" applyBorder="1" applyAlignment="1">
      <alignment horizontal="center" vertical="center"/>
    </xf>
    <xf numFmtId="164" fontId="6" fillId="30" borderId="39" xfId="1" applyNumberFormat="1" applyFont="1" applyFill="1" applyBorder="1" applyAlignment="1" applyProtection="1">
      <alignment horizontal="center" vertical="center"/>
      <protection hidden="1"/>
    </xf>
    <xf numFmtId="0" fontId="23" fillId="0" borderId="31" xfId="0" applyFont="1" applyBorder="1" applyAlignment="1"/>
    <xf numFmtId="0" fontId="23" fillId="0" borderId="32" xfId="0" applyFont="1" applyBorder="1" applyAlignment="1"/>
    <xf numFmtId="0" fontId="23" fillId="0" borderId="33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EAU-ELEC'!$D$4:$E$4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EAU-ELEC'!$A$6:$A$35</c:f>
              <c:numCache>
                <c:formatCode>[$-409]d\-mmm\-yy;@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'Suivi EAU-ELEC'!$E$6:$E$35</c:f>
              <c:numCache>
                <c:formatCode>General</c:formatCode>
                <c:ptCount val="30"/>
                <c:pt idx="0">
                  <c:v>180</c:v>
                </c:pt>
                <c:pt idx="1">
                  <c:v>144</c:v>
                </c:pt>
                <c:pt idx="2">
                  <c:v>127</c:v>
                </c:pt>
                <c:pt idx="3">
                  <c:v>130.10000000000582</c:v>
                </c:pt>
                <c:pt idx="4">
                  <c:v>132.60000000000582</c:v>
                </c:pt>
                <c:pt idx="5">
                  <c:v>141.29999999998836</c:v>
                </c:pt>
                <c:pt idx="6">
                  <c:v>144</c:v>
                </c:pt>
                <c:pt idx="7">
                  <c:v>139</c:v>
                </c:pt>
                <c:pt idx="8">
                  <c:v>116</c:v>
                </c:pt>
                <c:pt idx="9">
                  <c:v>119.29999999998836</c:v>
                </c:pt>
                <c:pt idx="10">
                  <c:v>137.30000000001746</c:v>
                </c:pt>
                <c:pt idx="11">
                  <c:v>130.10000000000582</c:v>
                </c:pt>
                <c:pt idx="12">
                  <c:v>151.29999999998836</c:v>
                </c:pt>
                <c:pt idx="13">
                  <c:v>145</c:v>
                </c:pt>
                <c:pt idx="14">
                  <c:v>-174337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EAU-ELEC'!$G$5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EAU-ELEC'!$A$6:$A$35</c:f>
              <c:numCache>
                <c:formatCode>[$-409]d\-mmm\-yy;@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'Suivi EAU-ELEC'!$G$6:$G$34</c:f>
              <c:numCache>
                <c:formatCode>General</c:formatCode>
                <c:ptCount val="29"/>
                <c:pt idx="0">
                  <c:v>4848</c:v>
                </c:pt>
                <c:pt idx="1">
                  <c:v>4678</c:v>
                </c:pt>
                <c:pt idx="2">
                  <c:v>4725</c:v>
                </c:pt>
                <c:pt idx="3">
                  <c:v>5622</c:v>
                </c:pt>
                <c:pt idx="4">
                  <c:v>6396</c:v>
                </c:pt>
                <c:pt idx="5">
                  <c:v>3969</c:v>
                </c:pt>
                <c:pt idx="6">
                  <c:v>4922</c:v>
                </c:pt>
                <c:pt idx="7">
                  <c:v>4606</c:v>
                </c:pt>
                <c:pt idx="8">
                  <c:v>4956</c:v>
                </c:pt>
                <c:pt idx="9">
                  <c:v>4280</c:v>
                </c:pt>
                <c:pt idx="10">
                  <c:v>4982</c:v>
                </c:pt>
                <c:pt idx="11">
                  <c:v>4629</c:v>
                </c:pt>
                <c:pt idx="12">
                  <c:v>4953</c:v>
                </c:pt>
                <c:pt idx="13">
                  <c:v>4378</c:v>
                </c:pt>
                <c:pt idx="14">
                  <c:v>-12697714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EAU-ELEC'!$I$5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EAU-ELEC'!$A$6:$A$35</c:f>
              <c:numCache>
                <c:formatCode>[$-409]d\-mmm\-yy;@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'Suivi EAU-ELEC'!$I$6:$I$34</c:f>
              <c:numCache>
                <c:formatCode>General</c:formatCode>
                <c:ptCount val="29"/>
                <c:pt idx="0">
                  <c:v>8006</c:v>
                </c:pt>
                <c:pt idx="1">
                  <c:v>7492</c:v>
                </c:pt>
                <c:pt idx="2">
                  <c:v>7168</c:v>
                </c:pt>
                <c:pt idx="3">
                  <c:v>7780</c:v>
                </c:pt>
                <c:pt idx="4">
                  <c:v>7678</c:v>
                </c:pt>
                <c:pt idx="5">
                  <c:v>7526</c:v>
                </c:pt>
                <c:pt idx="6">
                  <c:v>7333</c:v>
                </c:pt>
                <c:pt idx="7">
                  <c:v>7868</c:v>
                </c:pt>
                <c:pt idx="8">
                  <c:v>7526</c:v>
                </c:pt>
                <c:pt idx="9">
                  <c:v>7515</c:v>
                </c:pt>
                <c:pt idx="10">
                  <c:v>6856</c:v>
                </c:pt>
                <c:pt idx="11">
                  <c:v>8007</c:v>
                </c:pt>
                <c:pt idx="12">
                  <c:v>7149</c:v>
                </c:pt>
                <c:pt idx="13">
                  <c:v>6780</c:v>
                </c:pt>
                <c:pt idx="14">
                  <c:v>-21709479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EAU-ELEC'!$K$5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EAU-ELEC'!$A$6:$A$35</c:f>
              <c:numCache>
                <c:formatCode>[$-409]d\-mmm\-yy;@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'Suivi EAU-ELEC'!$K$6:$K$34</c:f>
              <c:numCache>
                <c:formatCode>General</c:formatCode>
                <c:ptCount val="29"/>
                <c:pt idx="0">
                  <c:v>4201</c:v>
                </c:pt>
                <c:pt idx="1">
                  <c:v>3457</c:v>
                </c:pt>
                <c:pt idx="2">
                  <c:v>3555</c:v>
                </c:pt>
                <c:pt idx="3">
                  <c:v>3878</c:v>
                </c:pt>
                <c:pt idx="4">
                  <c:v>3989</c:v>
                </c:pt>
                <c:pt idx="5">
                  <c:v>3643</c:v>
                </c:pt>
                <c:pt idx="6">
                  <c:v>3510</c:v>
                </c:pt>
                <c:pt idx="7">
                  <c:v>3953</c:v>
                </c:pt>
                <c:pt idx="8">
                  <c:v>3154</c:v>
                </c:pt>
                <c:pt idx="9">
                  <c:v>3502</c:v>
                </c:pt>
                <c:pt idx="10">
                  <c:v>3603</c:v>
                </c:pt>
                <c:pt idx="11">
                  <c:v>3642</c:v>
                </c:pt>
                <c:pt idx="12">
                  <c:v>3450</c:v>
                </c:pt>
                <c:pt idx="13">
                  <c:v>3510</c:v>
                </c:pt>
                <c:pt idx="14">
                  <c:v>-9512909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[$-40C]d\-mmm\-yy;@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671.98341000000005</c:v>
                </c:pt>
                <c:pt idx="1">
                  <c:v>223.99447000000001</c:v>
                </c:pt>
                <c:pt idx="2">
                  <c:v>223.99447000000001</c:v>
                </c:pt>
                <c:pt idx="3">
                  <c:v>224.4179</c:v>
                </c:pt>
                <c:pt idx="4">
                  <c:v>671.98341000000005</c:v>
                </c:pt>
                <c:pt idx="5">
                  <c:v>383.99052</c:v>
                </c:pt>
                <c:pt idx="6">
                  <c:v>351.99131</c:v>
                </c:pt>
                <c:pt idx="7">
                  <c:v>255.99368000000001</c:v>
                </c:pt>
                <c:pt idx="8">
                  <c:v>543.98657000000003</c:v>
                </c:pt>
                <c:pt idx="9">
                  <c:v>447.98894000000001</c:v>
                </c:pt>
                <c:pt idx="10">
                  <c:v>415.98973000000001</c:v>
                </c:pt>
                <c:pt idx="11">
                  <c:v>767.98104000000001</c:v>
                </c:pt>
                <c:pt idx="12">
                  <c:v>607.98499000000004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  <c:pt idx="9">
                  <c:v>522652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  <c:pt idx="9">
                  <c:v>550972.29053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  <c:pt idx="9">
                  <c:v>3767.6000000000058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  <c:pt idx="9">
                  <c:v>42973.640000000065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  <c:pt idx="9">
                  <c:v>10799.535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  <c:pt idx="9">
                  <c:v>132186.30840000001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114300</xdr:colOff>
      <xdr:row>1</xdr:row>
      <xdr:rowOff>123825</xdr:rowOff>
    </xdr:from>
    <xdr:to>
      <xdr:col>1</xdr:col>
      <xdr:colOff>1409700</xdr:colOff>
      <xdr:row>1</xdr:row>
      <xdr:rowOff>1019175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  <a:ext uri="{147F2762-F138-4A5C-976F-8EAC2B608ADB}">
              <a16:predDERef xmlns:a16="http://schemas.microsoft.com/office/drawing/2014/main" pred="{1F672150-C24B-4540-94A4-E6086D2B9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52425"/>
          <a:ext cx="18954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1</xdr:row>
      <xdr:rowOff>371475</xdr:rowOff>
    </xdr:from>
    <xdr:to>
      <xdr:col>25</xdr:col>
      <xdr:colOff>676275</xdr:colOff>
      <xdr:row>17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18</xdr:row>
      <xdr:rowOff>57150</xdr:rowOff>
    </xdr:from>
    <xdr:to>
      <xdr:col>25</xdr:col>
      <xdr:colOff>619125</xdr:colOff>
      <xdr:row>34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34</xdr:row>
      <xdr:rowOff>0</xdr:rowOff>
    </xdr:from>
    <xdr:to>
      <xdr:col>25</xdr:col>
      <xdr:colOff>657225</xdr:colOff>
      <xdr:row>41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666750</xdr:colOff>
      <xdr:row>0</xdr:row>
      <xdr:rowOff>0</xdr:rowOff>
    </xdr:from>
    <xdr:to>
      <xdr:col>1</xdr:col>
      <xdr:colOff>561975</xdr:colOff>
      <xdr:row>1</xdr:row>
      <xdr:rowOff>314325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8E86686-91B7-D35D-048F-D4318A97BC69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" y="0"/>
          <a:ext cx="1133475" cy="781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133350</xdr:rowOff>
    </xdr:from>
    <xdr:to>
      <xdr:col>0</xdr:col>
      <xdr:colOff>1133475</xdr:colOff>
      <xdr:row>3</xdr:row>
      <xdr:rowOff>19050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  <a:ext uri="{147F2762-F138-4A5C-976F-8EAC2B608ADB}">
              <a16:predDERef xmlns:a16="http://schemas.microsoft.com/office/drawing/2014/main" pre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3335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abSelected="1" workbookViewId="0">
      <selection activeCell="L2" sqref="L2"/>
    </sheetView>
  </sheetViews>
  <sheetFormatPr defaultColWidth="8.85546875" defaultRowHeight="12.75"/>
  <cols>
    <col min="1" max="1" width="12.42578125" style="66" customWidth="1"/>
    <col min="2" max="3" width="8.85546875" style="132" customWidth="1"/>
    <col min="4" max="4" width="13.42578125" style="133" customWidth="1"/>
    <col min="5" max="5" width="12.5703125" style="134" customWidth="1"/>
    <col min="6" max="6" width="12.5703125" style="66" customWidth="1"/>
    <col min="7" max="10" width="8.85546875" style="66" customWidth="1"/>
    <col min="11" max="12" width="8.85546875" style="134" customWidth="1"/>
    <col min="13" max="13" width="0" style="60" hidden="1" customWidth="1"/>
    <col min="14" max="16384" width="8.85546875" style="60"/>
  </cols>
  <sheetData>
    <row r="1" spans="1:13" s="120" customFormat="1" ht="76.5">
      <c r="A1" s="57" t="s">
        <v>0</v>
      </c>
      <c r="B1" s="126" t="s">
        <v>1</v>
      </c>
      <c r="C1" s="126" t="s">
        <v>2</v>
      </c>
      <c r="D1" s="127" t="s">
        <v>3</v>
      </c>
      <c r="E1" s="128" t="s">
        <v>4</v>
      </c>
      <c r="F1" s="129" t="s">
        <v>5</v>
      </c>
      <c r="G1" s="129" t="s">
        <v>6</v>
      </c>
      <c r="H1" s="129" t="s">
        <v>7</v>
      </c>
      <c r="I1" s="129" t="s">
        <v>8</v>
      </c>
      <c r="J1" s="129" t="s">
        <v>9</v>
      </c>
      <c r="K1" s="128" t="s">
        <v>10</v>
      </c>
      <c r="L1" s="128" t="s">
        <v>11</v>
      </c>
      <c r="M1" s="130" t="s">
        <v>12</v>
      </c>
    </row>
    <row r="2" spans="1:13">
      <c r="A2" s="131" t="s">
        <v>13</v>
      </c>
      <c r="B2" s="132">
        <v>1</v>
      </c>
      <c r="C2" s="132">
        <v>11</v>
      </c>
      <c r="D2" s="133">
        <v>2022</v>
      </c>
      <c r="E2" s="134">
        <f>submetering!E2+submetering!F2+submetering!G2</f>
        <v>17055</v>
      </c>
      <c r="F2" s="135">
        <v>1.05</v>
      </c>
      <c r="G2" s="135">
        <f>'Consommation mensuel énergie'!V10</f>
        <v>671.98341000000005</v>
      </c>
      <c r="H2" s="135">
        <v>12.24</v>
      </c>
      <c r="I2" s="135">
        <f>'Consommation mensuel énergie'!F10</f>
        <v>180</v>
      </c>
      <c r="J2" s="135">
        <v>11.4</v>
      </c>
      <c r="K2" s="134">
        <f>'Consommation mensuel énergie'!D10</f>
        <v>119</v>
      </c>
      <c r="L2" s="134">
        <f>'Consommation mensuel énergie'!E10</f>
        <v>174</v>
      </c>
      <c r="M2" s="136" t="e">
        <f>E2*F2+G2*H2+#REF!*#REF!+I2*J2</f>
        <v>#REF!</v>
      </c>
    </row>
    <row r="3" spans="1:13">
      <c r="A3" s="131" t="s">
        <v>13</v>
      </c>
      <c r="B3" s="132">
        <f>B2+1</f>
        <v>2</v>
      </c>
      <c r="C3" s="132">
        <v>11</v>
      </c>
      <c r="D3" s="133">
        <v>2022</v>
      </c>
      <c r="E3" s="134">
        <f>submetering!E3+submetering!F3+submetering!G3</f>
        <v>16159</v>
      </c>
      <c r="F3" s="135">
        <v>1.05</v>
      </c>
      <c r="G3" s="135">
        <f>'Consommation mensuel énergie'!V11</f>
        <v>223.99447000000001</v>
      </c>
      <c r="H3" s="135">
        <v>12.24</v>
      </c>
      <c r="I3" s="135">
        <f>'Consommation mensuel énergie'!F11</f>
        <v>144</v>
      </c>
      <c r="J3" s="135">
        <v>11.4</v>
      </c>
      <c r="K3" s="134">
        <f>'Consommation mensuel énergie'!D11</f>
        <v>135</v>
      </c>
      <c r="L3" s="134">
        <f>'Consommation mensuel énergie'!E11</f>
        <v>199</v>
      </c>
      <c r="M3" s="136" t="e">
        <f>E3*F3+G3*H3+#REF!*#REF!+I3*J3</f>
        <v>#REF!</v>
      </c>
    </row>
    <row r="4" spans="1:13">
      <c r="A4" s="131" t="s">
        <v>13</v>
      </c>
      <c r="B4" s="132">
        <f t="shared" ref="B4:B25" si="0">B3+1</f>
        <v>3</v>
      </c>
      <c r="C4" s="132">
        <v>11</v>
      </c>
      <c r="D4" s="133">
        <v>2022</v>
      </c>
      <c r="E4" s="134">
        <f>submetering!E4+submetering!F4+submetering!G4</f>
        <v>15448</v>
      </c>
      <c r="F4" s="135">
        <v>1.05</v>
      </c>
      <c r="G4" s="135">
        <f>'Consommation mensuel énergie'!V12</f>
        <v>223.99447000000001</v>
      </c>
      <c r="H4" s="135">
        <v>12.24</v>
      </c>
      <c r="I4" s="135">
        <f>'Consommation mensuel énergie'!F12</f>
        <v>127</v>
      </c>
      <c r="J4" s="135">
        <v>11.4</v>
      </c>
      <c r="K4" s="134">
        <f>'Consommation mensuel énergie'!D12</f>
        <v>143</v>
      </c>
      <c r="L4" s="134">
        <f>'Consommation mensuel énergie'!E12</f>
        <v>208</v>
      </c>
      <c r="M4" s="136" t="e">
        <f>E4*F4+G4*H4+#REF!*#REF!+I4*J4</f>
        <v>#REF!</v>
      </c>
    </row>
    <row r="5" spans="1:13">
      <c r="A5" s="131" t="s">
        <v>13</v>
      </c>
      <c r="B5" s="132">
        <f t="shared" si="0"/>
        <v>4</v>
      </c>
      <c r="C5" s="132">
        <v>11</v>
      </c>
      <c r="D5" s="133">
        <v>2022</v>
      </c>
      <c r="E5" s="134">
        <f>submetering!E5+submetering!F5+submetering!G5</f>
        <v>17280</v>
      </c>
      <c r="F5" s="135">
        <v>1.05</v>
      </c>
      <c r="G5" s="135">
        <f>'Consommation mensuel énergie'!V13</f>
        <v>224.4179</v>
      </c>
      <c r="H5" s="135">
        <v>12.24</v>
      </c>
      <c r="I5" s="135">
        <f>'Consommation mensuel énergie'!F13</f>
        <v>130.10000000000582</v>
      </c>
      <c r="J5" s="135">
        <v>11.4</v>
      </c>
      <c r="K5" s="134">
        <f>'Consommation mensuel énergie'!D13</f>
        <v>105</v>
      </c>
      <c r="L5" s="134">
        <f>'Consommation mensuel énergie'!E13</f>
        <v>159</v>
      </c>
      <c r="M5" s="136" t="e">
        <f>E5*F5+G5*H5+#REF!*#REF!+I5*J5</f>
        <v>#REF!</v>
      </c>
    </row>
    <row r="6" spans="1:13">
      <c r="A6" s="131" t="s">
        <v>13</v>
      </c>
      <c r="B6" s="132">
        <f t="shared" si="0"/>
        <v>5</v>
      </c>
      <c r="C6" s="132">
        <v>11</v>
      </c>
      <c r="D6" s="133">
        <v>2022</v>
      </c>
      <c r="E6" s="134">
        <f>submetering!E6+submetering!F6+submetering!G6</f>
        <v>18063</v>
      </c>
      <c r="F6" s="135">
        <v>1.05</v>
      </c>
      <c r="G6" s="135">
        <f>'Consommation mensuel énergie'!V14</f>
        <v>671.98341000000005</v>
      </c>
      <c r="H6" s="135">
        <v>12.24</v>
      </c>
      <c r="I6" s="135">
        <f>'Consommation mensuel énergie'!F14</f>
        <v>132.60000000000582</v>
      </c>
      <c r="J6" s="135">
        <v>11.4</v>
      </c>
      <c r="K6" s="134">
        <f>'Consommation mensuel énergie'!D14</f>
        <v>112</v>
      </c>
      <c r="L6" s="134">
        <f>'Consommation mensuel énergie'!E14</f>
        <v>171</v>
      </c>
      <c r="M6" s="136" t="e">
        <f>E6*F6+G6*H6+#REF!*#REF!+I6*J6</f>
        <v>#REF!</v>
      </c>
    </row>
    <row r="7" spans="1:13">
      <c r="A7" s="131" t="s">
        <v>13</v>
      </c>
      <c r="B7" s="132">
        <f t="shared" si="0"/>
        <v>6</v>
      </c>
      <c r="C7" s="132">
        <v>11</v>
      </c>
      <c r="D7" s="133">
        <v>2022</v>
      </c>
      <c r="E7" s="134">
        <f>submetering!E7+submetering!F7+submetering!G7</f>
        <v>15138</v>
      </c>
      <c r="F7" s="135">
        <v>1.05</v>
      </c>
      <c r="G7" s="135">
        <f>'Consommation mensuel énergie'!V15</f>
        <v>383.99052</v>
      </c>
      <c r="H7" s="135">
        <v>12.24</v>
      </c>
      <c r="I7" s="135">
        <f>'Consommation mensuel énergie'!F15</f>
        <v>141.29999999998836</v>
      </c>
      <c r="J7" s="135">
        <v>11.4</v>
      </c>
      <c r="K7" s="134">
        <f>'Consommation mensuel énergie'!D15</f>
        <v>135</v>
      </c>
      <c r="L7" s="134">
        <f>'Consommation mensuel énergie'!E15</f>
        <v>184</v>
      </c>
      <c r="M7" s="136" t="e">
        <f>E7*F7+G7*H7+#REF!*#REF!+I7*J7</f>
        <v>#REF!</v>
      </c>
    </row>
    <row r="8" spans="1:13">
      <c r="A8" s="131" t="s">
        <v>13</v>
      </c>
      <c r="B8" s="132">
        <f t="shared" si="0"/>
        <v>7</v>
      </c>
      <c r="C8" s="132">
        <v>11</v>
      </c>
      <c r="D8" s="133">
        <v>2022</v>
      </c>
      <c r="E8" s="134">
        <f>submetering!E8+submetering!F8+submetering!G8</f>
        <v>15765</v>
      </c>
      <c r="F8" s="135">
        <v>1.05</v>
      </c>
      <c r="G8" s="135">
        <f>'Consommation mensuel énergie'!V16</f>
        <v>351.99131</v>
      </c>
      <c r="H8" s="135">
        <v>12.24</v>
      </c>
      <c r="I8" s="135">
        <f>'Consommation mensuel énergie'!F16</f>
        <v>144</v>
      </c>
      <c r="J8" s="135">
        <v>11.4</v>
      </c>
      <c r="K8" s="134">
        <f>'Consommation mensuel énergie'!D16</f>
        <v>123</v>
      </c>
      <c r="L8" s="134">
        <f>'Consommation mensuel énergie'!E16</f>
        <v>168</v>
      </c>
      <c r="M8" s="136" t="e">
        <f>E8*F8+G8*H8+#REF!*#REF!+I8*J8</f>
        <v>#REF!</v>
      </c>
    </row>
    <row r="9" spans="1:13">
      <c r="A9" s="131" t="s">
        <v>13</v>
      </c>
      <c r="B9" s="132">
        <f t="shared" si="0"/>
        <v>8</v>
      </c>
      <c r="C9" s="132">
        <v>11</v>
      </c>
      <c r="D9" s="133">
        <v>2022</v>
      </c>
      <c r="E9" s="134">
        <f>submetering!E9+submetering!F9+submetering!G9</f>
        <v>16427</v>
      </c>
      <c r="F9" s="135">
        <v>1.05</v>
      </c>
      <c r="G9" s="135">
        <f>'Consommation mensuel énergie'!V17</f>
        <v>255.99368000000001</v>
      </c>
      <c r="H9" s="135">
        <v>12.24</v>
      </c>
      <c r="I9" s="135">
        <f>'Consommation mensuel énergie'!F17</f>
        <v>139</v>
      </c>
      <c r="J9" s="135">
        <v>11.4</v>
      </c>
      <c r="K9" s="134">
        <f>'Consommation mensuel énergie'!D17</f>
        <v>108</v>
      </c>
      <c r="L9" s="134">
        <f>'Consommation mensuel énergie'!E17</f>
        <v>138</v>
      </c>
      <c r="M9" s="136" t="e">
        <f>E9*F9+G9*H9+#REF!*#REF!+I9*J9</f>
        <v>#REF!</v>
      </c>
    </row>
    <row r="10" spans="1:13">
      <c r="A10" s="131" t="s">
        <v>13</v>
      </c>
      <c r="B10" s="132">
        <f t="shared" si="0"/>
        <v>9</v>
      </c>
      <c r="C10" s="132">
        <v>11</v>
      </c>
      <c r="D10" s="133">
        <v>2022</v>
      </c>
      <c r="E10" s="134">
        <f>submetering!E10+submetering!F10+submetering!G10</f>
        <v>15636</v>
      </c>
      <c r="F10" s="135">
        <v>1.05</v>
      </c>
      <c r="G10" s="135">
        <f>'Consommation mensuel énergie'!V18</f>
        <v>543.98657000000003</v>
      </c>
      <c r="H10" s="135">
        <v>12.24</v>
      </c>
      <c r="I10" s="135">
        <f>'Consommation mensuel énergie'!F18</f>
        <v>116</v>
      </c>
      <c r="J10" s="135">
        <v>11.4</v>
      </c>
      <c r="K10" s="134">
        <f>'Consommation mensuel énergie'!D18</f>
        <v>0</v>
      </c>
      <c r="L10" s="134">
        <f>'Consommation mensuel énergie'!E18</f>
        <v>0</v>
      </c>
      <c r="M10" s="136" t="e">
        <f>E10*F10+G10*H10+#REF!*#REF!+I10*J10</f>
        <v>#REF!</v>
      </c>
    </row>
    <row r="11" spans="1:13">
      <c r="A11" s="131" t="s">
        <v>13</v>
      </c>
      <c r="B11" s="132">
        <f t="shared" si="0"/>
        <v>10</v>
      </c>
      <c r="C11" s="132">
        <v>11</v>
      </c>
      <c r="D11" s="133">
        <v>2022</v>
      </c>
      <c r="E11" s="134">
        <f>submetering!E11+submetering!F11+submetering!G11</f>
        <v>15297</v>
      </c>
      <c r="F11" s="135">
        <v>1.05</v>
      </c>
      <c r="G11" s="135">
        <f>'Consommation mensuel énergie'!V19</f>
        <v>447.98894000000001</v>
      </c>
      <c r="H11" s="135">
        <v>12.24</v>
      </c>
      <c r="I11" s="135">
        <f>'Consommation mensuel énergie'!F19</f>
        <v>119.29999999998836</v>
      </c>
      <c r="J11" s="135">
        <v>11.4</v>
      </c>
      <c r="K11" s="134">
        <f>'Consommation mensuel énergie'!D19</f>
        <v>0</v>
      </c>
      <c r="L11" s="134">
        <f>'Consommation mensuel énergie'!E19</f>
        <v>0</v>
      </c>
      <c r="M11" s="136" t="e">
        <f>E11*F11+G11*H11+#REF!*#REF!+I11*J11</f>
        <v>#REF!</v>
      </c>
    </row>
    <row r="12" spans="1:13">
      <c r="A12" s="131" t="s">
        <v>13</v>
      </c>
      <c r="B12" s="132">
        <f t="shared" si="0"/>
        <v>11</v>
      </c>
      <c r="C12" s="132">
        <v>11</v>
      </c>
      <c r="D12" s="133">
        <v>2022</v>
      </c>
      <c r="E12" s="134">
        <f>submetering!E12+submetering!F12+submetering!G12</f>
        <v>15441</v>
      </c>
      <c r="F12" s="135">
        <v>1.05</v>
      </c>
      <c r="G12" s="135">
        <f>'Consommation mensuel énergie'!V20</f>
        <v>415.98973000000001</v>
      </c>
      <c r="H12" s="135">
        <v>12.24</v>
      </c>
      <c r="I12" s="135">
        <f>'Consommation mensuel énergie'!F20</f>
        <v>137.30000000001746</v>
      </c>
      <c r="J12" s="135">
        <v>11.4</v>
      </c>
      <c r="K12" s="134">
        <f>'Consommation mensuel énergie'!D20</f>
        <v>0</v>
      </c>
      <c r="L12" s="134">
        <f>'Consommation mensuel énergie'!E20</f>
        <v>0</v>
      </c>
      <c r="M12" s="136" t="e">
        <f>E12*F12+G12*H12+#REF!*#REF!+I12*J12</f>
        <v>#REF!</v>
      </c>
    </row>
    <row r="13" spans="1:13">
      <c r="A13" s="131" t="s">
        <v>13</v>
      </c>
      <c r="B13" s="132">
        <f t="shared" si="0"/>
        <v>12</v>
      </c>
      <c r="C13" s="132">
        <v>11</v>
      </c>
      <c r="D13" s="133">
        <v>2022</v>
      </c>
      <c r="E13" s="134">
        <f>submetering!E13+submetering!F13+submetering!G13</f>
        <v>16278</v>
      </c>
      <c r="F13" s="135">
        <v>1.05</v>
      </c>
      <c r="G13" s="135">
        <f>'Consommation mensuel énergie'!V21</f>
        <v>767.98104000000001</v>
      </c>
      <c r="H13" s="135">
        <v>12.24</v>
      </c>
      <c r="I13" s="135">
        <f>'Consommation mensuel énergie'!F21</f>
        <v>130.10000000000582</v>
      </c>
      <c r="J13" s="135">
        <v>11.4</v>
      </c>
      <c r="K13" s="134">
        <f>'Consommation mensuel énergie'!D21</f>
        <v>0</v>
      </c>
      <c r="L13" s="134">
        <f>'Consommation mensuel énergie'!E21</f>
        <v>0</v>
      </c>
      <c r="M13" s="136" t="e">
        <f>E13*F13+G13*H13+#REF!*#REF!+I13*J13</f>
        <v>#REF!</v>
      </c>
    </row>
    <row r="14" spans="1:13">
      <c r="A14" s="131" t="s">
        <v>13</v>
      </c>
      <c r="B14" s="132">
        <f t="shared" si="0"/>
        <v>13</v>
      </c>
      <c r="C14" s="132">
        <v>11</v>
      </c>
      <c r="D14" s="133">
        <v>2022</v>
      </c>
      <c r="E14" s="134">
        <f>submetering!E14+submetering!F14+submetering!G14</f>
        <v>15552</v>
      </c>
      <c r="F14" s="135">
        <v>1.05</v>
      </c>
      <c r="G14" s="135">
        <f>'Consommation mensuel énergie'!V22</f>
        <v>607.98499000000004</v>
      </c>
      <c r="H14" s="135">
        <v>12.24</v>
      </c>
      <c r="I14" s="135">
        <f>'Consommation mensuel énergie'!F22</f>
        <v>151.29999999998836</v>
      </c>
      <c r="J14" s="135">
        <v>11.4</v>
      </c>
      <c r="K14" s="134">
        <f>'Consommation mensuel énergie'!D22</f>
        <v>0</v>
      </c>
      <c r="L14" s="134">
        <f>'Consommation mensuel énergie'!E22</f>
        <v>0</v>
      </c>
      <c r="M14" s="136" t="e">
        <f>E14*F14+G14*H14+#REF!*#REF!+I14*J14</f>
        <v>#REF!</v>
      </c>
    </row>
    <row r="15" spans="1:13">
      <c r="A15" s="131" t="s">
        <v>13</v>
      </c>
      <c r="B15" s="132">
        <f t="shared" si="0"/>
        <v>14</v>
      </c>
      <c r="C15" s="132">
        <v>11</v>
      </c>
      <c r="D15" s="133">
        <v>2022</v>
      </c>
      <c r="E15" s="134">
        <f>submetering!E15+submetering!F15+submetering!G15</f>
        <v>14668</v>
      </c>
      <c r="F15" s="135">
        <v>1.05</v>
      </c>
      <c r="G15" s="135">
        <f>'Consommation mensuel énergie'!V23</f>
        <v>0</v>
      </c>
      <c r="H15" s="135">
        <v>12.24</v>
      </c>
      <c r="I15" s="135">
        <f>'Consommation mensuel énergie'!F23</f>
        <v>145</v>
      </c>
      <c r="J15" s="135">
        <v>11.4</v>
      </c>
      <c r="K15" s="134">
        <f>'Consommation mensuel énergie'!D23</f>
        <v>0</v>
      </c>
      <c r="L15" s="134">
        <f>'Consommation mensuel énergie'!E23</f>
        <v>0</v>
      </c>
      <c r="M15" s="136" t="e">
        <f>E15*F15+G15*H15+#REF!*#REF!+I15*J15</f>
        <v>#REF!</v>
      </c>
    </row>
    <row r="16" spans="1:13">
      <c r="A16" s="131" t="s">
        <v>13</v>
      </c>
      <c r="B16" s="132">
        <f t="shared" si="0"/>
        <v>15</v>
      </c>
      <c r="C16" s="132">
        <v>11</v>
      </c>
      <c r="D16" s="133">
        <v>2022</v>
      </c>
      <c r="E16" s="134">
        <f>submetering!E16+submetering!F16+submetering!G16</f>
        <v>0</v>
      </c>
      <c r="F16" s="135">
        <v>1.05</v>
      </c>
      <c r="G16" s="135">
        <f>'Consommation mensuel énergie'!V24</f>
        <v>0</v>
      </c>
      <c r="H16" s="135">
        <v>12.24</v>
      </c>
      <c r="I16" s="135">
        <f>'Consommation mensuel énergie'!F24</f>
        <v>0</v>
      </c>
      <c r="J16" s="135">
        <v>11.4</v>
      </c>
      <c r="K16" s="134">
        <f>'Consommation mensuel énergie'!D24</f>
        <v>0</v>
      </c>
      <c r="L16" s="134">
        <f>'Consommation mensuel énergie'!E24</f>
        <v>0</v>
      </c>
      <c r="M16" s="136" t="e">
        <f>E16*F16+G16*H16+#REF!*#REF!+I16*J16</f>
        <v>#REF!</v>
      </c>
    </row>
    <row r="17" spans="1:13">
      <c r="A17" s="131" t="s">
        <v>13</v>
      </c>
      <c r="B17" s="132">
        <f t="shared" si="0"/>
        <v>16</v>
      </c>
      <c r="C17" s="132">
        <v>11</v>
      </c>
      <c r="D17" s="133">
        <v>2022</v>
      </c>
      <c r="E17" s="134">
        <f>submetering!E17+submetering!F17+submetering!G17</f>
        <v>0</v>
      </c>
      <c r="F17" s="135">
        <v>1.05</v>
      </c>
      <c r="G17" s="135">
        <f>'Consommation mensuel énergie'!V25</f>
        <v>0</v>
      </c>
      <c r="H17" s="135">
        <v>12.24</v>
      </c>
      <c r="I17" s="135">
        <f>'Consommation mensuel énergie'!F25</f>
        <v>0</v>
      </c>
      <c r="J17" s="135">
        <v>11.4</v>
      </c>
      <c r="K17" s="134">
        <f>'Consommation mensuel énergie'!D25</f>
        <v>0</v>
      </c>
      <c r="L17" s="134">
        <f>'Consommation mensuel énergie'!E25</f>
        <v>0</v>
      </c>
      <c r="M17" s="136" t="e">
        <f>E17*F17+G17*H17+#REF!*#REF!+I17*J17</f>
        <v>#REF!</v>
      </c>
    </row>
    <row r="18" spans="1:13">
      <c r="A18" s="131" t="s">
        <v>13</v>
      </c>
      <c r="B18" s="132">
        <f t="shared" si="0"/>
        <v>17</v>
      </c>
      <c r="C18" s="132">
        <v>11</v>
      </c>
      <c r="D18" s="133">
        <v>2022</v>
      </c>
      <c r="E18" s="134">
        <f>submetering!E18+submetering!F18+submetering!G18</f>
        <v>0</v>
      </c>
      <c r="F18" s="135">
        <v>1.05</v>
      </c>
      <c r="G18" s="135">
        <f>'Consommation mensuel énergie'!V26</f>
        <v>0</v>
      </c>
      <c r="H18" s="135">
        <v>12.24</v>
      </c>
      <c r="I18" s="135">
        <f>'Consommation mensuel énergie'!F26</f>
        <v>0</v>
      </c>
      <c r="J18" s="135">
        <v>11.4</v>
      </c>
      <c r="K18" s="134">
        <f>'Consommation mensuel énergie'!D26</f>
        <v>0</v>
      </c>
      <c r="L18" s="134">
        <f>'Consommation mensuel énergie'!E26</f>
        <v>0</v>
      </c>
      <c r="M18" s="136" t="e">
        <f>E18*F18+G18*H18+#REF!*#REF!+I18*J18</f>
        <v>#REF!</v>
      </c>
    </row>
    <row r="19" spans="1:13">
      <c r="A19" s="131" t="s">
        <v>13</v>
      </c>
      <c r="B19" s="132">
        <f t="shared" si="0"/>
        <v>18</v>
      </c>
      <c r="C19" s="132">
        <v>11</v>
      </c>
      <c r="D19" s="133">
        <v>2022</v>
      </c>
      <c r="E19" s="134">
        <f>submetering!E19+submetering!F19+submetering!G19</f>
        <v>0</v>
      </c>
      <c r="F19" s="135">
        <v>1.05</v>
      </c>
      <c r="G19" s="135">
        <f>'Consommation mensuel énergie'!V27</f>
        <v>0</v>
      </c>
      <c r="H19" s="135">
        <v>12.24</v>
      </c>
      <c r="I19" s="135">
        <f>'Consommation mensuel énergie'!F27</f>
        <v>0</v>
      </c>
      <c r="J19" s="135">
        <v>11.4</v>
      </c>
      <c r="K19" s="134">
        <f>'Consommation mensuel énergie'!D27</f>
        <v>0</v>
      </c>
      <c r="L19" s="134">
        <f>'Consommation mensuel énergie'!E27</f>
        <v>0</v>
      </c>
      <c r="M19" s="136" t="e">
        <f>E19*F19+G19*H19+#REF!*#REF!+I19*J19</f>
        <v>#REF!</v>
      </c>
    </row>
    <row r="20" spans="1:13">
      <c r="A20" s="131" t="s">
        <v>13</v>
      </c>
      <c r="B20" s="132">
        <f t="shared" si="0"/>
        <v>19</v>
      </c>
      <c r="C20" s="132">
        <v>11</v>
      </c>
      <c r="D20" s="133">
        <v>2022</v>
      </c>
      <c r="E20" s="134">
        <f>submetering!E20+submetering!F20+submetering!G20</f>
        <v>0</v>
      </c>
      <c r="F20" s="135">
        <v>1.05</v>
      </c>
      <c r="G20" s="135">
        <f>'Consommation mensuel énergie'!V28</f>
        <v>0</v>
      </c>
      <c r="H20" s="135">
        <v>12.24</v>
      </c>
      <c r="I20" s="135">
        <f>'Consommation mensuel énergie'!F28</f>
        <v>0</v>
      </c>
      <c r="J20" s="135">
        <v>11.4</v>
      </c>
      <c r="K20" s="134">
        <f>'Consommation mensuel énergie'!D28</f>
        <v>0</v>
      </c>
      <c r="L20" s="134">
        <f>'Consommation mensuel énergie'!E28</f>
        <v>0</v>
      </c>
      <c r="M20" s="136" t="e">
        <f>E20*F20+G20*H20+#REF!*#REF!+I20*J20</f>
        <v>#REF!</v>
      </c>
    </row>
    <row r="21" spans="1:13">
      <c r="A21" s="131" t="s">
        <v>13</v>
      </c>
      <c r="B21" s="132">
        <f t="shared" si="0"/>
        <v>20</v>
      </c>
      <c r="C21" s="132">
        <v>11</v>
      </c>
      <c r="D21" s="133">
        <v>2022</v>
      </c>
      <c r="E21" s="134">
        <f>submetering!E21+submetering!F21+submetering!G21</f>
        <v>0</v>
      </c>
      <c r="F21" s="135">
        <v>1.05</v>
      </c>
      <c r="G21" s="135">
        <f>'Consommation mensuel énergie'!V29</f>
        <v>0</v>
      </c>
      <c r="H21" s="135">
        <v>12.24</v>
      </c>
      <c r="I21" s="135">
        <f>'Consommation mensuel énergie'!F29</f>
        <v>0</v>
      </c>
      <c r="J21" s="135">
        <v>11.4</v>
      </c>
      <c r="K21" s="134">
        <f>'Consommation mensuel énergie'!D29</f>
        <v>0</v>
      </c>
      <c r="L21" s="134">
        <f>'Consommation mensuel énergie'!E29</f>
        <v>0</v>
      </c>
      <c r="M21" s="136" t="e">
        <f>E21*F21+G21*H21+#REF!*#REF!+I21*J21</f>
        <v>#REF!</v>
      </c>
    </row>
    <row r="22" spans="1:13">
      <c r="A22" s="131" t="s">
        <v>13</v>
      </c>
      <c r="B22" s="132">
        <f t="shared" si="0"/>
        <v>21</v>
      </c>
      <c r="C22" s="132">
        <v>11</v>
      </c>
      <c r="D22" s="133">
        <v>2022</v>
      </c>
      <c r="E22" s="134">
        <f>submetering!E22+submetering!F22+submetering!G22</f>
        <v>0</v>
      </c>
      <c r="F22" s="135">
        <v>1.05</v>
      </c>
      <c r="G22" s="135">
        <f>'Consommation mensuel énergie'!V30</f>
        <v>0</v>
      </c>
      <c r="H22" s="135">
        <v>12.24</v>
      </c>
      <c r="I22" s="135">
        <f>'Consommation mensuel énergie'!F30</f>
        <v>0</v>
      </c>
      <c r="J22" s="135">
        <v>11.4</v>
      </c>
      <c r="K22" s="134">
        <f>'Consommation mensuel énergie'!D30</f>
        <v>0</v>
      </c>
      <c r="L22" s="134">
        <f>'Consommation mensuel énergie'!E30</f>
        <v>0</v>
      </c>
      <c r="M22" s="136" t="e">
        <f>E22*F22+G22*H22+#REF!*#REF!+I22*J22</f>
        <v>#REF!</v>
      </c>
    </row>
    <row r="23" spans="1:13">
      <c r="A23" s="131" t="s">
        <v>13</v>
      </c>
      <c r="B23" s="132">
        <f t="shared" si="0"/>
        <v>22</v>
      </c>
      <c r="C23" s="132">
        <v>11</v>
      </c>
      <c r="D23" s="133">
        <v>2022</v>
      </c>
      <c r="E23" s="134">
        <f>submetering!E23+submetering!F23+submetering!G23</f>
        <v>0</v>
      </c>
      <c r="F23" s="135">
        <v>1.05</v>
      </c>
      <c r="G23" s="135">
        <f>'Consommation mensuel énergie'!V31</f>
        <v>0</v>
      </c>
      <c r="H23" s="135">
        <v>12.24</v>
      </c>
      <c r="I23" s="135">
        <f>'Consommation mensuel énergie'!F31</f>
        <v>0</v>
      </c>
      <c r="J23" s="135">
        <v>11.4</v>
      </c>
      <c r="K23" s="134">
        <f>'Consommation mensuel énergie'!D31</f>
        <v>0</v>
      </c>
      <c r="L23" s="134">
        <f>'Consommation mensuel énergie'!E31</f>
        <v>0</v>
      </c>
      <c r="M23" s="136" t="e">
        <f>E23*F23+G23*H23+#REF!*#REF!+I23*J23</f>
        <v>#REF!</v>
      </c>
    </row>
    <row r="24" spans="1:13">
      <c r="A24" s="131" t="s">
        <v>13</v>
      </c>
      <c r="B24" s="132">
        <f t="shared" si="0"/>
        <v>23</v>
      </c>
      <c r="C24" s="132">
        <v>11</v>
      </c>
      <c r="D24" s="133">
        <v>2022</v>
      </c>
      <c r="E24" s="134">
        <f>submetering!E24+submetering!F24+submetering!G24</f>
        <v>0</v>
      </c>
      <c r="F24" s="135">
        <v>1.05</v>
      </c>
      <c r="G24" s="135">
        <f>'Consommation mensuel énergie'!V32</f>
        <v>0</v>
      </c>
      <c r="H24" s="135">
        <v>12.24</v>
      </c>
      <c r="I24" s="135">
        <f>'Consommation mensuel énergie'!F32</f>
        <v>0</v>
      </c>
      <c r="J24" s="135">
        <v>11.4</v>
      </c>
      <c r="K24" s="134">
        <f>'Consommation mensuel énergie'!D32</f>
        <v>0</v>
      </c>
      <c r="L24" s="134">
        <f>'Consommation mensuel énergie'!E32</f>
        <v>0</v>
      </c>
      <c r="M24" s="136" t="e">
        <f>E24*F24+G24*H24+#REF!*#REF!+I24*J24</f>
        <v>#REF!</v>
      </c>
    </row>
    <row r="25" spans="1:13">
      <c r="A25" s="131" t="s">
        <v>13</v>
      </c>
      <c r="B25" s="132">
        <f t="shared" si="0"/>
        <v>24</v>
      </c>
      <c r="C25" s="132">
        <v>11</v>
      </c>
      <c r="D25" s="133">
        <v>2022</v>
      </c>
      <c r="E25" s="134">
        <f>submetering!E25+submetering!F25+submetering!G25</f>
        <v>0</v>
      </c>
      <c r="F25" s="135">
        <v>1.05</v>
      </c>
      <c r="G25" s="135">
        <f>'Consommation mensuel énergie'!V33</f>
        <v>0</v>
      </c>
      <c r="H25" s="135">
        <v>12.24</v>
      </c>
      <c r="I25" s="135">
        <f>'Consommation mensuel énergie'!F33</f>
        <v>0</v>
      </c>
      <c r="J25" s="135">
        <v>11.4</v>
      </c>
      <c r="K25" s="134">
        <f>'Consommation mensuel énergie'!D33</f>
        <v>0</v>
      </c>
      <c r="L25" s="134">
        <f>'Consommation mensuel énergie'!E33</f>
        <v>0</v>
      </c>
      <c r="M25" s="136" t="e">
        <f>E25*F25+G25*H25+#REF!*#REF!+I25*J25</f>
        <v>#REF!</v>
      </c>
    </row>
    <row r="26" spans="1:13">
      <c r="A26" s="131" t="s">
        <v>13</v>
      </c>
      <c r="B26" s="132">
        <f>B25+1</f>
        <v>25</v>
      </c>
      <c r="C26" s="132">
        <v>11</v>
      </c>
      <c r="D26" s="133">
        <v>2022</v>
      </c>
      <c r="E26" s="134">
        <f>submetering!E26+submetering!F26+submetering!G26</f>
        <v>0</v>
      </c>
      <c r="F26" s="135">
        <v>1.05</v>
      </c>
      <c r="G26" s="135">
        <f>'Consommation mensuel énergie'!V34</f>
        <v>0</v>
      </c>
      <c r="H26" s="135">
        <v>12.24</v>
      </c>
      <c r="I26" s="135">
        <f>'Consommation mensuel énergie'!F34</f>
        <v>0</v>
      </c>
      <c r="J26" s="135">
        <v>11.4</v>
      </c>
      <c r="K26" s="134">
        <f>'Consommation mensuel énergie'!D34</f>
        <v>0</v>
      </c>
      <c r="L26" s="134">
        <f>'Consommation mensuel énergie'!E34</f>
        <v>0</v>
      </c>
      <c r="M26" s="136" t="e">
        <f>E26*F26+G26*H26+#REF!*#REF!+I26*J26</f>
        <v>#REF!</v>
      </c>
    </row>
    <row r="27" spans="1:13">
      <c r="A27" s="131" t="s">
        <v>13</v>
      </c>
      <c r="B27" s="132">
        <f t="shared" ref="B27:B31" si="1">B26+1</f>
        <v>26</v>
      </c>
      <c r="C27" s="132">
        <v>11</v>
      </c>
      <c r="D27" s="133">
        <v>2022</v>
      </c>
      <c r="E27" s="134">
        <f>submetering!E27+submetering!F27+submetering!G27</f>
        <v>0</v>
      </c>
      <c r="F27" s="135">
        <v>1.05</v>
      </c>
      <c r="G27" s="135">
        <f>'Consommation mensuel énergie'!V35</f>
        <v>0</v>
      </c>
      <c r="H27" s="135">
        <v>12.24</v>
      </c>
      <c r="I27" s="135">
        <f>'Consommation mensuel énergie'!F35</f>
        <v>0</v>
      </c>
      <c r="J27" s="135">
        <v>11.4</v>
      </c>
      <c r="K27" s="134">
        <f>'Consommation mensuel énergie'!D35</f>
        <v>0</v>
      </c>
      <c r="L27" s="134">
        <f>'Consommation mensuel énergie'!E35</f>
        <v>0</v>
      </c>
      <c r="M27" s="136"/>
    </row>
    <row r="28" spans="1:13">
      <c r="A28" s="131" t="s">
        <v>13</v>
      </c>
      <c r="B28" s="132">
        <f t="shared" si="1"/>
        <v>27</v>
      </c>
      <c r="C28" s="132">
        <v>11</v>
      </c>
      <c r="D28" s="133">
        <v>2022</v>
      </c>
      <c r="E28" s="134">
        <f>submetering!E28+submetering!F28+submetering!G28</f>
        <v>0</v>
      </c>
      <c r="F28" s="135">
        <v>1.05</v>
      </c>
      <c r="G28" s="135">
        <f>'Consommation mensuel énergie'!V36</f>
        <v>0</v>
      </c>
      <c r="H28" s="135">
        <v>12.24</v>
      </c>
      <c r="I28" s="135">
        <f>'Consommation mensuel énergie'!F36</f>
        <v>0</v>
      </c>
      <c r="J28" s="135">
        <v>11.4</v>
      </c>
      <c r="K28" s="134">
        <f>'Consommation mensuel énergie'!D36</f>
        <v>0</v>
      </c>
      <c r="L28" s="134">
        <f>'Consommation mensuel énergie'!E36</f>
        <v>0</v>
      </c>
      <c r="M28" s="136"/>
    </row>
    <row r="29" spans="1:13">
      <c r="A29" s="131" t="s">
        <v>13</v>
      </c>
      <c r="B29" s="132">
        <f t="shared" si="1"/>
        <v>28</v>
      </c>
      <c r="C29" s="132">
        <v>11</v>
      </c>
      <c r="D29" s="133">
        <v>2022</v>
      </c>
      <c r="E29" s="134">
        <f>submetering!E29+submetering!F29+submetering!G29</f>
        <v>0</v>
      </c>
      <c r="F29" s="135">
        <v>1.05</v>
      </c>
      <c r="G29" s="135">
        <f>'Consommation mensuel énergie'!V37</f>
        <v>0</v>
      </c>
      <c r="H29" s="135">
        <v>12.24</v>
      </c>
      <c r="I29" s="135">
        <f>'Consommation mensuel énergie'!F37</f>
        <v>0</v>
      </c>
      <c r="J29" s="135">
        <v>11.4</v>
      </c>
      <c r="K29" s="134">
        <f>'Consommation mensuel énergie'!D37</f>
        <v>0</v>
      </c>
      <c r="L29" s="134">
        <f>'Consommation mensuel énergie'!E37</f>
        <v>0</v>
      </c>
      <c r="M29" s="136"/>
    </row>
    <row r="30" spans="1:13">
      <c r="A30" s="131" t="s">
        <v>13</v>
      </c>
      <c r="B30" s="132">
        <f t="shared" si="1"/>
        <v>29</v>
      </c>
      <c r="C30" s="132">
        <v>11</v>
      </c>
      <c r="D30" s="133">
        <v>2022</v>
      </c>
      <c r="E30" s="134">
        <f>submetering!E30+submetering!F30+submetering!G30</f>
        <v>0</v>
      </c>
      <c r="F30" s="135">
        <v>1.05</v>
      </c>
      <c r="G30" s="135">
        <f>'Consommation mensuel énergie'!V38</f>
        <v>0</v>
      </c>
      <c r="H30" s="135">
        <v>12.24</v>
      </c>
      <c r="I30" s="135">
        <f>'Consommation mensuel énergie'!F38</f>
        <v>0</v>
      </c>
      <c r="J30" s="135">
        <v>11.4</v>
      </c>
      <c r="K30" s="134">
        <f>'Consommation mensuel énergie'!D38</f>
        <v>0</v>
      </c>
      <c r="L30" s="134">
        <f>'Consommation mensuel énergie'!E38</f>
        <v>0</v>
      </c>
      <c r="M30" s="136"/>
    </row>
    <row r="31" spans="1:13">
      <c r="A31" s="131" t="s">
        <v>13</v>
      </c>
      <c r="B31" s="132">
        <f t="shared" si="1"/>
        <v>30</v>
      </c>
      <c r="C31" s="132">
        <v>11</v>
      </c>
      <c r="D31" s="133">
        <v>2022</v>
      </c>
      <c r="E31" s="134">
        <f>submetering!E31+submetering!F31+submetering!G31</f>
        <v>0</v>
      </c>
      <c r="F31" s="135">
        <v>1.05</v>
      </c>
      <c r="G31" s="135">
        <f>'Consommation mensuel énergie'!V39</f>
        <v>0</v>
      </c>
      <c r="H31" s="135">
        <v>12.24</v>
      </c>
      <c r="I31" s="135">
        <f>'Consommation mensuel énergie'!F39</f>
        <v>0</v>
      </c>
      <c r="J31" s="135">
        <v>11.4</v>
      </c>
      <c r="K31" s="134">
        <f>'Consommation mensuel énergie'!D39</f>
        <v>0</v>
      </c>
      <c r="L31" s="134">
        <f>'Consommation mensuel énergie'!E39</f>
        <v>0</v>
      </c>
      <c r="M31" s="136"/>
    </row>
    <row r="32" spans="1:13">
      <c r="A32" s="131"/>
      <c r="F32" s="135"/>
      <c r="G32" s="135"/>
      <c r="H32" s="135"/>
      <c r="I32" s="135"/>
      <c r="J32" s="135"/>
      <c r="M32" s="136"/>
    </row>
    <row r="33" spans="1:13">
      <c r="A33" s="131"/>
      <c r="F33" s="135"/>
      <c r="G33" s="135"/>
      <c r="H33" s="135"/>
      <c r="I33" s="135"/>
      <c r="J33" s="135"/>
      <c r="M33" s="136"/>
    </row>
    <row r="34" spans="1:13">
      <c r="F34" s="135"/>
      <c r="G34" s="135"/>
      <c r="H34" s="135"/>
      <c r="I34" s="135"/>
      <c r="J34" s="135"/>
    </row>
    <row r="35" spans="1:13">
      <c r="F35" s="135"/>
      <c r="G35" s="135"/>
      <c r="H35" s="135"/>
      <c r="I35" s="135"/>
      <c r="J35" s="135"/>
    </row>
    <row r="36" spans="1:13">
      <c r="F36" s="135"/>
      <c r="G36" s="135"/>
      <c r="H36" s="135"/>
      <c r="I36" s="135"/>
      <c r="J36" s="135"/>
    </row>
    <row r="37" spans="1:13">
      <c r="F37" s="135"/>
      <c r="G37" s="135"/>
      <c r="H37" s="135"/>
      <c r="I37" s="135"/>
      <c r="J37" s="135"/>
    </row>
    <row r="38" spans="1:13">
      <c r="F38" s="135"/>
      <c r="G38" s="135"/>
      <c r="H38" s="135"/>
      <c r="I38" s="135"/>
      <c r="J38" s="135"/>
    </row>
    <row r="39" spans="1:13">
      <c r="F39" s="135"/>
      <c r="G39" s="135"/>
      <c r="H39" s="135"/>
      <c r="I39" s="135"/>
      <c r="J39" s="135"/>
    </row>
    <row r="40" spans="1:13">
      <c r="F40" s="135"/>
      <c r="G40" s="135"/>
      <c r="H40" s="135"/>
      <c r="I40" s="135"/>
      <c r="J40" s="13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F2" sqref="F2"/>
    </sheetView>
  </sheetViews>
  <sheetFormatPr defaultColWidth="8.85546875" defaultRowHeight="12.75"/>
  <cols>
    <col min="1" max="1" width="12.42578125" style="8" customWidth="1"/>
    <col min="2" max="3" width="8.85546875" style="48" customWidth="1"/>
    <col min="4" max="4" width="13.42578125" style="49" customWidth="1"/>
    <col min="5" max="6" width="12.5703125" style="8" customWidth="1"/>
    <col min="7" max="7" width="8.85546875" style="8" customWidth="1"/>
    <col min="8" max="9" width="8.85546875" customWidth="1"/>
    <col min="10" max="10" width="0" hidden="1" customWidth="1"/>
  </cols>
  <sheetData>
    <row r="1" spans="1:10" s="26" customFormat="1" ht="45.75" thickBot="1">
      <c r="A1" s="43" t="s">
        <v>0</v>
      </c>
      <c r="B1" s="46" t="s">
        <v>1</v>
      </c>
      <c r="C1" s="46" t="s">
        <v>2</v>
      </c>
      <c r="D1" s="47" t="s">
        <v>3</v>
      </c>
      <c r="E1" s="50" t="s">
        <v>14</v>
      </c>
      <c r="F1" s="50" t="s">
        <v>15</v>
      </c>
      <c r="G1" s="50" t="s">
        <v>16</v>
      </c>
      <c r="H1" s="39" t="s">
        <v>10</v>
      </c>
      <c r="I1" s="39" t="s">
        <v>11</v>
      </c>
      <c r="J1" s="40" t="s">
        <v>12</v>
      </c>
    </row>
    <row r="2" spans="1:10">
      <c r="A2" s="44" t="s">
        <v>13</v>
      </c>
      <c r="B2" s="48">
        <v>1</v>
      </c>
      <c r="C2" s="48">
        <v>11</v>
      </c>
      <c r="D2" s="49">
        <v>2022</v>
      </c>
      <c r="E2" s="45">
        <f>'Consommation mensuel énergie'!L10</f>
        <v>4848</v>
      </c>
      <c r="F2" s="45">
        <f>'Consommation mensuel énergie'!M10</f>
        <v>8006</v>
      </c>
      <c r="G2" s="45">
        <f>'Consommation mensuel énergie'!N10</f>
        <v>4201</v>
      </c>
      <c r="H2" s="45">
        <f>'Consommation mensuel énergie'!D10</f>
        <v>119</v>
      </c>
      <c r="I2" s="45">
        <f>'Consommation mensuel énergie'!E10</f>
        <v>174</v>
      </c>
      <c r="J2" s="41" t="e">
        <f>E2*F2+G2*#REF!+#REF!*#REF!+#REF!*#REF!</f>
        <v>#REF!</v>
      </c>
    </row>
    <row r="3" spans="1:10">
      <c r="A3" s="44" t="s">
        <v>13</v>
      </c>
      <c r="B3" s="48">
        <f>B2+1</f>
        <v>2</v>
      </c>
      <c r="C3" s="48">
        <v>11</v>
      </c>
      <c r="D3" s="49">
        <v>2022</v>
      </c>
      <c r="E3" s="45">
        <f>'Consommation mensuel énergie'!L11</f>
        <v>4678</v>
      </c>
      <c r="F3" s="45">
        <f>'Consommation mensuel énergie'!M11</f>
        <v>7492</v>
      </c>
      <c r="G3" s="45">
        <f>'Consommation mensuel énergie'!N14</f>
        <v>3989</v>
      </c>
      <c r="H3" s="45">
        <f>'Consommation mensuel énergie'!D11</f>
        <v>135</v>
      </c>
      <c r="I3" s="45">
        <f>'Consommation mensuel énergie'!E11</f>
        <v>199</v>
      </c>
      <c r="J3" s="41" t="e">
        <f>E3*F3+G3*#REF!+#REF!*#REF!+#REF!*#REF!</f>
        <v>#REF!</v>
      </c>
    </row>
    <row r="4" spans="1:10">
      <c r="A4" s="44" t="s">
        <v>13</v>
      </c>
      <c r="B4" s="48">
        <f t="shared" ref="B4:B25" si="0">B3+1</f>
        <v>3</v>
      </c>
      <c r="C4" s="48">
        <v>11</v>
      </c>
      <c r="D4" s="49">
        <v>2022</v>
      </c>
      <c r="E4" s="45">
        <f>'Consommation mensuel énergie'!L12</f>
        <v>4725</v>
      </c>
      <c r="F4" s="45">
        <f>'Consommation mensuel énergie'!M12</f>
        <v>7168</v>
      </c>
      <c r="G4" s="45">
        <f>'Consommation mensuel énergie'!N12</f>
        <v>3555</v>
      </c>
      <c r="H4" s="45">
        <f>'Consommation mensuel énergie'!D12</f>
        <v>143</v>
      </c>
      <c r="I4" s="45">
        <f>'Consommation mensuel énergie'!E12</f>
        <v>208</v>
      </c>
      <c r="J4" s="41" t="e">
        <f>E4*F4+G4*#REF!+#REF!*#REF!+#REF!*#REF!</f>
        <v>#REF!</v>
      </c>
    </row>
    <row r="5" spans="1:10">
      <c r="A5" s="44" t="s">
        <v>13</v>
      </c>
      <c r="B5" s="48">
        <f t="shared" si="0"/>
        <v>4</v>
      </c>
      <c r="C5" s="48">
        <v>11</v>
      </c>
      <c r="D5" s="49">
        <v>2022</v>
      </c>
      <c r="E5" s="45">
        <f>'Consommation mensuel énergie'!L13</f>
        <v>5622</v>
      </c>
      <c r="F5" s="45">
        <f>'Consommation mensuel énergie'!M13</f>
        <v>7780</v>
      </c>
      <c r="G5" s="45">
        <f>'Consommation mensuel énergie'!N13</f>
        <v>3878</v>
      </c>
      <c r="H5" s="45">
        <f>'Consommation mensuel énergie'!D13</f>
        <v>105</v>
      </c>
      <c r="I5" s="45">
        <f>'Consommation mensuel énergie'!E13</f>
        <v>159</v>
      </c>
      <c r="J5" s="41" t="e">
        <f>E5*F5+G5*#REF!+#REF!*#REF!+#REF!*#REF!</f>
        <v>#REF!</v>
      </c>
    </row>
    <row r="6" spans="1:10">
      <c r="A6" s="44" t="s">
        <v>13</v>
      </c>
      <c r="B6" s="48">
        <f t="shared" si="0"/>
        <v>5</v>
      </c>
      <c r="C6" s="48">
        <v>11</v>
      </c>
      <c r="D6" s="49">
        <v>2022</v>
      </c>
      <c r="E6" s="45">
        <f>'Consommation mensuel énergie'!L14</f>
        <v>6396</v>
      </c>
      <c r="F6" s="45">
        <f>'Consommation mensuel énergie'!M14</f>
        <v>7678</v>
      </c>
      <c r="G6" s="45">
        <f>'Consommation mensuel énergie'!N14</f>
        <v>3989</v>
      </c>
      <c r="H6" s="45">
        <f>'Consommation mensuel énergie'!D14</f>
        <v>112</v>
      </c>
      <c r="I6" s="45">
        <f>'Consommation mensuel énergie'!E14</f>
        <v>171</v>
      </c>
      <c r="J6" s="41" t="e">
        <f>E6*F6+G6*#REF!+#REF!*#REF!+#REF!*#REF!</f>
        <v>#REF!</v>
      </c>
    </row>
    <row r="7" spans="1:10">
      <c r="A7" s="44" t="s">
        <v>13</v>
      </c>
      <c r="B7" s="48">
        <f t="shared" si="0"/>
        <v>6</v>
      </c>
      <c r="C7" s="48">
        <v>11</v>
      </c>
      <c r="D7" s="49">
        <v>2022</v>
      </c>
      <c r="E7" s="45">
        <f>'Consommation mensuel énergie'!L15</f>
        <v>3969</v>
      </c>
      <c r="F7" s="45">
        <f>'Consommation mensuel énergie'!M15</f>
        <v>7526</v>
      </c>
      <c r="G7" s="45">
        <f>'Consommation mensuel énergie'!N15</f>
        <v>3643</v>
      </c>
      <c r="H7" s="45">
        <f>'Consommation mensuel énergie'!D15</f>
        <v>135</v>
      </c>
      <c r="I7" s="45">
        <f>'Consommation mensuel énergie'!E15</f>
        <v>184</v>
      </c>
      <c r="J7" s="41" t="e">
        <f>E7*F7+G7*#REF!+#REF!*#REF!+#REF!*#REF!</f>
        <v>#REF!</v>
      </c>
    </row>
    <row r="8" spans="1:10">
      <c r="A8" s="44" t="s">
        <v>13</v>
      </c>
      <c r="B8" s="48">
        <f t="shared" si="0"/>
        <v>7</v>
      </c>
      <c r="C8" s="48">
        <v>11</v>
      </c>
      <c r="D8" s="49">
        <v>2022</v>
      </c>
      <c r="E8" s="45">
        <f>'Consommation mensuel énergie'!L16</f>
        <v>4922</v>
      </c>
      <c r="F8" s="45">
        <f>'Consommation mensuel énergie'!M16</f>
        <v>7333</v>
      </c>
      <c r="G8" s="45">
        <f>'Consommation mensuel énergie'!N16</f>
        <v>3510</v>
      </c>
      <c r="H8" s="45">
        <f>'Consommation mensuel énergie'!D16</f>
        <v>123</v>
      </c>
      <c r="I8" s="45">
        <f>'Consommation mensuel énergie'!E16</f>
        <v>168</v>
      </c>
      <c r="J8" s="41" t="e">
        <f>E8*F8+G8*#REF!+#REF!*#REF!+#REF!*#REF!</f>
        <v>#REF!</v>
      </c>
    </row>
    <row r="9" spans="1:10">
      <c r="A9" s="44" t="s">
        <v>13</v>
      </c>
      <c r="B9" s="48">
        <f t="shared" si="0"/>
        <v>8</v>
      </c>
      <c r="C9" s="48">
        <v>11</v>
      </c>
      <c r="D9" s="49">
        <v>2022</v>
      </c>
      <c r="E9" s="45">
        <f>'Consommation mensuel énergie'!L17</f>
        <v>4606</v>
      </c>
      <c r="F9" s="45">
        <f>'Consommation mensuel énergie'!M17</f>
        <v>7868</v>
      </c>
      <c r="G9" s="45">
        <f>'Consommation mensuel énergie'!N17</f>
        <v>3953</v>
      </c>
      <c r="H9" s="45">
        <f>'Consommation mensuel énergie'!D17</f>
        <v>108</v>
      </c>
      <c r="I9" s="45">
        <f>'Consommation mensuel énergie'!E17</f>
        <v>138</v>
      </c>
      <c r="J9" s="41" t="e">
        <f>E9*F9+G9*#REF!+#REF!*#REF!+#REF!*#REF!</f>
        <v>#REF!</v>
      </c>
    </row>
    <row r="10" spans="1:10">
      <c r="A10" s="44" t="s">
        <v>13</v>
      </c>
      <c r="B10" s="48">
        <f t="shared" si="0"/>
        <v>9</v>
      </c>
      <c r="C10" s="48">
        <v>11</v>
      </c>
      <c r="D10" s="49">
        <v>2022</v>
      </c>
      <c r="E10" s="45">
        <f>'Consommation mensuel énergie'!L18</f>
        <v>4956</v>
      </c>
      <c r="F10" s="45">
        <f>'Consommation mensuel énergie'!M18</f>
        <v>7526</v>
      </c>
      <c r="G10" s="45">
        <f>'Consommation mensuel énergie'!N18</f>
        <v>3154</v>
      </c>
      <c r="H10" s="45">
        <f>'Consommation mensuel énergie'!D18</f>
        <v>0</v>
      </c>
      <c r="I10" s="45">
        <f>'Consommation mensuel énergie'!E18</f>
        <v>0</v>
      </c>
      <c r="J10" s="41" t="e">
        <f>E10*F10+G10*#REF!+#REF!*#REF!+#REF!*#REF!</f>
        <v>#REF!</v>
      </c>
    </row>
    <row r="11" spans="1:10">
      <c r="A11" s="44" t="s">
        <v>13</v>
      </c>
      <c r="B11" s="48">
        <f t="shared" si="0"/>
        <v>10</v>
      </c>
      <c r="C11" s="48">
        <v>11</v>
      </c>
      <c r="D11" s="49">
        <v>2022</v>
      </c>
      <c r="E11" s="45">
        <f>'Consommation mensuel énergie'!L19</f>
        <v>4280</v>
      </c>
      <c r="F11" s="45">
        <f>'Consommation mensuel énergie'!M19</f>
        <v>7515</v>
      </c>
      <c r="G11" s="45">
        <f>'Consommation mensuel énergie'!N19</f>
        <v>3502</v>
      </c>
      <c r="H11" s="45">
        <f>'Consommation mensuel énergie'!D19</f>
        <v>0</v>
      </c>
      <c r="I11" s="45">
        <f>'Consommation mensuel énergie'!E19</f>
        <v>0</v>
      </c>
      <c r="J11" s="41" t="e">
        <f>E11*F11+G11*#REF!+#REF!*#REF!+#REF!*#REF!</f>
        <v>#REF!</v>
      </c>
    </row>
    <row r="12" spans="1:10">
      <c r="A12" s="44" t="s">
        <v>13</v>
      </c>
      <c r="B12" s="48">
        <f t="shared" si="0"/>
        <v>11</v>
      </c>
      <c r="C12" s="48">
        <v>11</v>
      </c>
      <c r="D12" s="49">
        <v>2022</v>
      </c>
      <c r="E12" s="45">
        <f>'Consommation mensuel énergie'!L20</f>
        <v>4982</v>
      </c>
      <c r="F12" s="45">
        <f>'Consommation mensuel énergie'!M20</f>
        <v>6856</v>
      </c>
      <c r="G12" s="45">
        <f>'Consommation mensuel énergie'!N20</f>
        <v>3603</v>
      </c>
      <c r="H12" s="45">
        <f>'Consommation mensuel énergie'!D20</f>
        <v>0</v>
      </c>
      <c r="I12" s="45">
        <f>'Consommation mensuel énergie'!E20</f>
        <v>0</v>
      </c>
      <c r="J12" s="41" t="e">
        <f>E12*F12+G12*#REF!+#REF!*#REF!+#REF!*#REF!</f>
        <v>#REF!</v>
      </c>
    </row>
    <row r="13" spans="1:10">
      <c r="A13" s="44" t="s">
        <v>13</v>
      </c>
      <c r="B13" s="48">
        <f t="shared" si="0"/>
        <v>12</v>
      </c>
      <c r="C13" s="48">
        <v>11</v>
      </c>
      <c r="D13" s="49">
        <v>2022</v>
      </c>
      <c r="E13" s="45">
        <f>'Consommation mensuel énergie'!L21</f>
        <v>4629</v>
      </c>
      <c r="F13" s="45">
        <f>'Consommation mensuel énergie'!M21</f>
        <v>8007</v>
      </c>
      <c r="G13" s="45">
        <f>'Consommation mensuel énergie'!N21</f>
        <v>3642</v>
      </c>
      <c r="H13" s="45">
        <f>'Consommation mensuel énergie'!D21</f>
        <v>0</v>
      </c>
      <c r="I13" s="45">
        <f>'Consommation mensuel énergie'!E21</f>
        <v>0</v>
      </c>
      <c r="J13" s="41" t="e">
        <f>E13*F13+G13*#REF!+#REF!*#REF!+#REF!*#REF!</f>
        <v>#REF!</v>
      </c>
    </row>
    <row r="14" spans="1:10">
      <c r="A14" s="44" t="s">
        <v>13</v>
      </c>
      <c r="B14" s="48">
        <f t="shared" si="0"/>
        <v>13</v>
      </c>
      <c r="C14" s="48">
        <v>11</v>
      </c>
      <c r="D14" s="49">
        <v>2022</v>
      </c>
      <c r="E14" s="45">
        <f>'Consommation mensuel énergie'!L22</f>
        <v>4953</v>
      </c>
      <c r="F14" s="45">
        <f>'Consommation mensuel énergie'!M22</f>
        <v>7149</v>
      </c>
      <c r="G14" s="45">
        <f>'Consommation mensuel énergie'!N22</f>
        <v>3450</v>
      </c>
      <c r="H14" s="45">
        <f>'Consommation mensuel énergie'!D22</f>
        <v>0</v>
      </c>
      <c r="I14" s="45">
        <f>'Consommation mensuel énergie'!E22</f>
        <v>0</v>
      </c>
      <c r="J14" s="41" t="e">
        <f>E14*F14+G14*#REF!+#REF!*#REF!+#REF!*#REF!</f>
        <v>#REF!</v>
      </c>
    </row>
    <row r="15" spans="1:10">
      <c r="A15" s="44" t="s">
        <v>13</v>
      </c>
      <c r="B15" s="48">
        <f t="shared" si="0"/>
        <v>14</v>
      </c>
      <c r="C15" s="48">
        <v>11</v>
      </c>
      <c r="D15" s="49">
        <v>2022</v>
      </c>
      <c r="E15" s="45">
        <f>'Consommation mensuel énergie'!L23</f>
        <v>4378</v>
      </c>
      <c r="F15" s="45">
        <f>'Consommation mensuel énergie'!M23</f>
        <v>6780</v>
      </c>
      <c r="G15" s="45">
        <f>'Consommation mensuel énergie'!N23</f>
        <v>3510</v>
      </c>
      <c r="H15" s="45">
        <f>'Consommation mensuel énergie'!D23</f>
        <v>0</v>
      </c>
      <c r="I15" s="45">
        <f>'Consommation mensuel énergie'!E23</f>
        <v>0</v>
      </c>
      <c r="J15" s="41" t="e">
        <f>E15*F15+G15*#REF!+#REF!*#REF!+#REF!*#REF!</f>
        <v>#REF!</v>
      </c>
    </row>
    <row r="16" spans="1:10">
      <c r="A16" s="44" t="s">
        <v>13</v>
      </c>
      <c r="B16" s="48">
        <f t="shared" si="0"/>
        <v>15</v>
      </c>
      <c r="C16" s="48">
        <v>11</v>
      </c>
      <c r="D16" s="49">
        <v>2022</v>
      </c>
      <c r="E16" s="45">
        <f>'Consommation mensuel énergie'!L24</f>
        <v>0</v>
      </c>
      <c r="F16" s="45">
        <f>'Consommation mensuel énergie'!M24</f>
        <v>0</v>
      </c>
      <c r="G16" s="45">
        <f>'Consommation mensuel énergie'!N24</f>
        <v>0</v>
      </c>
      <c r="H16" s="45">
        <f>'Consommation mensuel énergie'!D24</f>
        <v>0</v>
      </c>
      <c r="I16" s="45">
        <f>'Consommation mensuel énergie'!E24</f>
        <v>0</v>
      </c>
      <c r="J16" s="41" t="e">
        <f>E16*F16+G16*#REF!+#REF!*#REF!+#REF!*#REF!</f>
        <v>#REF!</v>
      </c>
    </row>
    <row r="17" spans="1:10">
      <c r="A17" s="44" t="s">
        <v>13</v>
      </c>
      <c r="B17" s="48">
        <f t="shared" si="0"/>
        <v>16</v>
      </c>
      <c r="C17" s="48">
        <v>11</v>
      </c>
      <c r="D17" s="49">
        <v>2022</v>
      </c>
      <c r="E17" s="45">
        <f>'Consommation mensuel énergie'!L25</f>
        <v>0</v>
      </c>
      <c r="F17" s="45">
        <f>'Consommation mensuel énergie'!M25</f>
        <v>0</v>
      </c>
      <c r="G17" s="45">
        <f>'Consommation mensuel énergie'!N25</f>
        <v>0</v>
      </c>
      <c r="H17" s="45">
        <f>'Consommation mensuel énergie'!D25</f>
        <v>0</v>
      </c>
      <c r="I17" s="45">
        <f>'Consommation mensuel énergie'!E25</f>
        <v>0</v>
      </c>
      <c r="J17" s="41" t="e">
        <f>E17*F17+G17*#REF!+#REF!*#REF!+#REF!*#REF!</f>
        <v>#REF!</v>
      </c>
    </row>
    <row r="18" spans="1:10">
      <c r="A18" s="44" t="s">
        <v>13</v>
      </c>
      <c r="B18" s="48">
        <f t="shared" si="0"/>
        <v>17</v>
      </c>
      <c r="C18" s="48">
        <v>11</v>
      </c>
      <c r="D18" s="49">
        <v>2022</v>
      </c>
      <c r="E18" s="45">
        <f>'Consommation mensuel énergie'!L26</f>
        <v>0</v>
      </c>
      <c r="F18" s="45">
        <f>'Consommation mensuel énergie'!M26</f>
        <v>0</v>
      </c>
      <c r="G18" s="45">
        <f>'Consommation mensuel énergie'!N26</f>
        <v>0</v>
      </c>
      <c r="H18" s="45">
        <f>'Consommation mensuel énergie'!D26</f>
        <v>0</v>
      </c>
      <c r="I18" s="45">
        <f>'Consommation mensuel énergie'!E26</f>
        <v>0</v>
      </c>
      <c r="J18" s="41" t="e">
        <f>E18*F18+G18*#REF!+#REF!*#REF!+#REF!*#REF!</f>
        <v>#REF!</v>
      </c>
    </row>
    <row r="19" spans="1:10">
      <c r="A19" s="44" t="s">
        <v>13</v>
      </c>
      <c r="B19" s="48">
        <f t="shared" si="0"/>
        <v>18</v>
      </c>
      <c r="C19" s="48">
        <v>11</v>
      </c>
      <c r="D19" s="49">
        <v>2022</v>
      </c>
      <c r="E19" s="45">
        <f>'Consommation mensuel énergie'!L27</f>
        <v>0</v>
      </c>
      <c r="F19" s="45">
        <f>'Consommation mensuel énergie'!M27</f>
        <v>0</v>
      </c>
      <c r="G19" s="45">
        <f>'Consommation mensuel énergie'!N27</f>
        <v>0</v>
      </c>
      <c r="H19" s="45">
        <f>'Consommation mensuel énergie'!D27</f>
        <v>0</v>
      </c>
      <c r="I19" s="45">
        <f>'Consommation mensuel énergie'!E27</f>
        <v>0</v>
      </c>
      <c r="J19" s="41" t="e">
        <f>E19*F19+G19*#REF!+#REF!*#REF!+#REF!*#REF!</f>
        <v>#REF!</v>
      </c>
    </row>
    <row r="20" spans="1:10">
      <c r="A20" s="44" t="s">
        <v>13</v>
      </c>
      <c r="B20" s="48">
        <f t="shared" si="0"/>
        <v>19</v>
      </c>
      <c r="C20" s="48">
        <v>11</v>
      </c>
      <c r="D20" s="49">
        <v>2022</v>
      </c>
      <c r="E20" s="45">
        <f>'Consommation mensuel énergie'!L28</f>
        <v>0</v>
      </c>
      <c r="F20" s="45">
        <f>'Consommation mensuel énergie'!M28</f>
        <v>0</v>
      </c>
      <c r="G20" s="45">
        <f>'Consommation mensuel énergie'!N28</f>
        <v>0</v>
      </c>
      <c r="H20" s="45">
        <f>'Consommation mensuel énergie'!D28</f>
        <v>0</v>
      </c>
      <c r="I20" s="45">
        <f>'Consommation mensuel énergie'!E28</f>
        <v>0</v>
      </c>
      <c r="J20" s="41" t="e">
        <f>E20*F20+G20*#REF!+#REF!*#REF!+#REF!*#REF!</f>
        <v>#REF!</v>
      </c>
    </row>
    <row r="21" spans="1:10">
      <c r="A21" s="44" t="s">
        <v>13</v>
      </c>
      <c r="B21" s="48">
        <f t="shared" si="0"/>
        <v>20</v>
      </c>
      <c r="C21" s="48">
        <v>11</v>
      </c>
      <c r="D21" s="49">
        <v>2022</v>
      </c>
      <c r="E21" s="45">
        <f>'Consommation mensuel énergie'!L29</f>
        <v>0</v>
      </c>
      <c r="F21" s="45">
        <f>'Consommation mensuel énergie'!M29</f>
        <v>0</v>
      </c>
      <c r="G21" s="45">
        <f>'Consommation mensuel énergie'!N29</f>
        <v>0</v>
      </c>
      <c r="H21" s="45">
        <f>'Consommation mensuel énergie'!D29</f>
        <v>0</v>
      </c>
      <c r="I21" s="45">
        <f>'Consommation mensuel énergie'!E29</f>
        <v>0</v>
      </c>
      <c r="J21" s="41" t="e">
        <f>E21*F21+G21*#REF!+#REF!*#REF!+#REF!*#REF!</f>
        <v>#REF!</v>
      </c>
    </row>
    <row r="22" spans="1:10">
      <c r="A22" s="44" t="s">
        <v>13</v>
      </c>
      <c r="B22" s="48">
        <f t="shared" si="0"/>
        <v>21</v>
      </c>
      <c r="C22" s="48">
        <v>11</v>
      </c>
      <c r="D22" s="49">
        <v>2022</v>
      </c>
      <c r="E22" s="45">
        <f>'Consommation mensuel énergie'!L30</f>
        <v>0</v>
      </c>
      <c r="F22" s="45">
        <f>'Consommation mensuel énergie'!M30</f>
        <v>0</v>
      </c>
      <c r="G22" s="45">
        <f>'Consommation mensuel énergie'!N30</f>
        <v>0</v>
      </c>
      <c r="H22" s="45">
        <f>'Consommation mensuel énergie'!D30</f>
        <v>0</v>
      </c>
      <c r="I22" s="45">
        <f>'Consommation mensuel énergie'!E30</f>
        <v>0</v>
      </c>
      <c r="J22" s="41" t="e">
        <f>E22*F22+G22*#REF!+#REF!*#REF!+#REF!*#REF!</f>
        <v>#REF!</v>
      </c>
    </row>
    <row r="23" spans="1:10">
      <c r="A23" s="44" t="s">
        <v>13</v>
      </c>
      <c r="B23" s="48">
        <f t="shared" si="0"/>
        <v>22</v>
      </c>
      <c r="C23" s="48">
        <v>11</v>
      </c>
      <c r="D23" s="49">
        <v>2022</v>
      </c>
      <c r="E23" s="45">
        <f>'Consommation mensuel énergie'!L31</f>
        <v>0</v>
      </c>
      <c r="F23" s="45">
        <f>'Consommation mensuel énergie'!M31</f>
        <v>0</v>
      </c>
      <c r="G23" s="45">
        <f>'Consommation mensuel énergie'!N31</f>
        <v>0</v>
      </c>
      <c r="H23" s="45">
        <f>'Consommation mensuel énergie'!D31</f>
        <v>0</v>
      </c>
      <c r="I23" s="45">
        <f>'Consommation mensuel énergie'!E31</f>
        <v>0</v>
      </c>
      <c r="J23" s="41" t="e">
        <f>E23*F23+G23*#REF!+#REF!*#REF!+#REF!*#REF!</f>
        <v>#REF!</v>
      </c>
    </row>
    <row r="24" spans="1:10">
      <c r="A24" s="44" t="s">
        <v>13</v>
      </c>
      <c r="B24" s="48">
        <f t="shared" si="0"/>
        <v>23</v>
      </c>
      <c r="C24" s="48">
        <v>11</v>
      </c>
      <c r="D24" s="49">
        <v>2022</v>
      </c>
      <c r="E24" s="45">
        <f>'Consommation mensuel énergie'!L32</f>
        <v>0</v>
      </c>
      <c r="F24" s="45">
        <f>'Consommation mensuel énergie'!M32</f>
        <v>0</v>
      </c>
      <c r="G24" s="45">
        <f>'Consommation mensuel énergie'!N32</f>
        <v>0</v>
      </c>
      <c r="H24" s="45">
        <f>'Consommation mensuel énergie'!D32</f>
        <v>0</v>
      </c>
      <c r="I24" s="45">
        <f>'Consommation mensuel énergie'!E32</f>
        <v>0</v>
      </c>
      <c r="J24" s="41" t="e">
        <f>E24*F24+G24*#REF!+#REF!*#REF!+#REF!*#REF!</f>
        <v>#REF!</v>
      </c>
    </row>
    <row r="25" spans="1:10">
      <c r="A25" s="44" t="s">
        <v>13</v>
      </c>
      <c r="B25" s="48">
        <f t="shared" si="0"/>
        <v>24</v>
      </c>
      <c r="C25" s="48">
        <v>11</v>
      </c>
      <c r="D25" s="49">
        <v>2022</v>
      </c>
      <c r="E25" s="45">
        <f>'Consommation mensuel énergie'!L33</f>
        <v>0</v>
      </c>
      <c r="F25" s="45">
        <f>'Consommation mensuel énergie'!M33</f>
        <v>0</v>
      </c>
      <c r="G25" s="45">
        <f>'Consommation mensuel énergie'!N33</f>
        <v>0</v>
      </c>
      <c r="H25" s="45">
        <f>'Consommation mensuel énergie'!D33</f>
        <v>0</v>
      </c>
      <c r="I25" s="45">
        <f>'Consommation mensuel énergie'!E33</f>
        <v>0</v>
      </c>
      <c r="J25" s="41" t="e">
        <f>E25*F25+G25*#REF!+#REF!*#REF!+#REF!*#REF!</f>
        <v>#REF!</v>
      </c>
    </row>
    <row r="26" spans="1:10">
      <c r="A26" s="44" t="s">
        <v>13</v>
      </c>
      <c r="B26" s="48">
        <f>B25+1</f>
        <v>25</v>
      </c>
      <c r="C26" s="48">
        <v>11</v>
      </c>
      <c r="D26" s="49">
        <v>2022</v>
      </c>
      <c r="E26" s="45">
        <f>'Consommation mensuel énergie'!L34</f>
        <v>0</v>
      </c>
      <c r="F26" s="45">
        <f>'Consommation mensuel énergie'!M34</f>
        <v>0</v>
      </c>
      <c r="G26" s="45">
        <f>'Consommation mensuel énergie'!N34</f>
        <v>0</v>
      </c>
      <c r="H26" s="45">
        <f>'Consommation mensuel énergie'!D34</f>
        <v>0</v>
      </c>
      <c r="I26" s="45">
        <f>'Consommation mensuel énergie'!E34</f>
        <v>0</v>
      </c>
      <c r="J26" s="41" t="e">
        <f>E26*F26+G26*#REF!+#REF!*#REF!+#REF!*#REF!</f>
        <v>#REF!</v>
      </c>
    </row>
    <row r="27" spans="1:10">
      <c r="A27" s="44" t="s">
        <v>13</v>
      </c>
      <c r="B27" s="48">
        <f t="shared" ref="B27:B31" si="1">B26+1</f>
        <v>26</v>
      </c>
      <c r="C27" s="48">
        <v>11</v>
      </c>
      <c r="D27" s="49">
        <v>2022</v>
      </c>
      <c r="E27" s="45">
        <f>'Consommation mensuel énergie'!L35</f>
        <v>0</v>
      </c>
      <c r="F27" s="45">
        <f>'Consommation mensuel énergie'!M35</f>
        <v>0</v>
      </c>
      <c r="G27" s="45">
        <f>'Consommation mensuel énergie'!N35</f>
        <v>0</v>
      </c>
      <c r="H27" s="45">
        <f>'Consommation mensuel énergie'!D35</f>
        <v>0</v>
      </c>
      <c r="I27" s="45">
        <f>'Consommation mensuel énergie'!E35</f>
        <v>0</v>
      </c>
      <c r="J27" s="41"/>
    </row>
    <row r="28" spans="1:10">
      <c r="A28" s="44" t="s">
        <v>13</v>
      </c>
      <c r="B28" s="48">
        <f t="shared" si="1"/>
        <v>27</v>
      </c>
      <c r="C28" s="48">
        <v>11</v>
      </c>
      <c r="D28" s="49">
        <v>2022</v>
      </c>
      <c r="E28" s="45">
        <f>'Consommation mensuel énergie'!L36</f>
        <v>0</v>
      </c>
      <c r="F28" s="45">
        <f>'Consommation mensuel énergie'!M36</f>
        <v>0</v>
      </c>
      <c r="G28" s="45">
        <f>'Consommation mensuel énergie'!N36</f>
        <v>0</v>
      </c>
      <c r="H28" s="45">
        <f>'Consommation mensuel énergie'!D36</f>
        <v>0</v>
      </c>
      <c r="I28" s="45">
        <f>'Consommation mensuel énergie'!E36</f>
        <v>0</v>
      </c>
      <c r="J28" s="41"/>
    </row>
    <row r="29" spans="1:10">
      <c r="A29" s="44" t="s">
        <v>13</v>
      </c>
      <c r="B29" s="48">
        <f t="shared" si="1"/>
        <v>28</v>
      </c>
      <c r="C29" s="48">
        <v>11</v>
      </c>
      <c r="D29" s="49">
        <v>2022</v>
      </c>
      <c r="E29" s="45">
        <f>'Consommation mensuel énergie'!L37</f>
        <v>0</v>
      </c>
      <c r="F29" s="45">
        <f>'Consommation mensuel énergie'!M37</f>
        <v>0</v>
      </c>
      <c r="G29" s="45">
        <f>'Consommation mensuel énergie'!N37</f>
        <v>0</v>
      </c>
      <c r="H29" s="45">
        <f>'Consommation mensuel énergie'!D37</f>
        <v>0</v>
      </c>
      <c r="I29" s="45">
        <f>'Consommation mensuel énergie'!E37</f>
        <v>0</v>
      </c>
      <c r="J29" s="41"/>
    </row>
    <row r="30" spans="1:10">
      <c r="A30" s="44" t="s">
        <v>13</v>
      </c>
      <c r="B30" s="48">
        <f t="shared" si="1"/>
        <v>29</v>
      </c>
      <c r="C30" s="48">
        <v>11</v>
      </c>
      <c r="D30" s="49">
        <v>2022</v>
      </c>
      <c r="E30" s="45">
        <f>'Consommation mensuel énergie'!L38</f>
        <v>0</v>
      </c>
      <c r="F30" s="45">
        <f>'Consommation mensuel énergie'!M38</f>
        <v>0</v>
      </c>
      <c r="G30" s="45">
        <f>'Consommation mensuel énergie'!N38</f>
        <v>0</v>
      </c>
      <c r="H30" s="45">
        <f>'Consommation mensuel énergie'!D38</f>
        <v>0</v>
      </c>
      <c r="I30" s="45">
        <f>'Consommation mensuel énergie'!E38</f>
        <v>0</v>
      </c>
      <c r="J30" s="41"/>
    </row>
    <row r="31" spans="1:10">
      <c r="A31" s="44" t="s">
        <v>13</v>
      </c>
      <c r="B31" s="48">
        <f t="shared" si="1"/>
        <v>30</v>
      </c>
      <c r="C31" s="48">
        <v>11</v>
      </c>
      <c r="D31" s="49">
        <v>2022</v>
      </c>
      <c r="E31" s="45">
        <f>'Consommation mensuel énergie'!L39</f>
        <v>0</v>
      </c>
      <c r="F31" s="45">
        <f>'Consommation mensuel énergie'!M39</f>
        <v>0</v>
      </c>
      <c r="G31" s="45">
        <f>'Consommation mensuel énergie'!N39</f>
        <v>0</v>
      </c>
      <c r="H31" s="45">
        <f>'Consommation mensuel énergie'!D39</f>
        <v>0</v>
      </c>
      <c r="I31" s="45">
        <f>'Consommation mensuel énergie'!E39</f>
        <v>0</v>
      </c>
      <c r="J31" s="41"/>
    </row>
    <row r="32" spans="1:10">
      <c r="E32" s="42"/>
      <c r="F32" s="42"/>
      <c r="G32" s="42"/>
      <c r="H32" s="41"/>
      <c r="I32" s="41"/>
    </row>
    <row r="33" spans="5:9">
      <c r="E33" s="42"/>
      <c r="F33" s="42"/>
      <c r="G33" s="42"/>
      <c r="H33" s="41"/>
      <c r="I33" s="41"/>
    </row>
    <row r="34" spans="5:9">
      <c r="E34" s="42"/>
      <c r="F34" s="42"/>
      <c r="G34" s="42"/>
      <c r="H34" s="41"/>
      <c r="I34" s="41"/>
    </row>
    <row r="35" spans="5:9">
      <c r="E35" s="42"/>
      <c r="F35" s="42"/>
      <c r="G35" s="42"/>
      <c r="H35" s="41"/>
      <c r="I35" s="41"/>
    </row>
    <row r="36" spans="5:9">
      <c r="E36" s="42"/>
      <c r="F36" s="42"/>
      <c r="G36" s="42"/>
      <c r="H36" s="41"/>
      <c r="I36" s="41"/>
    </row>
    <row r="37" spans="5:9">
      <c r="E37" s="42"/>
      <c r="F37" s="42"/>
      <c r="G37" s="42"/>
      <c r="H37" s="41"/>
      <c r="I37" s="41"/>
    </row>
    <row r="38" spans="5:9">
      <c r="E38" s="42"/>
      <c r="F38" s="42"/>
      <c r="G38" s="42"/>
      <c r="H38" s="41"/>
      <c r="I38" s="4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54"/>
  <sheetViews>
    <sheetView showGridLines="0" topLeftCell="A2" zoomScale="55" zoomScaleNormal="55" workbookViewId="0">
      <selection activeCell="L24" sqref="L24:O24"/>
    </sheetView>
  </sheetViews>
  <sheetFormatPr defaultColWidth="11.42578125" defaultRowHeight="18"/>
  <cols>
    <col min="1" max="1" width="9" style="3" customWidth="1"/>
    <col min="2" max="2" width="24.85546875" style="3" customWidth="1"/>
    <col min="3" max="3" width="2.85546875" style="3" hidden="1" customWidth="1"/>
    <col min="4" max="4" width="29.42578125" style="3" customWidth="1"/>
    <col min="5" max="6" width="24.7109375" style="3" customWidth="1"/>
    <col min="7" max="7" width="1.7109375" style="3" customWidth="1"/>
    <col min="8" max="8" width="16.85546875" style="3" customWidth="1"/>
    <col min="9" max="9" width="1.7109375" style="3" customWidth="1"/>
    <col min="10" max="10" width="11.7109375" style="3" customWidth="1"/>
    <col min="11" max="11" width="22" style="3" hidden="1" customWidth="1"/>
    <col min="12" max="12" width="24.42578125" style="3" customWidth="1"/>
    <col min="13" max="13" width="26.7109375" style="3" customWidth="1"/>
    <col min="14" max="14" width="22.42578125" style="3" customWidth="1"/>
    <col min="15" max="15" width="24.85546875" style="3" customWidth="1"/>
    <col min="16" max="16" width="1.5703125" style="3" hidden="1" customWidth="1"/>
    <col min="17" max="17" width="26.5703125" style="3" customWidth="1"/>
    <col min="18" max="18" width="1.5703125" style="3" customWidth="1"/>
    <col min="19" max="19" width="0.28515625" style="3" hidden="1" customWidth="1"/>
    <col min="20" max="20" width="0.5703125" style="3" hidden="1" customWidth="1"/>
    <col min="21" max="21" width="0.42578125" style="3" customWidth="1"/>
    <col min="22" max="22" width="27.42578125" style="3" customWidth="1"/>
    <col min="23" max="23" width="1.28515625" style="3" customWidth="1"/>
    <col min="24" max="24" width="25.140625" style="3" customWidth="1"/>
    <col min="25" max="16384" width="11.42578125" style="3"/>
  </cols>
  <sheetData>
    <row r="2" spans="1:24" ht="100.5" customHeight="1">
      <c r="A2" s="377"/>
      <c r="B2" s="378"/>
      <c r="C2" s="373"/>
      <c r="D2" s="374" t="s">
        <v>17</v>
      </c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  <c r="W2" s="375"/>
      <c r="X2" s="376"/>
    </row>
    <row r="3" spans="1:24" ht="15" hidden="1" customHeight="1" thickBot="1">
      <c r="A3" s="321"/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</row>
    <row r="4" spans="1:24" ht="39" hidden="1" customHeight="1" thickBot="1">
      <c r="A4" s="322"/>
      <c r="B4" s="322"/>
      <c r="C4" s="322"/>
      <c r="D4" s="323"/>
      <c r="E4" s="323"/>
      <c r="F4" s="323"/>
      <c r="G4" s="323"/>
      <c r="H4" s="323"/>
      <c r="I4" s="323"/>
      <c r="J4" s="323"/>
      <c r="K4" s="323"/>
      <c r="L4" s="323"/>
      <c r="M4" s="324" t="s">
        <v>18</v>
      </c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</row>
    <row r="5" spans="1:24" ht="37.5" hidden="1" customHeight="1" thickBot="1">
      <c r="A5" s="322"/>
      <c r="B5" s="322"/>
      <c r="C5" s="322"/>
      <c r="D5" s="323"/>
      <c r="E5" s="323"/>
      <c r="F5" s="323"/>
      <c r="G5" s="323"/>
      <c r="H5" s="323"/>
      <c r="I5" s="323"/>
      <c r="J5" s="323"/>
      <c r="K5" s="323"/>
      <c r="L5" s="323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</row>
    <row r="6" spans="1:24" s="2" customFormat="1" ht="44.25" hidden="1" customHeight="1" thickBot="1">
      <c r="A6" s="326"/>
      <c r="B6" s="326"/>
      <c r="C6" s="326"/>
      <c r="D6" s="323"/>
      <c r="E6" s="323"/>
      <c r="F6" s="323"/>
      <c r="G6" s="323"/>
      <c r="H6" s="323"/>
      <c r="I6" s="323"/>
      <c r="J6" s="323"/>
      <c r="K6" s="323"/>
      <c r="L6" s="323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</row>
    <row r="7" spans="1:24" s="2" customFormat="1" ht="18.75" hidden="1" customHeight="1" thickBot="1">
      <c r="A7" s="323"/>
      <c r="B7" s="323"/>
      <c r="C7" s="323"/>
      <c r="D7" s="323"/>
      <c r="E7" s="323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</row>
    <row r="8" spans="1:24" ht="45" customHeight="1">
      <c r="A8" s="325"/>
      <c r="B8" s="327" t="s">
        <v>19</v>
      </c>
      <c r="C8" s="328"/>
      <c r="D8" s="329" t="s">
        <v>20</v>
      </c>
      <c r="E8" s="329" t="s">
        <v>21</v>
      </c>
      <c r="F8" s="330" t="s">
        <v>22</v>
      </c>
      <c r="G8" s="324"/>
      <c r="H8" s="380" t="s">
        <v>23</v>
      </c>
      <c r="I8" s="380"/>
      <c r="J8" s="380"/>
      <c r="K8" s="381" t="s">
        <v>24</v>
      </c>
      <c r="L8" s="381" t="s">
        <v>25</v>
      </c>
      <c r="M8" s="381"/>
      <c r="N8" s="381"/>
      <c r="O8" s="381" t="s">
        <v>26</v>
      </c>
      <c r="P8" s="324"/>
      <c r="Q8" s="331" t="s">
        <v>23</v>
      </c>
      <c r="R8" s="324"/>
      <c r="S8" s="331" t="s">
        <v>27</v>
      </c>
      <c r="T8" s="324"/>
      <c r="U8" s="331" t="s">
        <v>28</v>
      </c>
      <c r="V8" s="332" t="s">
        <v>29</v>
      </c>
      <c r="W8" s="324"/>
      <c r="X8" s="331" t="s">
        <v>23</v>
      </c>
    </row>
    <row r="9" spans="1:24" ht="59.25" customHeight="1">
      <c r="A9" s="325"/>
      <c r="B9" s="327"/>
      <c r="C9" s="328"/>
      <c r="D9" s="329"/>
      <c r="E9" s="329"/>
      <c r="F9" s="330"/>
      <c r="G9" s="324"/>
      <c r="H9" s="380"/>
      <c r="I9" s="380"/>
      <c r="J9" s="380"/>
      <c r="K9" s="381"/>
      <c r="L9" s="382" t="s">
        <v>30</v>
      </c>
      <c r="M9" s="382" t="s">
        <v>31</v>
      </c>
      <c r="N9" s="382" t="s">
        <v>32</v>
      </c>
      <c r="O9" s="381"/>
      <c r="P9" s="324"/>
      <c r="Q9" s="333"/>
      <c r="R9" s="324"/>
      <c r="S9" s="333"/>
      <c r="T9" s="324"/>
      <c r="U9" s="333"/>
      <c r="V9" s="334"/>
      <c r="W9" s="324"/>
      <c r="X9" s="333"/>
    </row>
    <row r="10" spans="1:24" ht="86.25" customHeight="1">
      <c r="A10" s="324"/>
      <c r="B10" s="379">
        <v>44866</v>
      </c>
      <c r="C10" s="335"/>
      <c r="D10" s="336">
        <v>119</v>
      </c>
      <c r="E10" s="336">
        <v>174</v>
      </c>
      <c r="F10" s="337">
        <f>'Suivi EAU-ELEC'!E6</f>
        <v>180</v>
      </c>
      <c r="G10" s="338"/>
      <c r="H10" s="383">
        <f>F10*8.79</f>
        <v>1582.1999999999998</v>
      </c>
      <c r="I10" s="383"/>
      <c r="J10" s="383"/>
      <c r="K10" s="384">
        <v>42278</v>
      </c>
      <c r="L10" s="385">
        <f>'Suivi EAU-ELEC'!G6</f>
        <v>4848</v>
      </c>
      <c r="M10" s="385">
        <f>'Suivi EAU-ELEC'!I6</f>
        <v>8006</v>
      </c>
      <c r="N10" s="385">
        <f>'Suivi EAU-ELEC'!K6</f>
        <v>4201</v>
      </c>
      <c r="O10" s="385">
        <f>L10+M10+N10</f>
        <v>17055</v>
      </c>
      <c r="P10" s="338"/>
      <c r="Q10" s="339">
        <f>L10*0.6985+M10*0.9514+N10*1.3304</f>
        <v>16592.246800000001</v>
      </c>
      <c r="R10" s="338"/>
      <c r="S10" s="340"/>
      <c r="T10" s="338"/>
      <c r="U10" s="340"/>
      <c r="V10" s="341">
        <f>'Suvi Gaz'!O4</f>
        <v>671.98341000000005</v>
      </c>
      <c r="W10" s="338"/>
      <c r="X10" s="339">
        <f>V10*12.24</f>
        <v>8225.0769384000014</v>
      </c>
    </row>
    <row r="11" spans="1:24" ht="32.25" customHeight="1">
      <c r="A11" s="324"/>
      <c r="B11" s="379">
        <v>44867</v>
      </c>
      <c r="C11" s="335"/>
      <c r="D11" s="336">
        <v>135</v>
      </c>
      <c r="E11" s="336">
        <v>199</v>
      </c>
      <c r="F11" s="337">
        <f>'Suivi EAU-ELEC'!E7</f>
        <v>144</v>
      </c>
      <c r="G11" s="338"/>
      <c r="H11" s="383">
        <f t="shared" ref="H11:H21" si="0">F11*8.79</f>
        <v>1265.7599999999998</v>
      </c>
      <c r="I11" s="383"/>
      <c r="J11" s="383"/>
      <c r="K11" s="384">
        <v>42279</v>
      </c>
      <c r="L11" s="385">
        <f>'Suivi EAU-ELEC'!G7</f>
        <v>4678</v>
      </c>
      <c r="M11" s="385">
        <f>'Suivi EAU-ELEC'!I7</f>
        <v>7492</v>
      </c>
      <c r="N11" s="385">
        <f>'Suivi EAU-ELEC'!K7</f>
        <v>3457</v>
      </c>
      <c r="O11" s="385">
        <f>L11+M11+N11</f>
        <v>15627</v>
      </c>
      <c r="P11" s="338"/>
      <c r="Q11" s="339">
        <f>L11*0.6985+M11*0.9514+N14*1.3304</f>
        <v>15702.437400000003</v>
      </c>
      <c r="R11" s="338"/>
      <c r="S11" s="340"/>
      <c r="T11" s="338"/>
      <c r="U11" s="340"/>
      <c r="V11" s="341">
        <f>'Suvi Gaz'!O5</f>
        <v>223.99447000000001</v>
      </c>
      <c r="W11" s="338"/>
      <c r="X11" s="339">
        <f t="shared" ref="X11:X39" si="1">V11*12.24</f>
        <v>2741.6923128000003</v>
      </c>
    </row>
    <row r="12" spans="1:24" ht="32.25" customHeight="1">
      <c r="A12" s="324"/>
      <c r="B12" s="379">
        <v>44868</v>
      </c>
      <c r="C12" s="335"/>
      <c r="D12" s="336">
        <v>143</v>
      </c>
      <c r="E12" s="336">
        <v>208</v>
      </c>
      <c r="F12" s="337">
        <f>'Suivi EAU-ELEC'!E8</f>
        <v>127</v>
      </c>
      <c r="G12" s="338"/>
      <c r="H12" s="383">
        <f t="shared" si="0"/>
        <v>1116.33</v>
      </c>
      <c r="I12" s="383"/>
      <c r="J12" s="383"/>
      <c r="K12" s="384">
        <v>42280</v>
      </c>
      <c r="L12" s="385">
        <f>'Suivi EAU-ELEC'!G8</f>
        <v>4725</v>
      </c>
      <c r="M12" s="385">
        <f>'Suivi EAU-ELEC'!I8</f>
        <v>7168</v>
      </c>
      <c r="N12" s="385">
        <f>'Suivi EAU-ELEC'!K8</f>
        <v>3555</v>
      </c>
      <c r="O12" s="385">
        <f>L12+M12+N12</f>
        <v>15448</v>
      </c>
      <c r="P12" s="338"/>
      <c r="Q12" s="339">
        <f>L12*0.6985+M12*0.9514+N12*1.3304</f>
        <v>14849.619700000001</v>
      </c>
      <c r="R12" s="338"/>
      <c r="S12" s="340"/>
      <c r="T12" s="338"/>
      <c r="U12" s="340"/>
      <c r="V12" s="341">
        <f>'Suvi Gaz'!O6</f>
        <v>223.99447000000001</v>
      </c>
      <c r="W12" s="338"/>
      <c r="X12" s="339">
        <f t="shared" si="1"/>
        <v>2741.6923128000003</v>
      </c>
    </row>
    <row r="13" spans="1:24" ht="32.25" customHeight="1">
      <c r="A13" s="324"/>
      <c r="B13" s="379">
        <v>44869</v>
      </c>
      <c r="C13" s="335"/>
      <c r="D13" s="336">
        <v>105</v>
      </c>
      <c r="E13" s="336">
        <v>159</v>
      </c>
      <c r="F13" s="337">
        <f>'Suivi EAU-ELEC'!E9</f>
        <v>130.10000000000582</v>
      </c>
      <c r="G13" s="338"/>
      <c r="H13" s="383">
        <f t="shared" si="0"/>
        <v>1143.5790000000511</v>
      </c>
      <c r="I13" s="383"/>
      <c r="J13" s="383"/>
      <c r="K13" s="384">
        <v>42281</v>
      </c>
      <c r="L13" s="385">
        <f>'Suivi EAU-ELEC'!G9</f>
        <v>5622</v>
      </c>
      <c r="M13" s="385">
        <f>'Suivi EAU-ELEC'!I9</f>
        <v>7780</v>
      </c>
      <c r="N13" s="385">
        <f>'Suivi EAU-ELEC'!K9</f>
        <v>3878</v>
      </c>
      <c r="O13" s="385">
        <f t="shared" ref="O13:O36" si="2">L13+M13+N13</f>
        <v>17280</v>
      </c>
      <c r="P13" s="338"/>
      <c r="Q13" s="339">
        <f t="shared" ref="Q13:Q36" si="3">L13*0.6985+M13*0.9514+N13*1.3304</f>
        <v>16488.1502</v>
      </c>
      <c r="R13" s="338"/>
      <c r="S13" s="340"/>
      <c r="T13" s="338"/>
      <c r="U13" s="340"/>
      <c r="V13" s="341">
        <f>'Suvi Gaz'!O7</f>
        <v>224.4179</v>
      </c>
      <c r="W13" s="338"/>
      <c r="X13" s="339">
        <f t="shared" si="1"/>
        <v>2746.8750960000002</v>
      </c>
    </row>
    <row r="14" spans="1:24" ht="32.25" customHeight="1">
      <c r="A14" s="324"/>
      <c r="B14" s="379">
        <v>44870</v>
      </c>
      <c r="C14" s="335"/>
      <c r="D14" s="336">
        <v>112</v>
      </c>
      <c r="E14" s="336">
        <v>171</v>
      </c>
      <c r="F14" s="337">
        <f>'Suivi EAU-ELEC'!E10</f>
        <v>132.60000000000582</v>
      </c>
      <c r="G14" s="342"/>
      <c r="H14" s="383">
        <f t="shared" si="0"/>
        <v>1165.554000000051</v>
      </c>
      <c r="I14" s="383"/>
      <c r="J14" s="383"/>
      <c r="K14" s="384">
        <v>42282</v>
      </c>
      <c r="L14" s="385">
        <f>'Suivi EAU-ELEC'!G10</f>
        <v>6396</v>
      </c>
      <c r="M14" s="385">
        <f>'Suivi EAU-ELEC'!I10</f>
        <v>7678</v>
      </c>
      <c r="N14" s="385">
        <f>'Suivi EAU-ELEC'!K10</f>
        <v>3989</v>
      </c>
      <c r="O14" s="385">
        <f t="shared" si="2"/>
        <v>18063</v>
      </c>
      <c r="P14" s="342"/>
      <c r="Q14" s="339">
        <f t="shared" si="3"/>
        <v>17079.4208</v>
      </c>
      <c r="R14" s="342"/>
      <c r="S14" s="340"/>
      <c r="T14" s="342"/>
      <c r="U14" s="340"/>
      <c r="V14" s="341">
        <f>'Suvi Gaz'!O8</f>
        <v>671.98341000000005</v>
      </c>
      <c r="W14" s="338"/>
      <c r="X14" s="339">
        <f t="shared" si="1"/>
        <v>8225.0769384000014</v>
      </c>
    </row>
    <row r="15" spans="1:24" ht="32.25" customHeight="1">
      <c r="A15" s="323"/>
      <c r="B15" s="379">
        <v>44871</v>
      </c>
      <c r="C15" s="335"/>
      <c r="D15" s="336">
        <v>135</v>
      </c>
      <c r="E15" s="336">
        <v>184</v>
      </c>
      <c r="F15" s="337">
        <f>'Suivi EAU-ELEC'!E11</f>
        <v>141.29999999998836</v>
      </c>
      <c r="G15" s="338"/>
      <c r="H15" s="383">
        <f t="shared" si="0"/>
        <v>1242.0269999998975</v>
      </c>
      <c r="I15" s="383"/>
      <c r="J15" s="383"/>
      <c r="K15" s="384">
        <v>42283</v>
      </c>
      <c r="L15" s="385">
        <f>'Suivi EAU-ELEC'!G11</f>
        <v>3969</v>
      </c>
      <c r="M15" s="385">
        <f>'Suivi EAU-ELEC'!I11</f>
        <v>7526</v>
      </c>
      <c r="N15" s="385">
        <f>'Suivi EAU-ELEC'!K11</f>
        <v>3643</v>
      </c>
      <c r="O15" s="385">
        <f t="shared" si="2"/>
        <v>15138</v>
      </c>
      <c r="P15" s="342"/>
      <c r="Q15" s="339">
        <f>L15*0.6985+M15*0.9514+N15*1.3304</f>
        <v>14779.230100000001</v>
      </c>
      <c r="R15" s="342"/>
      <c r="S15" s="340"/>
      <c r="T15" s="342"/>
      <c r="U15" s="340"/>
      <c r="V15" s="341">
        <f>'Suvi Gaz'!O9</f>
        <v>383.99052</v>
      </c>
      <c r="W15" s="338"/>
      <c r="X15" s="339">
        <f t="shared" si="1"/>
        <v>4700.0439648000001</v>
      </c>
    </row>
    <row r="16" spans="1:24" ht="32.25" customHeight="1">
      <c r="A16" s="323"/>
      <c r="B16" s="379">
        <v>44872</v>
      </c>
      <c r="C16" s="335"/>
      <c r="D16" s="336">
        <v>123</v>
      </c>
      <c r="E16" s="336">
        <v>168</v>
      </c>
      <c r="F16" s="337">
        <f>'Suivi EAU-ELEC'!E12</f>
        <v>144</v>
      </c>
      <c r="G16" s="338"/>
      <c r="H16" s="383">
        <f t="shared" si="0"/>
        <v>1265.7599999999998</v>
      </c>
      <c r="I16" s="383"/>
      <c r="J16" s="383"/>
      <c r="K16" s="384">
        <v>42284</v>
      </c>
      <c r="L16" s="385">
        <f>'Suivi EAU-ELEC'!G12</f>
        <v>4922</v>
      </c>
      <c r="M16" s="385">
        <f>'Suivi EAU-ELEC'!I12</f>
        <v>7333</v>
      </c>
      <c r="N16" s="385">
        <f>'Suivi EAU-ELEC'!K12</f>
        <v>3510</v>
      </c>
      <c r="O16" s="385">
        <f t="shared" si="2"/>
        <v>15765</v>
      </c>
      <c r="P16" s="338"/>
      <c r="Q16" s="339">
        <f t="shared" si="3"/>
        <v>15084.3372</v>
      </c>
      <c r="R16" s="338"/>
      <c r="S16" s="340"/>
      <c r="T16" s="338"/>
      <c r="U16" s="340"/>
      <c r="V16" s="341">
        <f>'Suvi Gaz'!O10</f>
        <v>351.99131</v>
      </c>
      <c r="W16" s="338"/>
      <c r="X16" s="339">
        <f t="shared" si="1"/>
        <v>4308.3736343999999</v>
      </c>
    </row>
    <row r="17" spans="1:24" s="2" customFormat="1" ht="32.25" customHeight="1">
      <c r="A17" s="324"/>
      <c r="B17" s="379">
        <v>44873</v>
      </c>
      <c r="C17" s="335"/>
      <c r="D17" s="336">
        <v>108</v>
      </c>
      <c r="E17" s="336">
        <v>138</v>
      </c>
      <c r="F17" s="337">
        <f>'Suivi EAU-ELEC'!E13</f>
        <v>139</v>
      </c>
      <c r="G17" s="338"/>
      <c r="H17" s="383">
        <f t="shared" si="0"/>
        <v>1221.81</v>
      </c>
      <c r="I17" s="383"/>
      <c r="J17" s="383"/>
      <c r="K17" s="384">
        <v>42285</v>
      </c>
      <c r="L17" s="385">
        <f>'Suivi EAU-ELEC'!G13</f>
        <v>4606</v>
      </c>
      <c r="M17" s="385">
        <f>'Suivi EAU-ELEC'!I13</f>
        <v>7868</v>
      </c>
      <c r="N17" s="385">
        <f>'Suivi EAU-ELEC'!K13</f>
        <v>3953</v>
      </c>
      <c r="O17" s="385">
        <f t="shared" si="2"/>
        <v>16427</v>
      </c>
      <c r="P17" s="342"/>
      <c r="Q17" s="339">
        <f t="shared" si="3"/>
        <v>15961.977400000002</v>
      </c>
      <c r="R17" s="342"/>
      <c r="S17" s="340"/>
      <c r="T17" s="342"/>
      <c r="U17" s="340"/>
      <c r="V17" s="341">
        <f>'Suvi Gaz'!O11</f>
        <v>255.99368000000001</v>
      </c>
      <c r="W17" s="338"/>
      <c r="X17" s="339">
        <f t="shared" si="1"/>
        <v>3133.3626432000001</v>
      </c>
    </row>
    <row r="18" spans="1:24" ht="32.25" customHeight="1">
      <c r="A18" s="324"/>
      <c r="B18" s="379">
        <v>44874</v>
      </c>
      <c r="C18" s="335"/>
      <c r="D18" s="336"/>
      <c r="E18" s="336"/>
      <c r="F18" s="337">
        <f>'Suivi EAU-ELEC'!E14</f>
        <v>116</v>
      </c>
      <c r="G18" s="338"/>
      <c r="H18" s="383">
        <f t="shared" si="0"/>
        <v>1019.6399999999999</v>
      </c>
      <c r="I18" s="383"/>
      <c r="J18" s="383"/>
      <c r="K18" s="384">
        <v>42286</v>
      </c>
      <c r="L18" s="385">
        <f>'Suivi EAU-ELEC'!G14</f>
        <v>4956</v>
      </c>
      <c r="M18" s="385">
        <f>'Suivi EAU-ELEC'!I14</f>
        <v>7526</v>
      </c>
      <c r="N18" s="385">
        <f>'Suivi EAU-ELEC'!K14</f>
        <v>3154</v>
      </c>
      <c r="O18" s="385">
        <f t="shared" si="2"/>
        <v>15636</v>
      </c>
      <c r="P18" s="342"/>
      <c r="Q18" s="339">
        <f t="shared" si="3"/>
        <v>14818.083999999999</v>
      </c>
      <c r="R18" s="342"/>
      <c r="S18" s="340"/>
      <c r="T18" s="342"/>
      <c r="U18" s="340"/>
      <c r="V18" s="341">
        <f>'Suvi Gaz'!O12</f>
        <v>543.98657000000003</v>
      </c>
      <c r="W18" s="338"/>
      <c r="X18" s="339">
        <f t="shared" si="1"/>
        <v>6658.3956168000004</v>
      </c>
    </row>
    <row r="19" spans="1:24" ht="32.25" customHeight="1">
      <c r="A19" s="324"/>
      <c r="B19" s="379">
        <v>44875</v>
      </c>
      <c r="C19" s="335"/>
      <c r="D19" s="336"/>
      <c r="E19" s="336"/>
      <c r="F19" s="337">
        <f>'Suivi EAU-ELEC'!E15</f>
        <v>119.29999999998836</v>
      </c>
      <c r="G19" s="342"/>
      <c r="H19" s="383">
        <f t="shared" si="0"/>
        <v>1048.6469999998976</v>
      </c>
      <c r="I19" s="383"/>
      <c r="J19" s="383"/>
      <c r="K19" s="384">
        <v>42287</v>
      </c>
      <c r="L19" s="385">
        <f>'Suivi EAU-ELEC'!G15</f>
        <v>4280</v>
      </c>
      <c r="M19" s="385">
        <f>'Suivi EAU-ELEC'!I15</f>
        <v>7515</v>
      </c>
      <c r="N19" s="385">
        <f>'Suivi EAU-ELEC'!K15</f>
        <v>3502</v>
      </c>
      <c r="O19" s="385">
        <f t="shared" si="2"/>
        <v>15297</v>
      </c>
      <c r="P19" s="342"/>
      <c r="Q19" s="339">
        <f t="shared" si="3"/>
        <v>14798.411799999998</v>
      </c>
      <c r="R19" s="342"/>
      <c r="S19" s="340"/>
      <c r="T19" s="342"/>
      <c r="U19" s="340"/>
      <c r="V19" s="341">
        <f>'Suvi Gaz'!O13</f>
        <v>447.98894000000001</v>
      </c>
      <c r="W19" s="338"/>
      <c r="X19" s="339">
        <f t="shared" si="1"/>
        <v>5483.3846256000006</v>
      </c>
    </row>
    <row r="20" spans="1:24" ht="32.25" customHeight="1">
      <c r="A20" s="324"/>
      <c r="B20" s="379">
        <v>44876</v>
      </c>
      <c r="C20" s="335"/>
      <c r="D20" s="336"/>
      <c r="E20" s="336"/>
      <c r="F20" s="337">
        <f>'Suivi EAU-ELEC'!E16</f>
        <v>137.30000000001746</v>
      </c>
      <c r="G20" s="342"/>
      <c r="H20" s="383">
        <f t="shared" si="0"/>
        <v>1206.8670000001534</v>
      </c>
      <c r="I20" s="383"/>
      <c r="J20" s="383"/>
      <c r="K20" s="384">
        <v>42288</v>
      </c>
      <c r="L20" s="385">
        <f>'Suivi EAU-ELEC'!G16</f>
        <v>4982</v>
      </c>
      <c r="M20" s="385">
        <f>'Suivi EAU-ELEC'!I16</f>
        <v>6856</v>
      </c>
      <c r="N20" s="385">
        <f>'Suivi EAU-ELEC'!K16</f>
        <v>3603</v>
      </c>
      <c r="O20" s="385">
        <f t="shared" si="2"/>
        <v>15441</v>
      </c>
      <c r="P20" s="342"/>
      <c r="Q20" s="339">
        <f t="shared" si="3"/>
        <v>14796.156600000002</v>
      </c>
      <c r="R20" s="342"/>
      <c r="S20" s="340"/>
      <c r="T20" s="342"/>
      <c r="U20" s="340"/>
      <c r="V20" s="341">
        <f>'Suvi Gaz'!O14</f>
        <v>415.98973000000001</v>
      </c>
      <c r="W20" s="338"/>
      <c r="X20" s="339">
        <f t="shared" si="1"/>
        <v>5091.7142952000004</v>
      </c>
    </row>
    <row r="21" spans="1:24" ht="32.25" customHeight="1">
      <c r="A21" s="324"/>
      <c r="B21" s="379">
        <v>44877</v>
      </c>
      <c r="C21" s="335"/>
      <c r="D21" s="336"/>
      <c r="E21" s="336"/>
      <c r="F21" s="337">
        <f>'Suivi EAU-ELEC'!E17</f>
        <v>130.10000000000582</v>
      </c>
      <c r="G21" s="342"/>
      <c r="H21" s="383">
        <f t="shared" si="0"/>
        <v>1143.5790000000511</v>
      </c>
      <c r="I21" s="383"/>
      <c r="J21" s="383"/>
      <c r="K21" s="384">
        <v>42289</v>
      </c>
      <c r="L21" s="385">
        <f>'Suivi EAU-ELEC'!G17</f>
        <v>4629</v>
      </c>
      <c r="M21" s="385">
        <f>'Suivi EAU-ELEC'!I17</f>
        <v>8007</v>
      </c>
      <c r="N21" s="385">
        <f>'Suivi EAU-ELEC'!K17</f>
        <v>3642</v>
      </c>
      <c r="O21" s="385">
        <f>L21+M21+N21</f>
        <v>16278</v>
      </c>
      <c r="P21" s="342"/>
      <c r="Q21" s="339">
        <f t="shared" si="3"/>
        <v>15696.533100000001</v>
      </c>
      <c r="R21" s="342"/>
      <c r="S21" s="340"/>
      <c r="T21" s="342"/>
      <c r="U21" s="340"/>
      <c r="V21" s="341">
        <f>'Suvi Gaz'!O15</f>
        <v>767.98104000000001</v>
      </c>
      <c r="W21" s="338"/>
      <c r="X21" s="339">
        <f t="shared" si="1"/>
        <v>9400.0879296000003</v>
      </c>
    </row>
    <row r="22" spans="1:24" ht="32.25" customHeight="1">
      <c r="A22" s="324"/>
      <c r="B22" s="379">
        <v>44878</v>
      </c>
      <c r="C22" s="335"/>
      <c r="D22" s="336"/>
      <c r="E22" s="336"/>
      <c r="F22" s="337">
        <f>'Suivi EAU-ELEC'!E18</f>
        <v>151.29999999998836</v>
      </c>
      <c r="G22" s="342"/>
      <c r="H22" s="383">
        <f t="shared" ref="H22:H35" si="4">F22*8.79</f>
        <v>1329.9269999998976</v>
      </c>
      <c r="I22" s="383"/>
      <c r="J22" s="383"/>
      <c r="K22" s="384">
        <v>42290</v>
      </c>
      <c r="L22" s="385">
        <f>'Suivi EAU-ELEC'!G18</f>
        <v>4953</v>
      </c>
      <c r="M22" s="385">
        <f>'Suivi EAU-ELEC'!I18</f>
        <v>7149</v>
      </c>
      <c r="N22" s="385">
        <f>'Suivi EAU-ELEC'!K18</f>
        <v>3450</v>
      </c>
      <c r="O22" s="385">
        <f t="shared" si="2"/>
        <v>15552</v>
      </c>
      <c r="P22" s="342"/>
      <c r="Q22" s="339">
        <f t="shared" si="3"/>
        <v>14851.109100000001</v>
      </c>
      <c r="R22" s="342"/>
      <c r="S22" s="340"/>
      <c r="T22" s="342"/>
      <c r="U22" s="340"/>
      <c r="V22" s="341">
        <f>'Suvi Gaz'!O16</f>
        <v>607.98499000000004</v>
      </c>
      <c r="W22" s="338"/>
      <c r="X22" s="339">
        <f t="shared" si="1"/>
        <v>7441.7362776000009</v>
      </c>
    </row>
    <row r="23" spans="1:24" ht="32.25" customHeight="1">
      <c r="A23" s="324"/>
      <c r="B23" s="379">
        <v>44879</v>
      </c>
      <c r="C23" s="335"/>
      <c r="D23" s="336"/>
      <c r="E23" s="336"/>
      <c r="F23" s="337">
        <f>'Suivi EAU-ELEC'!E19</f>
        <v>145</v>
      </c>
      <c r="G23" s="343"/>
      <c r="H23" s="383">
        <f t="shared" si="4"/>
        <v>1274.55</v>
      </c>
      <c r="I23" s="383"/>
      <c r="J23" s="383"/>
      <c r="K23" s="384">
        <v>42291</v>
      </c>
      <c r="L23" s="385">
        <f>'Suivi EAU-ELEC'!G19</f>
        <v>4378</v>
      </c>
      <c r="M23" s="385">
        <f>'Suivi EAU-ELEC'!I19</f>
        <v>6780</v>
      </c>
      <c r="N23" s="385">
        <f>'Suivi EAU-ELEC'!K19</f>
        <v>3510</v>
      </c>
      <c r="O23" s="385">
        <f>L23+M23+N23</f>
        <v>14668</v>
      </c>
      <c r="P23" s="342"/>
      <c r="Q23" s="339">
        <f>L23*0.6985+M23*0.9514+N23*1.3304</f>
        <v>14178.228999999999</v>
      </c>
      <c r="R23" s="342"/>
      <c r="S23" s="340"/>
      <c r="T23" s="343"/>
      <c r="U23" s="340"/>
      <c r="V23" s="341">
        <f>'Suvi Gaz'!O17</f>
        <v>0</v>
      </c>
      <c r="W23" s="338"/>
      <c r="X23" s="339">
        <f t="shared" si="1"/>
        <v>0</v>
      </c>
    </row>
    <row r="24" spans="1:24" ht="32.25" customHeight="1">
      <c r="A24" s="324"/>
      <c r="B24" s="379">
        <v>44880</v>
      </c>
      <c r="C24" s="335"/>
      <c r="D24" s="336"/>
      <c r="E24" s="336"/>
      <c r="F24" s="337"/>
      <c r="G24" s="343"/>
      <c r="H24" s="383">
        <f t="shared" si="4"/>
        <v>0</v>
      </c>
      <c r="I24" s="383"/>
      <c r="J24" s="383"/>
      <c r="K24" s="384">
        <v>42292</v>
      </c>
      <c r="L24" s="385"/>
      <c r="M24" s="385"/>
      <c r="N24" s="385"/>
      <c r="O24" s="385"/>
      <c r="P24" s="342"/>
      <c r="Q24" s="339">
        <f>L24*0.6985+M24*0.9514+N24*1.3304</f>
        <v>0</v>
      </c>
      <c r="R24" s="342"/>
      <c r="S24" s="340"/>
      <c r="T24" s="343"/>
      <c r="U24" s="340"/>
      <c r="V24" s="341">
        <f>'Suvi Gaz'!O18</f>
        <v>0</v>
      </c>
      <c r="W24" s="338"/>
      <c r="X24" s="339">
        <f t="shared" si="1"/>
        <v>0</v>
      </c>
    </row>
    <row r="25" spans="1:24" ht="32.25" customHeight="1">
      <c r="A25" s="324"/>
      <c r="B25" s="379">
        <v>44881</v>
      </c>
      <c r="C25" s="335"/>
      <c r="D25" s="336"/>
      <c r="E25" s="336"/>
      <c r="F25" s="337">
        <f>'Suivi EAU-ELEC'!E21</f>
        <v>0</v>
      </c>
      <c r="G25" s="343"/>
      <c r="H25" s="383">
        <f t="shared" si="4"/>
        <v>0</v>
      </c>
      <c r="I25" s="383"/>
      <c r="J25" s="383"/>
      <c r="K25" s="384">
        <v>42293</v>
      </c>
      <c r="L25" s="385">
        <f>'Suivi EAU-ELEC'!G21</f>
        <v>0</v>
      </c>
      <c r="M25" s="385">
        <f>'Suivi EAU-ELEC'!I21</f>
        <v>0</v>
      </c>
      <c r="N25" s="385">
        <f>'Suivi EAU-ELEC'!K21</f>
        <v>0</v>
      </c>
      <c r="O25" s="385">
        <f>L25+M25+N25</f>
        <v>0</v>
      </c>
      <c r="P25" s="342"/>
      <c r="Q25" s="339">
        <f>L25*0.6985+M25*0.9514+N25*1.3304</f>
        <v>0</v>
      </c>
      <c r="R25" s="342"/>
      <c r="S25" s="340"/>
      <c r="T25" s="343"/>
      <c r="U25" s="340"/>
      <c r="V25" s="341">
        <f>'Suvi Gaz'!O19</f>
        <v>0</v>
      </c>
      <c r="W25" s="338"/>
      <c r="X25" s="339">
        <f t="shared" si="1"/>
        <v>0</v>
      </c>
    </row>
    <row r="26" spans="1:24" ht="32.25" customHeight="1">
      <c r="A26" s="324"/>
      <c r="B26" s="379">
        <v>44882</v>
      </c>
      <c r="C26" s="335"/>
      <c r="D26" s="336"/>
      <c r="E26" s="336"/>
      <c r="F26" s="337">
        <f>'Suivi EAU-ELEC'!E22</f>
        <v>0</v>
      </c>
      <c r="G26" s="343"/>
      <c r="H26" s="383">
        <f t="shared" si="4"/>
        <v>0</v>
      </c>
      <c r="I26" s="383"/>
      <c r="J26" s="383"/>
      <c r="K26" s="384">
        <v>42294</v>
      </c>
      <c r="L26" s="385">
        <f>'Suivi EAU-ELEC'!G22</f>
        <v>0</v>
      </c>
      <c r="M26" s="385">
        <f>'Suivi EAU-ELEC'!I22</f>
        <v>0</v>
      </c>
      <c r="N26" s="385">
        <f>'Suivi EAU-ELEC'!K22</f>
        <v>0</v>
      </c>
      <c r="O26" s="385">
        <f>L26+M26+N26</f>
        <v>0</v>
      </c>
      <c r="P26" s="343"/>
      <c r="Q26" s="339">
        <f>L26*0.6985+M26*0.9514+N26*1.3304</f>
        <v>0</v>
      </c>
      <c r="R26" s="343"/>
      <c r="S26" s="340"/>
      <c r="T26" s="343"/>
      <c r="U26" s="340"/>
      <c r="V26" s="341">
        <f>'Suvi Gaz'!O20</f>
        <v>0</v>
      </c>
      <c r="W26" s="338"/>
      <c r="X26" s="339">
        <f t="shared" si="1"/>
        <v>0</v>
      </c>
    </row>
    <row r="27" spans="1:24" ht="32.25" customHeight="1">
      <c r="A27" s="324"/>
      <c r="B27" s="379">
        <v>44883</v>
      </c>
      <c r="C27" s="335"/>
      <c r="D27" s="336"/>
      <c r="E27" s="336"/>
      <c r="F27" s="337">
        <f>'Suivi EAU-ELEC'!E23</f>
        <v>0</v>
      </c>
      <c r="G27" s="343"/>
      <c r="H27" s="383">
        <f t="shared" si="4"/>
        <v>0</v>
      </c>
      <c r="I27" s="383"/>
      <c r="J27" s="383"/>
      <c r="K27" s="384">
        <v>42295</v>
      </c>
      <c r="L27" s="385">
        <f>'Suivi EAU-ELEC'!G23</f>
        <v>0</v>
      </c>
      <c r="M27" s="385">
        <f>'Suivi EAU-ELEC'!I23</f>
        <v>0</v>
      </c>
      <c r="N27" s="385">
        <f>'Suivi EAU-ELEC'!K23</f>
        <v>0</v>
      </c>
      <c r="O27" s="385">
        <f t="shared" si="2"/>
        <v>0</v>
      </c>
      <c r="P27" s="343"/>
      <c r="Q27" s="339">
        <f t="shared" si="3"/>
        <v>0</v>
      </c>
      <c r="R27" s="343"/>
      <c r="S27" s="340"/>
      <c r="T27" s="343"/>
      <c r="U27" s="340"/>
      <c r="V27" s="341">
        <f>'Suvi Gaz'!O21</f>
        <v>0</v>
      </c>
      <c r="W27" s="338"/>
      <c r="X27" s="339">
        <f t="shared" si="1"/>
        <v>0</v>
      </c>
    </row>
    <row r="28" spans="1:24" ht="32.25" customHeight="1">
      <c r="A28" s="324"/>
      <c r="B28" s="379">
        <v>44884</v>
      </c>
      <c r="C28" s="335"/>
      <c r="D28" s="336"/>
      <c r="E28" s="336"/>
      <c r="F28" s="337">
        <f>'Suivi EAU-ELEC'!E24</f>
        <v>0</v>
      </c>
      <c r="G28" s="338"/>
      <c r="H28" s="383">
        <f t="shared" si="4"/>
        <v>0</v>
      </c>
      <c r="I28" s="383"/>
      <c r="J28" s="383"/>
      <c r="K28" s="384">
        <v>42296</v>
      </c>
      <c r="L28" s="385">
        <f>'Suivi EAU-ELEC'!G24</f>
        <v>0</v>
      </c>
      <c r="M28" s="385">
        <f>'Suivi EAU-ELEC'!I24</f>
        <v>0</v>
      </c>
      <c r="N28" s="385">
        <f>'Suivi EAU-ELEC'!K24</f>
        <v>0</v>
      </c>
      <c r="O28" s="385">
        <f t="shared" si="2"/>
        <v>0</v>
      </c>
      <c r="P28" s="338"/>
      <c r="Q28" s="339">
        <f>L28*0.6985+M28*0.9514+N28*1.3304</f>
        <v>0</v>
      </c>
      <c r="R28" s="338"/>
      <c r="S28" s="340"/>
      <c r="T28" s="338"/>
      <c r="U28" s="340"/>
      <c r="V28" s="341">
        <f>'Suvi Gaz'!O22</f>
        <v>0</v>
      </c>
      <c r="W28" s="338"/>
      <c r="X28" s="339">
        <f t="shared" si="1"/>
        <v>0</v>
      </c>
    </row>
    <row r="29" spans="1:24" ht="32.25" customHeight="1">
      <c r="A29" s="324"/>
      <c r="B29" s="379">
        <v>44885</v>
      </c>
      <c r="C29" s="335"/>
      <c r="D29" s="336"/>
      <c r="E29" s="336"/>
      <c r="F29" s="337">
        <f>'Suivi EAU-ELEC'!E25</f>
        <v>0</v>
      </c>
      <c r="G29" s="338"/>
      <c r="H29" s="383">
        <f t="shared" si="4"/>
        <v>0</v>
      </c>
      <c r="I29" s="383"/>
      <c r="J29" s="383"/>
      <c r="K29" s="384">
        <v>42297</v>
      </c>
      <c r="L29" s="385">
        <f>'Suivi EAU-ELEC'!G25</f>
        <v>0</v>
      </c>
      <c r="M29" s="385">
        <f>'Suivi EAU-ELEC'!I25</f>
        <v>0</v>
      </c>
      <c r="N29" s="385">
        <f>'Suivi EAU-ELEC'!K25</f>
        <v>0</v>
      </c>
      <c r="O29" s="385">
        <f>L29+M29+N29</f>
        <v>0</v>
      </c>
      <c r="P29" s="338"/>
      <c r="Q29" s="339">
        <f t="shared" si="3"/>
        <v>0</v>
      </c>
      <c r="R29" s="338"/>
      <c r="S29" s="340"/>
      <c r="T29" s="338"/>
      <c r="U29" s="340"/>
      <c r="V29" s="341">
        <f>'Suvi Gaz'!O23</f>
        <v>0</v>
      </c>
      <c r="W29" s="338"/>
      <c r="X29" s="339">
        <f t="shared" si="1"/>
        <v>0</v>
      </c>
    </row>
    <row r="30" spans="1:24" ht="32.25" customHeight="1">
      <c r="A30" s="324"/>
      <c r="B30" s="379">
        <v>44886</v>
      </c>
      <c r="C30" s="335"/>
      <c r="D30" s="336"/>
      <c r="E30" s="336"/>
      <c r="F30" s="337">
        <f>'Suivi EAU-ELEC'!E26</f>
        <v>0</v>
      </c>
      <c r="G30" s="338"/>
      <c r="H30" s="383">
        <f t="shared" si="4"/>
        <v>0</v>
      </c>
      <c r="I30" s="383"/>
      <c r="J30" s="383"/>
      <c r="K30" s="384">
        <v>42298</v>
      </c>
      <c r="L30" s="385">
        <f>'Suivi EAU-ELEC'!G26</f>
        <v>0</v>
      </c>
      <c r="M30" s="385">
        <f>'Suivi EAU-ELEC'!I26</f>
        <v>0</v>
      </c>
      <c r="N30" s="385">
        <f>'Suivi EAU-ELEC'!K26</f>
        <v>0</v>
      </c>
      <c r="O30" s="385">
        <f>L30+M30+N30</f>
        <v>0</v>
      </c>
      <c r="P30" s="338"/>
      <c r="Q30" s="339">
        <f>L30*0.6985+M30*0.9514+N30*1.3304</f>
        <v>0</v>
      </c>
      <c r="R30" s="338"/>
      <c r="S30" s="340"/>
      <c r="T30" s="338"/>
      <c r="U30" s="340"/>
      <c r="V30" s="341">
        <f>'Suvi Gaz'!O24</f>
        <v>0</v>
      </c>
      <c r="W30" s="338"/>
      <c r="X30" s="339">
        <f t="shared" si="1"/>
        <v>0</v>
      </c>
    </row>
    <row r="31" spans="1:24" ht="27.75" customHeight="1">
      <c r="A31" s="324"/>
      <c r="B31" s="379">
        <v>44887</v>
      </c>
      <c r="C31" s="335"/>
      <c r="D31" s="336"/>
      <c r="E31" s="336"/>
      <c r="F31" s="337">
        <f>'Suivi EAU-ELEC'!E27</f>
        <v>0</v>
      </c>
      <c r="G31" s="338"/>
      <c r="H31" s="383">
        <f t="shared" si="4"/>
        <v>0</v>
      </c>
      <c r="I31" s="383"/>
      <c r="J31" s="383"/>
      <c r="K31" s="384">
        <v>42299</v>
      </c>
      <c r="L31" s="385">
        <f>'Suivi EAU-ELEC'!G27</f>
        <v>0</v>
      </c>
      <c r="M31" s="385">
        <f>'Suivi EAU-ELEC'!I27</f>
        <v>0</v>
      </c>
      <c r="N31" s="385">
        <f>'Suivi EAU-ELEC'!K27</f>
        <v>0</v>
      </c>
      <c r="O31" s="385">
        <f>L31+M31+N31</f>
        <v>0</v>
      </c>
      <c r="P31" s="338"/>
      <c r="Q31" s="339">
        <f>L31*0.6985+M31*0.9514+N31*1.3304</f>
        <v>0</v>
      </c>
      <c r="R31" s="338"/>
      <c r="S31" s="340"/>
      <c r="T31" s="338"/>
      <c r="U31" s="340"/>
      <c r="V31" s="341">
        <f>'Suvi Gaz'!O25</f>
        <v>0</v>
      </c>
      <c r="W31" s="338"/>
      <c r="X31" s="339">
        <f t="shared" si="1"/>
        <v>0</v>
      </c>
    </row>
    <row r="32" spans="1:24" ht="37.5" customHeight="1">
      <c r="A32" s="324"/>
      <c r="B32" s="379">
        <v>44888</v>
      </c>
      <c r="C32" s="335"/>
      <c r="D32" s="336"/>
      <c r="E32" s="336"/>
      <c r="F32" s="337">
        <f>'Suivi EAU-ELEC'!E28</f>
        <v>0</v>
      </c>
      <c r="G32" s="338"/>
      <c r="H32" s="383">
        <f t="shared" si="4"/>
        <v>0</v>
      </c>
      <c r="I32" s="383"/>
      <c r="J32" s="383"/>
      <c r="K32" s="384">
        <v>42300</v>
      </c>
      <c r="L32" s="385">
        <f>'Suivi EAU-ELEC'!G28</f>
        <v>0</v>
      </c>
      <c r="M32" s="385"/>
      <c r="N32" s="385">
        <f>'Suivi EAU-ELEC'!K28</f>
        <v>0</v>
      </c>
      <c r="O32" s="385">
        <f t="shared" si="2"/>
        <v>0</v>
      </c>
      <c r="P32" s="338"/>
      <c r="Q32" s="339">
        <f t="shared" si="3"/>
        <v>0</v>
      </c>
      <c r="R32" s="338"/>
      <c r="S32" s="340"/>
      <c r="T32" s="338"/>
      <c r="U32" s="340"/>
      <c r="V32" s="341">
        <f>'Suvi Gaz'!O26</f>
        <v>0</v>
      </c>
      <c r="W32" s="338"/>
      <c r="X32" s="339">
        <f t="shared" si="1"/>
        <v>0</v>
      </c>
    </row>
    <row r="33" spans="1:24" ht="37.5" customHeight="1">
      <c r="A33" s="324"/>
      <c r="B33" s="379">
        <v>44889</v>
      </c>
      <c r="C33" s="335"/>
      <c r="D33" s="336"/>
      <c r="E33" s="336"/>
      <c r="F33" s="337">
        <f>'Suivi EAU-ELEC'!E29</f>
        <v>0</v>
      </c>
      <c r="G33" s="338"/>
      <c r="H33" s="383">
        <f t="shared" si="4"/>
        <v>0</v>
      </c>
      <c r="I33" s="383"/>
      <c r="J33" s="383"/>
      <c r="K33" s="384">
        <v>42301</v>
      </c>
      <c r="L33" s="385"/>
      <c r="M33" s="385"/>
      <c r="N33" s="385"/>
      <c r="O33" s="385">
        <f t="shared" si="2"/>
        <v>0</v>
      </c>
      <c r="P33" s="338"/>
      <c r="Q33" s="339">
        <f t="shared" si="3"/>
        <v>0</v>
      </c>
      <c r="R33" s="338"/>
      <c r="S33" s="340"/>
      <c r="T33" s="338"/>
      <c r="U33" s="340"/>
      <c r="V33" s="341"/>
      <c r="W33" s="338"/>
      <c r="X33" s="339">
        <f t="shared" si="1"/>
        <v>0</v>
      </c>
    </row>
    <row r="34" spans="1:24" ht="37.5" customHeight="1">
      <c r="A34" s="324"/>
      <c r="B34" s="379">
        <v>44890</v>
      </c>
      <c r="C34" s="335"/>
      <c r="D34" s="336"/>
      <c r="E34" s="336"/>
      <c r="F34" s="337">
        <f>'Suivi EAU-ELEC'!E30</f>
        <v>0</v>
      </c>
      <c r="G34" s="338"/>
      <c r="H34" s="383">
        <f t="shared" si="4"/>
        <v>0</v>
      </c>
      <c r="I34" s="383"/>
      <c r="J34" s="383"/>
      <c r="K34" s="384">
        <v>42302</v>
      </c>
      <c r="L34" s="385"/>
      <c r="M34" s="385"/>
      <c r="N34" s="385"/>
      <c r="O34" s="385">
        <f t="shared" si="2"/>
        <v>0</v>
      </c>
      <c r="P34" s="338"/>
      <c r="Q34" s="339">
        <f t="shared" si="3"/>
        <v>0</v>
      </c>
      <c r="R34" s="338"/>
      <c r="S34" s="340"/>
      <c r="T34" s="338"/>
      <c r="U34" s="340"/>
      <c r="V34" s="341"/>
      <c r="W34" s="338"/>
      <c r="X34" s="339">
        <f t="shared" si="1"/>
        <v>0</v>
      </c>
    </row>
    <row r="35" spans="1:24" ht="33.75" customHeight="1">
      <c r="A35" s="324"/>
      <c r="B35" s="379">
        <v>44891</v>
      </c>
      <c r="C35" s="335"/>
      <c r="D35" s="336"/>
      <c r="E35" s="336"/>
      <c r="F35" s="337">
        <f>'Suivi EAU-ELEC'!E31</f>
        <v>0</v>
      </c>
      <c r="G35" s="338"/>
      <c r="H35" s="383">
        <f t="shared" si="4"/>
        <v>0</v>
      </c>
      <c r="I35" s="383"/>
      <c r="J35" s="383"/>
      <c r="K35" s="384">
        <v>42303</v>
      </c>
      <c r="L35" s="385"/>
      <c r="M35" s="385"/>
      <c r="N35" s="385"/>
      <c r="O35" s="385">
        <f t="shared" si="2"/>
        <v>0</v>
      </c>
      <c r="P35" s="338"/>
      <c r="Q35" s="339">
        <f t="shared" si="3"/>
        <v>0</v>
      </c>
      <c r="R35" s="338"/>
      <c r="S35" s="340"/>
      <c r="T35" s="338"/>
      <c r="U35" s="340"/>
      <c r="V35" s="341"/>
      <c r="W35" s="338"/>
      <c r="X35" s="339">
        <f t="shared" si="1"/>
        <v>0</v>
      </c>
    </row>
    <row r="36" spans="1:24" ht="33.75" customHeight="1">
      <c r="A36" s="324"/>
      <c r="B36" s="379">
        <v>44892</v>
      </c>
      <c r="C36" s="335"/>
      <c r="D36" s="336"/>
      <c r="E36" s="336"/>
      <c r="F36" s="337">
        <f>'Suivi EAU-ELEC'!E32</f>
        <v>0</v>
      </c>
      <c r="G36" s="338"/>
      <c r="H36" s="383">
        <f t="shared" ref="H36:H37" si="5">F36*8.79</f>
        <v>0</v>
      </c>
      <c r="I36" s="383"/>
      <c r="J36" s="383"/>
      <c r="K36" s="384"/>
      <c r="L36" s="385"/>
      <c r="M36" s="385"/>
      <c r="N36" s="385"/>
      <c r="O36" s="385">
        <f t="shared" si="2"/>
        <v>0</v>
      </c>
      <c r="P36" s="338"/>
      <c r="Q36" s="339">
        <f t="shared" si="3"/>
        <v>0</v>
      </c>
      <c r="R36" s="338"/>
      <c r="S36" s="340"/>
      <c r="T36" s="338"/>
      <c r="U36" s="340"/>
      <c r="V36" s="341"/>
      <c r="W36" s="338"/>
      <c r="X36" s="339">
        <f t="shared" si="1"/>
        <v>0</v>
      </c>
    </row>
    <row r="37" spans="1:24" ht="33.75" customHeight="1">
      <c r="A37" s="324"/>
      <c r="B37" s="379">
        <v>44893</v>
      </c>
      <c r="C37" s="335"/>
      <c r="D37" s="336"/>
      <c r="E37" s="336"/>
      <c r="F37" s="337">
        <f>'Suivi EAU-ELEC'!E33</f>
        <v>0</v>
      </c>
      <c r="G37" s="338"/>
      <c r="H37" s="383">
        <f t="shared" si="5"/>
        <v>0</v>
      </c>
      <c r="I37" s="383"/>
      <c r="J37" s="383"/>
      <c r="K37" s="384"/>
      <c r="L37" s="385"/>
      <c r="M37" s="385"/>
      <c r="N37" s="385"/>
      <c r="O37" s="385">
        <f>L37+M37+N37</f>
        <v>0</v>
      </c>
      <c r="P37" s="338"/>
      <c r="Q37" s="339">
        <f>L37*0.6985+M37*0.9514+N37*1.3304</f>
        <v>0</v>
      </c>
      <c r="R37" s="338"/>
      <c r="S37" s="340"/>
      <c r="T37" s="338"/>
      <c r="U37" s="340"/>
      <c r="V37" s="341"/>
      <c r="W37" s="338"/>
      <c r="X37" s="339">
        <f t="shared" si="1"/>
        <v>0</v>
      </c>
    </row>
    <row r="38" spans="1:24" ht="33.75" customHeight="1">
      <c r="A38" s="324"/>
      <c r="B38" s="379">
        <v>44894</v>
      </c>
      <c r="C38" s="335"/>
      <c r="D38" s="336"/>
      <c r="E38" s="336"/>
      <c r="F38" s="337">
        <f>'Suivi EAU-ELEC'!E34</f>
        <v>0</v>
      </c>
      <c r="G38" s="338"/>
      <c r="H38" s="383">
        <f>F38*8.79</f>
        <v>0</v>
      </c>
      <c r="I38" s="383"/>
      <c r="J38" s="383"/>
      <c r="K38" s="384">
        <v>42304</v>
      </c>
      <c r="L38" s="385"/>
      <c r="M38" s="385"/>
      <c r="N38" s="385"/>
      <c r="O38" s="385">
        <f>L38+M38+N38</f>
        <v>0</v>
      </c>
      <c r="P38" s="338"/>
      <c r="Q38" s="339">
        <f>L38*0.6985+M38*0.9514+N38*1.3304</f>
        <v>0</v>
      </c>
      <c r="R38" s="338"/>
      <c r="S38" s="340"/>
      <c r="T38" s="338"/>
      <c r="U38" s="340"/>
      <c r="V38" s="341"/>
      <c r="W38" s="338"/>
      <c r="X38" s="339">
        <f t="shared" si="1"/>
        <v>0</v>
      </c>
    </row>
    <row r="39" spans="1:24" ht="33.75" customHeight="1">
      <c r="A39" s="324"/>
      <c r="B39" s="379">
        <v>44895</v>
      </c>
      <c r="C39" s="335"/>
      <c r="D39" s="336"/>
      <c r="E39" s="336"/>
      <c r="F39" s="337">
        <f>'Suivi EAU-ELEC'!E35</f>
        <v>0</v>
      </c>
      <c r="G39" s="338"/>
      <c r="H39" s="383">
        <f>F39*8.79</f>
        <v>0</v>
      </c>
      <c r="I39" s="383"/>
      <c r="J39" s="383"/>
      <c r="K39" s="384"/>
      <c r="L39" s="385"/>
      <c r="M39" s="385"/>
      <c r="N39" s="385"/>
      <c r="O39" s="385">
        <f>L39+M39+N39</f>
        <v>0</v>
      </c>
      <c r="P39" s="338"/>
      <c r="Q39" s="339">
        <f>L39*0.6985+M39*0.9514+N39*1.3304</f>
        <v>0</v>
      </c>
      <c r="R39" s="338"/>
      <c r="S39" s="340"/>
      <c r="T39" s="338"/>
      <c r="U39" s="340"/>
      <c r="V39" s="341"/>
      <c r="W39" s="338"/>
      <c r="X39" s="339">
        <f t="shared" si="1"/>
        <v>0</v>
      </c>
    </row>
    <row r="40" spans="1:24" ht="42.75" customHeight="1">
      <c r="A40" s="324"/>
      <c r="B40" s="344"/>
      <c r="C40" s="344"/>
      <c r="D40" s="345">
        <f>SUM(D10:D39)</f>
        <v>980</v>
      </c>
      <c r="E40" s="345">
        <f>SUM(E10:E39)</f>
        <v>1401</v>
      </c>
      <c r="F40" s="346">
        <f>SUM(F10:F39)</f>
        <v>1937</v>
      </c>
      <c r="G40" s="347"/>
      <c r="H40" s="348">
        <f>SUM(H10:H39)</f>
        <v>17026.229999999996</v>
      </c>
      <c r="I40" s="348"/>
      <c r="J40" s="348"/>
      <c r="K40" s="347"/>
      <c r="L40" s="349">
        <f>SUM(L10:L39)</f>
        <v>67944</v>
      </c>
      <c r="M40" s="349">
        <f>SUM(M10:M39)</f>
        <v>104684</v>
      </c>
      <c r="N40" s="350">
        <f>SUM(N10:N39)</f>
        <v>51047</v>
      </c>
      <c r="O40" s="350">
        <f>SUM(O10:O39)</f>
        <v>223675</v>
      </c>
      <c r="P40" s="351"/>
      <c r="Q40" s="339">
        <f>SUM(Q10:Q39)</f>
        <v>215675.94319999998</v>
      </c>
      <c r="R40" s="351"/>
      <c r="S40" s="352">
        <f>SUM(S10:S39)</f>
        <v>0</v>
      </c>
      <c r="T40" s="351"/>
      <c r="U40" s="352">
        <f>SUM(U10:U39)</f>
        <v>0</v>
      </c>
      <c r="V40" s="353">
        <f>SUM(V10:V39)</f>
        <v>5792.2804399999995</v>
      </c>
      <c r="W40" s="351"/>
      <c r="X40" s="353">
        <f>SUM(X10:X39)</f>
        <v>70897.512585600009</v>
      </c>
    </row>
    <row r="41" spans="1:24" s="2" customFormat="1" ht="12.75" customHeight="1">
      <c r="A41" s="324"/>
      <c r="B41" s="324"/>
      <c r="C41" s="324"/>
      <c r="D41" s="324"/>
      <c r="E41" s="324"/>
      <c r="F41" s="324"/>
      <c r="G41" s="324"/>
      <c r="H41" s="354"/>
      <c r="I41" s="324"/>
      <c r="J41" s="354"/>
      <c r="K41" s="324"/>
      <c r="L41" s="323"/>
      <c r="M41" s="323"/>
      <c r="N41" s="323"/>
      <c r="O41" s="347"/>
      <c r="P41" s="347"/>
      <c r="Q41" s="324"/>
      <c r="R41" s="347"/>
      <c r="S41" s="324"/>
      <c r="T41" s="347"/>
      <c r="U41" s="324"/>
      <c r="V41" s="324"/>
      <c r="W41" s="347"/>
      <c r="X41" s="324"/>
    </row>
    <row r="42" spans="1:24" s="2" customFormat="1" ht="32.25" customHeight="1">
      <c r="A42" s="355" t="s">
        <v>33</v>
      </c>
      <c r="B42" s="355"/>
      <c r="C42" s="355"/>
      <c r="D42" s="355"/>
      <c r="E42" s="355"/>
      <c r="F42" s="355"/>
      <c r="G42" s="356"/>
      <c r="H42" s="357" t="s">
        <v>34</v>
      </c>
      <c r="I42" s="358" t="s">
        <v>35</v>
      </c>
      <c r="J42" s="358"/>
      <c r="K42" s="358"/>
      <c r="L42" s="355" t="s">
        <v>36</v>
      </c>
      <c r="M42" s="355"/>
      <c r="N42" s="355" t="s">
        <v>37</v>
      </c>
      <c r="O42" s="355"/>
      <c r="P42" s="355"/>
      <c r="Q42" s="355"/>
      <c r="R42" s="355"/>
      <c r="S42" s="355"/>
      <c r="T42" s="355"/>
      <c r="U42" s="355"/>
      <c r="V42" s="355"/>
      <c r="W42" s="355"/>
      <c r="X42" s="355"/>
    </row>
    <row r="43" spans="1:24" s="4" customFormat="1" ht="29.25" customHeight="1">
      <c r="A43" s="359" t="s">
        <v>38</v>
      </c>
      <c r="B43" s="359"/>
      <c r="C43" s="359"/>
      <c r="D43" s="360" t="s">
        <v>30</v>
      </c>
      <c r="E43" s="360" t="s">
        <v>30</v>
      </c>
      <c r="F43" s="360" t="s">
        <v>30</v>
      </c>
      <c r="G43" s="360"/>
      <c r="H43" s="360">
        <v>0.69850000000000001</v>
      </c>
      <c r="I43" s="359">
        <f>L40</f>
        <v>67944</v>
      </c>
      <c r="J43" s="359"/>
      <c r="K43" s="359"/>
      <c r="L43" s="361">
        <f>I43*H43</f>
        <v>47458.883999999998</v>
      </c>
      <c r="M43" s="361"/>
      <c r="N43" s="362">
        <f>L43+L44+L45</f>
        <v>214968.1704</v>
      </c>
      <c r="O43" s="362"/>
      <c r="P43" s="362"/>
      <c r="Q43" s="362"/>
      <c r="R43" s="362"/>
      <c r="S43" s="362"/>
      <c r="T43" s="362"/>
      <c r="U43" s="362"/>
      <c r="V43" s="362"/>
      <c r="W43" s="362"/>
      <c r="X43" s="362"/>
    </row>
    <row r="44" spans="1:24" s="4" customFormat="1" ht="29.25" customHeight="1">
      <c r="A44" s="359"/>
      <c r="B44" s="359"/>
      <c r="C44" s="359"/>
      <c r="D44" s="360" t="s">
        <v>31</v>
      </c>
      <c r="E44" s="360" t="s">
        <v>31</v>
      </c>
      <c r="F44" s="360" t="s">
        <v>31</v>
      </c>
      <c r="G44" s="360"/>
      <c r="H44" s="360">
        <v>0.95140000000000002</v>
      </c>
      <c r="I44" s="359">
        <f>M40</f>
        <v>104684</v>
      </c>
      <c r="J44" s="359"/>
      <c r="K44" s="359"/>
      <c r="L44" s="361">
        <f>I44*H44</f>
        <v>99596.357600000003</v>
      </c>
      <c r="M44" s="361"/>
      <c r="N44" s="362"/>
      <c r="O44" s="362"/>
      <c r="P44" s="362"/>
      <c r="Q44" s="362"/>
      <c r="R44" s="362"/>
      <c r="S44" s="362"/>
      <c r="T44" s="362"/>
      <c r="U44" s="362"/>
      <c r="V44" s="362"/>
      <c r="W44" s="362"/>
      <c r="X44" s="362"/>
    </row>
    <row r="45" spans="1:24" s="4" customFormat="1" ht="24.75" customHeight="1">
      <c r="A45" s="359"/>
      <c r="B45" s="359"/>
      <c r="C45" s="359"/>
      <c r="D45" s="360" t="s">
        <v>32</v>
      </c>
      <c r="E45" s="360" t="s">
        <v>32</v>
      </c>
      <c r="F45" s="360" t="s">
        <v>32</v>
      </c>
      <c r="G45" s="360"/>
      <c r="H45" s="360">
        <v>1.3304</v>
      </c>
      <c r="I45" s="359">
        <f>N40</f>
        <v>51047</v>
      </c>
      <c r="J45" s="359"/>
      <c r="K45" s="359"/>
      <c r="L45" s="361">
        <f>I45*H45</f>
        <v>67912.928799999994</v>
      </c>
      <c r="M45" s="361"/>
      <c r="N45" s="362"/>
      <c r="O45" s="362"/>
      <c r="P45" s="362"/>
      <c r="Q45" s="362"/>
      <c r="R45" s="362"/>
      <c r="S45" s="362"/>
      <c r="T45" s="362"/>
      <c r="U45" s="362"/>
      <c r="V45" s="362"/>
      <c r="W45" s="362"/>
      <c r="X45" s="362"/>
    </row>
    <row r="46" spans="1:24" s="4" customFormat="1" ht="43.5" customHeight="1">
      <c r="A46" s="360"/>
      <c r="B46" s="360"/>
      <c r="C46" s="360"/>
      <c r="D46" s="360"/>
      <c r="E46" s="360"/>
      <c r="F46" s="360"/>
      <c r="G46" s="360"/>
      <c r="H46" s="360"/>
      <c r="I46" s="360"/>
      <c r="J46" s="360"/>
      <c r="K46" s="360"/>
      <c r="L46" s="363"/>
      <c r="M46" s="363"/>
      <c r="N46" s="364">
        <f>N43*1.3</f>
        <v>279458.62151999999</v>
      </c>
      <c r="O46" s="364"/>
      <c r="P46" s="364"/>
      <c r="Q46" s="364"/>
      <c r="R46" s="364"/>
      <c r="S46" s="364"/>
      <c r="T46" s="364"/>
      <c r="U46" s="364"/>
      <c r="V46" s="364"/>
      <c r="W46" s="364"/>
      <c r="X46" s="364"/>
    </row>
    <row r="47" spans="1:24" s="5" customFormat="1" ht="32.25" customHeight="1">
      <c r="A47" s="365" t="s">
        <v>39</v>
      </c>
      <c r="B47" s="365"/>
      <c r="C47" s="365"/>
      <c r="D47" s="365"/>
      <c r="E47" s="365"/>
      <c r="F47" s="365"/>
      <c r="G47" s="366"/>
      <c r="H47" s="366">
        <v>8.7899999999999991</v>
      </c>
      <c r="I47" s="365">
        <f>F40</f>
        <v>1937</v>
      </c>
      <c r="J47" s="365"/>
      <c r="K47" s="365"/>
      <c r="L47" s="367">
        <f>I47*H47</f>
        <v>17026.23</v>
      </c>
      <c r="M47" s="367"/>
      <c r="N47" s="368">
        <f>L47</f>
        <v>17026.23</v>
      </c>
      <c r="O47" s="368"/>
      <c r="P47" s="368"/>
      <c r="Q47" s="368"/>
      <c r="R47" s="368"/>
      <c r="S47" s="368"/>
      <c r="T47" s="368"/>
      <c r="U47" s="368"/>
      <c r="V47" s="368"/>
      <c r="W47" s="368"/>
      <c r="X47" s="368"/>
    </row>
    <row r="48" spans="1:24" s="5" customFormat="1" ht="36.75" customHeight="1">
      <c r="A48" s="369" t="s">
        <v>40</v>
      </c>
      <c r="B48" s="369"/>
      <c r="C48" s="369"/>
      <c r="D48" s="369"/>
      <c r="E48" s="369"/>
      <c r="F48" s="369"/>
      <c r="G48" s="370"/>
      <c r="H48" s="370">
        <v>12.24</v>
      </c>
      <c r="I48" s="371">
        <f>V40</f>
        <v>5792.2804399999995</v>
      </c>
      <c r="J48" s="371"/>
      <c r="K48" s="371"/>
      <c r="L48" s="371">
        <f>I48*H48</f>
        <v>70897.512585599994</v>
      </c>
      <c r="M48" s="371"/>
      <c r="N48" s="372">
        <f>L48</f>
        <v>70897.512585599994</v>
      </c>
      <c r="O48" s="372"/>
      <c r="P48" s="372"/>
      <c r="Q48" s="372"/>
      <c r="R48" s="372"/>
      <c r="S48" s="372"/>
      <c r="T48" s="372"/>
      <c r="U48" s="372"/>
      <c r="V48" s="372"/>
      <c r="W48" s="372"/>
      <c r="X48" s="372"/>
    </row>
    <row r="49" spans="1:24" ht="27" customHeight="1">
      <c r="A49" s="1"/>
      <c r="B49" s="1"/>
      <c r="C49" s="1"/>
      <c r="D49" s="1"/>
      <c r="E49" s="1"/>
      <c r="F49" s="1"/>
      <c r="G49" s="7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7"/>
      <c r="U49" s="7"/>
      <c r="V49" s="7"/>
      <c r="W49" s="7"/>
      <c r="X49" s="7"/>
    </row>
    <row r="50" spans="1:24" ht="18.75" customHeight="1"/>
    <row r="54" spans="1:24" ht="39" customHeight="1"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</row>
  </sheetData>
  <mergeCells count="72">
    <mergeCell ref="D2:X2"/>
    <mergeCell ref="A2:B2"/>
    <mergeCell ref="H38:J38"/>
    <mergeCell ref="L43:M43"/>
    <mergeCell ref="H33:J33"/>
    <mergeCell ref="H31:J31"/>
    <mergeCell ref="H35:J35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4:C5"/>
    <mergeCell ref="F7:L7"/>
    <mergeCell ref="H8:J9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D08E"/>
  </sheetPr>
  <dimension ref="A1:AC38"/>
  <sheetViews>
    <sheetView showGridLines="0" zoomScale="70" zoomScaleNormal="70" workbookViewId="0">
      <selection activeCell="H14" sqref="H14"/>
    </sheetView>
  </sheetViews>
  <sheetFormatPr defaultColWidth="11.42578125" defaultRowHeight="18"/>
  <cols>
    <col min="1" max="1" width="18.5703125" style="66" customWidth="1"/>
    <col min="2" max="3" width="19.140625" style="66" customWidth="1"/>
    <col min="4" max="4" width="16.7109375" style="60" customWidth="1"/>
    <col min="5" max="5" width="19.5703125" style="64" customWidth="1"/>
    <col min="6" max="9" width="17" style="60" customWidth="1"/>
    <col min="10" max="10" width="14" style="60" customWidth="1"/>
    <col min="11" max="11" width="18.28515625" style="60" customWidth="1"/>
    <col min="12" max="12" width="14" style="60" customWidth="1"/>
    <col min="13" max="16384" width="11.42578125" style="60"/>
  </cols>
  <sheetData>
    <row r="1" spans="1:11" ht="36.75" customHeight="1">
      <c r="A1" s="138"/>
      <c r="B1" s="138"/>
      <c r="C1" s="139" t="s">
        <v>41</v>
      </c>
      <c r="D1" s="139"/>
      <c r="E1" s="139"/>
      <c r="F1" s="139"/>
      <c r="G1" s="139"/>
      <c r="H1" s="139"/>
      <c r="I1" s="139"/>
      <c r="J1" s="140" t="s">
        <v>42</v>
      </c>
      <c r="K1" s="140"/>
    </row>
    <row r="2" spans="1:11" ht="27" customHeight="1">
      <c r="A2" s="138"/>
      <c r="B2" s="138"/>
      <c r="C2" s="139"/>
      <c r="D2" s="139"/>
      <c r="E2" s="139"/>
      <c r="F2" s="139"/>
      <c r="G2" s="139"/>
      <c r="H2" s="139"/>
      <c r="I2" s="139"/>
      <c r="J2" s="140">
        <v>2022</v>
      </c>
      <c r="K2" s="140"/>
    </row>
    <row r="3" spans="1:11" ht="15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</row>
    <row r="4" spans="1:11" ht="21" customHeight="1">
      <c r="A4" s="141" t="s">
        <v>43</v>
      </c>
      <c r="B4" s="144" t="s">
        <v>44</v>
      </c>
      <c r="C4" s="144"/>
      <c r="D4" s="142" t="s">
        <v>45</v>
      </c>
      <c r="E4" s="142"/>
      <c r="F4" s="143" t="s">
        <v>46</v>
      </c>
      <c r="G4" s="143"/>
      <c r="H4" s="143"/>
      <c r="I4" s="143"/>
      <c r="J4" s="143"/>
      <c r="K4" s="143"/>
    </row>
    <row r="5" spans="1:11" s="6" customFormat="1" ht="31.5" customHeight="1">
      <c r="A5" s="141"/>
      <c r="B5" s="67" t="s">
        <v>47</v>
      </c>
      <c r="C5" s="67" t="s">
        <v>48</v>
      </c>
      <c r="D5" s="67" t="s">
        <v>47</v>
      </c>
      <c r="E5" s="67" t="s">
        <v>49</v>
      </c>
      <c r="F5" s="104" t="s">
        <v>50</v>
      </c>
      <c r="G5" s="105" t="s">
        <v>51</v>
      </c>
      <c r="H5" s="104" t="s">
        <v>52</v>
      </c>
      <c r="I5" s="105" t="s">
        <v>53</v>
      </c>
      <c r="J5" s="104" t="s">
        <v>54</v>
      </c>
      <c r="K5" s="105" t="s">
        <v>55</v>
      </c>
    </row>
    <row r="6" spans="1:11" ht="18.75" customHeight="1">
      <c r="A6" s="68">
        <v>44866</v>
      </c>
      <c r="B6" s="58">
        <v>2569</v>
      </c>
      <c r="C6" s="61">
        <v>0</v>
      </c>
      <c r="D6" s="58">
        <v>172580</v>
      </c>
      <c r="E6" s="58">
        <v>180</v>
      </c>
      <c r="F6" s="59">
        <v>12634618</v>
      </c>
      <c r="G6" s="102">
        <v>4848</v>
      </c>
      <c r="H6" s="59">
        <v>21612801</v>
      </c>
      <c r="I6" s="102">
        <v>8006</v>
      </c>
      <c r="J6" s="59">
        <v>9466063</v>
      </c>
      <c r="K6" s="102">
        <v>4201</v>
      </c>
    </row>
    <row r="7" spans="1:11" ht="18.75" customHeight="1">
      <c r="A7" s="98">
        <v>44867</v>
      </c>
      <c r="B7" s="99">
        <v>2569</v>
      </c>
      <c r="C7" s="100">
        <f>B7-B6</f>
        <v>0</v>
      </c>
      <c r="D7" s="99">
        <v>172724</v>
      </c>
      <c r="E7" s="99">
        <f>D7-D6</f>
        <v>144</v>
      </c>
      <c r="F7" s="101">
        <v>12639296</v>
      </c>
      <c r="G7" s="103">
        <f>F7-F6</f>
        <v>4678</v>
      </c>
      <c r="H7" s="101">
        <v>21620293</v>
      </c>
      <c r="I7" s="103">
        <f>H7-H6</f>
        <v>7492</v>
      </c>
      <c r="J7" s="101">
        <v>9469520</v>
      </c>
      <c r="K7" s="103">
        <f>J7-J6</f>
        <v>3457</v>
      </c>
    </row>
    <row r="8" spans="1:11" ht="18.75" customHeight="1">
      <c r="A8" s="68">
        <v>44868</v>
      </c>
      <c r="B8" s="58">
        <v>2569</v>
      </c>
      <c r="C8" s="61">
        <f>B8-B7</f>
        <v>0</v>
      </c>
      <c r="D8" s="58">
        <v>172851</v>
      </c>
      <c r="E8" s="58">
        <f>D8-D7</f>
        <v>127</v>
      </c>
      <c r="F8" s="59">
        <v>12644021</v>
      </c>
      <c r="G8" s="103">
        <f t="shared" ref="G8:G19" si="0">F8-F7</f>
        <v>4725</v>
      </c>
      <c r="H8" s="59">
        <v>21627461</v>
      </c>
      <c r="I8" s="103">
        <f t="shared" ref="I8:I20" si="1">H8-H7</f>
        <v>7168</v>
      </c>
      <c r="J8" s="59">
        <v>9473075</v>
      </c>
      <c r="K8" s="103">
        <f t="shared" ref="K8:K20" si="2">J8-J7</f>
        <v>3555</v>
      </c>
    </row>
    <row r="9" spans="1:11" ht="18.75" customHeight="1">
      <c r="A9" s="68">
        <v>44869</v>
      </c>
      <c r="B9" s="58">
        <v>2569</v>
      </c>
      <c r="C9" s="61">
        <f>B9-B8</f>
        <v>0</v>
      </c>
      <c r="D9" s="58">
        <v>172981.1</v>
      </c>
      <c r="E9" s="58">
        <f>D9-D8</f>
        <v>130.10000000000582</v>
      </c>
      <c r="F9" s="59">
        <v>12649643</v>
      </c>
      <c r="G9" s="103">
        <f t="shared" si="0"/>
        <v>5622</v>
      </c>
      <c r="H9" s="59">
        <v>21635241</v>
      </c>
      <c r="I9" s="103">
        <f t="shared" si="1"/>
        <v>7780</v>
      </c>
      <c r="J9" s="59">
        <v>9476953</v>
      </c>
      <c r="K9" s="103">
        <f t="shared" si="2"/>
        <v>3878</v>
      </c>
    </row>
    <row r="10" spans="1:11" ht="18.75" customHeight="1">
      <c r="A10" s="68">
        <v>44870</v>
      </c>
      <c r="B10" s="58">
        <v>2569</v>
      </c>
      <c r="C10" s="61">
        <f>B10-B9</f>
        <v>0</v>
      </c>
      <c r="D10" s="58">
        <v>173113.7</v>
      </c>
      <c r="E10" s="58">
        <f>D10-D9</f>
        <v>132.60000000000582</v>
      </c>
      <c r="F10" s="59">
        <v>12656039</v>
      </c>
      <c r="G10" s="103">
        <f t="shared" si="0"/>
        <v>6396</v>
      </c>
      <c r="H10" s="59">
        <v>21642919</v>
      </c>
      <c r="I10" s="103">
        <f t="shared" si="1"/>
        <v>7678</v>
      </c>
      <c r="J10" s="59">
        <v>9480942</v>
      </c>
      <c r="K10" s="103">
        <f t="shared" si="2"/>
        <v>3989</v>
      </c>
    </row>
    <row r="11" spans="1:11" ht="18.75" customHeight="1">
      <c r="A11" s="68">
        <v>44871</v>
      </c>
      <c r="B11" s="58">
        <v>2569</v>
      </c>
      <c r="C11" s="61">
        <f t="shared" ref="C11:C35" si="3">B11-B10</f>
        <v>0</v>
      </c>
      <c r="D11" s="58">
        <v>173255</v>
      </c>
      <c r="E11" s="58">
        <f t="shared" ref="E8:E35" si="4">D11-D10</f>
        <v>141.29999999998836</v>
      </c>
      <c r="F11" s="59">
        <v>12660008</v>
      </c>
      <c r="G11" s="103">
        <f t="shared" si="0"/>
        <v>3969</v>
      </c>
      <c r="H11" s="59">
        <v>21650445</v>
      </c>
      <c r="I11" s="103">
        <f t="shared" si="1"/>
        <v>7526</v>
      </c>
      <c r="J11" s="59">
        <v>9484585</v>
      </c>
      <c r="K11" s="103">
        <f t="shared" si="2"/>
        <v>3643</v>
      </c>
    </row>
    <row r="12" spans="1:11" ht="18.75" customHeight="1">
      <c r="A12" s="68">
        <v>44872</v>
      </c>
      <c r="B12" s="58">
        <v>2569</v>
      </c>
      <c r="C12" s="61">
        <f t="shared" si="3"/>
        <v>0</v>
      </c>
      <c r="D12" s="58">
        <v>173399</v>
      </c>
      <c r="E12" s="58">
        <f t="shared" si="4"/>
        <v>144</v>
      </c>
      <c r="F12" s="59">
        <v>12664930</v>
      </c>
      <c r="G12" s="103">
        <f t="shared" si="0"/>
        <v>4922</v>
      </c>
      <c r="H12" s="59">
        <v>21657778</v>
      </c>
      <c r="I12" s="103">
        <f t="shared" si="1"/>
        <v>7333</v>
      </c>
      <c r="J12" s="59">
        <v>9488095</v>
      </c>
      <c r="K12" s="103">
        <f t="shared" si="2"/>
        <v>3510</v>
      </c>
    </row>
    <row r="13" spans="1:11" ht="18.75" customHeight="1">
      <c r="A13" s="68">
        <v>44873</v>
      </c>
      <c r="B13" s="58">
        <v>2569</v>
      </c>
      <c r="C13" s="61">
        <f t="shared" si="3"/>
        <v>0</v>
      </c>
      <c r="D13" s="58">
        <v>173538</v>
      </c>
      <c r="E13" s="58">
        <f t="shared" si="4"/>
        <v>139</v>
      </c>
      <c r="F13" s="59">
        <v>12669536</v>
      </c>
      <c r="G13" s="103">
        <f t="shared" si="0"/>
        <v>4606</v>
      </c>
      <c r="H13" s="59">
        <v>21665646</v>
      </c>
      <c r="I13" s="103">
        <f t="shared" si="1"/>
        <v>7868</v>
      </c>
      <c r="J13" s="59">
        <v>9492048</v>
      </c>
      <c r="K13" s="103">
        <f t="shared" si="2"/>
        <v>3953</v>
      </c>
    </row>
    <row r="14" spans="1:11" ht="18.75" customHeight="1">
      <c r="A14" s="68">
        <v>44874</v>
      </c>
      <c r="B14" s="58">
        <v>2569</v>
      </c>
      <c r="C14" s="61">
        <f t="shared" si="3"/>
        <v>0</v>
      </c>
      <c r="D14" s="58">
        <v>173654</v>
      </c>
      <c r="E14" s="58">
        <f t="shared" si="4"/>
        <v>116</v>
      </c>
      <c r="F14" s="59">
        <v>12674492</v>
      </c>
      <c r="G14" s="103">
        <f t="shared" si="0"/>
        <v>4956</v>
      </c>
      <c r="H14" s="59">
        <v>21673172</v>
      </c>
      <c r="I14" s="103">
        <f t="shared" si="1"/>
        <v>7526</v>
      </c>
      <c r="J14" s="59">
        <v>9495202</v>
      </c>
      <c r="K14" s="103">
        <f t="shared" si="2"/>
        <v>3154</v>
      </c>
    </row>
    <row r="15" spans="1:11" ht="18.75" customHeight="1">
      <c r="A15" s="68">
        <v>44875</v>
      </c>
      <c r="B15" s="58">
        <v>2569</v>
      </c>
      <c r="C15" s="61">
        <f t="shared" si="3"/>
        <v>0</v>
      </c>
      <c r="D15" s="58">
        <v>173773.3</v>
      </c>
      <c r="E15" s="58">
        <f t="shared" si="4"/>
        <v>119.29999999998836</v>
      </c>
      <c r="F15" s="59">
        <v>12678772</v>
      </c>
      <c r="G15" s="103">
        <f t="shared" si="0"/>
        <v>4280</v>
      </c>
      <c r="H15" s="59">
        <v>21680687</v>
      </c>
      <c r="I15" s="103">
        <f t="shared" si="1"/>
        <v>7515</v>
      </c>
      <c r="J15" s="59">
        <v>9498704</v>
      </c>
      <c r="K15" s="103">
        <f t="shared" si="2"/>
        <v>3502</v>
      </c>
    </row>
    <row r="16" spans="1:11" ht="18.75" customHeight="1">
      <c r="A16" s="68">
        <v>44876</v>
      </c>
      <c r="B16" s="58">
        <v>2569</v>
      </c>
      <c r="C16" s="61">
        <f t="shared" si="3"/>
        <v>0</v>
      </c>
      <c r="D16" s="58">
        <v>173910.6</v>
      </c>
      <c r="E16" s="58">
        <f t="shared" si="4"/>
        <v>137.30000000001746</v>
      </c>
      <c r="F16" s="59">
        <v>12683754</v>
      </c>
      <c r="G16" s="103">
        <f t="shared" si="0"/>
        <v>4982</v>
      </c>
      <c r="H16" s="59">
        <v>21687543</v>
      </c>
      <c r="I16" s="103">
        <f t="shared" si="1"/>
        <v>6856</v>
      </c>
      <c r="J16" s="59">
        <v>9502307</v>
      </c>
      <c r="K16" s="103">
        <f t="shared" si="2"/>
        <v>3603</v>
      </c>
    </row>
    <row r="17" spans="1:29" ht="18.75" customHeight="1">
      <c r="A17" s="68">
        <v>44877</v>
      </c>
      <c r="B17" s="58">
        <v>2569</v>
      </c>
      <c r="C17" s="61">
        <f t="shared" si="3"/>
        <v>0</v>
      </c>
      <c r="D17" s="58">
        <v>174040.7</v>
      </c>
      <c r="E17" s="58">
        <f t="shared" si="4"/>
        <v>130.10000000000582</v>
      </c>
      <c r="F17" s="59">
        <v>12688383</v>
      </c>
      <c r="G17" s="103">
        <f t="shared" si="0"/>
        <v>4629</v>
      </c>
      <c r="H17" s="59">
        <v>21695550</v>
      </c>
      <c r="I17" s="103">
        <f t="shared" si="1"/>
        <v>8007</v>
      </c>
      <c r="J17" s="59">
        <v>9505949</v>
      </c>
      <c r="K17" s="103">
        <f t="shared" si="2"/>
        <v>3642</v>
      </c>
      <c r="L17" s="62" t="s">
        <v>18</v>
      </c>
      <c r="AC17" s="60" t="s">
        <v>56</v>
      </c>
    </row>
    <row r="18" spans="1:29" ht="18.75" customHeight="1">
      <c r="A18" s="68">
        <v>44878</v>
      </c>
      <c r="B18" s="58">
        <v>2569</v>
      </c>
      <c r="C18" s="61">
        <f t="shared" si="3"/>
        <v>0</v>
      </c>
      <c r="D18" s="58">
        <v>174192</v>
      </c>
      <c r="E18" s="58">
        <f t="shared" si="4"/>
        <v>151.29999999998836</v>
      </c>
      <c r="F18" s="59">
        <v>12693336</v>
      </c>
      <c r="G18" s="103">
        <f t="shared" si="0"/>
        <v>4953</v>
      </c>
      <c r="H18" s="59">
        <v>21702699</v>
      </c>
      <c r="I18" s="103">
        <f t="shared" si="1"/>
        <v>7149</v>
      </c>
      <c r="J18" s="59">
        <v>9509399</v>
      </c>
      <c r="K18" s="103">
        <f t="shared" si="2"/>
        <v>3450</v>
      </c>
    </row>
    <row r="19" spans="1:29" ht="18.75" customHeight="1">
      <c r="A19" s="68">
        <v>44879</v>
      </c>
      <c r="B19" s="58">
        <v>2569</v>
      </c>
      <c r="C19" s="61">
        <f t="shared" si="3"/>
        <v>0</v>
      </c>
      <c r="D19" s="58">
        <v>174337</v>
      </c>
      <c r="E19" s="58">
        <f t="shared" si="4"/>
        <v>145</v>
      </c>
      <c r="F19" s="59">
        <v>12697714</v>
      </c>
      <c r="G19" s="103">
        <f t="shared" si="0"/>
        <v>4378</v>
      </c>
      <c r="H19" s="59">
        <v>21709479</v>
      </c>
      <c r="I19" s="103">
        <f t="shared" si="1"/>
        <v>6780</v>
      </c>
      <c r="J19" s="59">
        <v>9512909</v>
      </c>
      <c r="K19" s="103">
        <f t="shared" si="2"/>
        <v>3510</v>
      </c>
    </row>
    <row r="20" spans="1:29" ht="18.75" customHeight="1">
      <c r="A20" s="68">
        <v>44880</v>
      </c>
      <c r="B20" s="58"/>
      <c r="C20" s="61">
        <f t="shared" si="3"/>
        <v>-2569</v>
      </c>
      <c r="D20" s="58"/>
      <c r="E20" s="58">
        <f t="shared" si="4"/>
        <v>-174337</v>
      </c>
      <c r="F20" s="59"/>
      <c r="G20" s="102">
        <f t="shared" ref="G20:G27" si="5">F20-F19</f>
        <v>-12697714</v>
      </c>
      <c r="H20" s="59"/>
      <c r="I20" s="103">
        <f t="shared" si="1"/>
        <v>-21709479</v>
      </c>
      <c r="J20" s="59"/>
      <c r="K20" s="103">
        <f t="shared" si="2"/>
        <v>-9512909</v>
      </c>
    </row>
    <row r="21" spans="1:29" ht="18.75" customHeight="1">
      <c r="A21" s="68">
        <v>44881</v>
      </c>
      <c r="B21" s="58"/>
      <c r="C21" s="61">
        <f t="shared" si="3"/>
        <v>0</v>
      </c>
      <c r="D21" s="58"/>
      <c r="E21" s="58">
        <f t="shared" si="4"/>
        <v>0</v>
      </c>
      <c r="F21" s="59"/>
      <c r="G21" s="102">
        <f t="shared" si="5"/>
        <v>0</v>
      </c>
      <c r="H21" s="59"/>
      <c r="I21" s="102">
        <f t="shared" ref="I21:I35" si="6">H21-H20</f>
        <v>0</v>
      </c>
      <c r="J21" s="59"/>
      <c r="K21" s="102">
        <f t="shared" ref="K21:K27" si="7">J21-J20</f>
        <v>0</v>
      </c>
    </row>
    <row r="22" spans="1:29" ht="18.75" customHeight="1">
      <c r="A22" s="68">
        <v>44882</v>
      </c>
      <c r="B22" s="58"/>
      <c r="C22" s="61">
        <f t="shared" si="3"/>
        <v>0</v>
      </c>
      <c r="D22" s="58"/>
      <c r="E22" s="58">
        <f t="shared" si="4"/>
        <v>0</v>
      </c>
      <c r="F22" s="59"/>
      <c r="G22" s="102">
        <f t="shared" si="5"/>
        <v>0</v>
      </c>
      <c r="H22" s="59"/>
      <c r="I22" s="102">
        <f t="shared" si="6"/>
        <v>0</v>
      </c>
      <c r="J22" s="59"/>
      <c r="K22" s="102">
        <f t="shared" si="7"/>
        <v>0</v>
      </c>
    </row>
    <row r="23" spans="1:29" ht="18.75" customHeight="1">
      <c r="A23" s="68">
        <v>44883</v>
      </c>
      <c r="B23" s="58"/>
      <c r="C23" s="61">
        <f t="shared" si="3"/>
        <v>0</v>
      </c>
      <c r="D23" s="58"/>
      <c r="E23" s="58">
        <f t="shared" si="4"/>
        <v>0</v>
      </c>
      <c r="F23" s="59"/>
      <c r="G23" s="102">
        <f t="shared" si="5"/>
        <v>0</v>
      </c>
      <c r="H23" s="59"/>
      <c r="I23" s="102">
        <f t="shared" si="6"/>
        <v>0</v>
      </c>
      <c r="J23" s="59"/>
      <c r="K23" s="102">
        <f t="shared" si="7"/>
        <v>0</v>
      </c>
    </row>
    <row r="24" spans="1:29" ht="18.75" customHeight="1">
      <c r="A24" s="68">
        <v>44884</v>
      </c>
      <c r="B24" s="58"/>
      <c r="C24" s="61">
        <f t="shared" si="3"/>
        <v>0</v>
      </c>
      <c r="D24" s="58"/>
      <c r="E24" s="58">
        <f t="shared" si="4"/>
        <v>0</v>
      </c>
      <c r="F24" s="59"/>
      <c r="G24" s="102">
        <f t="shared" si="5"/>
        <v>0</v>
      </c>
      <c r="H24" s="59"/>
      <c r="I24" s="102">
        <f t="shared" si="6"/>
        <v>0</v>
      </c>
      <c r="J24" s="59"/>
      <c r="K24" s="102">
        <f t="shared" si="7"/>
        <v>0</v>
      </c>
    </row>
    <row r="25" spans="1:29" ht="18.75" customHeight="1">
      <c r="A25" s="68">
        <v>44885</v>
      </c>
      <c r="B25" s="58"/>
      <c r="C25" s="61">
        <f t="shared" si="3"/>
        <v>0</v>
      </c>
      <c r="D25" s="58"/>
      <c r="E25" s="58">
        <f t="shared" si="4"/>
        <v>0</v>
      </c>
      <c r="F25" s="59"/>
      <c r="G25" s="102">
        <f t="shared" si="5"/>
        <v>0</v>
      </c>
      <c r="H25" s="59"/>
      <c r="I25" s="102">
        <f t="shared" si="6"/>
        <v>0</v>
      </c>
      <c r="J25" s="59"/>
      <c r="K25" s="102">
        <f t="shared" si="7"/>
        <v>0</v>
      </c>
    </row>
    <row r="26" spans="1:29" ht="18.75" customHeight="1">
      <c r="A26" s="68">
        <v>44886</v>
      </c>
      <c r="B26" s="58"/>
      <c r="C26" s="61">
        <f t="shared" si="3"/>
        <v>0</v>
      </c>
      <c r="D26" s="58"/>
      <c r="E26" s="58">
        <f t="shared" si="4"/>
        <v>0</v>
      </c>
      <c r="F26" s="59"/>
      <c r="G26" s="102">
        <f t="shared" si="5"/>
        <v>0</v>
      </c>
      <c r="H26" s="59"/>
      <c r="I26" s="102">
        <f t="shared" si="6"/>
        <v>0</v>
      </c>
      <c r="J26" s="59"/>
      <c r="K26" s="102">
        <f t="shared" si="7"/>
        <v>0</v>
      </c>
    </row>
    <row r="27" spans="1:29" ht="18.75" customHeight="1">
      <c r="A27" s="68">
        <v>44887</v>
      </c>
      <c r="B27" s="58"/>
      <c r="C27" s="61">
        <f t="shared" si="3"/>
        <v>0</v>
      </c>
      <c r="D27" s="58"/>
      <c r="E27" s="58">
        <f t="shared" si="4"/>
        <v>0</v>
      </c>
      <c r="F27" s="59"/>
      <c r="G27" s="102">
        <f t="shared" si="5"/>
        <v>0</v>
      </c>
      <c r="H27" s="59"/>
      <c r="I27" s="102">
        <f t="shared" si="6"/>
        <v>0</v>
      </c>
      <c r="J27" s="59"/>
      <c r="K27" s="102">
        <f t="shared" si="7"/>
        <v>0</v>
      </c>
    </row>
    <row r="28" spans="1:29" ht="18.75" customHeight="1">
      <c r="A28" s="68">
        <v>44888</v>
      </c>
      <c r="B28" s="58"/>
      <c r="C28" s="61">
        <f t="shared" si="3"/>
        <v>0</v>
      </c>
      <c r="D28" s="58"/>
      <c r="E28" s="58">
        <f t="shared" si="4"/>
        <v>0</v>
      </c>
      <c r="F28" s="59"/>
      <c r="G28" s="102">
        <f t="shared" ref="G28:G35" si="8">F28-F27</f>
        <v>0</v>
      </c>
      <c r="H28" s="59"/>
      <c r="I28" s="102">
        <f t="shared" si="6"/>
        <v>0</v>
      </c>
      <c r="J28" s="59"/>
      <c r="K28" s="102">
        <f t="shared" ref="K28:K35" si="9">J28-J27</f>
        <v>0</v>
      </c>
    </row>
    <row r="29" spans="1:29" ht="18.75" customHeight="1">
      <c r="A29" s="68">
        <v>44889</v>
      </c>
      <c r="B29" s="58"/>
      <c r="C29" s="61">
        <f t="shared" si="3"/>
        <v>0</v>
      </c>
      <c r="D29" s="58"/>
      <c r="E29" s="58">
        <f t="shared" si="4"/>
        <v>0</v>
      </c>
      <c r="F29" s="59"/>
      <c r="G29" s="102">
        <f t="shared" si="8"/>
        <v>0</v>
      </c>
      <c r="H29" s="59"/>
      <c r="I29" s="102">
        <f t="shared" si="6"/>
        <v>0</v>
      </c>
      <c r="J29" s="59"/>
      <c r="K29" s="102">
        <f t="shared" si="9"/>
        <v>0</v>
      </c>
    </row>
    <row r="30" spans="1:29" ht="18.75" customHeight="1">
      <c r="A30" s="68">
        <v>44890</v>
      </c>
      <c r="B30" s="58"/>
      <c r="C30" s="61">
        <f t="shared" si="3"/>
        <v>0</v>
      </c>
      <c r="D30" s="58"/>
      <c r="E30" s="58">
        <f t="shared" si="4"/>
        <v>0</v>
      </c>
      <c r="F30" s="59"/>
      <c r="G30" s="102">
        <f t="shared" si="8"/>
        <v>0</v>
      </c>
      <c r="H30" s="59"/>
      <c r="I30" s="102">
        <f t="shared" si="6"/>
        <v>0</v>
      </c>
      <c r="J30" s="59"/>
      <c r="K30" s="102">
        <f t="shared" si="9"/>
        <v>0</v>
      </c>
    </row>
    <row r="31" spans="1:29" ht="18.75" customHeight="1">
      <c r="A31" s="68">
        <v>44891</v>
      </c>
      <c r="B31" s="58"/>
      <c r="C31" s="61">
        <f t="shared" si="3"/>
        <v>0</v>
      </c>
      <c r="D31" s="58"/>
      <c r="E31" s="58">
        <f t="shared" si="4"/>
        <v>0</v>
      </c>
      <c r="F31" s="59"/>
      <c r="G31" s="102">
        <f t="shared" si="8"/>
        <v>0</v>
      </c>
      <c r="H31" s="59"/>
      <c r="I31" s="102">
        <f t="shared" si="6"/>
        <v>0</v>
      </c>
      <c r="J31" s="59"/>
      <c r="K31" s="102">
        <f t="shared" si="9"/>
        <v>0</v>
      </c>
    </row>
    <row r="32" spans="1:29" ht="18.75" customHeight="1">
      <c r="A32" s="68">
        <v>44892</v>
      </c>
      <c r="B32" s="58"/>
      <c r="C32" s="61">
        <f t="shared" si="3"/>
        <v>0</v>
      </c>
      <c r="D32" s="58"/>
      <c r="E32" s="58">
        <f t="shared" si="4"/>
        <v>0</v>
      </c>
      <c r="F32" s="59"/>
      <c r="G32" s="102">
        <f t="shared" si="8"/>
        <v>0</v>
      </c>
      <c r="H32" s="59"/>
      <c r="I32" s="102">
        <f t="shared" si="6"/>
        <v>0</v>
      </c>
      <c r="J32" s="59"/>
      <c r="K32" s="102">
        <f t="shared" si="9"/>
        <v>0</v>
      </c>
    </row>
    <row r="33" spans="1:11" ht="18.75" customHeight="1">
      <c r="A33" s="68">
        <v>44893</v>
      </c>
      <c r="B33" s="58"/>
      <c r="C33" s="61">
        <f t="shared" si="3"/>
        <v>0</v>
      </c>
      <c r="D33" s="58"/>
      <c r="E33" s="58">
        <f t="shared" si="4"/>
        <v>0</v>
      </c>
      <c r="F33" s="59"/>
      <c r="G33" s="102">
        <f t="shared" si="8"/>
        <v>0</v>
      </c>
      <c r="H33" s="59"/>
      <c r="I33" s="102">
        <f t="shared" si="6"/>
        <v>0</v>
      </c>
      <c r="J33" s="59"/>
      <c r="K33" s="102">
        <f t="shared" si="9"/>
        <v>0</v>
      </c>
    </row>
    <row r="34" spans="1:11" ht="18.75" customHeight="1">
      <c r="A34" s="68">
        <v>44894</v>
      </c>
      <c r="B34" s="58"/>
      <c r="C34" s="61">
        <f t="shared" si="3"/>
        <v>0</v>
      </c>
      <c r="D34" s="58"/>
      <c r="E34" s="58">
        <f t="shared" si="4"/>
        <v>0</v>
      </c>
      <c r="F34" s="59"/>
      <c r="G34" s="102">
        <f t="shared" si="8"/>
        <v>0</v>
      </c>
      <c r="H34" s="59"/>
      <c r="I34" s="102">
        <f t="shared" si="6"/>
        <v>0</v>
      </c>
      <c r="J34" s="59"/>
      <c r="K34" s="102">
        <f t="shared" si="9"/>
        <v>0</v>
      </c>
    </row>
    <row r="35" spans="1:11" ht="18.75" customHeight="1">
      <c r="A35" s="68">
        <v>44895</v>
      </c>
      <c r="B35" s="58"/>
      <c r="C35" s="61">
        <f t="shared" si="3"/>
        <v>0</v>
      </c>
      <c r="D35" s="58"/>
      <c r="E35" s="58">
        <f t="shared" si="4"/>
        <v>0</v>
      </c>
      <c r="F35" s="59"/>
      <c r="G35" s="102">
        <f t="shared" si="8"/>
        <v>0</v>
      </c>
      <c r="H35" s="59"/>
      <c r="I35" s="102">
        <f t="shared" si="6"/>
        <v>0</v>
      </c>
      <c r="J35" s="59"/>
      <c r="K35" s="102">
        <f t="shared" si="9"/>
        <v>0</v>
      </c>
    </row>
    <row r="36" spans="1:11" ht="24" customHeight="1">
      <c r="A36" s="63"/>
      <c r="B36" s="63"/>
      <c r="C36" s="63"/>
    </row>
    <row r="37" spans="1:11">
      <c r="A37" s="65"/>
      <c r="B37" s="65"/>
      <c r="C37" s="65"/>
    </row>
    <row r="38" spans="1:11">
      <c r="A38" s="65"/>
      <c r="B38" s="65"/>
      <c r="C38" s="65"/>
    </row>
  </sheetData>
  <mergeCells count="9">
    <mergeCell ref="A1:B2"/>
    <mergeCell ref="C1:I2"/>
    <mergeCell ref="J2:K2"/>
    <mergeCell ref="J1:K1"/>
    <mergeCell ref="A4:A5"/>
    <mergeCell ref="D4:E4"/>
    <mergeCell ref="F4:K4"/>
    <mergeCell ref="B4:C4"/>
    <mergeCell ref="A3:K3"/>
  </mergeCells>
  <phoneticPr fontId="13" type="noConversion"/>
  <conditionalFormatting sqref="C1 E36:E65528 E4:E5">
    <cfRule type="cellIs" dxfId="2" priority="63" stopIfTrue="1" operator="lessThanOrEqual">
      <formula>0</formula>
    </cfRule>
  </conditionalFormatting>
  <conditionalFormatting sqref="E6:E35">
    <cfRule type="cellIs" dxfId="1" priority="8" stopIfTrue="1" operator="lessThanOrEqual">
      <formula>0</formula>
    </cfRule>
  </conditionalFormatting>
  <conditionalFormatting sqref="E6:E35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9D08E"/>
  </sheetPr>
  <dimension ref="A1:AE48"/>
  <sheetViews>
    <sheetView showGridLines="0" zoomScale="60" zoomScaleNormal="60" workbookViewId="0">
      <selection activeCell="R17" sqref="R17"/>
    </sheetView>
  </sheetViews>
  <sheetFormatPr defaultColWidth="11.42578125" defaultRowHeight="15.75"/>
  <cols>
    <col min="1" max="1" width="18.7109375" style="69" customWidth="1"/>
    <col min="2" max="2" width="9.5703125" style="78" customWidth="1"/>
    <col min="3" max="3" width="9.5703125" style="78" hidden="1" customWidth="1"/>
    <col min="4" max="4" width="9.85546875" style="78" customWidth="1"/>
    <col min="5" max="5" width="8.85546875" style="78" hidden="1" customWidth="1"/>
    <col min="6" max="6" width="11.42578125" style="78" customWidth="1"/>
    <col min="7" max="7" width="8.85546875" style="78" hidden="1" customWidth="1"/>
    <col min="8" max="8" width="9.5703125" style="78" customWidth="1"/>
    <col min="9" max="9" width="12.140625" style="78" hidden="1" customWidth="1"/>
    <col min="10" max="10" width="19.85546875" style="78" customWidth="1"/>
    <col min="11" max="11" width="17.28515625" style="78" customWidth="1"/>
    <col min="12" max="12" width="18.42578125" style="78" customWidth="1"/>
    <col min="13" max="13" width="16.28515625" style="78" customWidth="1"/>
    <col min="14" max="14" width="14.140625" style="78" customWidth="1"/>
    <col min="15" max="15" width="14.42578125" style="78" customWidth="1"/>
    <col min="16" max="16" width="15.85546875" style="78" customWidth="1"/>
    <col min="17" max="17" width="11.85546875" style="78" customWidth="1"/>
    <col min="18" max="18" width="8.42578125" style="78" customWidth="1"/>
    <col min="19" max="19" width="9.85546875" style="78" customWidth="1"/>
    <col min="20" max="20" width="11.28515625" style="78" customWidth="1"/>
    <col min="21" max="21" width="8.42578125" style="78" customWidth="1"/>
    <col min="22" max="22" width="9.85546875" style="78" customWidth="1"/>
    <col min="23" max="23" width="11.28515625" style="78" customWidth="1"/>
    <col min="24" max="24" width="8.42578125" style="78" customWidth="1"/>
    <col min="25" max="25" width="9.85546875" style="78" customWidth="1"/>
    <col min="26" max="26" width="11.28515625" style="78" customWidth="1"/>
    <col min="27" max="27" width="8.42578125" style="78" customWidth="1"/>
    <col min="28" max="28" width="9.85546875" style="78" customWidth="1"/>
    <col min="29" max="29" width="15.28515625" style="70" customWidth="1"/>
    <col min="30" max="30" width="20.140625" style="78" customWidth="1"/>
    <col min="31" max="31" width="24.5703125" style="78" customWidth="1"/>
    <col min="32" max="16384" width="11.42578125" style="78"/>
  </cols>
  <sheetData>
    <row r="1" spans="1:31" ht="62.25" customHeight="1">
      <c r="A1" s="145" t="s">
        <v>57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</row>
    <row r="2" spans="1:31" ht="26.25" customHeight="1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</row>
    <row r="3" spans="1:31" s="79" customFormat="1" ht="50.25" customHeight="1">
      <c r="A3" s="71"/>
      <c r="B3" s="83" t="s">
        <v>58</v>
      </c>
      <c r="C3" s="83" t="s">
        <v>59</v>
      </c>
      <c r="D3" s="83" t="s">
        <v>60</v>
      </c>
      <c r="E3" s="83" t="s">
        <v>61</v>
      </c>
      <c r="F3" s="83" t="s">
        <v>62</v>
      </c>
      <c r="G3" s="83" t="s">
        <v>63</v>
      </c>
      <c r="H3" s="83" t="s">
        <v>64</v>
      </c>
      <c r="I3" s="72" t="s">
        <v>65</v>
      </c>
      <c r="J3" s="72" t="s">
        <v>66</v>
      </c>
      <c r="K3" s="72" t="s">
        <v>67</v>
      </c>
      <c r="L3" s="72" t="s">
        <v>68</v>
      </c>
      <c r="M3" s="72" t="s">
        <v>69</v>
      </c>
      <c r="N3" s="72" t="s">
        <v>70</v>
      </c>
      <c r="O3" s="72" t="s">
        <v>71</v>
      </c>
      <c r="P3" s="85" t="s">
        <v>72</v>
      </c>
      <c r="Q3" s="72" t="s">
        <v>73</v>
      </c>
      <c r="R3" s="72" t="s">
        <v>74</v>
      </c>
      <c r="S3" s="72" t="s">
        <v>75</v>
      </c>
      <c r="T3" s="72" t="s">
        <v>76</v>
      </c>
      <c r="U3" s="72" t="s">
        <v>74</v>
      </c>
      <c r="V3" s="72" t="s">
        <v>75</v>
      </c>
      <c r="W3" s="72" t="s">
        <v>77</v>
      </c>
      <c r="X3" s="72" t="s">
        <v>74</v>
      </c>
      <c r="Y3" s="72" t="s">
        <v>75</v>
      </c>
      <c r="Z3" s="72" t="s">
        <v>78</v>
      </c>
      <c r="AA3" s="72" t="s">
        <v>74</v>
      </c>
      <c r="AB3" s="72" t="s">
        <v>75</v>
      </c>
      <c r="AC3" s="72" t="s">
        <v>79</v>
      </c>
      <c r="AD3" s="72" t="s">
        <v>80</v>
      </c>
      <c r="AE3" s="72" t="s">
        <v>81</v>
      </c>
    </row>
    <row r="4" spans="1:31" ht="32.25" customHeight="1">
      <c r="A4" s="82">
        <v>44866</v>
      </c>
      <c r="B4" s="84">
        <v>53</v>
      </c>
      <c r="C4" s="84">
        <f t="shared" ref="C4" si="0">IF(AC4&gt;0,((B4-R4)+(S4-B5)),IF(B5=0, ,(B4-B5)))</f>
        <v>3</v>
      </c>
      <c r="D4" s="84">
        <v>56</v>
      </c>
      <c r="E4" s="84">
        <f t="shared" ref="E4" si="1">IF(AC4&gt;0,((D4-U4)+(V4-D5)),IF(D5=0, ,(D4-D5)))</f>
        <v>7</v>
      </c>
      <c r="F4" s="84">
        <v>50</v>
      </c>
      <c r="G4" s="84">
        <f t="shared" ref="G4" si="2">IF(AC4&gt;0,((F4-X4)+(Y4-F5)),IF(F5=0, ,(F4-F5)))</f>
        <v>5</v>
      </c>
      <c r="H4" s="84">
        <v>51</v>
      </c>
      <c r="I4" s="73">
        <f>IF(AC4&gt;0,((H4-AA4)+(AB4-H5)),IF(H5=0, ,(H4-H5)))</f>
        <v>6</v>
      </c>
      <c r="J4" s="73">
        <f>B4+D4+F4+H4</f>
        <v>210</v>
      </c>
      <c r="K4" s="73">
        <f>J4/4</f>
        <v>52.5</v>
      </c>
      <c r="L4" s="73">
        <f>IF(AC4&gt;0,((K4-AD4)+(AE4-K5)),IF(K5=0, ,(K4-K5)))</f>
        <v>5.25</v>
      </c>
      <c r="M4" s="74">
        <f t="shared" ref="M4:M7" si="3">6049*4</f>
        <v>24196</v>
      </c>
      <c r="N4" s="73">
        <f>L4*M4/100</f>
        <v>1270.29</v>
      </c>
      <c r="O4" s="73">
        <f>N4*0.529</f>
        <v>671.98341000000005</v>
      </c>
      <c r="P4" s="86">
        <f>O4*12.24</f>
        <v>8225.0769384000014</v>
      </c>
      <c r="Q4" s="73">
        <v>2467</v>
      </c>
      <c r="R4" s="73">
        <v>50</v>
      </c>
      <c r="S4" s="73">
        <v>85</v>
      </c>
      <c r="T4" s="73">
        <v>2544</v>
      </c>
      <c r="U4" s="73">
        <v>50</v>
      </c>
      <c r="V4" s="73">
        <v>85</v>
      </c>
      <c r="W4" s="73">
        <v>3115</v>
      </c>
      <c r="X4" s="73">
        <v>45</v>
      </c>
      <c r="Y4" s="73">
        <v>85</v>
      </c>
      <c r="Z4" s="73">
        <v>3292</v>
      </c>
      <c r="AA4" s="73">
        <v>45</v>
      </c>
      <c r="AB4" s="73">
        <v>85</v>
      </c>
      <c r="AC4" s="73">
        <f t="shared" ref="AC4:AC25" si="4">Q4+T4+W4+Z4</f>
        <v>11418</v>
      </c>
      <c r="AD4" s="80">
        <f t="shared" ref="AD4:AD24" si="5">(R4+U4+X4+AA4)/4</f>
        <v>47.5</v>
      </c>
      <c r="AE4" s="80">
        <f t="shared" ref="AE4:AE24" si="6">(S4+V4+Y4+AB4)/4</f>
        <v>85</v>
      </c>
    </row>
    <row r="5" spans="1:31" ht="32.25" customHeight="1">
      <c r="A5" s="82">
        <v>44867</v>
      </c>
      <c r="B5" s="84">
        <v>85</v>
      </c>
      <c r="C5" s="84">
        <f t="shared" ref="C4:C35" si="7">IF(AC5&gt;0,((B5-R5)+(S5-B6)),IF(B6=0, ,(B5-B6)))</f>
        <v>3</v>
      </c>
      <c r="D5" s="84">
        <v>84</v>
      </c>
      <c r="E5" s="84">
        <f t="shared" ref="E4:E35" si="8">IF(AC5&gt;0,((D5-U5)+(V5-D6)),IF(D6=0, ,(D5-D6)))</f>
        <v>2</v>
      </c>
      <c r="F5" s="84">
        <v>85</v>
      </c>
      <c r="G5" s="84">
        <f t="shared" ref="G4:G35" si="9">IF(AC5&gt;0,((F5-X5)+(Y5-F6)),IF(F6=0, ,(F5-F6)))</f>
        <v>1</v>
      </c>
      <c r="H5" s="84">
        <v>85</v>
      </c>
      <c r="I5" s="73">
        <f>IF(AC5&gt;0,((H5-AA5)+(AB5-H6)),IF(H6=0, ,(H5-H6)))</f>
        <v>1</v>
      </c>
      <c r="J5" s="73">
        <f>B5+D5+F5+H5</f>
        <v>339</v>
      </c>
      <c r="K5" s="73">
        <f>J5/4</f>
        <v>84.75</v>
      </c>
      <c r="L5" s="73">
        <f>IF(AC5&gt;0,((K5-AD5)+(AE5-K6)),IF(K6=0, ,(K5-K6)))</f>
        <v>1.75</v>
      </c>
      <c r="M5" s="74">
        <f t="shared" si="3"/>
        <v>24196</v>
      </c>
      <c r="N5" s="73">
        <f>L5*M5/100</f>
        <v>423.43</v>
      </c>
      <c r="O5" s="73">
        <f>N5*0.529</f>
        <v>223.99447000000001</v>
      </c>
      <c r="P5" s="86">
        <f t="shared" ref="P5:P36" si="10">O5*12.24</f>
        <v>2741.6923128000003</v>
      </c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>
        <f t="shared" si="4"/>
        <v>0</v>
      </c>
      <c r="AD5" s="80">
        <f t="shared" si="5"/>
        <v>0</v>
      </c>
      <c r="AE5" s="80">
        <f t="shared" si="6"/>
        <v>0</v>
      </c>
    </row>
    <row r="6" spans="1:31" ht="32.25" customHeight="1">
      <c r="A6" s="82">
        <v>44868</v>
      </c>
      <c r="B6" s="84">
        <v>82</v>
      </c>
      <c r="C6" s="84">
        <f t="shared" si="7"/>
        <v>1</v>
      </c>
      <c r="D6" s="84">
        <v>82</v>
      </c>
      <c r="E6" s="84">
        <f t="shared" si="8"/>
        <v>2</v>
      </c>
      <c r="F6" s="84">
        <v>84</v>
      </c>
      <c r="G6" s="84">
        <f t="shared" si="9"/>
        <v>2</v>
      </c>
      <c r="H6" s="84">
        <v>84</v>
      </c>
      <c r="I6" s="73">
        <f t="shared" ref="I6:I36" si="11">IF(AC6&gt;0,((H6-AA6)+(AB6-H7)),IF(H7=0, ,(H6-H7)))</f>
        <v>2</v>
      </c>
      <c r="J6" s="73">
        <f t="shared" ref="J6:J42" si="12">B6+D6+F6+H6</f>
        <v>332</v>
      </c>
      <c r="K6" s="73">
        <f t="shared" ref="K6:K42" si="13">J6/4</f>
        <v>83</v>
      </c>
      <c r="L6" s="73">
        <f t="shared" ref="L6:L19" si="14">IF(AC6&gt;0,((K6-AD6)+(AE6-K7)),IF(K7=0, ,(K6-K7)))</f>
        <v>1.75</v>
      </c>
      <c r="M6" s="74">
        <f t="shared" si="3"/>
        <v>24196</v>
      </c>
      <c r="N6" s="73">
        <f t="shared" ref="N6:N42" si="15">L6*M6/100</f>
        <v>423.43</v>
      </c>
      <c r="O6" s="73">
        <f>N6*0.529</f>
        <v>223.99447000000001</v>
      </c>
      <c r="P6" s="86">
        <f t="shared" si="10"/>
        <v>2741.6923128000003</v>
      </c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>
        <f t="shared" si="4"/>
        <v>0</v>
      </c>
      <c r="AD6" s="80">
        <f t="shared" si="5"/>
        <v>0</v>
      </c>
      <c r="AE6" s="80">
        <f t="shared" si="6"/>
        <v>0</v>
      </c>
    </row>
    <row r="7" spans="1:31" ht="32.25" customHeight="1">
      <c r="A7" s="82">
        <v>44869</v>
      </c>
      <c r="B7" s="84">
        <v>81</v>
      </c>
      <c r="C7" s="84">
        <f t="shared" si="7"/>
        <v>2</v>
      </c>
      <c r="D7" s="84">
        <v>80</v>
      </c>
      <c r="E7" s="84">
        <f t="shared" si="8"/>
        <v>1</v>
      </c>
      <c r="F7" s="84">
        <v>82</v>
      </c>
      <c r="G7" s="84">
        <f t="shared" si="9"/>
        <v>2</v>
      </c>
      <c r="H7" s="84">
        <v>82</v>
      </c>
      <c r="I7" s="73">
        <f t="shared" si="11"/>
        <v>2</v>
      </c>
      <c r="J7" s="73">
        <f t="shared" si="12"/>
        <v>325</v>
      </c>
      <c r="K7" s="73">
        <f t="shared" si="13"/>
        <v>81.25</v>
      </c>
      <c r="L7" s="73">
        <f t="shared" si="14"/>
        <v>1.75</v>
      </c>
      <c r="M7" s="74">
        <f t="shared" si="3"/>
        <v>24196</v>
      </c>
      <c r="N7" s="73">
        <f t="shared" si="15"/>
        <v>423.43</v>
      </c>
      <c r="O7" s="73">
        <f>N7*0.53</f>
        <v>224.4179</v>
      </c>
      <c r="P7" s="86">
        <f t="shared" si="10"/>
        <v>2746.8750960000002</v>
      </c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>
        <f t="shared" si="4"/>
        <v>0</v>
      </c>
      <c r="AD7" s="80">
        <f t="shared" si="5"/>
        <v>0</v>
      </c>
      <c r="AE7" s="80">
        <f t="shared" si="6"/>
        <v>0</v>
      </c>
    </row>
    <row r="8" spans="1:31" ht="32.25" customHeight="1">
      <c r="A8" s="82">
        <v>44870</v>
      </c>
      <c r="B8" s="84">
        <v>79</v>
      </c>
      <c r="C8" s="84">
        <f t="shared" si="7"/>
        <v>4</v>
      </c>
      <c r="D8" s="84">
        <v>79</v>
      </c>
      <c r="E8" s="84">
        <f t="shared" si="8"/>
        <v>7</v>
      </c>
      <c r="F8" s="84">
        <v>80</v>
      </c>
      <c r="G8" s="84">
        <f t="shared" si="9"/>
        <v>5</v>
      </c>
      <c r="H8" s="84">
        <v>80</v>
      </c>
      <c r="I8" s="73">
        <f t="shared" si="11"/>
        <v>5</v>
      </c>
      <c r="J8" s="73">
        <f t="shared" si="12"/>
        <v>318</v>
      </c>
      <c r="K8" s="73">
        <f t="shared" si="13"/>
        <v>79.5</v>
      </c>
      <c r="L8" s="73">
        <f t="shared" si="14"/>
        <v>5.25</v>
      </c>
      <c r="M8" s="74">
        <f>6049*4</f>
        <v>24196</v>
      </c>
      <c r="N8" s="73">
        <f t="shared" si="15"/>
        <v>1270.29</v>
      </c>
      <c r="O8" s="73">
        <f t="shared" ref="O8:O37" si="16">N8*0.529</f>
        <v>671.98341000000005</v>
      </c>
      <c r="P8" s="86">
        <f t="shared" si="10"/>
        <v>8225.0769384000014</v>
      </c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>
        <f t="shared" si="4"/>
        <v>0</v>
      </c>
      <c r="AD8" s="80">
        <f t="shared" si="5"/>
        <v>0</v>
      </c>
      <c r="AE8" s="80">
        <f t="shared" si="6"/>
        <v>0</v>
      </c>
    </row>
    <row r="9" spans="1:31" ht="32.25" customHeight="1">
      <c r="A9" s="82">
        <v>44871</v>
      </c>
      <c r="B9" s="84">
        <v>75</v>
      </c>
      <c r="C9" s="84">
        <f t="shared" si="7"/>
        <v>3</v>
      </c>
      <c r="D9" s="84">
        <v>72</v>
      </c>
      <c r="E9" s="84">
        <f t="shared" si="8"/>
        <v>2</v>
      </c>
      <c r="F9" s="84">
        <v>75</v>
      </c>
      <c r="G9" s="84">
        <f t="shared" si="9"/>
        <v>2</v>
      </c>
      <c r="H9" s="84">
        <v>75</v>
      </c>
      <c r="I9" s="73">
        <f t="shared" si="11"/>
        <v>5</v>
      </c>
      <c r="J9" s="73">
        <f t="shared" si="12"/>
        <v>297</v>
      </c>
      <c r="K9" s="73">
        <f t="shared" si="13"/>
        <v>74.25</v>
      </c>
      <c r="L9" s="73">
        <f t="shared" si="14"/>
        <v>3</v>
      </c>
      <c r="M9" s="74">
        <f t="shared" ref="M9:M42" si="17">6049*4</f>
        <v>24196</v>
      </c>
      <c r="N9" s="73">
        <f t="shared" si="15"/>
        <v>725.88</v>
      </c>
      <c r="O9" s="73">
        <f t="shared" si="16"/>
        <v>383.99052</v>
      </c>
      <c r="P9" s="86">
        <f t="shared" si="10"/>
        <v>4700.0439648000001</v>
      </c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>
        <f t="shared" si="4"/>
        <v>0</v>
      </c>
      <c r="AD9" s="80">
        <f t="shared" si="5"/>
        <v>0</v>
      </c>
      <c r="AE9" s="80">
        <f t="shared" si="6"/>
        <v>0</v>
      </c>
    </row>
    <row r="10" spans="1:31" ht="32.25" customHeight="1">
      <c r="A10" s="82">
        <v>44872</v>
      </c>
      <c r="B10" s="84">
        <v>72</v>
      </c>
      <c r="C10" s="84">
        <f t="shared" si="7"/>
        <v>2</v>
      </c>
      <c r="D10" s="84">
        <v>70</v>
      </c>
      <c r="E10" s="84">
        <f t="shared" si="8"/>
        <v>5</v>
      </c>
      <c r="F10" s="84">
        <v>73</v>
      </c>
      <c r="G10" s="84">
        <f t="shared" si="9"/>
        <v>3</v>
      </c>
      <c r="H10" s="84">
        <v>70</v>
      </c>
      <c r="I10" s="73">
        <f t="shared" si="11"/>
        <v>1</v>
      </c>
      <c r="J10" s="73">
        <f t="shared" si="12"/>
        <v>285</v>
      </c>
      <c r="K10" s="73">
        <f t="shared" si="13"/>
        <v>71.25</v>
      </c>
      <c r="L10" s="73">
        <f t="shared" si="14"/>
        <v>2.75</v>
      </c>
      <c r="M10" s="74">
        <f t="shared" si="17"/>
        <v>24196</v>
      </c>
      <c r="N10" s="73">
        <f t="shared" si="15"/>
        <v>665.39</v>
      </c>
      <c r="O10" s="73">
        <f t="shared" si="16"/>
        <v>351.99131</v>
      </c>
      <c r="P10" s="86">
        <f t="shared" si="10"/>
        <v>4308.3736343999999</v>
      </c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>
        <f t="shared" si="4"/>
        <v>0</v>
      </c>
      <c r="AD10" s="80">
        <f t="shared" si="5"/>
        <v>0</v>
      </c>
      <c r="AE10" s="80">
        <f t="shared" si="6"/>
        <v>0</v>
      </c>
    </row>
    <row r="11" spans="1:31" ht="32.25" customHeight="1">
      <c r="A11" s="82">
        <v>44873</v>
      </c>
      <c r="B11" s="84">
        <v>70</v>
      </c>
      <c r="C11" s="84">
        <f t="shared" si="7"/>
        <v>2</v>
      </c>
      <c r="D11" s="84">
        <v>65</v>
      </c>
      <c r="E11" s="84">
        <f t="shared" si="8"/>
        <v>3</v>
      </c>
      <c r="F11" s="84">
        <v>70</v>
      </c>
      <c r="G11" s="84">
        <f t="shared" si="9"/>
        <v>2</v>
      </c>
      <c r="H11" s="84">
        <v>69</v>
      </c>
      <c r="I11" s="73">
        <f t="shared" si="11"/>
        <v>1</v>
      </c>
      <c r="J11" s="73">
        <f t="shared" si="12"/>
        <v>274</v>
      </c>
      <c r="K11" s="73">
        <f t="shared" si="13"/>
        <v>68.5</v>
      </c>
      <c r="L11" s="73">
        <f t="shared" si="14"/>
        <v>2</v>
      </c>
      <c r="M11" s="74">
        <f t="shared" si="17"/>
        <v>24196</v>
      </c>
      <c r="N11" s="73">
        <f t="shared" si="15"/>
        <v>483.92</v>
      </c>
      <c r="O11" s="73">
        <f t="shared" si="16"/>
        <v>255.99368000000001</v>
      </c>
      <c r="P11" s="86">
        <f t="shared" si="10"/>
        <v>3133.3626432000001</v>
      </c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>
        <f t="shared" si="4"/>
        <v>0</v>
      </c>
      <c r="AD11" s="80">
        <f t="shared" si="5"/>
        <v>0</v>
      </c>
      <c r="AE11" s="80">
        <f t="shared" si="6"/>
        <v>0</v>
      </c>
    </row>
    <row r="12" spans="1:31" ht="32.25" customHeight="1">
      <c r="A12" s="82">
        <v>44874</v>
      </c>
      <c r="B12" s="84">
        <v>68</v>
      </c>
      <c r="C12" s="84">
        <f t="shared" si="7"/>
        <v>5</v>
      </c>
      <c r="D12" s="84">
        <v>62</v>
      </c>
      <c r="E12" s="84">
        <f t="shared" si="8"/>
        <v>1</v>
      </c>
      <c r="F12" s="84">
        <v>68</v>
      </c>
      <c r="G12" s="84">
        <f t="shared" si="9"/>
        <v>5</v>
      </c>
      <c r="H12" s="84">
        <v>68</v>
      </c>
      <c r="I12" s="73">
        <f t="shared" si="11"/>
        <v>6</v>
      </c>
      <c r="J12" s="73">
        <f t="shared" si="12"/>
        <v>266</v>
      </c>
      <c r="K12" s="73">
        <f t="shared" si="13"/>
        <v>66.5</v>
      </c>
      <c r="L12" s="73">
        <f t="shared" si="14"/>
        <v>4.25</v>
      </c>
      <c r="M12" s="74">
        <f t="shared" si="17"/>
        <v>24196</v>
      </c>
      <c r="N12" s="73">
        <f t="shared" si="15"/>
        <v>1028.33</v>
      </c>
      <c r="O12" s="73">
        <f t="shared" si="16"/>
        <v>543.98657000000003</v>
      </c>
      <c r="P12" s="86">
        <f t="shared" si="10"/>
        <v>6658.3956168000004</v>
      </c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>
        <f t="shared" si="4"/>
        <v>0</v>
      </c>
      <c r="AD12" s="80">
        <f t="shared" si="5"/>
        <v>0</v>
      </c>
      <c r="AE12" s="80">
        <f t="shared" si="6"/>
        <v>0</v>
      </c>
    </row>
    <row r="13" spans="1:31" ht="32.25" customHeight="1">
      <c r="A13" s="82">
        <v>44875</v>
      </c>
      <c r="B13" s="84">
        <v>63</v>
      </c>
      <c r="C13" s="84">
        <f t="shared" si="7"/>
        <v>3</v>
      </c>
      <c r="D13" s="84">
        <v>61</v>
      </c>
      <c r="E13" s="84">
        <f t="shared" si="8"/>
        <v>4</v>
      </c>
      <c r="F13" s="84">
        <v>63</v>
      </c>
      <c r="G13" s="84">
        <f t="shared" si="9"/>
        <v>4</v>
      </c>
      <c r="H13" s="84">
        <v>62</v>
      </c>
      <c r="I13" s="73">
        <f t="shared" si="11"/>
        <v>3</v>
      </c>
      <c r="J13" s="73">
        <f t="shared" si="12"/>
        <v>249</v>
      </c>
      <c r="K13" s="73">
        <f t="shared" si="13"/>
        <v>62.25</v>
      </c>
      <c r="L13" s="73">
        <f t="shared" si="14"/>
        <v>3.5</v>
      </c>
      <c r="M13" s="74">
        <f t="shared" si="17"/>
        <v>24196</v>
      </c>
      <c r="N13" s="73">
        <f t="shared" si="15"/>
        <v>846.86</v>
      </c>
      <c r="O13" s="73">
        <f t="shared" si="16"/>
        <v>447.98894000000001</v>
      </c>
      <c r="P13" s="86">
        <f t="shared" si="10"/>
        <v>5483.3846256000006</v>
      </c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>
        <f t="shared" si="4"/>
        <v>0</v>
      </c>
      <c r="AD13" s="80">
        <f t="shared" si="5"/>
        <v>0</v>
      </c>
      <c r="AE13" s="80">
        <f t="shared" si="6"/>
        <v>0</v>
      </c>
    </row>
    <row r="14" spans="1:31" ht="32.25" customHeight="1">
      <c r="A14" s="82">
        <v>44876</v>
      </c>
      <c r="B14" s="84">
        <v>60</v>
      </c>
      <c r="C14" s="84">
        <f t="shared" si="7"/>
        <v>3</v>
      </c>
      <c r="D14" s="84">
        <v>57</v>
      </c>
      <c r="E14" s="84">
        <f t="shared" si="8"/>
        <v>4</v>
      </c>
      <c r="F14" s="84">
        <v>59</v>
      </c>
      <c r="G14" s="84">
        <f t="shared" si="9"/>
        <v>3</v>
      </c>
      <c r="H14" s="84">
        <v>59</v>
      </c>
      <c r="I14" s="73">
        <f>IF(AC14&gt;0,((H14-AA14)+(AB14-H15)),IF(H15=0, ,(H14-H15)))</f>
        <v>3</v>
      </c>
      <c r="J14" s="73">
        <f t="shared" si="12"/>
        <v>235</v>
      </c>
      <c r="K14" s="73">
        <f t="shared" si="13"/>
        <v>58.75</v>
      </c>
      <c r="L14" s="73">
        <f t="shared" si="14"/>
        <v>3.25</v>
      </c>
      <c r="M14" s="74">
        <f t="shared" si="17"/>
        <v>24196</v>
      </c>
      <c r="N14" s="73">
        <f t="shared" si="15"/>
        <v>786.37</v>
      </c>
      <c r="O14" s="73">
        <f t="shared" si="16"/>
        <v>415.98973000000001</v>
      </c>
      <c r="P14" s="86">
        <f t="shared" si="10"/>
        <v>5091.7142952000004</v>
      </c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>
        <f>Q14+T14+W14+Z14</f>
        <v>0</v>
      </c>
      <c r="AD14" s="80">
        <f>(R14+U14+X14+AA14)/4</f>
        <v>0</v>
      </c>
      <c r="AE14" s="80">
        <f>(S14+V14+Y14+AB14)/4</f>
        <v>0</v>
      </c>
    </row>
    <row r="15" spans="1:31" ht="32.25" customHeight="1">
      <c r="A15" s="82">
        <v>44877</v>
      </c>
      <c r="B15" s="84">
        <v>57</v>
      </c>
      <c r="C15" s="84">
        <f t="shared" si="7"/>
        <v>7</v>
      </c>
      <c r="D15" s="84">
        <v>53</v>
      </c>
      <c r="E15" s="84">
        <f t="shared" si="8"/>
        <v>5</v>
      </c>
      <c r="F15" s="84">
        <v>56</v>
      </c>
      <c r="G15" s="84">
        <f t="shared" si="9"/>
        <v>6</v>
      </c>
      <c r="H15" s="84">
        <v>56</v>
      </c>
      <c r="I15" s="73">
        <f>IF(AC15&gt;0,((H15-AA15)+(AB15-H16)),IF(H16=0, ,(H15-H16)))</f>
        <v>6</v>
      </c>
      <c r="J15" s="73">
        <f t="shared" si="12"/>
        <v>222</v>
      </c>
      <c r="K15" s="73">
        <f t="shared" si="13"/>
        <v>55.5</v>
      </c>
      <c r="L15" s="73">
        <f t="shared" si="14"/>
        <v>6</v>
      </c>
      <c r="M15" s="74">
        <f t="shared" si="17"/>
        <v>24196</v>
      </c>
      <c r="N15" s="73">
        <f t="shared" si="15"/>
        <v>1451.76</v>
      </c>
      <c r="O15" s="73">
        <f t="shared" si="16"/>
        <v>767.98104000000001</v>
      </c>
      <c r="P15" s="86">
        <f t="shared" si="10"/>
        <v>9400.0879296000003</v>
      </c>
      <c r="Q15" s="73">
        <v>2070</v>
      </c>
      <c r="R15" s="73">
        <v>50</v>
      </c>
      <c r="S15" s="73">
        <v>80</v>
      </c>
      <c r="T15" s="73">
        <v>2042</v>
      </c>
      <c r="U15" s="73">
        <v>50</v>
      </c>
      <c r="V15" s="73">
        <v>80</v>
      </c>
      <c r="W15" s="73">
        <v>2025</v>
      </c>
      <c r="X15" s="73">
        <v>50</v>
      </c>
      <c r="Y15" s="73">
        <v>80</v>
      </c>
      <c r="Z15" s="73">
        <v>2015</v>
      </c>
      <c r="AA15" s="73">
        <v>50</v>
      </c>
      <c r="AB15" s="73">
        <v>80</v>
      </c>
      <c r="AC15" s="73">
        <f>Q15+T15+W15+Z15</f>
        <v>8152</v>
      </c>
      <c r="AD15" s="80">
        <f>(R15+U15+X15+AA15)/4</f>
        <v>50</v>
      </c>
      <c r="AE15" s="80">
        <f>(S15+V15+Y15+AB15)/4</f>
        <v>80</v>
      </c>
    </row>
    <row r="16" spans="1:31" ht="32.25" customHeight="1">
      <c r="A16" s="82">
        <v>44878</v>
      </c>
      <c r="B16" s="84">
        <v>80</v>
      </c>
      <c r="C16" s="84">
        <f t="shared" si="7"/>
        <v>5</v>
      </c>
      <c r="D16" s="84">
        <v>78</v>
      </c>
      <c r="E16" s="84">
        <f t="shared" si="8"/>
        <v>4</v>
      </c>
      <c r="F16" s="84">
        <v>80</v>
      </c>
      <c r="G16" s="84">
        <f t="shared" si="9"/>
        <v>5</v>
      </c>
      <c r="H16" s="84">
        <v>80</v>
      </c>
      <c r="I16" s="73">
        <f t="shared" si="11"/>
        <v>5</v>
      </c>
      <c r="J16" s="73">
        <f t="shared" si="12"/>
        <v>318</v>
      </c>
      <c r="K16" s="73">
        <f t="shared" si="13"/>
        <v>79.5</v>
      </c>
      <c r="L16" s="73">
        <f t="shared" si="14"/>
        <v>4.75</v>
      </c>
      <c r="M16" s="74">
        <f t="shared" si="17"/>
        <v>24196</v>
      </c>
      <c r="N16" s="73">
        <f t="shared" si="15"/>
        <v>1149.31</v>
      </c>
      <c r="O16" s="73">
        <f t="shared" si="16"/>
        <v>607.98499000000004</v>
      </c>
      <c r="P16" s="86">
        <f t="shared" si="10"/>
        <v>7441.7362776000009</v>
      </c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>
        <f t="shared" si="4"/>
        <v>0</v>
      </c>
      <c r="AD16" s="80">
        <f t="shared" si="5"/>
        <v>0</v>
      </c>
      <c r="AE16" s="80">
        <f t="shared" si="6"/>
        <v>0</v>
      </c>
    </row>
    <row r="17" spans="1:31" ht="32.25" customHeight="1">
      <c r="A17" s="82">
        <v>44879</v>
      </c>
      <c r="B17" s="84">
        <v>75</v>
      </c>
      <c r="C17" s="84">
        <f t="shared" si="7"/>
        <v>0</v>
      </c>
      <c r="D17" s="84">
        <v>74</v>
      </c>
      <c r="E17" s="84">
        <f t="shared" si="8"/>
        <v>0</v>
      </c>
      <c r="F17" s="84">
        <v>75</v>
      </c>
      <c r="G17" s="84">
        <f t="shared" si="9"/>
        <v>0</v>
      </c>
      <c r="H17" s="84">
        <v>75</v>
      </c>
      <c r="I17" s="73">
        <f t="shared" si="11"/>
        <v>0</v>
      </c>
      <c r="J17" s="73">
        <f t="shared" si="12"/>
        <v>299</v>
      </c>
      <c r="K17" s="73">
        <f t="shared" si="13"/>
        <v>74.75</v>
      </c>
      <c r="L17" s="73">
        <f t="shared" si="14"/>
        <v>0</v>
      </c>
      <c r="M17" s="74">
        <f t="shared" si="17"/>
        <v>24196</v>
      </c>
      <c r="N17" s="73">
        <f t="shared" si="15"/>
        <v>0</v>
      </c>
      <c r="O17" s="73">
        <f t="shared" si="16"/>
        <v>0</v>
      </c>
      <c r="P17" s="86">
        <f t="shared" si="10"/>
        <v>0</v>
      </c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>
        <f t="shared" si="4"/>
        <v>0</v>
      </c>
      <c r="AD17" s="80">
        <f t="shared" si="5"/>
        <v>0</v>
      </c>
      <c r="AE17" s="80">
        <f t="shared" si="6"/>
        <v>0</v>
      </c>
    </row>
    <row r="18" spans="1:31" ht="32.25" customHeight="1">
      <c r="A18" s="82">
        <v>44880</v>
      </c>
      <c r="B18" s="84"/>
      <c r="C18" s="84">
        <f t="shared" si="7"/>
        <v>0</v>
      </c>
      <c r="D18" s="84"/>
      <c r="E18" s="84">
        <f t="shared" si="8"/>
        <v>0</v>
      </c>
      <c r="F18" s="84"/>
      <c r="G18" s="84">
        <f t="shared" si="9"/>
        <v>0</v>
      </c>
      <c r="H18" s="84"/>
      <c r="I18" s="73">
        <f t="shared" si="11"/>
        <v>0</v>
      </c>
      <c r="J18" s="73">
        <f t="shared" si="12"/>
        <v>0</v>
      </c>
      <c r="K18" s="73">
        <f t="shared" si="13"/>
        <v>0</v>
      </c>
      <c r="L18" s="73">
        <f t="shared" si="14"/>
        <v>0</v>
      </c>
      <c r="M18" s="74">
        <f t="shared" si="17"/>
        <v>24196</v>
      </c>
      <c r="N18" s="73">
        <f t="shared" si="15"/>
        <v>0</v>
      </c>
      <c r="O18" s="73">
        <f t="shared" si="16"/>
        <v>0</v>
      </c>
      <c r="P18" s="86">
        <f t="shared" si="10"/>
        <v>0</v>
      </c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>
        <f t="shared" si="4"/>
        <v>0</v>
      </c>
      <c r="AD18" s="80">
        <f t="shared" si="5"/>
        <v>0</v>
      </c>
      <c r="AE18" s="80">
        <f t="shared" si="6"/>
        <v>0</v>
      </c>
    </row>
    <row r="19" spans="1:31" ht="32.25" customHeight="1">
      <c r="A19" s="82">
        <v>44881</v>
      </c>
      <c r="B19" s="84"/>
      <c r="C19" s="84">
        <f t="shared" si="7"/>
        <v>0</v>
      </c>
      <c r="D19" s="84"/>
      <c r="E19" s="84">
        <f t="shared" si="8"/>
        <v>0</v>
      </c>
      <c r="F19" s="84"/>
      <c r="G19" s="84">
        <f t="shared" si="9"/>
        <v>0</v>
      </c>
      <c r="H19" s="84"/>
      <c r="I19" s="73">
        <f t="shared" si="11"/>
        <v>0</v>
      </c>
      <c r="J19" s="73">
        <f t="shared" si="12"/>
        <v>0</v>
      </c>
      <c r="K19" s="73">
        <f t="shared" si="13"/>
        <v>0</v>
      </c>
      <c r="L19" s="73">
        <f t="shared" si="14"/>
        <v>0</v>
      </c>
      <c r="M19" s="74">
        <f t="shared" si="17"/>
        <v>24196</v>
      </c>
      <c r="N19" s="73">
        <f t="shared" si="15"/>
        <v>0</v>
      </c>
      <c r="O19" s="73">
        <f t="shared" si="16"/>
        <v>0</v>
      </c>
      <c r="P19" s="86">
        <f t="shared" si="10"/>
        <v>0</v>
      </c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>
        <f t="shared" si="4"/>
        <v>0</v>
      </c>
      <c r="AD19" s="80">
        <f t="shared" si="5"/>
        <v>0</v>
      </c>
      <c r="AE19" s="80">
        <f t="shared" si="6"/>
        <v>0</v>
      </c>
    </row>
    <row r="20" spans="1:31" ht="32.25" customHeight="1">
      <c r="A20" s="82">
        <v>44882</v>
      </c>
      <c r="B20" s="84"/>
      <c r="C20" s="84">
        <f t="shared" si="7"/>
        <v>0</v>
      </c>
      <c r="D20" s="84"/>
      <c r="E20" s="84">
        <f t="shared" si="8"/>
        <v>0</v>
      </c>
      <c r="F20" s="84"/>
      <c r="G20" s="84">
        <f t="shared" si="9"/>
        <v>0</v>
      </c>
      <c r="H20" s="84"/>
      <c r="I20" s="73">
        <f t="shared" si="11"/>
        <v>0</v>
      </c>
      <c r="J20" s="73">
        <f t="shared" si="12"/>
        <v>0</v>
      </c>
      <c r="K20" s="73">
        <f t="shared" si="13"/>
        <v>0</v>
      </c>
      <c r="L20" s="73">
        <f t="shared" ref="L20:L42" si="18">IF(AC20&gt;0,((K20-AD20)+(AE20-K21)),IF(K21=0, ,(K20-K21)))</f>
        <v>0</v>
      </c>
      <c r="M20" s="74">
        <f t="shared" si="17"/>
        <v>24196</v>
      </c>
      <c r="N20" s="73">
        <f t="shared" si="15"/>
        <v>0</v>
      </c>
      <c r="O20" s="73">
        <f t="shared" si="16"/>
        <v>0</v>
      </c>
      <c r="P20" s="86">
        <f t="shared" si="10"/>
        <v>0</v>
      </c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>
        <f t="shared" si="4"/>
        <v>0</v>
      </c>
      <c r="AD20" s="80">
        <f t="shared" si="5"/>
        <v>0</v>
      </c>
      <c r="AE20" s="80">
        <f t="shared" si="6"/>
        <v>0</v>
      </c>
    </row>
    <row r="21" spans="1:31" ht="32.25" customHeight="1">
      <c r="A21" s="82">
        <v>44883</v>
      </c>
      <c r="B21" s="84"/>
      <c r="C21" s="84">
        <f t="shared" si="7"/>
        <v>0</v>
      </c>
      <c r="D21" s="84"/>
      <c r="E21" s="84">
        <f t="shared" si="8"/>
        <v>0</v>
      </c>
      <c r="F21" s="84"/>
      <c r="G21" s="84">
        <f t="shared" si="9"/>
        <v>0</v>
      </c>
      <c r="H21" s="84"/>
      <c r="I21" s="73">
        <f t="shared" si="11"/>
        <v>0</v>
      </c>
      <c r="J21" s="73">
        <f t="shared" si="12"/>
        <v>0</v>
      </c>
      <c r="K21" s="73">
        <f t="shared" si="13"/>
        <v>0</v>
      </c>
      <c r="L21" s="73">
        <f>IF(AC21&gt;0,((K21-AD21)+(AE21-K22)),IF(K22=0, ,(K21-K22)))</f>
        <v>0</v>
      </c>
      <c r="M21" s="74">
        <f t="shared" si="17"/>
        <v>24196</v>
      </c>
      <c r="N21" s="73">
        <f t="shared" si="15"/>
        <v>0</v>
      </c>
      <c r="O21" s="73">
        <f t="shared" si="16"/>
        <v>0</v>
      </c>
      <c r="P21" s="86">
        <f t="shared" si="10"/>
        <v>0</v>
      </c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>
        <f t="shared" si="4"/>
        <v>0</v>
      </c>
      <c r="AD21" s="80">
        <f t="shared" si="5"/>
        <v>0</v>
      </c>
      <c r="AE21" s="80">
        <f t="shared" si="6"/>
        <v>0</v>
      </c>
    </row>
    <row r="22" spans="1:31" ht="32.25" customHeight="1">
      <c r="A22" s="82">
        <v>44884</v>
      </c>
      <c r="B22" s="84"/>
      <c r="C22" s="84">
        <f t="shared" si="7"/>
        <v>0</v>
      </c>
      <c r="D22" s="84"/>
      <c r="E22" s="84">
        <f t="shared" si="8"/>
        <v>0</v>
      </c>
      <c r="F22" s="84"/>
      <c r="G22" s="84">
        <f t="shared" si="9"/>
        <v>0</v>
      </c>
      <c r="H22" s="84"/>
      <c r="I22" s="73">
        <f t="shared" si="11"/>
        <v>0</v>
      </c>
      <c r="J22" s="73">
        <f t="shared" si="12"/>
        <v>0</v>
      </c>
      <c r="K22" s="73">
        <f t="shared" si="13"/>
        <v>0</v>
      </c>
      <c r="L22" s="73">
        <f>IF(AC22&gt;0,((K22-AD22)+(AE22-K23)),IF(K23=0, ,(K22-K23)))</f>
        <v>0</v>
      </c>
      <c r="M22" s="74">
        <f t="shared" si="17"/>
        <v>24196</v>
      </c>
      <c r="N22" s="73">
        <f t="shared" si="15"/>
        <v>0</v>
      </c>
      <c r="O22" s="73">
        <f t="shared" si="16"/>
        <v>0</v>
      </c>
      <c r="P22" s="86">
        <f t="shared" si="10"/>
        <v>0</v>
      </c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>
        <f>Q22+T22+W22+Z22</f>
        <v>0</v>
      </c>
      <c r="AD22" s="80">
        <f t="shared" si="5"/>
        <v>0</v>
      </c>
      <c r="AE22" s="80">
        <f t="shared" si="6"/>
        <v>0</v>
      </c>
    </row>
    <row r="23" spans="1:31" ht="32.25" customHeight="1">
      <c r="A23" s="82">
        <v>44885</v>
      </c>
      <c r="B23" s="84"/>
      <c r="C23" s="84">
        <f t="shared" si="7"/>
        <v>0</v>
      </c>
      <c r="D23" s="84"/>
      <c r="E23" s="84">
        <f t="shared" si="8"/>
        <v>0</v>
      </c>
      <c r="F23" s="84"/>
      <c r="G23" s="84">
        <f t="shared" si="9"/>
        <v>0</v>
      </c>
      <c r="H23" s="84"/>
      <c r="I23" s="73">
        <f t="shared" si="11"/>
        <v>0</v>
      </c>
      <c r="J23" s="73">
        <f t="shared" si="12"/>
        <v>0</v>
      </c>
      <c r="K23" s="73">
        <f t="shared" si="13"/>
        <v>0</v>
      </c>
      <c r="L23" s="73">
        <f t="shared" si="18"/>
        <v>0</v>
      </c>
      <c r="M23" s="74">
        <f t="shared" si="17"/>
        <v>24196</v>
      </c>
      <c r="N23" s="73">
        <f t="shared" si="15"/>
        <v>0</v>
      </c>
      <c r="O23" s="73">
        <f t="shared" si="16"/>
        <v>0</v>
      </c>
      <c r="P23" s="86">
        <f t="shared" si="10"/>
        <v>0</v>
      </c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>
        <f t="shared" si="4"/>
        <v>0</v>
      </c>
      <c r="AD23" s="80">
        <f t="shared" si="5"/>
        <v>0</v>
      </c>
      <c r="AE23" s="80">
        <f t="shared" si="6"/>
        <v>0</v>
      </c>
    </row>
    <row r="24" spans="1:31" ht="32.25" customHeight="1">
      <c r="A24" s="82">
        <v>44886</v>
      </c>
      <c r="B24" s="84"/>
      <c r="C24" s="84">
        <f t="shared" si="7"/>
        <v>0</v>
      </c>
      <c r="D24" s="84"/>
      <c r="E24" s="84">
        <f t="shared" si="8"/>
        <v>0</v>
      </c>
      <c r="F24" s="84"/>
      <c r="G24" s="84">
        <f t="shared" si="9"/>
        <v>0</v>
      </c>
      <c r="H24" s="84"/>
      <c r="I24" s="73">
        <f t="shared" si="11"/>
        <v>0</v>
      </c>
      <c r="J24" s="73">
        <f t="shared" si="12"/>
        <v>0</v>
      </c>
      <c r="K24" s="73">
        <f t="shared" si="13"/>
        <v>0</v>
      </c>
      <c r="L24" s="73">
        <f t="shared" si="18"/>
        <v>0</v>
      </c>
      <c r="M24" s="74">
        <f t="shared" si="17"/>
        <v>24196</v>
      </c>
      <c r="N24" s="73">
        <f t="shared" si="15"/>
        <v>0</v>
      </c>
      <c r="O24" s="73">
        <f t="shared" si="16"/>
        <v>0</v>
      </c>
      <c r="P24" s="86">
        <f t="shared" si="10"/>
        <v>0</v>
      </c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>
        <f t="shared" si="4"/>
        <v>0</v>
      </c>
      <c r="AD24" s="80">
        <f t="shared" si="5"/>
        <v>0</v>
      </c>
      <c r="AE24" s="80">
        <f t="shared" si="6"/>
        <v>0</v>
      </c>
    </row>
    <row r="25" spans="1:31" ht="32.25" customHeight="1">
      <c r="A25" s="82">
        <v>44887</v>
      </c>
      <c r="B25" s="84"/>
      <c r="C25" s="84">
        <f t="shared" si="7"/>
        <v>0</v>
      </c>
      <c r="D25" s="84"/>
      <c r="E25" s="84">
        <f t="shared" si="8"/>
        <v>0</v>
      </c>
      <c r="F25" s="84"/>
      <c r="G25" s="84">
        <f t="shared" si="9"/>
        <v>0</v>
      </c>
      <c r="H25" s="84"/>
      <c r="I25" s="73">
        <f t="shared" si="11"/>
        <v>0</v>
      </c>
      <c r="J25" s="73">
        <f t="shared" si="12"/>
        <v>0</v>
      </c>
      <c r="K25" s="73">
        <f t="shared" si="13"/>
        <v>0</v>
      </c>
      <c r="L25" s="73">
        <f t="shared" si="18"/>
        <v>0</v>
      </c>
      <c r="M25" s="74">
        <f t="shared" si="17"/>
        <v>24196</v>
      </c>
      <c r="N25" s="73">
        <f t="shared" si="15"/>
        <v>0</v>
      </c>
      <c r="O25" s="73">
        <f t="shared" si="16"/>
        <v>0</v>
      </c>
      <c r="P25" s="86">
        <f t="shared" si="10"/>
        <v>0</v>
      </c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>
        <f t="shared" si="4"/>
        <v>0</v>
      </c>
      <c r="AD25" s="80">
        <f t="shared" ref="AD25:AD42" si="19">(R25+U25+X25+AA25)/4</f>
        <v>0</v>
      </c>
      <c r="AE25" s="80">
        <f>(S25+V25+Y25+AB25)/4</f>
        <v>0</v>
      </c>
    </row>
    <row r="26" spans="1:31" ht="32.25" customHeight="1">
      <c r="A26" s="82">
        <v>44888</v>
      </c>
      <c r="B26" s="84"/>
      <c r="C26" s="84">
        <f t="shared" si="7"/>
        <v>0</v>
      </c>
      <c r="D26" s="84"/>
      <c r="E26" s="84">
        <f t="shared" si="8"/>
        <v>0</v>
      </c>
      <c r="F26" s="84"/>
      <c r="G26" s="84">
        <f t="shared" si="9"/>
        <v>0</v>
      </c>
      <c r="H26" s="84"/>
      <c r="I26" s="73">
        <f t="shared" si="11"/>
        <v>0</v>
      </c>
      <c r="J26" s="73">
        <f t="shared" si="12"/>
        <v>0</v>
      </c>
      <c r="K26" s="73">
        <f t="shared" si="13"/>
        <v>0</v>
      </c>
      <c r="L26" s="73">
        <f t="shared" si="18"/>
        <v>0</v>
      </c>
      <c r="M26" s="74">
        <f t="shared" si="17"/>
        <v>24196</v>
      </c>
      <c r="N26" s="73">
        <f t="shared" si="15"/>
        <v>0</v>
      </c>
      <c r="O26" s="73">
        <f t="shared" si="16"/>
        <v>0</v>
      </c>
      <c r="P26" s="86">
        <f t="shared" si="10"/>
        <v>0</v>
      </c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>
        <f t="shared" ref="AC26:AC43" si="20">Q26+T26+W26+Z26</f>
        <v>0</v>
      </c>
      <c r="AD26" s="80">
        <f t="shared" si="19"/>
        <v>0</v>
      </c>
      <c r="AE26" s="80">
        <f>(S26+V26+Y26+AB26)/4</f>
        <v>0</v>
      </c>
    </row>
    <row r="27" spans="1:31" ht="32.25" customHeight="1">
      <c r="A27" s="82">
        <v>44889</v>
      </c>
      <c r="B27" s="84"/>
      <c r="C27" s="84">
        <f t="shared" ref="C27" si="21">IF(AC27&gt;0,((B27-R27)+(S27-B28)),IF(B28=0, ,(B27-B28)))</f>
        <v>0</v>
      </c>
      <c r="D27" s="84"/>
      <c r="E27" s="84">
        <f t="shared" ref="E27" si="22">IF(AC27&gt;0,((D27-U27)+(V27-D28)),IF(D28=0, ,(D27-D28)))</f>
        <v>0</v>
      </c>
      <c r="F27" s="84"/>
      <c r="G27" s="84">
        <f t="shared" ref="G27" si="23">IF(AC27&gt;0,((F27-X27)+(Y27-F28)),IF(F28=0, ,(F27-F28)))</f>
        <v>0</v>
      </c>
      <c r="H27" s="84"/>
      <c r="I27" s="73">
        <f t="shared" si="11"/>
        <v>0</v>
      </c>
      <c r="J27" s="73">
        <f t="shared" si="12"/>
        <v>0</v>
      </c>
      <c r="K27" s="73">
        <f t="shared" si="13"/>
        <v>0</v>
      </c>
      <c r="L27" s="73">
        <f t="shared" si="18"/>
        <v>0</v>
      </c>
      <c r="M27" s="74">
        <f t="shared" si="17"/>
        <v>24196</v>
      </c>
      <c r="N27" s="73">
        <f t="shared" si="15"/>
        <v>0</v>
      </c>
      <c r="O27" s="73">
        <f t="shared" si="16"/>
        <v>0</v>
      </c>
      <c r="P27" s="86">
        <f t="shared" si="10"/>
        <v>0</v>
      </c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>
        <f t="shared" si="20"/>
        <v>0</v>
      </c>
      <c r="AD27" s="80">
        <f t="shared" si="19"/>
        <v>0</v>
      </c>
      <c r="AE27" s="80">
        <f>(S27+V27+Y27+AB27)/4</f>
        <v>0</v>
      </c>
    </row>
    <row r="28" spans="1:31" ht="32.25" customHeight="1">
      <c r="A28" s="82">
        <v>44890</v>
      </c>
      <c r="B28" s="84"/>
      <c r="C28" s="84">
        <f t="shared" si="7"/>
        <v>0</v>
      </c>
      <c r="D28" s="84"/>
      <c r="E28" s="84">
        <f t="shared" si="8"/>
        <v>0</v>
      </c>
      <c r="F28" s="84"/>
      <c r="G28" s="84">
        <f t="shared" si="9"/>
        <v>0</v>
      </c>
      <c r="H28" s="84"/>
      <c r="I28" s="73">
        <f>IF(AC28&gt;0,((H28-AA28)+(AB28-H29)),IF(H29=0, ,(H28-H29)))</f>
        <v>0</v>
      </c>
      <c r="J28" s="73">
        <f t="shared" si="12"/>
        <v>0</v>
      </c>
      <c r="K28" s="73">
        <f t="shared" si="13"/>
        <v>0</v>
      </c>
      <c r="L28" s="73">
        <f t="shared" si="18"/>
        <v>0</v>
      </c>
      <c r="M28" s="74">
        <f t="shared" si="17"/>
        <v>24196</v>
      </c>
      <c r="N28" s="73">
        <f t="shared" si="15"/>
        <v>0</v>
      </c>
      <c r="O28" s="73">
        <f t="shared" si="16"/>
        <v>0</v>
      </c>
      <c r="P28" s="86">
        <f t="shared" si="10"/>
        <v>0</v>
      </c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>
        <f t="shared" si="20"/>
        <v>0</v>
      </c>
      <c r="AD28" s="80">
        <f t="shared" si="19"/>
        <v>0</v>
      </c>
      <c r="AE28" s="80">
        <f>(S28+V28+Y28+AB28)/4</f>
        <v>0</v>
      </c>
    </row>
    <row r="29" spans="1:31" ht="32.25" customHeight="1">
      <c r="A29" s="82">
        <v>44891</v>
      </c>
      <c r="B29" s="84"/>
      <c r="C29" s="84">
        <f t="shared" si="7"/>
        <v>0</v>
      </c>
      <c r="D29" s="84"/>
      <c r="E29" s="84">
        <f t="shared" si="8"/>
        <v>0</v>
      </c>
      <c r="F29" s="84"/>
      <c r="G29" s="84">
        <f t="shared" si="9"/>
        <v>0</v>
      </c>
      <c r="H29" s="84"/>
      <c r="I29" s="73">
        <f t="shared" si="11"/>
        <v>0</v>
      </c>
      <c r="J29" s="73">
        <f t="shared" si="12"/>
        <v>0</v>
      </c>
      <c r="K29" s="73">
        <f t="shared" si="13"/>
        <v>0</v>
      </c>
      <c r="L29" s="73">
        <f t="shared" si="18"/>
        <v>0</v>
      </c>
      <c r="M29" s="74">
        <f t="shared" si="17"/>
        <v>24196</v>
      </c>
      <c r="N29" s="73">
        <f t="shared" si="15"/>
        <v>0</v>
      </c>
      <c r="O29" s="73">
        <f t="shared" si="16"/>
        <v>0</v>
      </c>
      <c r="P29" s="86">
        <f t="shared" si="10"/>
        <v>0</v>
      </c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>
        <f>Q29+T29+W29+Z29</f>
        <v>0</v>
      </c>
      <c r="AD29" s="80">
        <f t="shared" si="19"/>
        <v>0</v>
      </c>
      <c r="AE29" s="80">
        <f>(S29+V29+Y29+AB29)/4</f>
        <v>0</v>
      </c>
    </row>
    <row r="30" spans="1:31" ht="32.25" customHeight="1">
      <c r="A30" s="82">
        <v>44892</v>
      </c>
      <c r="B30" s="84"/>
      <c r="C30" s="84">
        <f t="shared" si="7"/>
        <v>0</v>
      </c>
      <c r="D30" s="84"/>
      <c r="E30" s="84">
        <f t="shared" si="8"/>
        <v>0</v>
      </c>
      <c r="F30" s="84"/>
      <c r="G30" s="84">
        <f t="shared" si="9"/>
        <v>0</v>
      </c>
      <c r="H30" s="84"/>
      <c r="I30" s="73">
        <f t="shared" si="11"/>
        <v>0</v>
      </c>
      <c r="J30" s="73">
        <f t="shared" si="12"/>
        <v>0</v>
      </c>
      <c r="K30" s="73">
        <f t="shared" si="13"/>
        <v>0</v>
      </c>
      <c r="L30" s="73">
        <f t="shared" si="18"/>
        <v>0</v>
      </c>
      <c r="M30" s="74">
        <f t="shared" si="17"/>
        <v>24196</v>
      </c>
      <c r="N30" s="73">
        <f t="shared" si="15"/>
        <v>0</v>
      </c>
      <c r="O30" s="73">
        <f t="shared" si="16"/>
        <v>0</v>
      </c>
      <c r="P30" s="86">
        <f t="shared" si="10"/>
        <v>0</v>
      </c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>
        <f t="shared" si="20"/>
        <v>0</v>
      </c>
      <c r="AD30" s="80">
        <f t="shared" si="19"/>
        <v>0</v>
      </c>
      <c r="AE30" s="80">
        <f t="shared" ref="AE30:AE42" si="24">(S30+V30+Y30+AB30)/4</f>
        <v>0</v>
      </c>
    </row>
    <row r="31" spans="1:31" ht="32.25" customHeight="1">
      <c r="A31" s="82">
        <v>44893</v>
      </c>
      <c r="B31" s="84"/>
      <c r="C31" s="84">
        <f t="shared" si="7"/>
        <v>0</v>
      </c>
      <c r="D31" s="84"/>
      <c r="E31" s="84">
        <f t="shared" si="8"/>
        <v>0</v>
      </c>
      <c r="F31" s="84"/>
      <c r="G31" s="84">
        <f t="shared" si="9"/>
        <v>0</v>
      </c>
      <c r="H31" s="84"/>
      <c r="I31" s="73">
        <f t="shared" si="11"/>
        <v>0</v>
      </c>
      <c r="J31" s="73">
        <f t="shared" si="12"/>
        <v>0</v>
      </c>
      <c r="K31" s="73">
        <f t="shared" si="13"/>
        <v>0</v>
      </c>
      <c r="L31" s="73">
        <f t="shared" si="18"/>
        <v>0</v>
      </c>
      <c r="M31" s="74">
        <f t="shared" si="17"/>
        <v>24196</v>
      </c>
      <c r="N31" s="73">
        <f t="shared" si="15"/>
        <v>0</v>
      </c>
      <c r="O31" s="73">
        <f t="shared" si="16"/>
        <v>0</v>
      </c>
      <c r="P31" s="86">
        <f t="shared" si="10"/>
        <v>0</v>
      </c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>
        <f t="shared" si="20"/>
        <v>0</v>
      </c>
      <c r="AD31" s="80">
        <f t="shared" si="19"/>
        <v>0</v>
      </c>
      <c r="AE31" s="80">
        <f t="shared" si="24"/>
        <v>0</v>
      </c>
    </row>
    <row r="32" spans="1:31" ht="32.25" customHeight="1">
      <c r="A32" s="82">
        <v>44894</v>
      </c>
      <c r="B32" s="84"/>
      <c r="C32" s="84">
        <f t="shared" si="7"/>
        <v>0</v>
      </c>
      <c r="D32" s="84"/>
      <c r="E32" s="84">
        <f t="shared" si="8"/>
        <v>0</v>
      </c>
      <c r="F32" s="84"/>
      <c r="G32" s="84">
        <f t="shared" si="9"/>
        <v>0</v>
      </c>
      <c r="H32" s="84"/>
      <c r="I32" s="73">
        <f t="shared" si="11"/>
        <v>0</v>
      </c>
      <c r="J32" s="73">
        <f t="shared" si="12"/>
        <v>0</v>
      </c>
      <c r="K32" s="73">
        <f t="shared" si="13"/>
        <v>0</v>
      </c>
      <c r="L32" s="73">
        <f t="shared" si="18"/>
        <v>0</v>
      </c>
      <c r="M32" s="74">
        <f t="shared" si="17"/>
        <v>24196</v>
      </c>
      <c r="N32" s="73">
        <f t="shared" si="15"/>
        <v>0</v>
      </c>
      <c r="O32" s="74">
        <f t="shared" si="16"/>
        <v>0</v>
      </c>
      <c r="P32" s="86">
        <f t="shared" si="10"/>
        <v>0</v>
      </c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>
        <f>Q32+T32+W32+Z32</f>
        <v>0</v>
      </c>
      <c r="AD32" s="80">
        <f t="shared" si="19"/>
        <v>0</v>
      </c>
      <c r="AE32" s="80">
        <f t="shared" si="24"/>
        <v>0</v>
      </c>
    </row>
    <row r="33" spans="1:31" ht="32.25" customHeight="1">
      <c r="A33" s="82">
        <v>44895</v>
      </c>
      <c r="B33" s="84"/>
      <c r="C33" s="84">
        <f t="shared" si="7"/>
        <v>0</v>
      </c>
      <c r="D33" s="84"/>
      <c r="E33" s="84">
        <f t="shared" si="8"/>
        <v>0</v>
      </c>
      <c r="F33" s="84"/>
      <c r="G33" s="84">
        <f t="shared" si="9"/>
        <v>0</v>
      </c>
      <c r="H33" s="84"/>
      <c r="I33" s="73">
        <f t="shared" si="11"/>
        <v>0</v>
      </c>
      <c r="J33" s="73">
        <f t="shared" si="12"/>
        <v>0</v>
      </c>
      <c r="K33" s="73">
        <f t="shared" si="13"/>
        <v>0</v>
      </c>
      <c r="L33" s="73">
        <f t="shared" si="18"/>
        <v>0</v>
      </c>
      <c r="M33" s="74">
        <f t="shared" si="17"/>
        <v>24196</v>
      </c>
      <c r="N33" s="73">
        <f t="shared" si="15"/>
        <v>0</v>
      </c>
      <c r="O33" s="73">
        <f t="shared" si="16"/>
        <v>0</v>
      </c>
      <c r="P33" s="86">
        <f t="shared" si="10"/>
        <v>0</v>
      </c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>
        <f>Q33+T33+W33+Z33</f>
        <v>0</v>
      </c>
      <c r="AD33" s="80">
        <f t="shared" si="19"/>
        <v>0</v>
      </c>
      <c r="AE33" s="80">
        <f t="shared" si="24"/>
        <v>0</v>
      </c>
    </row>
    <row r="34" spans="1:31" ht="32.25" customHeight="1">
      <c r="A34" s="82">
        <v>44896</v>
      </c>
      <c r="B34" s="84"/>
      <c r="C34" s="84">
        <f t="shared" si="7"/>
        <v>0</v>
      </c>
      <c r="D34" s="84"/>
      <c r="E34" s="84">
        <f t="shared" si="8"/>
        <v>0</v>
      </c>
      <c r="F34" s="84"/>
      <c r="G34" s="84">
        <f t="shared" si="9"/>
        <v>0</v>
      </c>
      <c r="H34" s="84"/>
      <c r="I34" s="73">
        <f t="shared" si="11"/>
        <v>0</v>
      </c>
      <c r="J34" s="73">
        <f>B34+D34+F34+H34</f>
        <v>0</v>
      </c>
      <c r="K34" s="73">
        <f>J34/4</f>
        <v>0</v>
      </c>
      <c r="L34" s="73">
        <f>IF(AC34&gt;0,((K34-AD34)+(AE34-K35)),IF(K35=0, ,(K34-K35)))</f>
        <v>0</v>
      </c>
      <c r="M34" s="74">
        <f t="shared" si="17"/>
        <v>24196</v>
      </c>
      <c r="N34" s="73">
        <f>L34*M34/100</f>
        <v>0</v>
      </c>
      <c r="O34" s="73">
        <f>N34*0.529</f>
        <v>0</v>
      </c>
      <c r="P34" s="86">
        <f t="shared" si="10"/>
        <v>0</v>
      </c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>
        <f t="shared" si="20"/>
        <v>0</v>
      </c>
      <c r="AD34" s="80">
        <f t="shared" si="19"/>
        <v>0</v>
      </c>
      <c r="AE34" s="80">
        <f t="shared" si="24"/>
        <v>0</v>
      </c>
    </row>
    <row r="35" spans="1:31" ht="32.25" customHeight="1">
      <c r="A35" s="82">
        <v>44897</v>
      </c>
      <c r="B35" s="84"/>
      <c r="C35" s="84">
        <f t="shared" si="7"/>
        <v>0</v>
      </c>
      <c r="D35" s="84"/>
      <c r="E35" s="84">
        <f t="shared" si="8"/>
        <v>0</v>
      </c>
      <c r="F35" s="84"/>
      <c r="G35" s="84">
        <f t="shared" si="9"/>
        <v>0</v>
      </c>
      <c r="H35" s="84"/>
      <c r="I35" s="73">
        <f t="shared" si="11"/>
        <v>0</v>
      </c>
      <c r="J35" s="73">
        <f>B35+D35+F35+H35</f>
        <v>0</v>
      </c>
      <c r="K35" s="73">
        <f>J35/4</f>
        <v>0</v>
      </c>
      <c r="L35" s="73">
        <f t="shared" si="18"/>
        <v>0</v>
      </c>
      <c r="M35" s="74">
        <f t="shared" si="17"/>
        <v>24196</v>
      </c>
      <c r="N35" s="73">
        <f t="shared" si="15"/>
        <v>0</v>
      </c>
      <c r="O35" s="73">
        <f t="shared" si="16"/>
        <v>0</v>
      </c>
      <c r="P35" s="86">
        <f t="shared" si="10"/>
        <v>0</v>
      </c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>
        <f t="shared" si="20"/>
        <v>0</v>
      </c>
      <c r="AD35" s="80">
        <f t="shared" si="19"/>
        <v>0</v>
      </c>
      <c r="AE35" s="80">
        <f t="shared" si="24"/>
        <v>0</v>
      </c>
    </row>
    <row r="36" spans="1:31" ht="32.25" customHeight="1">
      <c r="A36" s="82"/>
      <c r="B36" s="84"/>
      <c r="C36" s="84">
        <f>IF(AC36&gt;0,((B36-R36)+(S36-B37)),IF(B37=0, ,(B36-B37)))</f>
        <v>0</v>
      </c>
      <c r="D36" s="84"/>
      <c r="E36" s="84">
        <f t="shared" ref="E27:E36" si="25">IF(AC36&gt;0,((D36-U36)+(V36-D37)),IF(D37=0, ,(D36-D37)))</f>
        <v>0</v>
      </c>
      <c r="F36" s="84"/>
      <c r="G36" s="84">
        <f t="shared" ref="G27:G36" si="26">IF(AC36&gt;0,((F36-X36)+(Y36-F37)),IF(F37=0, ,(F36-F37)))</f>
        <v>0</v>
      </c>
      <c r="H36" s="84"/>
      <c r="I36" s="73">
        <f t="shared" si="11"/>
        <v>0</v>
      </c>
      <c r="J36" s="73">
        <f t="shared" si="12"/>
        <v>0</v>
      </c>
      <c r="K36" s="73">
        <f t="shared" si="13"/>
        <v>0</v>
      </c>
      <c r="L36" s="73">
        <f t="shared" si="18"/>
        <v>0</v>
      </c>
      <c r="M36" s="74">
        <f t="shared" si="17"/>
        <v>24196</v>
      </c>
      <c r="N36" s="73">
        <f t="shared" si="15"/>
        <v>0</v>
      </c>
      <c r="O36" s="73">
        <f t="shared" si="16"/>
        <v>0</v>
      </c>
      <c r="P36" s="86">
        <f t="shared" si="10"/>
        <v>0</v>
      </c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>
        <f t="shared" si="20"/>
        <v>0</v>
      </c>
      <c r="AD36" s="80">
        <f t="shared" si="19"/>
        <v>0</v>
      </c>
      <c r="AE36" s="80">
        <f t="shared" si="24"/>
        <v>0</v>
      </c>
    </row>
    <row r="37" spans="1:31" ht="32.25" customHeight="1">
      <c r="A37" s="75"/>
      <c r="B37" s="84"/>
      <c r="C37" s="84">
        <f t="shared" ref="C37:C42" si="27">IF(AC37&gt;0,((B37-R37)+(S37-B38)),IF(B38=0, ,(B37-B38)))</f>
        <v>0</v>
      </c>
      <c r="D37" s="84"/>
      <c r="E37" s="84">
        <f>IF(AC37:AC60&gt;0,((D37-U37)+(V37-D38)),IF(D38=0, ,(D37-D38)))</f>
        <v>0</v>
      </c>
      <c r="F37" s="84"/>
      <c r="G37" s="84">
        <f t="shared" ref="G37:G42" si="28">IF(AC37&gt;0,((F37-X37)+(Y37-F38)),IF(F38=0, ,(F37-F38)))</f>
        <v>0</v>
      </c>
      <c r="H37" s="84"/>
      <c r="I37" s="73">
        <f t="shared" ref="I37:I42" si="29">IF(AC37&gt;0,((H37-AA37)+(AB37-H38)),IF(H38=0, ,(H37-H38)))</f>
        <v>0</v>
      </c>
      <c r="J37" s="73">
        <f t="shared" si="12"/>
        <v>0</v>
      </c>
      <c r="K37" s="73">
        <f t="shared" si="13"/>
        <v>0</v>
      </c>
      <c r="L37" s="73">
        <f t="shared" si="18"/>
        <v>0</v>
      </c>
      <c r="M37" s="74">
        <f t="shared" si="17"/>
        <v>24196</v>
      </c>
      <c r="N37" s="73">
        <f t="shared" si="15"/>
        <v>0</v>
      </c>
      <c r="O37" s="73">
        <f t="shared" si="16"/>
        <v>0</v>
      </c>
      <c r="P37" s="86">
        <f t="shared" ref="P5:P40" si="30">O37*12.84</f>
        <v>0</v>
      </c>
      <c r="Q37" s="73"/>
      <c r="R37" s="73"/>
      <c r="S37" s="73"/>
      <c r="T37" s="73"/>
      <c r="U37" s="73"/>
      <c r="V37" s="73"/>
      <c r="W37" s="73"/>
      <c r="X37" s="73"/>
      <c r="Y37" s="73"/>
      <c r="Z37" s="77"/>
      <c r="AA37" s="73"/>
      <c r="AB37" s="73"/>
      <c r="AC37" s="73">
        <f t="shared" si="20"/>
        <v>0</v>
      </c>
      <c r="AD37" s="80">
        <f t="shared" si="19"/>
        <v>0</v>
      </c>
      <c r="AE37" s="80">
        <f t="shared" si="24"/>
        <v>0</v>
      </c>
    </row>
    <row r="38" spans="1:31" ht="32.25" customHeight="1">
      <c r="A38" s="75"/>
      <c r="B38" s="84"/>
      <c r="C38" s="84">
        <f t="shared" si="27"/>
        <v>0</v>
      </c>
      <c r="D38" s="84"/>
      <c r="E38" s="84">
        <f>IF(AC38:AC61&gt;0,((D38-U38)+(V38-D39)),IF(D39=0, ,(D38-D39)))</f>
        <v>0</v>
      </c>
      <c r="F38" s="84"/>
      <c r="G38" s="84">
        <f t="shared" si="28"/>
        <v>0</v>
      </c>
      <c r="H38" s="84"/>
      <c r="I38" s="73">
        <f t="shared" si="29"/>
        <v>0</v>
      </c>
      <c r="J38" s="73">
        <f t="shared" si="12"/>
        <v>0</v>
      </c>
      <c r="K38" s="73">
        <f t="shared" si="13"/>
        <v>0</v>
      </c>
      <c r="L38" s="73">
        <f t="shared" si="18"/>
        <v>0</v>
      </c>
      <c r="M38" s="74">
        <f t="shared" si="17"/>
        <v>24196</v>
      </c>
      <c r="N38" s="73">
        <f t="shared" si="15"/>
        <v>0</v>
      </c>
      <c r="O38" s="73">
        <f>N38*0.53</f>
        <v>0</v>
      </c>
      <c r="P38" s="86">
        <f t="shared" si="30"/>
        <v>0</v>
      </c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>
        <f t="shared" si="20"/>
        <v>0</v>
      </c>
      <c r="AD38" s="80">
        <f t="shared" si="19"/>
        <v>0</v>
      </c>
      <c r="AE38" s="80">
        <f t="shared" si="24"/>
        <v>0</v>
      </c>
    </row>
    <row r="39" spans="1:31" ht="32.25" customHeight="1">
      <c r="A39" s="75"/>
      <c r="B39" s="84"/>
      <c r="C39" s="84">
        <f t="shared" si="27"/>
        <v>0</v>
      </c>
      <c r="D39" s="84"/>
      <c r="E39" s="84">
        <f>IF(AC39&gt;0,((D39-U39)+(V39-D40)),IF(D40=0, ,(D39-D40)))</f>
        <v>0</v>
      </c>
      <c r="F39" s="84"/>
      <c r="G39" s="84">
        <f t="shared" si="28"/>
        <v>0</v>
      </c>
      <c r="H39" s="84"/>
      <c r="I39" s="73">
        <f t="shared" si="29"/>
        <v>0</v>
      </c>
      <c r="J39" s="73">
        <f t="shared" si="12"/>
        <v>0</v>
      </c>
      <c r="K39" s="73">
        <f t="shared" si="13"/>
        <v>0</v>
      </c>
      <c r="L39" s="73">
        <f t="shared" si="18"/>
        <v>0</v>
      </c>
      <c r="M39" s="74">
        <f t="shared" si="17"/>
        <v>24196</v>
      </c>
      <c r="N39" s="73">
        <f t="shared" si="15"/>
        <v>0</v>
      </c>
      <c r="O39" s="73">
        <f>N39*0.53</f>
        <v>0</v>
      </c>
      <c r="P39" s="86">
        <f t="shared" si="30"/>
        <v>0</v>
      </c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>
        <f t="shared" si="20"/>
        <v>0</v>
      </c>
      <c r="AD39" s="80">
        <f t="shared" si="19"/>
        <v>0</v>
      </c>
      <c r="AE39" s="80">
        <f t="shared" si="24"/>
        <v>0</v>
      </c>
    </row>
    <row r="40" spans="1:31" ht="32.25" customHeight="1">
      <c r="A40" s="75"/>
      <c r="B40" s="84"/>
      <c r="C40" s="84">
        <f t="shared" si="27"/>
        <v>0</v>
      </c>
      <c r="D40" s="84"/>
      <c r="E40" s="84">
        <f>IF(AC40&gt;0,((D40-U40)+(V40-D41)),IF(D41=0, ,(D40-D41)))</f>
        <v>0</v>
      </c>
      <c r="F40" s="84"/>
      <c r="G40" s="84">
        <f t="shared" si="28"/>
        <v>0</v>
      </c>
      <c r="H40" s="84"/>
      <c r="I40" s="73">
        <f t="shared" si="29"/>
        <v>0</v>
      </c>
      <c r="J40" s="73">
        <f t="shared" si="12"/>
        <v>0</v>
      </c>
      <c r="K40" s="73">
        <f t="shared" si="13"/>
        <v>0</v>
      </c>
      <c r="L40" s="73">
        <f t="shared" si="18"/>
        <v>0</v>
      </c>
      <c r="M40" s="74">
        <f t="shared" si="17"/>
        <v>24196</v>
      </c>
      <c r="N40" s="73">
        <f t="shared" si="15"/>
        <v>0</v>
      </c>
      <c r="O40" s="73">
        <f>N40*0.53</f>
        <v>0</v>
      </c>
      <c r="P40" s="86">
        <f t="shared" si="30"/>
        <v>0</v>
      </c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>
        <f t="shared" si="20"/>
        <v>0</v>
      </c>
      <c r="AD40" s="80">
        <f t="shared" si="19"/>
        <v>0</v>
      </c>
      <c r="AE40" s="80">
        <f t="shared" si="24"/>
        <v>0</v>
      </c>
    </row>
    <row r="41" spans="1:31" ht="32.25" customHeight="1">
      <c r="A41" s="75"/>
      <c r="B41" s="84"/>
      <c r="C41" s="84">
        <f t="shared" si="27"/>
        <v>0</v>
      </c>
      <c r="D41" s="84"/>
      <c r="E41" s="84">
        <f>IF(AC41&gt;0,((D41-U41)+(V41-D42)),IF(D42=0, ,(D41-D42)))</f>
        <v>0</v>
      </c>
      <c r="F41" s="84"/>
      <c r="G41" s="84">
        <f t="shared" si="28"/>
        <v>0</v>
      </c>
      <c r="H41" s="84"/>
      <c r="I41" s="73">
        <f t="shared" si="29"/>
        <v>0</v>
      </c>
      <c r="J41" s="73">
        <f t="shared" si="12"/>
        <v>0</v>
      </c>
      <c r="K41" s="73">
        <f t="shared" si="13"/>
        <v>0</v>
      </c>
      <c r="L41" s="73">
        <f t="shared" si="18"/>
        <v>0</v>
      </c>
      <c r="M41" s="74">
        <f t="shared" si="17"/>
        <v>24196</v>
      </c>
      <c r="N41" s="73">
        <f t="shared" si="15"/>
        <v>0</v>
      </c>
      <c r="O41" s="73">
        <f>N41*0.53</f>
        <v>0</v>
      </c>
      <c r="P41" s="86">
        <f t="shared" ref="P5:P42" si="31">O41*9.965</f>
        <v>0</v>
      </c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>
        <f t="shared" si="20"/>
        <v>0</v>
      </c>
      <c r="AD41" s="80">
        <f t="shared" si="19"/>
        <v>0</v>
      </c>
      <c r="AE41" s="80">
        <f t="shared" si="24"/>
        <v>0</v>
      </c>
    </row>
    <row r="42" spans="1:31" ht="32.25" customHeight="1">
      <c r="A42" s="75"/>
      <c r="B42" s="84"/>
      <c r="C42" s="84">
        <f t="shared" si="27"/>
        <v>0</v>
      </c>
      <c r="D42" s="84"/>
      <c r="E42" s="84">
        <f>IF(AC42&gt;0,((D42-U42)+(V42-D43)),IF(D43=0, ,(D42-D43)))</f>
        <v>0</v>
      </c>
      <c r="F42" s="84"/>
      <c r="G42" s="84">
        <f t="shared" si="28"/>
        <v>0</v>
      </c>
      <c r="H42" s="84"/>
      <c r="I42" s="73">
        <f t="shared" si="29"/>
        <v>0</v>
      </c>
      <c r="J42" s="73">
        <f t="shared" si="12"/>
        <v>0</v>
      </c>
      <c r="K42" s="73">
        <f t="shared" si="13"/>
        <v>0</v>
      </c>
      <c r="L42" s="73">
        <f t="shared" si="18"/>
        <v>0</v>
      </c>
      <c r="M42" s="74">
        <f t="shared" si="17"/>
        <v>24196</v>
      </c>
      <c r="N42" s="73">
        <f t="shared" si="15"/>
        <v>0</v>
      </c>
      <c r="O42" s="73">
        <f>N42*0.53</f>
        <v>0</v>
      </c>
      <c r="P42" s="86">
        <f t="shared" si="31"/>
        <v>0</v>
      </c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73">
        <f t="shared" si="20"/>
        <v>0</v>
      </c>
      <c r="AD42" s="80">
        <f t="shared" si="19"/>
        <v>0</v>
      </c>
      <c r="AE42" s="80">
        <f t="shared" si="24"/>
        <v>0</v>
      </c>
    </row>
    <row r="43" spans="1:31" ht="32.25" customHeight="1"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6">
        <f>SUM(N4:N42)</f>
        <v>10948.69</v>
      </c>
      <c r="O43" s="76">
        <f>N43*0.529</f>
        <v>5791.8570100000006</v>
      </c>
      <c r="P43" s="87">
        <f>O43*12.24</f>
        <v>70892.329802400011</v>
      </c>
      <c r="Q43" s="149">
        <f>SUM(Q4:Q42)</f>
        <v>4537</v>
      </c>
      <c r="R43" s="149"/>
      <c r="S43" s="149"/>
      <c r="T43" s="149">
        <f>SUM(T4:T42)</f>
        <v>4586</v>
      </c>
      <c r="U43" s="149"/>
      <c r="V43" s="149"/>
      <c r="W43" s="149">
        <f>SUM(W4:W42)</f>
        <v>5140</v>
      </c>
      <c r="X43" s="149"/>
      <c r="Y43" s="149"/>
      <c r="Z43" s="149">
        <f>SUM(Z4:Z42)</f>
        <v>5307</v>
      </c>
      <c r="AA43" s="149"/>
      <c r="AB43" s="149"/>
      <c r="AC43" s="88">
        <f t="shared" si="20"/>
        <v>19570</v>
      </c>
    </row>
    <row r="44" spans="1:31" ht="35.25" customHeight="1">
      <c r="B44" s="150"/>
      <c r="C44" s="150"/>
      <c r="D44" s="150"/>
      <c r="E44" s="150"/>
      <c r="F44" s="150"/>
      <c r="G44" s="150"/>
      <c r="H44" s="150"/>
      <c r="I44" s="150"/>
      <c r="J44" s="70"/>
      <c r="K44" s="70"/>
      <c r="L44" s="70"/>
      <c r="M44" s="70"/>
      <c r="N44" s="70"/>
      <c r="O44" s="70"/>
      <c r="P44" s="70"/>
      <c r="Q44" s="151">
        <f>Q43+T43+W43+Z43</f>
        <v>19570</v>
      </c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89">
        <f>Q44+T44+W44+Z44</f>
        <v>19570</v>
      </c>
    </row>
    <row r="45" spans="1:31" ht="7.5" customHeight="1">
      <c r="D45" s="78" t="s">
        <v>18</v>
      </c>
    </row>
    <row r="46" spans="1:31" ht="51" customHeight="1">
      <c r="H46" s="91"/>
      <c r="I46" s="91"/>
      <c r="J46" s="91"/>
      <c r="K46" s="96" t="s">
        <v>82</v>
      </c>
      <c r="L46" s="97" t="s">
        <v>83</v>
      </c>
      <c r="M46" s="97" t="s">
        <v>84</v>
      </c>
    </row>
    <row r="47" spans="1:31" ht="48" customHeight="1">
      <c r="H47" s="146" t="s">
        <v>85</v>
      </c>
      <c r="I47" s="147"/>
      <c r="J47" s="148"/>
      <c r="K47" s="94">
        <f>N43</f>
        <v>10948.69</v>
      </c>
      <c r="L47" s="95">
        <f>O43</f>
        <v>5791.8570100000006</v>
      </c>
      <c r="M47" s="95">
        <f>P43</f>
        <v>70892.329802400011</v>
      </c>
    </row>
    <row r="48" spans="1:31" ht="54.75" customHeight="1">
      <c r="H48" s="146" t="s">
        <v>86</v>
      </c>
      <c r="I48" s="147"/>
      <c r="J48" s="148"/>
      <c r="K48" s="92">
        <f>AC44</f>
        <v>19570</v>
      </c>
      <c r="L48" s="93">
        <f>K48*0.529</f>
        <v>10352.530000000001</v>
      </c>
      <c r="M48" s="93">
        <f>L48*12.24</f>
        <v>126714.96720000001</v>
      </c>
    </row>
  </sheetData>
  <mergeCells count="9">
    <mergeCell ref="A1:AE1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18" sqref="C18"/>
    </sheetView>
  </sheetViews>
  <sheetFormatPr defaultColWidth="11.42578125" defaultRowHeight="12.75"/>
  <cols>
    <col min="1" max="1" width="11.42578125" style="60"/>
    <col min="2" max="2" width="5.5703125" style="60" customWidth="1"/>
    <col min="3" max="4" width="13.140625" style="60" customWidth="1"/>
    <col min="5" max="5" width="14" style="60" customWidth="1"/>
    <col min="6" max="6" width="16" style="60" customWidth="1"/>
    <col min="7" max="7" width="13.28515625" style="60" customWidth="1"/>
    <col min="8" max="8" width="10" style="60" customWidth="1"/>
    <col min="9" max="9" width="18.42578125" style="60" customWidth="1"/>
    <col min="10" max="10" width="2.7109375" style="60" customWidth="1"/>
    <col min="11" max="16384" width="11.42578125" style="60"/>
  </cols>
  <sheetData>
    <row r="1" spans="1:10" ht="15" customHeight="1">
      <c r="A1" s="205"/>
      <c r="B1" s="206"/>
      <c r="C1" s="152" t="s">
        <v>87</v>
      </c>
      <c r="D1" s="153"/>
      <c r="E1" s="153"/>
      <c r="F1" s="153"/>
      <c r="G1" s="153"/>
      <c r="H1" s="158" t="s">
        <v>88</v>
      </c>
      <c r="I1" s="159"/>
      <c r="J1" s="160"/>
    </row>
    <row r="2" spans="1:10" ht="16.5" customHeight="1">
      <c r="A2" s="207"/>
      <c r="B2" s="208"/>
      <c r="C2" s="154"/>
      <c r="D2" s="155"/>
      <c r="E2" s="155"/>
      <c r="F2" s="155"/>
      <c r="G2" s="155"/>
      <c r="H2" s="161"/>
      <c r="I2" s="162"/>
      <c r="J2" s="163"/>
    </row>
    <row r="3" spans="1:10" ht="15" customHeight="1">
      <c r="A3" s="207"/>
      <c r="B3" s="208"/>
      <c r="C3" s="154"/>
      <c r="D3" s="155"/>
      <c r="E3" s="155"/>
      <c r="F3" s="155"/>
      <c r="G3" s="155"/>
      <c r="H3" s="164" t="s">
        <v>89</v>
      </c>
      <c r="I3" s="165"/>
      <c r="J3" s="166"/>
    </row>
    <row r="4" spans="1:10" ht="15.75" customHeight="1">
      <c r="A4" s="209"/>
      <c r="B4" s="210"/>
      <c r="C4" s="156"/>
      <c r="D4" s="157"/>
      <c r="E4" s="157"/>
      <c r="F4" s="157"/>
      <c r="G4" s="157"/>
      <c r="H4" s="167"/>
      <c r="I4" s="168"/>
      <c r="J4" s="169"/>
    </row>
    <row r="6" spans="1:10" ht="33" customHeight="1"/>
    <row r="7" spans="1:10" ht="37.5">
      <c r="A7" s="293" t="s">
        <v>90</v>
      </c>
      <c r="B7" s="293"/>
      <c r="C7" s="294" t="s">
        <v>91</v>
      </c>
      <c r="D7" s="294"/>
      <c r="E7" s="295" t="s">
        <v>92</v>
      </c>
      <c r="F7" s="295" t="s">
        <v>93</v>
      </c>
      <c r="G7" s="295" t="s">
        <v>94</v>
      </c>
      <c r="H7" s="295" t="s">
        <v>95</v>
      </c>
      <c r="I7" s="294" t="s">
        <v>96</v>
      </c>
      <c r="J7" s="294"/>
    </row>
    <row r="8" spans="1:10">
      <c r="A8" s="290">
        <v>95670781</v>
      </c>
      <c r="B8" s="290"/>
      <c r="C8" s="296">
        <v>44572</v>
      </c>
      <c r="D8" s="297"/>
      <c r="E8" s="298">
        <v>44603</v>
      </c>
      <c r="F8" s="299" t="s">
        <v>97</v>
      </c>
      <c r="G8" s="300"/>
      <c r="H8" s="300"/>
      <c r="I8" s="290"/>
      <c r="J8" s="290"/>
    </row>
    <row r="10" spans="1:10" ht="23.25" customHeight="1"/>
    <row r="11" spans="1:10" ht="33.75" customHeight="1">
      <c r="A11" s="288" t="s">
        <v>98</v>
      </c>
      <c r="B11" s="288"/>
      <c r="C11" s="289" t="s">
        <v>99</v>
      </c>
      <c r="D11" s="289"/>
      <c r="E11" s="288" t="s">
        <v>100</v>
      </c>
      <c r="F11" s="288"/>
      <c r="G11" s="289" t="s">
        <v>101</v>
      </c>
      <c r="H11" s="289"/>
      <c r="I11" s="289" t="s">
        <v>102</v>
      </c>
      <c r="J11" s="289"/>
    </row>
    <row r="12" spans="1:10" ht="18" customHeight="1">
      <c r="A12" s="290" t="s">
        <v>103</v>
      </c>
      <c r="B12" s="290"/>
      <c r="C12" s="290">
        <v>3750</v>
      </c>
      <c r="D12" s="290"/>
      <c r="E12" s="290">
        <v>1000</v>
      </c>
      <c r="F12" s="290"/>
      <c r="G12" s="291">
        <v>1319</v>
      </c>
      <c r="H12" s="291"/>
      <c r="I12" s="290"/>
      <c r="J12" s="290"/>
    </row>
    <row r="13" spans="1:10">
      <c r="A13" s="204"/>
      <c r="B13" s="292"/>
      <c r="C13" s="292"/>
      <c r="D13" s="292"/>
      <c r="E13" s="292"/>
      <c r="F13" s="292"/>
      <c r="G13" s="292"/>
      <c r="H13" s="292"/>
      <c r="I13" s="292"/>
      <c r="J13" s="292"/>
    </row>
    <row r="16" spans="1:10" ht="27">
      <c r="A16" s="288" t="s">
        <v>104</v>
      </c>
      <c r="B16" s="288"/>
      <c r="C16" s="301" t="s">
        <v>105</v>
      </c>
      <c r="D16" s="301" t="s">
        <v>106</v>
      </c>
      <c r="E16" s="301" t="s">
        <v>48</v>
      </c>
      <c r="F16" s="301" t="s">
        <v>107</v>
      </c>
      <c r="G16" s="289" t="s">
        <v>108</v>
      </c>
      <c r="H16" s="289"/>
      <c r="I16" s="288" t="s">
        <v>109</v>
      </c>
      <c r="J16" s="288"/>
    </row>
    <row r="17" spans="1:10">
      <c r="A17" s="302" t="s">
        <v>110</v>
      </c>
      <c r="B17" s="302"/>
      <c r="C17" s="300">
        <v>21620293</v>
      </c>
      <c r="D17" s="300">
        <v>21612801</v>
      </c>
      <c r="E17" s="300">
        <f>MIN(C17-D17)</f>
        <v>7492</v>
      </c>
      <c r="F17" s="300">
        <f>+E17</f>
        <v>7492</v>
      </c>
      <c r="G17" s="290"/>
      <c r="H17" s="290"/>
      <c r="I17" s="290">
        <f>+E17</f>
        <v>7492</v>
      </c>
      <c r="J17" s="290"/>
    </row>
    <row r="18" spans="1:10">
      <c r="A18" s="302" t="s">
        <v>111</v>
      </c>
      <c r="B18" s="302"/>
      <c r="C18" s="300">
        <v>12639296</v>
      </c>
      <c r="D18" s="300">
        <v>12634618</v>
      </c>
      <c r="E18" s="300">
        <f>MIN(C18-D18)</f>
        <v>4678</v>
      </c>
      <c r="F18" s="300">
        <f>+E18</f>
        <v>4678</v>
      </c>
      <c r="G18" s="290"/>
      <c r="H18" s="290"/>
      <c r="I18" s="290">
        <f>+E18</f>
        <v>4678</v>
      </c>
      <c r="J18" s="290"/>
    </row>
    <row r="19" spans="1:10">
      <c r="A19" s="302" t="s">
        <v>112</v>
      </c>
      <c r="B19" s="302"/>
      <c r="C19" s="300">
        <v>9469520</v>
      </c>
      <c r="D19" s="300">
        <v>9466063</v>
      </c>
      <c r="E19" s="300">
        <f>AVERAGE(C19-D19)</f>
        <v>3457</v>
      </c>
      <c r="F19" s="300">
        <f>+E19</f>
        <v>3457</v>
      </c>
      <c r="G19" s="290"/>
      <c r="H19" s="290"/>
      <c r="I19" s="290">
        <f>+E19</f>
        <v>3457</v>
      </c>
      <c r="J19" s="290"/>
    </row>
    <row r="20" spans="1:10" ht="15">
      <c r="A20" s="303" t="s">
        <v>113</v>
      </c>
      <c r="B20" s="303"/>
      <c r="C20" s="304"/>
      <c r="D20" s="304"/>
      <c r="E20" s="304">
        <f>SUM(E17:E19)</f>
        <v>15627</v>
      </c>
      <c r="F20" s="300"/>
      <c r="G20" s="290"/>
      <c r="H20" s="290"/>
      <c r="I20" s="290"/>
      <c r="J20" s="290"/>
    </row>
    <row r="21" spans="1:10">
      <c r="C21" s="109" t="s">
        <v>18</v>
      </c>
      <c r="D21" s="60" t="s">
        <v>114</v>
      </c>
      <c r="G21" s="305"/>
      <c r="H21" s="305"/>
    </row>
    <row r="22" spans="1:10">
      <c r="G22" s="305"/>
      <c r="H22" s="305"/>
    </row>
    <row r="23" spans="1:10" ht="16.5" customHeight="1">
      <c r="A23" s="306" t="s">
        <v>115</v>
      </c>
      <c r="B23" s="306"/>
      <c r="C23" s="306"/>
      <c r="D23" s="288" t="s">
        <v>116</v>
      </c>
      <c r="E23" s="288" t="s">
        <v>117</v>
      </c>
      <c r="F23" s="307" t="s">
        <v>118</v>
      </c>
      <c r="G23" s="288" t="s">
        <v>119</v>
      </c>
      <c r="H23" s="288"/>
      <c r="I23" s="288" t="s">
        <v>120</v>
      </c>
      <c r="J23" s="288"/>
    </row>
    <row r="24" spans="1:10" ht="16.5" customHeight="1">
      <c r="A24" s="306"/>
      <c r="B24" s="306"/>
      <c r="C24" s="306"/>
      <c r="D24" s="288"/>
      <c r="E24" s="288"/>
      <c r="F24" s="307"/>
      <c r="G24" s="308" t="s">
        <v>121</v>
      </c>
      <c r="H24" s="308" t="s">
        <v>122</v>
      </c>
      <c r="I24" s="288"/>
      <c r="J24" s="288"/>
    </row>
    <row r="25" spans="1:10" ht="19.5" customHeight="1">
      <c r="A25" s="302" t="s">
        <v>123</v>
      </c>
      <c r="B25" s="302"/>
      <c r="C25" s="302"/>
      <c r="D25" s="300">
        <f>+E17</f>
        <v>7492</v>
      </c>
      <c r="E25" s="309">
        <v>0.95140000000000002</v>
      </c>
      <c r="F25" s="310">
        <f>PRODUCT(D25*E25)</f>
        <v>7127.8888000000006</v>
      </c>
      <c r="G25" s="300">
        <v>14</v>
      </c>
      <c r="H25" s="300">
        <f>PRODUCT(0.14,F25)</f>
        <v>997.90443200000016</v>
      </c>
      <c r="I25" s="290">
        <f>SUM(H25,F25)</f>
        <v>8125.7932320000009</v>
      </c>
      <c r="J25" s="290"/>
    </row>
    <row r="26" spans="1:10" ht="19.5" customHeight="1">
      <c r="A26" s="302" t="s">
        <v>124</v>
      </c>
      <c r="B26" s="302"/>
      <c r="C26" s="302"/>
      <c r="D26" s="300">
        <f>+E18</f>
        <v>4678</v>
      </c>
      <c r="E26" s="309">
        <v>0.69850000000000001</v>
      </c>
      <c r="F26" s="310">
        <f>PRODUCT(D26*E26)</f>
        <v>3267.5830000000001</v>
      </c>
      <c r="G26" s="300">
        <v>14</v>
      </c>
      <c r="H26" s="300">
        <f>PRODUCT(0.14,F26)</f>
        <v>457.46162000000004</v>
      </c>
      <c r="I26" s="290">
        <f t="shared" ref="I26:I31" si="0">SUM(H26,F26)</f>
        <v>3725.0446200000001</v>
      </c>
      <c r="J26" s="290"/>
    </row>
    <row r="27" spans="1:10" ht="19.5" customHeight="1">
      <c r="A27" s="302" t="s">
        <v>125</v>
      </c>
      <c r="B27" s="302"/>
      <c r="C27" s="302"/>
      <c r="D27" s="300">
        <f>+E19</f>
        <v>3457</v>
      </c>
      <c r="E27" s="309">
        <v>1.3304</v>
      </c>
      <c r="F27" s="310">
        <f>PRODUCT(D27*E27)</f>
        <v>4599.1927999999998</v>
      </c>
      <c r="G27" s="300">
        <v>14</v>
      </c>
      <c r="H27" s="300">
        <f>PRODUCT(0.14,F27)</f>
        <v>643.88699200000008</v>
      </c>
      <c r="I27" s="290">
        <f>SUM(H27,F27)</f>
        <v>5243.0797919999995</v>
      </c>
      <c r="J27" s="290"/>
    </row>
    <row r="28" spans="1:10" ht="19.5" customHeight="1">
      <c r="A28" s="302" t="s">
        <v>126</v>
      </c>
      <c r="B28" s="302"/>
      <c r="C28" s="302"/>
      <c r="D28" s="300">
        <v>1000</v>
      </c>
      <c r="E28" s="309">
        <v>43.88167</v>
      </c>
      <c r="F28" s="310">
        <f>PRODUCT(D28,E28)</f>
        <v>43881.67</v>
      </c>
      <c r="G28" s="300">
        <v>14</v>
      </c>
      <c r="H28" s="300">
        <f>PRODUCT(0.14,F28)</f>
        <v>6143.4338000000007</v>
      </c>
      <c r="I28" s="290">
        <f t="shared" si="0"/>
        <v>50025.103799999997</v>
      </c>
      <c r="J28" s="290"/>
    </row>
    <row r="29" spans="1:10" ht="19.5" customHeight="1">
      <c r="A29" s="311" t="s">
        <v>127</v>
      </c>
      <c r="B29" s="311"/>
      <c r="C29" s="311"/>
      <c r="D29" s="312">
        <v>0</v>
      </c>
      <c r="E29" s="313">
        <v>48.972490000000001</v>
      </c>
      <c r="F29" s="314">
        <f>PRODUCT(D29,E29)</f>
        <v>0</v>
      </c>
      <c r="G29" s="312">
        <v>14</v>
      </c>
      <c r="H29" s="312">
        <f>PRODUCT(0.14,F29)</f>
        <v>0</v>
      </c>
      <c r="I29" s="315">
        <f t="shared" si="0"/>
        <v>0</v>
      </c>
      <c r="J29" s="315"/>
    </row>
    <row r="30" spans="1:10" ht="19.5" customHeight="1">
      <c r="A30" s="302" t="s">
        <v>128</v>
      </c>
      <c r="B30" s="302"/>
      <c r="C30" s="302"/>
      <c r="D30" s="300"/>
      <c r="E30" s="309"/>
      <c r="F30" s="310">
        <v>841</v>
      </c>
      <c r="G30" s="300">
        <v>20</v>
      </c>
      <c r="H30" s="309">
        <f>PRODUCT(F30,0.2)</f>
        <v>168.20000000000002</v>
      </c>
      <c r="I30" s="290">
        <f>SUM(H30,F30)</f>
        <v>1009.2</v>
      </c>
      <c r="J30" s="290"/>
    </row>
    <row r="31" spans="1:10" ht="19.5" customHeight="1">
      <c r="A31" s="302" t="s">
        <v>129</v>
      </c>
      <c r="B31" s="302"/>
      <c r="C31" s="302"/>
      <c r="D31" s="300"/>
      <c r="E31" s="309"/>
      <c r="F31" s="310">
        <v>1492</v>
      </c>
      <c r="G31" s="300">
        <v>7</v>
      </c>
      <c r="H31" s="309">
        <f>PRODUCT(F31,0.07)</f>
        <v>104.44000000000001</v>
      </c>
      <c r="I31" s="290">
        <f t="shared" si="0"/>
        <v>1596.44</v>
      </c>
      <c r="J31" s="290"/>
    </row>
    <row r="32" spans="1:10" ht="21">
      <c r="A32" s="316" t="s">
        <v>130</v>
      </c>
      <c r="B32" s="316"/>
      <c r="C32" s="316"/>
      <c r="D32" s="316"/>
      <c r="E32" s="316"/>
      <c r="F32" s="317">
        <f>SUM(F25:F31)</f>
        <v>61209.334600000002</v>
      </c>
      <c r="G32" s="318"/>
      <c r="H32" s="318"/>
      <c r="I32" s="319">
        <f>SUM(I25:J31)</f>
        <v>69724.661443999998</v>
      </c>
      <c r="J32" s="319"/>
    </row>
    <row r="33" spans="1:10" ht="21">
      <c r="A33" s="316"/>
      <c r="B33" s="316"/>
      <c r="C33" s="316"/>
      <c r="D33" s="316"/>
      <c r="E33" s="316"/>
      <c r="F33" s="317"/>
      <c r="G33" s="318"/>
      <c r="H33" s="318"/>
      <c r="I33" s="319"/>
      <c r="J33" s="319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2"/>
  <sheetViews>
    <sheetView zoomScaleNormal="100" workbookViewId="0">
      <selection activeCell="Q20" sqref="Q20"/>
    </sheetView>
  </sheetViews>
  <sheetFormatPr defaultColWidth="11.42578125" defaultRowHeight="12.75"/>
  <cols>
    <col min="1" max="1" width="11.42578125" style="60"/>
    <col min="2" max="2" width="5.5703125" style="60" customWidth="1"/>
    <col min="3" max="3" width="15" style="60" customWidth="1"/>
    <col min="4" max="4" width="15.140625" style="60" customWidth="1"/>
    <col min="5" max="5" width="18.28515625" style="60" customWidth="1"/>
    <col min="6" max="6" width="16" style="60" customWidth="1"/>
    <col min="7" max="7" width="10.85546875" style="60" customWidth="1"/>
    <col min="8" max="8" width="15.42578125" style="60" customWidth="1"/>
    <col min="9" max="9" width="18.42578125" style="60" customWidth="1"/>
    <col min="10" max="10" width="2.7109375" style="60" customWidth="1"/>
    <col min="11" max="11" width="11.42578125" style="60"/>
    <col min="12" max="12" width="11.140625" style="60" customWidth="1"/>
    <col min="13" max="16384" width="11.42578125" style="60"/>
  </cols>
  <sheetData>
    <row r="1" spans="1:10" ht="15" customHeight="1">
      <c r="A1" s="205"/>
      <c r="B1" s="206"/>
      <c r="C1" s="152" t="s">
        <v>87</v>
      </c>
      <c r="D1" s="153"/>
      <c r="E1" s="153"/>
      <c r="F1" s="153"/>
      <c r="G1" s="153"/>
      <c r="H1" s="158" t="s">
        <v>88</v>
      </c>
      <c r="I1" s="159"/>
      <c r="J1" s="160"/>
    </row>
    <row r="2" spans="1:10" ht="16.5" customHeight="1">
      <c r="A2" s="207"/>
      <c r="B2" s="208"/>
      <c r="C2" s="154"/>
      <c r="D2" s="155"/>
      <c r="E2" s="155"/>
      <c r="F2" s="155"/>
      <c r="G2" s="155"/>
      <c r="H2" s="161"/>
      <c r="I2" s="162"/>
      <c r="J2" s="163"/>
    </row>
    <row r="3" spans="1:10" ht="15" customHeight="1">
      <c r="A3" s="207"/>
      <c r="B3" s="208"/>
      <c r="C3" s="154"/>
      <c r="D3" s="155"/>
      <c r="E3" s="155"/>
      <c r="F3" s="155"/>
      <c r="G3" s="155"/>
      <c r="H3" s="164" t="s">
        <v>89</v>
      </c>
      <c r="I3" s="165"/>
      <c r="J3" s="166"/>
    </row>
    <row r="4" spans="1:10" ht="15.75" customHeight="1">
      <c r="A4" s="209"/>
      <c r="B4" s="210"/>
      <c r="C4" s="156"/>
      <c r="D4" s="157"/>
      <c r="E4" s="157"/>
      <c r="F4" s="157"/>
      <c r="G4" s="157"/>
      <c r="H4" s="167"/>
      <c r="I4" s="168"/>
      <c r="J4" s="169"/>
    </row>
    <row r="6" spans="1:10" ht="33" customHeight="1"/>
    <row r="7" spans="1:10" ht="24.75">
      <c r="A7" s="293" t="s">
        <v>90</v>
      </c>
      <c r="B7" s="293"/>
      <c r="C7" s="294" t="s">
        <v>91</v>
      </c>
      <c r="D7" s="294"/>
      <c r="E7" s="295" t="s">
        <v>92</v>
      </c>
      <c r="F7" s="295" t="s">
        <v>93</v>
      </c>
      <c r="G7" s="295" t="s">
        <v>94</v>
      </c>
      <c r="H7" s="295" t="s">
        <v>95</v>
      </c>
      <c r="I7" s="294" t="s">
        <v>96</v>
      </c>
      <c r="J7" s="294"/>
    </row>
    <row r="8" spans="1:10" ht="20.25" customHeight="1">
      <c r="A8" s="290">
        <v>95670781</v>
      </c>
      <c r="B8" s="290"/>
      <c r="C8" s="296">
        <v>44467</v>
      </c>
      <c r="D8" s="297"/>
      <c r="E8" s="320">
        <v>44862</v>
      </c>
      <c r="F8" s="299" t="s">
        <v>131</v>
      </c>
      <c r="G8" s="300"/>
      <c r="H8" s="300"/>
      <c r="I8" s="290"/>
      <c r="J8" s="290"/>
    </row>
    <row r="10" spans="1:10" ht="23.25" customHeight="1"/>
    <row r="11" spans="1:10" ht="29.25" customHeight="1">
      <c r="A11" s="288" t="s">
        <v>98</v>
      </c>
      <c r="B11" s="288"/>
      <c r="C11" s="289" t="s">
        <v>99</v>
      </c>
      <c r="D11" s="289"/>
      <c r="E11" s="288" t="s">
        <v>100</v>
      </c>
      <c r="F11" s="288"/>
      <c r="G11" s="289" t="s">
        <v>101</v>
      </c>
      <c r="H11" s="289"/>
      <c r="I11" s="289" t="s">
        <v>102</v>
      </c>
      <c r="J11" s="289"/>
    </row>
    <row r="12" spans="1:10" ht="23.25" customHeight="1">
      <c r="A12" s="290" t="s">
        <v>103</v>
      </c>
      <c r="B12" s="290"/>
      <c r="C12" s="290">
        <v>3750</v>
      </c>
      <c r="D12" s="290"/>
      <c r="E12" s="290">
        <v>1000</v>
      </c>
      <c r="F12" s="290"/>
      <c r="G12" s="291">
        <v>1069</v>
      </c>
      <c r="H12" s="291"/>
      <c r="I12" s="290"/>
      <c r="J12" s="290"/>
    </row>
    <row r="13" spans="1:10">
      <c r="A13" s="204"/>
      <c r="B13" s="292"/>
      <c r="C13" s="292"/>
      <c r="D13" s="292"/>
      <c r="E13" s="292"/>
      <c r="F13" s="292"/>
      <c r="G13" s="292"/>
      <c r="H13" s="292"/>
      <c r="I13" s="292"/>
      <c r="J13" s="292"/>
    </row>
    <row r="14" spans="1:10" ht="18.75" customHeight="1"/>
    <row r="15" spans="1:10" ht="30" customHeight="1">
      <c r="A15" s="288" t="s">
        <v>104</v>
      </c>
      <c r="B15" s="288"/>
      <c r="C15" s="301" t="s">
        <v>105</v>
      </c>
      <c r="D15" s="301" t="s">
        <v>106</v>
      </c>
      <c r="E15" s="301" t="s">
        <v>48</v>
      </c>
      <c r="F15" s="301" t="s">
        <v>107</v>
      </c>
      <c r="G15" s="289" t="s">
        <v>108</v>
      </c>
      <c r="H15" s="289"/>
      <c r="I15" s="288" t="s">
        <v>109</v>
      </c>
      <c r="J15" s="288"/>
    </row>
    <row r="16" spans="1:10" ht="21" customHeight="1">
      <c r="A16" s="302" t="s">
        <v>110</v>
      </c>
      <c r="B16" s="302"/>
      <c r="C16" s="300">
        <v>21581807</v>
      </c>
      <c r="D16" s="300">
        <v>21337062</v>
      </c>
      <c r="E16" s="300">
        <f>MIN(C16-D16)</f>
        <v>244745</v>
      </c>
      <c r="F16" s="300">
        <f>+E16</f>
        <v>244745</v>
      </c>
      <c r="G16" s="290"/>
      <c r="H16" s="290"/>
      <c r="I16" s="290">
        <f>+E16</f>
        <v>244745</v>
      </c>
      <c r="J16" s="290"/>
    </row>
    <row r="17" spans="1:10" ht="21" customHeight="1">
      <c r="A17" s="302" t="s">
        <v>111</v>
      </c>
      <c r="B17" s="302"/>
      <c r="C17" s="300">
        <v>12611387</v>
      </c>
      <c r="D17" s="300">
        <v>12451792</v>
      </c>
      <c r="E17" s="300">
        <f>MIN(C17-D17)</f>
        <v>159595</v>
      </c>
      <c r="F17" s="300">
        <f>+E17</f>
        <v>159595</v>
      </c>
      <c r="G17" s="290"/>
      <c r="H17" s="290"/>
      <c r="I17" s="290">
        <f>+E17</f>
        <v>159595</v>
      </c>
      <c r="J17" s="290"/>
    </row>
    <row r="18" spans="1:10" ht="21" customHeight="1">
      <c r="A18" s="302" t="s">
        <v>112</v>
      </c>
      <c r="B18" s="302"/>
      <c r="C18" s="300">
        <v>9450407</v>
      </c>
      <c r="D18" s="300">
        <v>9332095</v>
      </c>
      <c r="E18" s="300">
        <f>AVERAGE(C18-D18)</f>
        <v>118312</v>
      </c>
      <c r="F18" s="300">
        <f>+E18</f>
        <v>118312</v>
      </c>
      <c r="G18" s="290"/>
      <c r="H18" s="290"/>
      <c r="I18" s="290">
        <f>+E18</f>
        <v>118312</v>
      </c>
      <c r="J18" s="290"/>
    </row>
    <row r="19" spans="1:10" ht="21" customHeight="1">
      <c r="A19" s="303" t="s">
        <v>113</v>
      </c>
      <c r="B19" s="303"/>
      <c r="C19" s="304"/>
      <c r="D19" s="304"/>
      <c r="E19" s="304">
        <f>SUM(E16:E18)</f>
        <v>522652</v>
      </c>
      <c r="F19" s="300"/>
      <c r="G19" s="290"/>
      <c r="H19" s="290"/>
      <c r="I19" s="290"/>
      <c r="J19" s="290"/>
    </row>
    <row r="20" spans="1:10">
      <c r="C20" s="109" t="s">
        <v>18</v>
      </c>
      <c r="D20" s="60" t="s">
        <v>114</v>
      </c>
      <c r="G20" s="305"/>
      <c r="H20" s="305"/>
    </row>
    <row r="21" spans="1:10">
      <c r="G21" s="203"/>
      <c r="H21" s="203"/>
    </row>
    <row r="22" spans="1:10">
      <c r="A22" s="175" t="s">
        <v>115</v>
      </c>
      <c r="B22" s="176"/>
      <c r="C22" s="177"/>
      <c r="D22" s="172" t="s">
        <v>116</v>
      </c>
      <c r="E22" s="172" t="s">
        <v>117</v>
      </c>
      <c r="F22" s="182" t="s">
        <v>118</v>
      </c>
      <c r="G22" s="172" t="s">
        <v>119</v>
      </c>
      <c r="H22" s="172"/>
      <c r="I22" s="181" t="s">
        <v>120</v>
      </c>
      <c r="J22" s="181"/>
    </row>
    <row r="23" spans="1:10">
      <c r="A23" s="178"/>
      <c r="B23" s="179"/>
      <c r="C23" s="180"/>
      <c r="D23" s="181"/>
      <c r="E23" s="181"/>
      <c r="F23" s="183"/>
      <c r="G23" s="55" t="s">
        <v>121</v>
      </c>
      <c r="H23" s="110" t="s">
        <v>122</v>
      </c>
      <c r="I23" s="181"/>
      <c r="J23" s="181"/>
    </row>
    <row r="24" spans="1:10" ht="15">
      <c r="A24" s="200" t="s">
        <v>123</v>
      </c>
      <c r="B24" s="201"/>
      <c r="C24" s="202"/>
      <c r="D24" s="107">
        <f>+E16</f>
        <v>244745</v>
      </c>
      <c r="E24" s="9">
        <v>0.95140000000000002</v>
      </c>
      <c r="F24" s="111">
        <f>PRODUCT(D24*E24)</f>
        <v>232850.39300000001</v>
      </c>
      <c r="G24" s="106">
        <v>14</v>
      </c>
      <c r="H24" s="112">
        <f>PRODUCT(0.14,F24)</f>
        <v>32599.055020000003</v>
      </c>
      <c r="I24" s="170">
        <f>SUM(H24,F24)</f>
        <v>265449.44802000001</v>
      </c>
      <c r="J24" s="171"/>
    </row>
    <row r="25" spans="1:10" ht="15">
      <c r="A25" s="189" t="s">
        <v>124</v>
      </c>
      <c r="B25" s="190"/>
      <c r="C25" s="191"/>
      <c r="D25" s="107">
        <f>+E17</f>
        <v>159595</v>
      </c>
      <c r="E25" s="10">
        <v>0.69850000000000001</v>
      </c>
      <c r="F25" s="111">
        <f>PRODUCT(D25*E25)</f>
        <v>111477.1075</v>
      </c>
      <c r="G25" s="60">
        <v>14</v>
      </c>
      <c r="H25" s="107">
        <f>PRODUCT(0.14,F25)</f>
        <v>15606.795050000001</v>
      </c>
      <c r="I25" s="170">
        <f t="shared" ref="I25:I30" si="0">SUM(H25,F25)</f>
        <v>127083.90255</v>
      </c>
      <c r="J25" s="171"/>
    </row>
    <row r="26" spans="1:10" ht="15">
      <c r="A26" s="189" t="s">
        <v>125</v>
      </c>
      <c r="B26" s="190"/>
      <c r="C26" s="191"/>
      <c r="D26" s="107">
        <f>+E18</f>
        <v>118312</v>
      </c>
      <c r="E26" s="10">
        <v>1.3304</v>
      </c>
      <c r="F26" s="111">
        <f>PRODUCT(D26*E26)</f>
        <v>157402.28479999999</v>
      </c>
      <c r="G26" s="60">
        <v>14</v>
      </c>
      <c r="H26" s="107">
        <f>PRODUCT(0.14,F26)</f>
        <v>22036.319872</v>
      </c>
      <c r="I26" s="170">
        <f>SUM(H26,F26)</f>
        <v>179438.60467199999</v>
      </c>
      <c r="J26" s="171"/>
    </row>
    <row r="27" spans="1:10" ht="15">
      <c r="A27" s="189" t="s">
        <v>126</v>
      </c>
      <c r="B27" s="190"/>
      <c r="C27" s="191"/>
      <c r="D27" s="107">
        <v>1000</v>
      </c>
      <c r="E27" s="10">
        <v>43.88167</v>
      </c>
      <c r="F27" s="111">
        <f>PRODUCT(D27,E27)</f>
        <v>43881.67</v>
      </c>
      <c r="G27" s="60">
        <v>14</v>
      </c>
      <c r="H27" s="107">
        <f>PRODUCT(0.14,F27)</f>
        <v>6143.4338000000007</v>
      </c>
      <c r="I27" s="170">
        <f t="shared" si="0"/>
        <v>50025.103799999997</v>
      </c>
      <c r="J27" s="171"/>
    </row>
    <row r="28" spans="1:10" ht="15">
      <c r="A28" s="195" t="s">
        <v>127</v>
      </c>
      <c r="B28" s="196"/>
      <c r="C28" s="197"/>
      <c r="D28" s="113">
        <f>G12-D27</f>
        <v>69</v>
      </c>
      <c r="E28" s="11">
        <f>E27*1.5</f>
        <v>65.822505000000007</v>
      </c>
      <c r="F28" s="114">
        <f>PRODUCT(D28,E28)</f>
        <v>4541.7528450000009</v>
      </c>
      <c r="G28" s="115">
        <v>14</v>
      </c>
      <c r="H28" s="113">
        <f>PRODUCT(0.14,F28)</f>
        <v>635.84539830000017</v>
      </c>
      <c r="I28" s="198">
        <f t="shared" si="0"/>
        <v>5177.5982433000008</v>
      </c>
      <c r="J28" s="199"/>
    </row>
    <row r="29" spans="1:10" ht="15">
      <c r="A29" s="189" t="s">
        <v>128</v>
      </c>
      <c r="B29" s="190"/>
      <c r="C29" s="191"/>
      <c r="D29" s="107"/>
      <c r="E29" s="10"/>
      <c r="F29" s="111">
        <v>841</v>
      </c>
      <c r="G29" s="60">
        <v>20</v>
      </c>
      <c r="H29" s="116">
        <f>PRODUCT(F29,0.2)</f>
        <v>168.20000000000002</v>
      </c>
      <c r="I29" s="170">
        <f>SUM(H29,F29)</f>
        <v>1009.2</v>
      </c>
      <c r="J29" s="171"/>
    </row>
    <row r="30" spans="1:10" ht="15">
      <c r="A30" s="192" t="s">
        <v>129</v>
      </c>
      <c r="B30" s="193"/>
      <c r="C30" s="194"/>
      <c r="D30" s="117"/>
      <c r="E30" s="118"/>
      <c r="F30" s="111">
        <v>1492</v>
      </c>
      <c r="G30" s="108">
        <v>7</v>
      </c>
      <c r="H30" s="119">
        <f>PRODUCT(F30,0.07)</f>
        <v>104.44000000000001</v>
      </c>
      <c r="I30" s="170">
        <f t="shared" si="0"/>
        <v>1596.44</v>
      </c>
      <c r="J30" s="171"/>
    </row>
    <row r="31" spans="1:10" ht="21">
      <c r="A31" s="184" t="s">
        <v>130</v>
      </c>
      <c r="B31" s="185"/>
      <c r="C31" s="185"/>
      <c r="D31" s="185"/>
      <c r="E31" s="185"/>
      <c r="F31" s="12">
        <f>SUM(F24:F30)</f>
        <v>552486.20814500004</v>
      </c>
      <c r="G31" s="13"/>
      <c r="H31" s="14"/>
      <c r="I31" s="188">
        <f>SUM(I24:J30)</f>
        <v>629780.29728529998</v>
      </c>
      <c r="J31" s="188"/>
    </row>
    <row r="32" spans="1:10" ht="21">
      <c r="A32" s="186"/>
      <c r="B32" s="187"/>
      <c r="C32" s="187"/>
      <c r="D32" s="187"/>
      <c r="E32" s="187"/>
      <c r="F32" s="15"/>
      <c r="G32" s="16"/>
      <c r="H32" s="17"/>
      <c r="I32" s="188"/>
      <c r="J32" s="188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5:B15"/>
    <mergeCell ref="G15:H15"/>
    <mergeCell ref="I15:J15"/>
    <mergeCell ref="A12:B12"/>
    <mergeCell ref="C12:D12"/>
    <mergeCell ref="E12:F12"/>
    <mergeCell ref="G12:H12"/>
    <mergeCell ref="I12:J12"/>
    <mergeCell ref="A13:J13"/>
    <mergeCell ref="A16:B16"/>
    <mergeCell ref="G16:H16"/>
    <mergeCell ref="I16:J16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G20:H20"/>
    <mergeCell ref="G21:H21"/>
    <mergeCell ref="A22:C23"/>
    <mergeCell ref="D22:D23"/>
    <mergeCell ref="E22:E23"/>
    <mergeCell ref="F22:F23"/>
    <mergeCell ref="G22:H22"/>
    <mergeCell ref="I22:J23"/>
    <mergeCell ref="A24:C24"/>
    <mergeCell ref="I24:J24"/>
    <mergeCell ref="A25:C25"/>
    <mergeCell ref="I25:J25"/>
    <mergeCell ref="A26:C26"/>
    <mergeCell ref="I26:J26"/>
    <mergeCell ref="A30:C30"/>
    <mergeCell ref="I30:J30"/>
    <mergeCell ref="A31:E32"/>
    <mergeCell ref="I31:J32"/>
    <mergeCell ref="A27:C27"/>
    <mergeCell ref="I27:J27"/>
    <mergeCell ref="A28:C28"/>
    <mergeCell ref="I28:J28"/>
    <mergeCell ref="A29:C29"/>
    <mergeCell ref="I29:J29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5" workbookViewId="0">
      <selection activeCell="G8" sqref="G8"/>
    </sheetView>
  </sheetViews>
  <sheetFormatPr defaultColWidth="11.42578125" defaultRowHeight="12.75"/>
  <cols>
    <col min="1" max="1" width="20.85546875" style="66" customWidth="1"/>
    <col min="2" max="2" width="11.42578125" style="66"/>
    <col min="3" max="5" width="11.5703125" style="66" bestFit="1" customWidth="1"/>
    <col min="6" max="6" width="9.140625" style="66" customWidth="1"/>
    <col min="7" max="7" width="14.42578125" style="66" customWidth="1"/>
    <col min="8" max="8" width="21.140625" style="66" customWidth="1"/>
    <col min="9" max="9" width="3.5703125" style="66" customWidth="1"/>
    <col min="10" max="16384" width="11.42578125" style="66"/>
  </cols>
  <sheetData>
    <row r="1" spans="1:8" ht="15" customHeight="1">
      <c r="A1" s="229"/>
      <c r="B1" s="152" t="s">
        <v>132</v>
      </c>
      <c r="C1" s="153"/>
      <c r="D1" s="153"/>
      <c r="E1" s="153"/>
      <c r="F1" s="232" t="s">
        <v>88</v>
      </c>
      <c r="G1" s="233"/>
      <c r="H1" s="234"/>
    </row>
    <row r="2" spans="1:8" ht="15.75" customHeight="1">
      <c r="A2" s="230"/>
      <c r="B2" s="154"/>
      <c r="C2" s="155"/>
      <c r="D2" s="155"/>
      <c r="E2" s="155"/>
      <c r="F2" s="235"/>
      <c r="G2" s="236"/>
      <c r="H2" s="237"/>
    </row>
    <row r="3" spans="1:8" ht="15" customHeight="1">
      <c r="A3" s="230"/>
      <c r="B3" s="154"/>
      <c r="C3" s="155"/>
      <c r="D3" s="155"/>
      <c r="E3" s="155"/>
      <c r="F3" s="232" t="s">
        <v>89</v>
      </c>
      <c r="G3" s="233"/>
      <c r="H3" s="234"/>
    </row>
    <row r="4" spans="1:8" ht="15.75" customHeight="1">
      <c r="A4" s="231"/>
      <c r="B4" s="156"/>
      <c r="C4" s="157"/>
      <c r="D4" s="157"/>
      <c r="E4" s="157"/>
      <c r="F4" s="238"/>
      <c r="G4" s="239"/>
      <c r="H4" s="240"/>
    </row>
    <row r="6" spans="1:8" ht="42.75" customHeight="1"/>
    <row r="7" spans="1:8" ht="42.75" customHeight="1">
      <c r="A7" s="121" t="s">
        <v>90</v>
      </c>
      <c r="B7" s="121" t="s">
        <v>133</v>
      </c>
      <c r="C7" s="121" t="s">
        <v>134</v>
      </c>
      <c r="D7" s="20" t="s">
        <v>91</v>
      </c>
      <c r="E7" s="121" t="s">
        <v>135</v>
      </c>
      <c r="F7" s="20" t="s">
        <v>92</v>
      </c>
      <c r="G7" s="20" t="s">
        <v>136</v>
      </c>
      <c r="H7" s="20" t="s">
        <v>93</v>
      </c>
    </row>
    <row r="8" spans="1:8" ht="27" customHeight="1">
      <c r="A8" s="21"/>
      <c r="B8" s="21" t="s">
        <v>137</v>
      </c>
      <c r="C8" s="122">
        <v>168812.4</v>
      </c>
      <c r="D8" s="123">
        <v>44835</v>
      </c>
      <c r="E8" s="122">
        <v>172580</v>
      </c>
      <c r="F8" s="123">
        <v>44866</v>
      </c>
      <c r="G8" s="124">
        <f>E8-C8</f>
        <v>3767.6000000000058</v>
      </c>
      <c r="H8" s="21"/>
    </row>
    <row r="9" spans="1:8" ht="16.5" customHeight="1">
      <c r="A9" s="56"/>
      <c r="B9" s="56"/>
      <c r="C9" s="56"/>
      <c r="D9" s="56"/>
      <c r="E9" s="56"/>
      <c r="F9" s="56"/>
      <c r="G9" s="56"/>
      <c r="H9" s="56"/>
    </row>
    <row r="10" spans="1:8" ht="21.75" customHeight="1">
      <c r="A10" s="125"/>
      <c r="B10" s="241" t="s">
        <v>116</v>
      </c>
      <c r="C10" s="242"/>
      <c r="D10" s="224" t="s">
        <v>138</v>
      </c>
      <c r="E10" s="224"/>
      <c r="F10" s="241" t="s">
        <v>139</v>
      </c>
      <c r="G10" s="243"/>
      <c r="H10" s="242"/>
    </row>
    <row r="11" spans="1:8" ht="21.75" customHeight="1">
      <c r="A11" s="121" t="s">
        <v>140</v>
      </c>
      <c r="B11" s="224"/>
      <c r="C11" s="224"/>
      <c r="D11" s="224"/>
      <c r="E11" s="224"/>
      <c r="F11" s="224">
        <v>23</v>
      </c>
      <c r="G11" s="224"/>
      <c r="H11" s="224"/>
    </row>
    <row r="12" spans="1:8" ht="21">
      <c r="A12" s="227" t="s">
        <v>141</v>
      </c>
      <c r="B12" s="227"/>
      <c r="C12" s="227"/>
      <c r="D12" s="227"/>
      <c r="E12" s="227"/>
      <c r="F12" s="227"/>
      <c r="G12" s="227"/>
      <c r="H12" s="227"/>
    </row>
    <row r="13" spans="1:8" ht="15">
      <c r="A13" s="121" t="s">
        <v>142</v>
      </c>
      <c r="B13" s="224">
        <f>G8</f>
        <v>3767.6000000000058</v>
      </c>
      <c r="C13" s="224"/>
      <c r="D13" s="224">
        <v>8.7899999999999991</v>
      </c>
      <c r="E13" s="224"/>
      <c r="F13" s="228">
        <f>PRODUCT(D13,B13)</f>
        <v>33117.204000000049</v>
      </c>
      <c r="G13" s="228"/>
      <c r="H13" s="228"/>
    </row>
    <row r="14" spans="1:8" ht="45" customHeight="1">
      <c r="A14" s="225" t="s">
        <v>143</v>
      </c>
      <c r="B14" s="225"/>
      <c r="C14" s="225"/>
      <c r="D14" s="225"/>
      <c r="E14" s="225"/>
      <c r="F14" s="225"/>
      <c r="G14" s="225"/>
      <c r="H14" s="225"/>
    </row>
    <row r="15" spans="1:8">
      <c r="A15" s="226"/>
      <c r="B15" s="226"/>
      <c r="C15" s="226"/>
      <c r="D15" s="226"/>
      <c r="E15" s="226"/>
      <c r="F15" s="226"/>
      <c r="G15" s="226"/>
      <c r="H15" s="226"/>
    </row>
    <row r="16" spans="1:8" ht="15">
      <c r="A16" s="55" t="s">
        <v>144</v>
      </c>
      <c r="B16" s="224">
        <v>0</v>
      </c>
      <c r="C16" s="224"/>
      <c r="D16" s="224">
        <v>0</v>
      </c>
      <c r="E16" s="224"/>
      <c r="F16" s="224">
        <f>PRODUCT(D16,B16)</f>
        <v>0</v>
      </c>
      <c r="G16" s="224"/>
      <c r="H16" s="224"/>
    </row>
    <row r="17" spans="1:8" ht="15">
      <c r="A17" s="55" t="s">
        <v>145</v>
      </c>
      <c r="B17" s="224">
        <v>0</v>
      </c>
      <c r="C17" s="224"/>
      <c r="D17" s="224">
        <v>0</v>
      </c>
      <c r="E17" s="224"/>
      <c r="F17" s="224">
        <f>PRODUCT(D17,B17)</f>
        <v>0</v>
      </c>
      <c r="G17" s="224"/>
      <c r="H17" s="224"/>
    </row>
    <row r="18" spans="1:8" ht="15">
      <c r="A18" s="55" t="s">
        <v>146</v>
      </c>
      <c r="B18" s="224">
        <v>0</v>
      </c>
      <c r="C18" s="224"/>
      <c r="D18" s="224">
        <v>0</v>
      </c>
      <c r="E18" s="224"/>
      <c r="F18" s="224">
        <f>PRODUCT(D18,B18)</f>
        <v>0</v>
      </c>
      <c r="G18" s="224"/>
      <c r="H18" s="224"/>
    </row>
    <row r="19" spans="1:8" ht="15">
      <c r="A19" s="55" t="s">
        <v>147</v>
      </c>
      <c r="B19" s="224">
        <f>G8</f>
        <v>3767.6000000000058</v>
      </c>
      <c r="C19" s="224"/>
      <c r="D19" s="224">
        <v>2.61</v>
      </c>
      <c r="E19" s="224"/>
      <c r="F19" s="224">
        <f>PRODUCT(D19,B19)</f>
        <v>9833.4360000000142</v>
      </c>
      <c r="G19" s="224"/>
      <c r="H19" s="224"/>
    </row>
    <row r="20" spans="1:8" ht="18.75">
      <c r="A20" s="220" t="s">
        <v>148</v>
      </c>
      <c r="B20" s="221"/>
      <c r="C20" s="221"/>
      <c r="D20" s="221"/>
      <c r="E20" s="222"/>
      <c r="F20" s="223">
        <f>SUM(F11+F13+F16+F17+F18+F19)</f>
        <v>42973.640000000065</v>
      </c>
      <c r="G20" s="223"/>
      <c r="H20" s="223"/>
    </row>
    <row r="21" spans="1:8" ht="15">
      <c r="A21" s="173" t="s">
        <v>149</v>
      </c>
      <c r="B21" s="211"/>
      <c r="C21" s="211"/>
      <c r="D21" s="211"/>
      <c r="E21" s="174"/>
      <c r="F21" s="224">
        <f>PRODUCT(F20,0.07)</f>
        <v>3008.1548000000048</v>
      </c>
      <c r="G21" s="224"/>
      <c r="H21" s="224"/>
    </row>
    <row r="22" spans="1:8" ht="15">
      <c r="A22" s="173" t="s">
        <v>150</v>
      </c>
      <c r="B22" s="211"/>
      <c r="C22" s="211"/>
      <c r="D22" s="211"/>
      <c r="E22" s="174"/>
      <c r="F22" s="224">
        <v>208.26</v>
      </c>
      <c r="G22" s="224"/>
      <c r="H22" s="224"/>
    </row>
    <row r="23" spans="1:8" ht="15.75">
      <c r="A23" s="173" t="s">
        <v>151</v>
      </c>
      <c r="B23" s="211"/>
      <c r="C23" s="211"/>
      <c r="D23" s="211"/>
      <c r="E23" s="174"/>
      <c r="F23" s="212">
        <f>SUM(F21:H22)</f>
        <v>3216.414800000005</v>
      </c>
      <c r="G23" s="212"/>
      <c r="H23" s="212"/>
    </row>
    <row r="24" spans="1:8">
      <c r="A24" s="213" t="s">
        <v>152</v>
      </c>
      <c r="B24" s="214"/>
      <c r="C24" s="214"/>
      <c r="D24" s="214"/>
      <c r="E24" s="215"/>
      <c r="F24" s="219">
        <f>SUM(F20,F23)</f>
        <v>46190.054800000071</v>
      </c>
      <c r="G24" s="219"/>
      <c r="H24" s="219"/>
    </row>
    <row r="25" spans="1:8">
      <c r="A25" s="216"/>
      <c r="B25" s="217"/>
      <c r="C25" s="217"/>
      <c r="D25" s="217"/>
      <c r="E25" s="218"/>
      <c r="F25" s="219"/>
      <c r="G25" s="219"/>
      <c r="H25" s="219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A5" workbookViewId="0">
      <selection activeCell="F8" sqref="F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244"/>
      <c r="B1" s="152" t="s">
        <v>132</v>
      </c>
      <c r="C1" s="153"/>
      <c r="D1" s="153"/>
      <c r="E1" s="153"/>
      <c r="F1" s="232" t="s">
        <v>88</v>
      </c>
      <c r="G1" s="233"/>
      <c r="H1" s="234"/>
    </row>
    <row r="2" spans="1:8" ht="15.75" customHeight="1" thickBot="1">
      <c r="A2" s="245"/>
      <c r="B2" s="154"/>
      <c r="C2" s="155"/>
      <c r="D2" s="155"/>
      <c r="E2" s="155"/>
      <c r="F2" s="235"/>
      <c r="G2" s="236"/>
      <c r="H2" s="237"/>
    </row>
    <row r="3" spans="1:8" ht="15" customHeight="1">
      <c r="A3" s="245"/>
      <c r="B3" s="154"/>
      <c r="C3" s="155"/>
      <c r="D3" s="155"/>
      <c r="E3" s="155"/>
      <c r="F3" s="232" t="s">
        <v>89</v>
      </c>
      <c r="G3" s="233"/>
      <c r="H3" s="234"/>
    </row>
    <row r="4" spans="1:8" ht="15.75" customHeight="1" thickBot="1">
      <c r="A4" s="246"/>
      <c r="B4" s="156"/>
      <c r="C4" s="157"/>
      <c r="D4" s="157"/>
      <c r="E4" s="157"/>
      <c r="F4" s="238"/>
      <c r="G4" s="239"/>
      <c r="H4" s="240"/>
    </row>
    <row r="6" spans="1:8" ht="42.75" customHeight="1"/>
    <row r="7" spans="1:8" ht="42.75" customHeight="1">
      <c r="A7" s="18" t="s">
        <v>90</v>
      </c>
      <c r="B7" s="18" t="s">
        <v>133</v>
      </c>
      <c r="C7" s="18" t="s">
        <v>134</v>
      </c>
      <c r="D7" s="20" t="s">
        <v>91</v>
      </c>
      <c r="E7" s="18" t="s">
        <v>135</v>
      </c>
      <c r="F7" s="20" t="s">
        <v>92</v>
      </c>
      <c r="G7" s="20" t="s">
        <v>136</v>
      </c>
      <c r="H7" s="19" t="s">
        <v>93</v>
      </c>
    </row>
    <row r="8" spans="1:8" ht="15">
      <c r="A8" s="53"/>
      <c r="B8" s="21" t="s">
        <v>137</v>
      </c>
      <c r="C8" s="22">
        <v>172400</v>
      </c>
      <c r="D8" s="23">
        <v>44865</v>
      </c>
      <c r="E8" s="22">
        <v>172580</v>
      </c>
      <c r="F8" s="23">
        <v>44866</v>
      </c>
      <c r="G8" s="24">
        <f>E8-C8</f>
        <v>180</v>
      </c>
      <c r="H8" s="25"/>
    </row>
    <row r="9" spans="1:8" ht="36" customHeight="1">
      <c r="A9" s="26"/>
      <c r="B9" s="26"/>
      <c r="C9" s="26"/>
      <c r="D9" s="26"/>
      <c r="E9" s="26"/>
      <c r="F9" s="26"/>
      <c r="G9" s="26"/>
      <c r="H9" s="26"/>
    </row>
    <row r="10" spans="1:8" ht="15">
      <c r="A10" s="27"/>
      <c r="B10" s="247" t="s">
        <v>116</v>
      </c>
      <c r="C10" s="248"/>
      <c r="D10" s="249" t="s">
        <v>138</v>
      </c>
      <c r="E10" s="249"/>
      <c r="F10" s="247" t="s">
        <v>139</v>
      </c>
      <c r="G10" s="250"/>
      <c r="H10" s="248"/>
    </row>
    <row r="11" spans="1:8" ht="15">
      <c r="A11" s="28" t="s">
        <v>140</v>
      </c>
      <c r="B11" s="251"/>
      <c r="C11" s="251"/>
      <c r="D11" s="251"/>
      <c r="E11" s="251"/>
      <c r="F11" s="251">
        <v>23</v>
      </c>
      <c r="G11" s="251"/>
      <c r="H11" s="251"/>
    </row>
    <row r="12" spans="1:8" ht="21">
      <c r="A12" s="252" t="s">
        <v>141</v>
      </c>
      <c r="B12" s="252"/>
      <c r="C12" s="252"/>
      <c r="D12" s="252"/>
      <c r="E12" s="252"/>
      <c r="F12" s="252"/>
      <c r="G12" s="252"/>
      <c r="H12" s="252"/>
    </row>
    <row r="13" spans="1:8" ht="15">
      <c r="A13" s="28" t="s">
        <v>142</v>
      </c>
      <c r="B13" s="251">
        <f>G8</f>
        <v>180</v>
      </c>
      <c r="C13" s="251"/>
      <c r="D13" s="251">
        <v>8.5</v>
      </c>
      <c r="E13" s="251"/>
      <c r="F13" s="253">
        <f>PRODUCT(D13,B13)</f>
        <v>1530</v>
      </c>
      <c r="G13" s="253"/>
      <c r="H13" s="253"/>
    </row>
    <row r="14" spans="1:8" ht="45" customHeight="1">
      <c r="A14" s="254" t="s">
        <v>143</v>
      </c>
      <c r="B14" s="254"/>
      <c r="C14" s="254"/>
      <c r="D14" s="254"/>
      <c r="E14" s="254"/>
      <c r="F14" s="254"/>
      <c r="G14" s="254"/>
      <c r="H14" s="254"/>
    </row>
    <row r="15" spans="1:8">
      <c r="A15" s="255"/>
      <c r="B15" s="255"/>
      <c r="C15" s="255"/>
      <c r="D15" s="255"/>
      <c r="E15" s="255"/>
      <c r="F15" s="255"/>
      <c r="G15" s="255"/>
      <c r="H15" s="255"/>
    </row>
    <row r="16" spans="1:8" ht="15">
      <c r="A16" s="29" t="s">
        <v>144</v>
      </c>
      <c r="B16" s="251">
        <v>0</v>
      </c>
      <c r="C16" s="251"/>
      <c r="D16" s="251">
        <v>0</v>
      </c>
      <c r="E16" s="251"/>
      <c r="F16" s="251">
        <f>PRODUCT(D16,B16)</f>
        <v>0</v>
      </c>
      <c r="G16" s="251"/>
      <c r="H16" s="251"/>
    </row>
    <row r="17" spans="1:8" ht="15">
      <c r="A17" s="29" t="s">
        <v>145</v>
      </c>
      <c r="B17" s="251">
        <v>0</v>
      </c>
      <c r="C17" s="251"/>
      <c r="D17" s="251">
        <v>0</v>
      </c>
      <c r="E17" s="251"/>
      <c r="F17" s="251">
        <f>PRODUCT(D17,B17)</f>
        <v>0</v>
      </c>
      <c r="G17" s="251"/>
      <c r="H17" s="251"/>
    </row>
    <row r="18" spans="1:8" ht="15">
      <c r="A18" s="29" t="s">
        <v>146</v>
      </c>
      <c r="B18" s="251">
        <v>0</v>
      </c>
      <c r="C18" s="251"/>
      <c r="D18" s="251">
        <v>0</v>
      </c>
      <c r="E18" s="251"/>
      <c r="F18" s="251">
        <f>PRODUCT(D18,B18)</f>
        <v>0</v>
      </c>
      <c r="G18" s="251"/>
      <c r="H18" s="251"/>
    </row>
    <row r="19" spans="1:8" ht="15">
      <c r="A19" s="29" t="s">
        <v>147</v>
      </c>
      <c r="B19" s="251">
        <v>0</v>
      </c>
      <c r="C19" s="251"/>
      <c r="D19" s="267">
        <v>0</v>
      </c>
      <c r="E19" s="268"/>
      <c r="F19" s="267">
        <v>0</v>
      </c>
      <c r="G19" s="268"/>
      <c r="H19" s="53"/>
    </row>
    <row r="20" spans="1:8" ht="15">
      <c r="A20" s="29" t="s">
        <v>153</v>
      </c>
      <c r="B20" s="251">
        <f>G8</f>
        <v>180</v>
      </c>
      <c r="C20" s="251"/>
      <c r="D20" s="251">
        <v>2.54</v>
      </c>
      <c r="E20" s="251"/>
      <c r="F20" s="251">
        <f>PRODUCT(D20,B20)</f>
        <v>457.2</v>
      </c>
      <c r="G20" s="251"/>
      <c r="H20" s="251"/>
    </row>
    <row r="21" spans="1:8" ht="18.75">
      <c r="A21" s="269" t="s">
        <v>148</v>
      </c>
      <c r="B21" s="270"/>
      <c r="C21" s="270"/>
      <c r="D21" s="270"/>
      <c r="E21" s="271"/>
      <c r="F21" s="272">
        <f>SUM(F11+F13+F16+F17+F18+F20)</f>
        <v>2010.2</v>
      </c>
      <c r="G21" s="272"/>
      <c r="H21" s="272"/>
    </row>
    <row r="22" spans="1:8" ht="15">
      <c r="A22" s="256" t="s">
        <v>149</v>
      </c>
      <c r="B22" s="257"/>
      <c r="C22" s="257"/>
      <c r="D22" s="257"/>
      <c r="E22" s="258"/>
      <c r="F22" s="251">
        <f>PRODUCT(F21,0.07)</f>
        <v>140.71400000000003</v>
      </c>
      <c r="G22" s="251"/>
      <c r="H22" s="251"/>
    </row>
    <row r="23" spans="1:8" ht="15">
      <c r="A23" s="386" t="s">
        <v>150</v>
      </c>
      <c r="B23" s="387"/>
      <c r="C23" s="387"/>
      <c r="D23" s="387"/>
      <c r="E23" s="388"/>
      <c r="F23" s="251">
        <v>208.26</v>
      </c>
      <c r="G23" s="251"/>
      <c r="H23" s="251"/>
    </row>
    <row r="24" spans="1:8" ht="15.75">
      <c r="A24" s="256" t="s">
        <v>151</v>
      </c>
      <c r="B24" s="257"/>
      <c r="C24" s="257"/>
      <c r="D24" s="257"/>
      <c r="E24" s="258"/>
      <c r="F24" s="259">
        <f>SUM(F22:H23)</f>
        <v>348.97400000000005</v>
      </c>
      <c r="G24" s="259"/>
      <c r="H24" s="259"/>
    </row>
    <row r="25" spans="1:8">
      <c r="A25" s="260" t="s">
        <v>152</v>
      </c>
      <c r="B25" s="261"/>
      <c r="C25" s="261"/>
      <c r="D25" s="261"/>
      <c r="E25" s="262"/>
      <c r="F25" s="266">
        <f>SUM(F21,F24)</f>
        <v>2359.174</v>
      </c>
      <c r="G25" s="266"/>
      <c r="H25" s="266"/>
    </row>
    <row r="26" spans="1:8">
      <c r="A26" s="263"/>
      <c r="B26" s="264"/>
      <c r="C26" s="264"/>
      <c r="D26" s="264"/>
      <c r="E26" s="265"/>
      <c r="F26" s="266"/>
      <c r="G26" s="266"/>
      <c r="H26" s="266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topLeftCell="A7" workbookViewId="0">
      <selection activeCell="L12" sqref="L12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244"/>
      <c r="B1" s="152" t="s">
        <v>154</v>
      </c>
      <c r="C1" s="153"/>
      <c r="D1" s="153"/>
      <c r="E1" s="153"/>
      <c r="F1" s="274" t="s">
        <v>88</v>
      </c>
      <c r="G1" s="274"/>
      <c r="H1" s="274"/>
    </row>
    <row r="2" spans="1:8" ht="15.75" customHeight="1">
      <c r="A2" s="245"/>
      <c r="B2" s="154"/>
      <c r="C2" s="155"/>
      <c r="D2" s="155"/>
      <c r="E2" s="155"/>
      <c r="F2" s="274"/>
      <c r="G2" s="274"/>
      <c r="H2" s="274"/>
    </row>
    <row r="3" spans="1:8" ht="15" customHeight="1">
      <c r="A3" s="245"/>
      <c r="B3" s="154"/>
      <c r="C3" s="155"/>
      <c r="D3" s="155"/>
      <c r="E3" s="155"/>
      <c r="F3" s="274" t="s">
        <v>89</v>
      </c>
      <c r="G3" s="274"/>
      <c r="H3" s="274"/>
    </row>
    <row r="4" spans="1:8" ht="15.75" customHeight="1">
      <c r="A4" s="246"/>
      <c r="B4" s="156"/>
      <c r="C4" s="157"/>
      <c r="D4" s="157"/>
      <c r="E4" s="157"/>
      <c r="F4" s="274"/>
      <c r="G4" s="274"/>
      <c r="H4" s="274"/>
    </row>
    <row r="6" spans="1:8" ht="42.75" customHeight="1"/>
    <row r="7" spans="1:8" ht="42.75" customHeight="1">
      <c r="A7" s="18" t="s">
        <v>90</v>
      </c>
      <c r="B7" s="18" t="s">
        <v>133</v>
      </c>
      <c r="C7" s="18" t="s">
        <v>134</v>
      </c>
      <c r="D7" s="20" t="s">
        <v>91</v>
      </c>
      <c r="E7" s="18" t="s">
        <v>135</v>
      </c>
      <c r="F7" s="20" t="s">
        <v>92</v>
      </c>
      <c r="G7" s="20" t="s">
        <v>136</v>
      </c>
      <c r="H7" s="19" t="s">
        <v>93</v>
      </c>
    </row>
    <row r="8" spans="1:8" ht="15">
      <c r="A8" s="53"/>
      <c r="B8" s="21" t="s">
        <v>137</v>
      </c>
      <c r="C8" s="22">
        <v>2560</v>
      </c>
      <c r="D8" s="23">
        <v>44470</v>
      </c>
      <c r="E8" s="22">
        <v>2569</v>
      </c>
      <c r="F8" s="23">
        <v>44866</v>
      </c>
      <c r="G8" s="24">
        <f>E8-C8</f>
        <v>9</v>
      </c>
      <c r="H8" s="25"/>
    </row>
    <row r="9" spans="1:8" ht="36" customHeight="1">
      <c r="A9" s="26"/>
      <c r="B9" s="26"/>
      <c r="C9" s="26"/>
      <c r="D9" s="26"/>
      <c r="E9" s="26"/>
      <c r="F9" s="26"/>
      <c r="G9" s="26"/>
      <c r="H9" s="26"/>
    </row>
    <row r="10" spans="1:8" ht="15">
      <c r="A10" s="27"/>
      <c r="B10" s="247" t="s">
        <v>116</v>
      </c>
      <c r="C10" s="248"/>
      <c r="D10" s="249" t="s">
        <v>138</v>
      </c>
      <c r="E10" s="249"/>
      <c r="F10" s="247" t="s">
        <v>139</v>
      </c>
      <c r="G10" s="250"/>
      <c r="H10" s="248"/>
    </row>
    <row r="11" spans="1:8" ht="15">
      <c r="A11" s="28" t="s">
        <v>140</v>
      </c>
      <c r="B11" s="251"/>
      <c r="C11" s="251"/>
      <c r="D11" s="251"/>
      <c r="E11" s="251"/>
      <c r="F11" s="251">
        <v>15</v>
      </c>
      <c r="G11" s="251"/>
      <c r="H11" s="251"/>
    </row>
    <row r="12" spans="1:8" ht="21">
      <c r="A12" s="252" t="s">
        <v>141</v>
      </c>
      <c r="B12" s="252"/>
      <c r="C12" s="252"/>
      <c r="D12" s="252"/>
      <c r="E12" s="252"/>
      <c r="F12" s="252"/>
      <c r="G12" s="252"/>
      <c r="H12" s="252"/>
    </row>
    <row r="13" spans="1:8" ht="15">
      <c r="A13" s="28" t="s">
        <v>155</v>
      </c>
      <c r="B13" s="251">
        <f>G8</f>
        <v>9</v>
      </c>
      <c r="C13" s="251"/>
      <c r="D13" s="251">
        <v>16.48</v>
      </c>
      <c r="E13" s="251"/>
      <c r="F13" s="253">
        <f>PRODUCT(D13,B13)</f>
        <v>148.32</v>
      </c>
      <c r="G13" s="253"/>
      <c r="H13" s="253"/>
    </row>
    <row r="14" spans="1:8" ht="15">
      <c r="A14" s="28" t="s">
        <v>156</v>
      </c>
      <c r="B14" s="267"/>
      <c r="C14" s="268"/>
      <c r="D14" s="267"/>
      <c r="E14" s="268"/>
      <c r="F14" s="267"/>
      <c r="G14" s="268"/>
      <c r="H14" s="36"/>
    </row>
    <row r="15" spans="1:8" ht="15">
      <c r="A15" s="28" t="s">
        <v>157</v>
      </c>
      <c r="B15" s="267"/>
      <c r="C15" s="268"/>
      <c r="D15" s="267"/>
      <c r="E15" s="268"/>
      <c r="F15" s="267"/>
      <c r="G15" s="268"/>
      <c r="H15" s="36"/>
    </row>
    <row r="16" spans="1:8" ht="15">
      <c r="A16" s="28" t="s">
        <v>158</v>
      </c>
      <c r="B16" s="267"/>
      <c r="C16" s="268"/>
      <c r="D16" s="267"/>
      <c r="E16" s="268"/>
      <c r="F16" s="267"/>
      <c r="G16" s="268"/>
      <c r="H16" s="36"/>
    </row>
    <row r="17" spans="1:8" ht="15">
      <c r="A17" s="28" t="s">
        <v>159</v>
      </c>
      <c r="B17" s="267"/>
      <c r="C17" s="268"/>
      <c r="D17" s="267"/>
      <c r="E17" s="268"/>
      <c r="F17" s="267"/>
      <c r="G17" s="268"/>
      <c r="H17" s="36"/>
    </row>
    <row r="18" spans="1:8" ht="45" customHeight="1">
      <c r="A18" s="254" t="s">
        <v>143</v>
      </c>
      <c r="B18" s="254"/>
      <c r="C18" s="254"/>
      <c r="D18" s="254"/>
      <c r="E18" s="254"/>
      <c r="F18" s="254"/>
      <c r="G18" s="254"/>
      <c r="H18" s="254"/>
    </row>
    <row r="19" spans="1:8">
      <c r="A19" s="255"/>
      <c r="B19" s="255"/>
      <c r="C19" s="255"/>
      <c r="D19" s="255"/>
      <c r="E19" s="255"/>
      <c r="F19" s="255"/>
      <c r="G19" s="255"/>
      <c r="H19" s="255"/>
    </row>
    <row r="20" spans="1:8" ht="15">
      <c r="A20" s="29" t="s">
        <v>144</v>
      </c>
      <c r="B20" s="251">
        <v>0</v>
      </c>
      <c r="C20" s="251"/>
      <c r="D20" s="251">
        <v>0</v>
      </c>
      <c r="E20" s="251"/>
      <c r="F20" s="251">
        <f>PRODUCT(D20,B20)</f>
        <v>0</v>
      </c>
      <c r="G20" s="251"/>
      <c r="H20" s="251"/>
    </row>
    <row r="21" spans="1:8" ht="15">
      <c r="A21" s="29" t="s">
        <v>145</v>
      </c>
      <c r="B21" s="251">
        <v>0</v>
      </c>
      <c r="C21" s="251"/>
      <c r="D21" s="251">
        <v>0</v>
      </c>
      <c r="E21" s="251"/>
      <c r="F21" s="251">
        <f>PRODUCT(D21,B21)</f>
        <v>0</v>
      </c>
      <c r="G21" s="251"/>
      <c r="H21" s="251"/>
    </row>
    <row r="22" spans="1:8" ht="15">
      <c r="A22" s="29" t="s">
        <v>146</v>
      </c>
      <c r="B22" s="251">
        <v>0</v>
      </c>
      <c r="C22" s="251"/>
      <c r="D22" s="251">
        <v>0</v>
      </c>
      <c r="E22" s="251"/>
      <c r="F22" s="251">
        <f>PRODUCT(D22,B22)</f>
        <v>0</v>
      </c>
      <c r="G22" s="251"/>
      <c r="H22" s="251"/>
    </row>
    <row r="23" spans="1:8" ht="15">
      <c r="A23" s="29" t="s">
        <v>147</v>
      </c>
      <c r="B23" s="251">
        <f>G8</f>
        <v>9</v>
      </c>
      <c r="C23" s="251"/>
      <c r="D23" s="251">
        <v>0</v>
      </c>
      <c r="E23" s="251"/>
      <c r="F23" s="251">
        <f>PRODUCT(D23,B23)</f>
        <v>0</v>
      </c>
      <c r="G23" s="251"/>
      <c r="H23" s="251"/>
    </row>
    <row r="24" spans="1:8" ht="15">
      <c r="A24" s="29" t="s">
        <v>153</v>
      </c>
      <c r="B24" s="267">
        <v>0</v>
      </c>
      <c r="C24" s="268"/>
      <c r="D24" s="267">
        <v>2.54</v>
      </c>
      <c r="E24" s="268"/>
      <c r="F24" s="267">
        <f>B24*D24</f>
        <v>0</v>
      </c>
      <c r="G24" s="268"/>
      <c r="H24" s="53"/>
    </row>
    <row r="25" spans="1:8" ht="18.75">
      <c r="A25" s="269" t="s">
        <v>148</v>
      </c>
      <c r="B25" s="270"/>
      <c r="C25" s="270"/>
      <c r="D25" s="270"/>
      <c r="E25" s="271"/>
      <c r="F25" s="273">
        <f>SUM(F11+F13+F20+F21+F22+F23)</f>
        <v>163.32</v>
      </c>
      <c r="G25" s="272"/>
      <c r="H25" s="272"/>
    </row>
    <row r="26" spans="1:8" ht="15">
      <c r="A26" s="256" t="s">
        <v>149</v>
      </c>
      <c r="B26" s="257"/>
      <c r="C26" s="257"/>
      <c r="D26" s="257"/>
      <c r="E26" s="258"/>
      <c r="F26" s="251">
        <v>63.63</v>
      </c>
      <c r="G26" s="251"/>
      <c r="H26" s="251"/>
    </row>
    <row r="27" spans="1:8" ht="15">
      <c r="A27" s="386" t="s">
        <v>150</v>
      </c>
      <c r="B27" s="387"/>
      <c r="C27" s="387"/>
      <c r="D27" s="387"/>
      <c r="E27" s="388"/>
      <c r="F27" s="251">
        <v>2.4300000000000002</v>
      </c>
      <c r="G27" s="251"/>
      <c r="H27" s="251"/>
    </row>
    <row r="28" spans="1:8" ht="15.75">
      <c r="A28" s="256" t="s">
        <v>151</v>
      </c>
      <c r="B28" s="257"/>
      <c r="C28" s="257"/>
      <c r="D28" s="257"/>
      <c r="E28" s="258"/>
      <c r="F28" s="259">
        <f>SUM(F26:H27)</f>
        <v>66.06</v>
      </c>
      <c r="G28" s="259"/>
      <c r="H28" s="259"/>
    </row>
    <row r="29" spans="1:8">
      <c r="A29" s="260" t="s">
        <v>152</v>
      </c>
      <c r="B29" s="261"/>
      <c r="C29" s="261"/>
      <c r="D29" s="261"/>
      <c r="E29" s="262"/>
      <c r="F29" s="266">
        <f>SUM(F25,F28)</f>
        <v>229.38</v>
      </c>
      <c r="G29" s="266"/>
      <c r="H29" s="266"/>
    </row>
    <row r="30" spans="1:8">
      <c r="A30" s="263"/>
      <c r="B30" s="264"/>
      <c r="C30" s="264"/>
      <c r="D30" s="264"/>
      <c r="E30" s="265"/>
      <c r="F30" s="266"/>
      <c r="G30" s="266"/>
      <c r="H30" s="266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L26" sqref="L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275" t="s">
        <v>160</v>
      </c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7"/>
    </row>
    <row r="7" spans="2:14">
      <c r="C7" s="31" t="s">
        <v>161</v>
      </c>
      <c r="D7" s="31" t="s">
        <v>162</v>
      </c>
      <c r="E7" s="31" t="s">
        <v>163</v>
      </c>
      <c r="F7" s="31" t="s">
        <v>164</v>
      </c>
      <c r="G7" s="31" t="s">
        <v>165</v>
      </c>
      <c r="H7" s="31" t="s">
        <v>166</v>
      </c>
      <c r="I7" s="31" t="s">
        <v>167</v>
      </c>
      <c r="J7" s="31" t="s">
        <v>168</v>
      </c>
      <c r="K7" s="31" t="s">
        <v>169</v>
      </c>
      <c r="L7" s="31" t="s">
        <v>170</v>
      </c>
      <c r="M7" s="31" t="s">
        <v>171</v>
      </c>
      <c r="N7" s="31" t="s">
        <v>172</v>
      </c>
    </row>
    <row r="8" spans="2:14" ht="32.25" customHeight="1">
      <c r="B8" s="32" t="s">
        <v>173</v>
      </c>
      <c r="C8" s="281"/>
      <c r="D8" s="282"/>
      <c r="E8" s="282"/>
      <c r="F8" s="282"/>
      <c r="G8" s="282"/>
      <c r="H8" s="282"/>
      <c r="I8" s="282"/>
      <c r="J8" s="282"/>
      <c r="K8" s="283"/>
      <c r="L8" s="30">
        <v>544520</v>
      </c>
      <c r="M8" s="30">
        <v>561765</v>
      </c>
      <c r="N8" s="30">
        <v>546771</v>
      </c>
    </row>
    <row r="9" spans="2:14" ht="33" customHeight="1">
      <c r="B9" s="33" t="s">
        <v>174</v>
      </c>
      <c r="C9" s="30">
        <v>564170</v>
      </c>
      <c r="D9" s="30">
        <v>532072</v>
      </c>
      <c r="E9" s="30">
        <v>405239</v>
      </c>
      <c r="F9" s="30">
        <v>469130</v>
      </c>
      <c r="G9" s="30">
        <v>543877</v>
      </c>
      <c r="H9" s="30">
        <v>605744</v>
      </c>
      <c r="I9" s="30">
        <v>722083</v>
      </c>
      <c r="J9" s="30">
        <v>802210</v>
      </c>
      <c r="K9" s="30">
        <v>762933</v>
      </c>
      <c r="L9" s="30">
        <v>670848</v>
      </c>
      <c r="M9" s="30">
        <v>626451</v>
      </c>
      <c r="N9" s="30">
        <v>557392</v>
      </c>
    </row>
    <row r="10" spans="2:14" ht="33" customHeight="1">
      <c r="B10" s="37" t="s">
        <v>175</v>
      </c>
      <c r="C10" s="30">
        <v>520977</v>
      </c>
      <c r="D10" s="30">
        <v>541271</v>
      </c>
      <c r="E10" s="30">
        <v>508392</v>
      </c>
      <c r="F10" s="30">
        <v>659200</v>
      </c>
      <c r="G10" s="30">
        <v>705703</v>
      </c>
      <c r="H10" s="30">
        <v>784214</v>
      </c>
      <c r="I10" s="30">
        <v>823726</v>
      </c>
      <c r="J10" s="30">
        <v>913736</v>
      </c>
      <c r="K10" s="30">
        <v>831734</v>
      </c>
      <c r="L10" s="30">
        <v>794243</v>
      </c>
      <c r="M10" s="30">
        <v>688127</v>
      </c>
      <c r="N10" s="30">
        <v>577067</v>
      </c>
    </row>
    <row r="11" spans="2:14" ht="29.25" customHeight="1">
      <c r="B11" s="34" t="s">
        <v>176</v>
      </c>
      <c r="C11" s="30">
        <v>586355</v>
      </c>
      <c r="D11" s="30">
        <v>563735</v>
      </c>
      <c r="E11" s="30">
        <v>512313</v>
      </c>
      <c r="F11" s="30">
        <v>573440</v>
      </c>
      <c r="G11" s="30">
        <v>535115</v>
      </c>
      <c r="H11" s="30">
        <v>570139</v>
      </c>
      <c r="I11" s="30">
        <v>669302</v>
      </c>
      <c r="J11" s="30">
        <v>704714</v>
      </c>
      <c r="K11" s="30">
        <v>682717</v>
      </c>
      <c r="L11" s="30">
        <v>581239</v>
      </c>
      <c r="M11" s="30">
        <v>438561</v>
      </c>
      <c r="N11" s="30">
        <v>400672</v>
      </c>
    </row>
    <row r="12" spans="2:14" ht="33.75" customHeight="1">
      <c r="B12" s="38" t="s">
        <v>177</v>
      </c>
      <c r="C12" s="30">
        <v>388363</v>
      </c>
      <c r="D12" s="30">
        <v>407737</v>
      </c>
      <c r="E12" s="30">
        <v>392102</v>
      </c>
      <c r="F12" s="30">
        <v>454554</v>
      </c>
      <c r="G12" s="30">
        <v>448580</v>
      </c>
      <c r="H12" s="30">
        <v>535391</v>
      </c>
      <c r="I12" s="30">
        <v>549301</v>
      </c>
      <c r="J12" s="30">
        <v>576078</v>
      </c>
      <c r="K12" s="30">
        <v>612675</v>
      </c>
      <c r="L12" s="30">
        <v>542640</v>
      </c>
      <c r="M12" s="30">
        <v>507495</v>
      </c>
      <c r="N12" s="30">
        <v>444826</v>
      </c>
    </row>
    <row r="13" spans="2:14" ht="33.75" customHeight="1">
      <c r="B13" s="51" t="s">
        <v>178</v>
      </c>
      <c r="C13" s="30">
        <v>417018</v>
      </c>
      <c r="D13" s="30">
        <v>434912</v>
      </c>
      <c r="E13" s="30">
        <v>278008</v>
      </c>
      <c r="F13" s="30">
        <v>90895</v>
      </c>
      <c r="G13" s="30">
        <v>70143</v>
      </c>
      <c r="H13" s="30">
        <v>76577</v>
      </c>
      <c r="I13" s="30">
        <v>238549</v>
      </c>
      <c r="J13" s="30">
        <v>371235</v>
      </c>
      <c r="K13" s="30">
        <v>295161</v>
      </c>
      <c r="L13" s="30">
        <v>318184</v>
      </c>
      <c r="M13" s="30">
        <v>297355</v>
      </c>
      <c r="N13" s="30">
        <v>260661</v>
      </c>
    </row>
    <row r="14" spans="2:14" ht="33.75" customHeight="1">
      <c r="B14" s="52" t="s">
        <v>179</v>
      </c>
      <c r="C14" s="30">
        <v>239911</v>
      </c>
      <c r="D14" s="30">
        <v>247692</v>
      </c>
      <c r="E14" s="30">
        <v>242350</v>
      </c>
      <c r="F14" s="30">
        <v>282564</v>
      </c>
      <c r="G14" s="30">
        <v>272836</v>
      </c>
      <c r="H14" s="30">
        <v>362809</v>
      </c>
      <c r="I14" s="30">
        <v>454598</v>
      </c>
      <c r="J14" s="30">
        <v>470109</v>
      </c>
      <c r="K14" s="30">
        <v>458455</v>
      </c>
      <c r="L14" s="30">
        <v>444199</v>
      </c>
      <c r="M14" s="30">
        <v>374528</v>
      </c>
      <c r="N14" s="30">
        <v>256419</v>
      </c>
    </row>
    <row r="15" spans="2:14" ht="33.75" customHeight="1">
      <c r="B15" s="54" t="s">
        <v>180</v>
      </c>
      <c r="C15" s="30">
        <v>206479</v>
      </c>
      <c r="D15" s="30">
        <v>244783</v>
      </c>
      <c r="E15" s="30">
        <v>316387</v>
      </c>
      <c r="F15" s="30">
        <v>353545</v>
      </c>
      <c r="G15" s="30">
        <v>452426</v>
      </c>
      <c r="H15" s="30">
        <v>581939</v>
      </c>
      <c r="I15" s="30">
        <v>601486</v>
      </c>
      <c r="J15" s="30">
        <v>639044</v>
      </c>
      <c r="K15" s="30">
        <v>590677</v>
      </c>
      <c r="L15" s="30">
        <v>522652</v>
      </c>
      <c r="M15" s="30"/>
      <c r="N15" s="30"/>
    </row>
    <row r="16" spans="2:14" ht="21" thickBot="1">
      <c r="C16" s="278" t="s">
        <v>181</v>
      </c>
      <c r="D16" s="279"/>
      <c r="E16" s="279"/>
      <c r="F16" s="279"/>
      <c r="G16" s="279"/>
      <c r="H16" s="279"/>
      <c r="I16" s="279"/>
      <c r="J16" s="279"/>
      <c r="K16" s="279"/>
      <c r="L16" s="279"/>
      <c r="M16" s="279"/>
      <c r="N16" s="280"/>
    </row>
    <row r="18" spans="2:14">
      <c r="C18" s="31" t="s">
        <v>161</v>
      </c>
      <c r="D18" s="31" t="s">
        <v>162</v>
      </c>
      <c r="E18" s="31" t="s">
        <v>163</v>
      </c>
      <c r="F18" s="31" t="s">
        <v>164</v>
      </c>
      <c r="G18" s="31" t="s">
        <v>165</v>
      </c>
      <c r="H18" s="31" t="s">
        <v>166</v>
      </c>
      <c r="I18" s="31" t="s">
        <v>167</v>
      </c>
      <c r="J18" s="31" t="s">
        <v>168</v>
      </c>
      <c r="K18" s="31" t="s">
        <v>169</v>
      </c>
      <c r="L18" s="31" t="s">
        <v>170</v>
      </c>
      <c r="M18" s="31" t="s">
        <v>171</v>
      </c>
      <c r="N18" s="31" t="s">
        <v>172</v>
      </c>
    </row>
    <row r="19" spans="2:14" ht="28.5" customHeight="1">
      <c r="B19" s="32" t="s">
        <v>173</v>
      </c>
      <c r="C19" s="281"/>
      <c r="D19" s="282"/>
      <c r="E19" s="282"/>
      <c r="F19" s="282"/>
      <c r="G19" s="282"/>
      <c r="H19" s="282"/>
      <c r="I19" s="282"/>
      <c r="J19" s="282"/>
      <c r="K19" s="283"/>
      <c r="L19" s="30">
        <v>527344.76260000002</v>
      </c>
      <c r="M19" s="30">
        <v>542887.95270000002</v>
      </c>
      <c r="N19" s="30">
        <v>530789.10450000002</v>
      </c>
    </row>
    <row r="20" spans="2:14" ht="26.25" customHeight="1">
      <c r="B20" s="33" t="s">
        <v>174</v>
      </c>
      <c r="C20" s="30">
        <v>577599.26069999998</v>
      </c>
      <c r="D20" s="30">
        <v>549500.304</v>
      </c>
      <c r="E20" s="30">
        <v>437038.73300000001</v>
      </c>
      <c r="F20" s="30">
        <v>498381.28909999994</v>
      </c>
      <c r="G20" s="30">
        <v>567710.58700000006</v>
      </c>
      <c r="H20" s="30">
        <v>626665.41229999997</v>
      </c>
      <c r="I20" s="30">
        <v>732996.54229999997</v>
      </c>
      <c r="J20" s="30">
        <v>807380.11509999994</v>
      </c>
      <c r="K20" s="30">
        <v>765103.69790000003</v>
      </c>
      <c r="L20" s="30">
        <v>674808.60869999998</v>
      </c>
      <c r="M20" s="30">
        <v>636029.23249999993</v>
      </c>
      <c r="N20" s="30">
        <v>575999.90890000004</v>
      </c>
    </row>
    <row r="21" spans="2:14" ht="28.5" customHeight="1">
      <c r="B21" s="37" t="s">
        <v>175</v>
      </c>
      <c r="C21" s="30">
        <v>565777.06310000003</v>
      </c>
      <c r="D21" s="30">
        <v>589465.87030000007</v>
      </c>
      <c r="E21" s="30">
        <v>559348.96649999998</v>
      </c>
      <c r="F21" s="30">
        <v>706566.82740000007</v>
      </c>
      <c r="G21" s="30">
        <v>750048.77370000002</v>
      </c>
      <c r="H21" s="30">
        <v>823657.03619999997</v>
      </c>
      <c r="I21" s="30">
        <v>863911.20730000001</v>
      </c>
      <c r="J21" s="30">
        <v>948371.73810000008</v>
      </c>
      <c r="K21" s="30">
        <v>870086.49040000001</v>
      </c>
      <c r="L21" s="30">
        <v>828237.32940000005</v>
      </c>
      <c r="M21" s="30">
        <v>728226.36450000003</v>
      </c>
      <c r="N21" s="30">
        <v>620794.43210000009</v>
      </c>
    </row>
    <row r="22" spans="2:14" ht="30" customHeight="1">
      <c r="B22" s="34" t="s">
        <v>176</v>
      </c>
      <c r="C22" s="30">
        <v>629018.45440000005</v>
      </c>
      <c r="D22" s="30">
        <v>609232.05440000002</v>
      </c>
      <c r="E22" s="30">
        <v>564099.54039999994</v>
      </c>
      <c r="F22" s="30">
        <v>625412.74040000001</v>
      </c>
      <c r="G22" s="30">
        <v>591310.6496</v>
      </c>
      <c r="H22" s="30">
        <v>627578.14100000006</v>
      </c>
      <c r="I22" s="30">
        <v>723790.51</v>
      </c>
      <c r="J22" s="30">
        <v>756208.25020000001</v>
      </c>
      <c r="K22" s="30">
        <v>734211.55240000004</v>
      </c>
      <c r="L22" s="30">
        <v>634725.01650000003</v>
      </c>
      <c r="M22" s="30">
        <v>492313.53600000002</v>
      </c>
      <c r="N22" s="30">
        <v>430486.08379999996</v>
      </c>
    </row>
    <row r="23" spans="2:14" ht="32.25" customHeight="1">
      <c r="B23" s="38" t="s">
        <v>177</v>
      </c>
      <c r="C23" s="30">
        <v>417767.50199999998</v>
      </c>
      <c r="D23" s="30">
        <v>437511.45040000003</v>
      </c>
      <c r="E23" s="30">
        <v>422948.91399999999</v>
      </c>
      <c r="F23" s="30">
        <v>483026.4265</v>
      </c>
      <c r="G23" s="30">
        <v>494466.65997999994</v>
      </c>
      <c r="H23" s="30">
        <v>589026.66199500009</v>
      </c>
      <c r="I23" s="30">
        <v>597445.77220000012</v>
      </c>
      <c r="J23" s="30">
        <v>624719.21129500004</v>
      </c>
      <c r="K23" s="30">
        <v>662255.2733900001</v>
      </c>
      <c r="L23" s="30">
        <v>572138.68634500005</v>
      </c>
      <c r="M23" s="30">
        <v>536725.71495000005</v>
      </c>
      <c r="N23" s="30">
        <v>473017.45039999997</v>
      </c>
    </row>
    <row r="24" spans="2:14" ht="32.25" customHeight="1">
      <c r="B24" s="51" t="s">
        <v>178</v>
      </c>
      <c r="C24" s="30">
        <v>445089.4596</v>
      </c>
      <c r="D24" s="30">
        <v>464838.33001999994</v>
      </c>
      <c r="E24" s="30">
        <v>310234.47700000001</v>
      </c>
      <c r="F24" s="30">
        <v>132086.1189</v>
      </c>
      <c r="G24" s="30">
        <v>81934.237999999998</v>
      </c>
      <c r="H24" s="30">
        <v>88016.122900000017</v>
      </c>
      <c r="I24" s="30">
        <v>290744.43883500004</v>
      </c>
      <c r="J24" s="30">
        <v>372885.53719999996</v>
      </c>
      <c r="K24" s="30">
        <v>328998.32740000001</v>
      </c>
      <c r="L24" s="30">
        <v>350713.83590000001</v>
      </c>
      <c r="M24" s="30">
        <v>329624.08839999995</v>
      </c>
      <c r="N24" s="30">
        <v>294931.19809999998</v>
      </c>
    </row>
    <row r="25" spans="2:14" ht="32.25" customHeight="1">
      <c r="B25" s="52" t="s">
        <v>179</v>
      </c>
      <c r="C25" s="30">
        <v>274561.56439999997</v>
      </c>
      <c r="D25" s="30">
        <v>283692.47039999999</v>
      </c>
      <c r="E25" s="30">
        <v>278888.13439999998</v>
      </c>
      <c r="F25" s="30">
        <v>318224.91959999996</v>
      </c>
      <c r="G25" s="30">
        <v>309500.67789999995</v>
      </c>
      <c r="H25" s="30">
        <v>396582.05849999998</v>
      </c>
      <c r="I25" s="30">
        <v>498105.10527500004</v>
      </c>
      <c r="J25" s="30">
        <v>506423.32253</v>
      </c>
      <c r="K25" s="30">
        <v>486424.27340000001</v>
      </c>
      <c r="L25" s="30">
        <v>473503.95079999999</v>
      </c>
      <c r="M25" s="30">
        <v>403992.3469</v>
      </c>
      <c r="N25" s="30">
        <v>289205.48600000003</v>
      </c>
    </row>
    <row r="26" spans="2:14" ht="32.25" customHeight="1">
      <c r="B26" s="54" t="s">
        <v>180</v>
      </c>
      <c r="C26" s="30">
        <v>240995.18219999998</v>
      </c>
      <c r="D26" s="30">
        <v>278597.25799999997</v>
      </c>
      <c r="E26" s="30">
        <v>348747.65639999998</v>
      </c>
      <c r="F26" s="30">
        <v>387220.18520000001</v>
      </c>
      <c r="G26" s="30">
        <v>491171.98007499997</v>
      </c>
      <c r="H26" s="30">
        <v>632956.33517999994</v>
      </c>
      <c r="I26" s="30">
        <v>654067.56801500008</v>
      </c>
      <c r="J26" s="30">
        <v>689650.40789999999</v>
      </c>
      <c r="K26" s="30">
        <v>638754.70409500005</v>
      </c>
      <c r="L26" s="12">
        <v>550972.29053</v>
      </c>
      <c r="M26" s="30"/>
      <c r="N26" s="30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L26" sqref="L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275" t="s">
        <v>182</v>
      </c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5"/>
    </row>
    <row r="6" spans="2:14" ht="21" customHeight="1"/>
    <row r="7" spans="2:14">
      <c r="C7" s="31" t="s">
        <v>161</v>
      </c>
      <c r="D7" s="31" t="s">
        <v>162</v>
      </c>
      <c r="E7" s="31" t="s">
        <v>163</v>
      </c>
      <c r="F7" s="31" t="s">
        <v>164</v>
      </c>
      <c r="G7" s="31" t="s">
        <v>165</v>
      </c>
      <c r="H7" s="31" t="s">
        <v>166</v>
      </c>
      <c r="I7" s="31" t="s">
        <v>167</v>
      </c>
      <c r="J7" s="31" t="s">
        <v>168</v>
      </c>
      <c r="K7" s="31" t="s">
        <v>169</v>
      </c>
      <c r="L7" s="31" t="s">
        <v>170</v>
      </c>
      <c r="M7" s="31" t="s">
        <v>171</v>
      </c>
      <c r="N7" s="31" t="s">
        <v>172</v>
      </c>
    </row>
    <row r="8" spans="2:14" ht="33" customHeight="1">
      <c r="B8" s="32" t="s">
        <v>173</v>
      </c>
      <c r="C8" s="281"/>
      <c r="D8" s="282"/>
      <c r="E8" s="282"/>
      <c r="F8" s="282"/>
      <c r="G8" s="282"/>
      <c r="H8" s="282"/>
      <c r="I8" s="282"/>
      <c r="J8" s="282"/>
      <c r="K8" s="283"/>
      <c r="L8" s="30"/>
      <c r="M8" s="30">
        <v>3298</v>
      </c>
      <c r="N8" s="30">
        <v>3866</v>
      </c>
    </row>
    <row r="9" spans="2:14" ht="39" customHeight="1">
      <c r="B9" s="33" t="s">
        <v>174</v>
      </c>
      <c r="C9" s="30">
        <v>4094</v>
      </c>
      <c r="D9" s="30">
        <v>3691</v>
      </c>
      <c r="E9" s="30">
        <v>3917</v>
      </c>
      <c r="F9" s="30">
        <v>4785</v>
      </c>
      <c r="G9" s="30">
        <v>5213</v>
      </c>
      <c r="H9" s="30">
        <v>4103</v>
      </c>
      <c r="I9" s="30">
        <v>5622</v>
      </c>
      <c r="J9" s="30">
        <v>6568</v>
      </c>
      <c r="K9" s="30">
        <v>4813</v>
      </c>
      <c r="L9" s="30">
        <v>6088</v>
      </c>
      <c r="M9" s="30">
        <v>4819</v>
      </c>
      <c r="N9" s="30">
        <v>5252</v>
      </c>
    </row>
    <row r="10" spans="2:14" ht="36" customHeight="1">
      <c r="B10" s="37" t="s">
        <v>175</v>
      </c>
      <c r="C10" s="30">
        <v>5132</v>
      </c>
      <c r="D10" s="30">
        <v>4589</v>
      </c>
      <c r="E10" s="30">
        <v>6190</v>
      </c>
      <c r="F10" s="30">
        <v>6170</v>
      </c>
      <c r="G10" s="30">
        <v>5980</v>
      </c>
      <c r="H10" s="30">
        <v>6097.8</v>
      </c>
      <c r="I10" s="30">
        <v>7050</v>
      </c>
      <c r="J10" s="30">
        <v>8050</v>
      </c>
      <c r="K10" s="30">
        <v>6678</v>
      </c>
      <c r="L10" s="30">
        <v>6859</v>
      </c>
      <c r="M10" s="30">
        <v>5960</v>
      </c>
      <c r="N10" s="30">
        <v>5210.0999999999985</v>
      </c>
    </row>
    <row r="11" spans="2:14" ht="36.75" customHeight="1">
      <c r="B11" s="34" t="s">
        <v>176</v>
      </c>
      <c r="C11" s="30">
        <v>5598.9000000000015</v>
      </c>
      <c r="D11" s="30">
        <v>5297</v>
      </c>
      <c r="E11" s="30">
        <v>5857</v>
      </c>
      <c r="F11" s="30">
        <v>6284</v>
      </c>
      <c r="G11" s="30">
        <v>5500</v>
      </c>
      <c r="H11" s="30">
        <v>5583.8000000000029</v>
      </c>
      <c r="I11" s="30">
        <v>6266.8999999999942</v>
      </c>
      <c r="J11" s="30">
        <v>6178.3000000000029</v>
      </c>
      <c r="K11" s="30">
        <v>6144.5</v>
      </c>
      <c r="L11" s="30">
        <v>6117.5</v>
      </c>
      <c r="M11" s="30">
        <v>5023</v>
      </c>
      <c r="N11" s="30">
        <v>4767.8</v>
      </c>
    </row>
    <row r="12" spans="2:14" ht="33.75" customHeight="1">
      <c r="B12" s="38" t="s">
        <v>177</v>
      </c>
      <c r="C12" s="30">
        <v>5044.8</v>
      </c>
      <c r="D12" s="30">
        <v>5061</v>
      </c>
      <c r="E12" s="30">
        <v>5504</v>
      </c>
      <c r="F12" s="30">
        <v>5372.2999999999993</v>
      </c>
      <c r="G12" s="30">
        <v>4507.2999999999993</v>
      </c>
      <c r="H12" s="30">
        <v>5269.2000000000044</v>
      </c>
      <c r="I12" s="30">
        <v>5509.1999999999971</v>
      </c>
      <c r="J12" s="30">
        <v>5601</v>
      </c>
      <c r="K12" s="30">
        <v>5387</v>
      </c>
      <c r="L12" s="30">
        <v>6051</v>
      </c>
      <c r="M12" s="30">
        <v>5532</v>
      </c>
      <c r="N12" s="30">
        <v>5565.1999999999971</v>
      </c>
    </row>
    <row r="13" spans="2:14" ht="33.75" customHeight="1">
      <c r="B13" s="51" t="s">
        <v>178</v>
      </c>
      <c r="C13" s="30">
        <v>5763.4000000000087</v>
      </c>
      <c r="D13" s="30">
        <v>5632.3999999999942</v>
      </c>
      <c r="E13" s="30">
        <v>3058.6999999999971</v>
      </c>
      <c r="F13" s="30">
        <v>714.5</v>
      </c>
      <c r="G13" s="30">
        <v>439.80000000000291</v>
      </c>
      <c r="H13" s="30">
        <v>1383.3999999999942</v>
      </c>
      <c r="I13" s="30">
        <v>3491.8000000000029</v>
      </c>
      <c r="J13" s="30">
        <v>2618.6999999999971</v>
      </c>
      <c r="K13" s="30">
        <v>1829.7000000000116</v>
      </c>
      <c r="L13" s="30">
        <v>3000</v>
      </c>
      <c r="M13" s="30">
        <v>1896</v>
      </c>
      <c r="N13" s="30">
        <v>1780.5999999999913</v>
      </c>
    </row>
    <row r="14" spans="2:14" ht="33.75" customHeight="1">
      <c r="B14" s="52" t="s">
        <v>179</v>
      </c>
      <c r="C14" s="30">
        <v>2083.1999999999971</v>
      </c>
      <c r="D14" s="30">
        <v>2115.3000000000029</v>
      </c>
      <c r="E14" s="30">
        <v>2406.3000000000029</v>
      </c>
      <c r="F14" s="30">
        <v>2166.1999999999971</v>
      </c>
      <c r="G14" s="30">
        <v>2527.1999999999971</v>
      </c>
      <c r="H14" s="30">
        <v>2925.2000000000116</v>
      </c>
      <c r="I14" s="30">
        <v>3819.2999999999884</v>
      </c>
      <c r="J14" s="30">
        <v>3510.1000000000058</v>
      </c>
      <c r="K14" s="30">
        <v>3086.1999999999971</v>
      </c>
      <c r="L14" s="30">
        <v>3330.5</v>
      </c>
      <c r="M14" s="30">
        <v>2932.1999999999971</v>
      </c>
      <c r="N14" s="30">
        <v>2091.1000000000058</v>
      </c>
    </row>
    <row r="15" spans="2:14" ht="33.75" customHeight="1">
      <c r="B15" s="54" t="s">
        <v>180</v>
      </c>
      <c r="C15" s="30">
        <v>1595.1000000000058</v>
      </c>
      <c r="D15" s="30">
        <v>2215.8999999999942</v>
      </c>
      <c r="E15" s="30">
        <v>3842</v>
      </c>
      <c r="F15" s="30">
        <v>3393</v>
      </c>
      <c r="G15" s="30">
        <v>4551.1000000000058</v>
      </c>
      <c r="H15" s="30">
        <v>4938.8999999999942</v>
      </c>
      <c r="I15" s="30">
        <v>5359</v>
      </c>
      <c r="J15" s="30">
        <v>5198.3999999999942</v>
      </c>
      <c r="K15" s="30">
        <v>4320.6000000000058</v>
      </c>
      <c r="L15" s="30">
        <v>3767.6000000000058</v>
      </c>
      <c r="M15" s="30"/>
      <c r="N15" s="30"/>
    </row>
    <row r="16" spans="2:14" ht="21" thickBot="1">
      <c r="C16" s="278" t="s">
        <v>183</v>
      </c>
      <c r="D16" s="286"/>
      <c r="E16" s="286"/>
      <c r="F16" s="286"/>
      <c r="G16" s="286"/>
      <c r="H16" s="286"/>
      <c r="I16" s="286"/>
      <c r="J16" s="286"/>
      <c r="K16" s="286"/>
      <c r="L16" s="286"/>
      <c r="M16" s="286"/>
      <c r="N16" s="287"/>
    </row>
    <row r="18" spans="2:15" ht="18" customHeight="1">
      <c r="C18" s="31" t="s">
        <v>161</v>
      </c>
      <c r="D18" s="31" t="s">
        <v>162</v>
      </c>
      <c r="E18" s="31" t="s">
        <v>163</v>
      </c>
      <c r="F18" s="31" t="s">
        <v>164</v>
      </c>
      <c r="G18" s="31" t="s">
        <v>165</v>
      </c>
      <c r="H18" s="31" t="s">
        <v>166</v>
      </c>
      <c r="I18" s="31" t="s">
        <v>167</v>
      </c>
      <c r="J18" s="31" t="s">
        <v>168</v>
      </c>
      <c r="K18" s="31" t="s">
        <v>169</v>
      </c>
      <c r="L18" s="31" t="s">
        <v>170</v>
      </c>
      <c r="M18" s="31" t="s">
        <v>171</v>
      </c>
      <c r="N18" s="31" t="s">
        <v>172</v>
      </c>
    </row>
    <row r="19" spans="2:15" ht="30" customHeight="1">
      <c r="B19" s="32" t="s">
        <v>173</v>
      </c>
      <c r="C19" s="281"/>
      <c r="D19" s="282"/>
      <c r="E19" s="282"/>
      <c r="F19" s="282"/>
      <c r="G19" s="282"/>
      <c r="H19" s="282"/>
      <c r="I19" s="282"/>
      <c r="J19" s="282"/>
      <c r="K19" s="283"/>
      <c r="L19" s="30"/>
      <c r="M19" s="30">
        <v>43165.84</v>
      </c>
      <c r="N19" s="30">
        <v>50595.28</v>
      </c>
    </row>
    <row r="20" spans="2:15" ht="31.5" customHeight="1">
      <c r="B20" s="33" t="s">
        <v>174</v>
      </c>
      <c r="C20" s="30">
        <v>53565.520000000004</v>
      </c>
      <c r="D20" s="30">
        <v>48294.28</v>
      </c>
      <c r="E20" s="30">
        <v>51250.36</v>
      </c>
      <c r="F20" s="30">
        <v>62603.8</v>
      </c>
      <c r="G20" s="30">
        <v>68202.040000000008</v>
      </c>
      <c r="H20" s="30">
        <v>53683.240000000005</v>
      </c>
      <c r="I20" s="30">
        <v>73551.760000000009</v>
      </c>
      <c r="J20" s="30">
        <v>85925.440000000002</v>
      </c>
      <c r="K20" s="30">
        <v>57158.52</v>
      </c>
      <c r="L20" s="30">
        <v>67234.52</v>
      </c>
      <c r="M20" s="30">
        <v>53224.76</v>
      </c>
      <c r="N20" s="30">
        <v>58005.08</v>
      </c>
    </row>
    <row r="21" spans="2:15" ht="34.5" customHeight="1">
      <c r="B21" s="37" t="s">
        <v>175</v>
      </c>
      <c r="C21" s="30">
        <v>56680.28</v>
      </c>
      <c r="D21" s="30">
        <v>50685.56</v>
      </c>
      <c r="E21" s="30">
        <v>68360.600000000006</v>
      </c>
      <c r="F21" s="30">
        <v>68139.8</v>
      </c>
      <c r="G21" s="30">
        <v>66042.2</v>
      </c>
      <c r="H21" s="30">
        <v>67342.712</v>
      </c>
      <c r="I21" s="30">
        <v>77855</v>
      </c>
      <c r="J21" s="30">
        <v>88895</v>
      </c>
      <c r="K21" s="30">
        <v>73748.12</v>
      </c>
      <c r="L21" s="30">
        <v>75746.36</v>
      </c>
      <c r="M21" s="30">
        <v>65821.399999999994</v>
      </c>
      <c r="N21" s="30">
        <v>57542.503999999986</v>
      </c>
    </row>
    <row r="22" spans="2:15" ht="36" customHeight="1">
      <c r="B22" s="34" t="s">
        <v>176</v>
      </c>
      <c r="C22" s="30">
        <v>61834.856000000014</v>
      </c>
      <c r="D22" s="30">
        <v>58501.880000000005</v>
      </c>
      <c r="E22" s="30">
        <v>64684.28</v>
      </c>
      <c r="F22" s="30">
        <v>69398.36</v>
      </c>
      <c r="G22" s="30">
        <v>60743</v>
      </c>
      <c r="H22" s="30">
        <v>61668.152000000031</v>
      </c>
      <c r="I22" s="30">
        <v>69209.575999999943</v>
      </c>
      <c r="J22" s="30">
        <v>68231.43200000003</v>
      </c>
      <c r="K22" s="30">
        <v>67858.28</v>
      </c>
      <c r="L22" s="30">
        <v>67560.2</v>
      </c>
      <c r="M22" s="30">
        <v>55476.92</v>
      </c>
      <c r="N22" s="30">
        <v>52659.512000000002</v>
      </c>
    </row>
    <row r="23" spans="2:15" ht="32.25" customHeight="1">
      <c r="B23" s="38" t="s">
        <v>177</v>
      </c>
      <c r="C23" s="30">
        <v>55717.592000000004</v>
      </c>
      <c r="D23" s="30">
        <v>57718.399999999994</v>
      </c>
      <c r="E23" s="30">
        <v>62768.599999999991</v>
      </c>
      <c r="F23" s="30">
        <v>61267.219999999987</v>
      </c>
      <c r="G23" s="30">
        <v>51406.219999999987</v>
      </c>
      <c r="H23" s="30">
        <v>60091.880000000041</v>
      </c>
      <c r="I23" s="30">
        <v>62827.879999999961</v>
      </c>
      <c r="J23" s="30">
        <v>63874.400000000001</v>
      </c>
      <c r="K23" s="30">
        <v>61434.799999999996</v>
      </c>
      <c r="L23" s="30">
        <v>69004.399999999994</v>
      </c>
      <c r="M23" s="30">
        <v>63087.799999999996</v>
      </c>
      <c r="N23" s="30">
        <v>63466.279999999962</v>
      </c>
    </row>
    <row r="24" spans="2:15" ht="32.25" customHeight="1">
      <c r="B24" s="51" t="s">
        <v>178</v>
      </c>
      <c r="C24" s="30">
        <v>65725.760000000097</v>
      </c>
      <c r="D24" s="30">
        <v>64232.359999999928</v>
      </c>
      <c r="E24" s="30">
        <v>34892.179999999964</v>
      </c>
      <c r="F24" s="30">
        <v>8168.2999999999993</v>
      </c>
      <c r="G24" s="30">
        <v>5036.7200000000321</v>
      </c>
      <c r="H24" s="30">
        <v>15793.759999999933</v>
      </c>
      <c r="I24" s="30">
        <v>39829.519999999997</v>
      </c>
      <c r="J24" s="30">
        <v>29876.179999999964</v>
      </c>
      <c r="K24" s="30">
        <v>20881.580000000129</v>
      </c>
      <c r="L24" s="30">
        <v>34223</v>
      </c>
      <c r="M24" s="30">
        <v>21637.4</v>
      </c>
      <c r="N24" s="30">
        <v>20321.839999999898</v>
      </c>
    </row>
    <row r="25" spans="2:15" ht="32.25" customHeight="1">
      <c r="B25" s="52" t="s">
        <v>179</v>
      </c>
      <c r="C25" s="30">
        <v>23771.479999999963</v>
      </c>
      <c r="D25" s="30">
        <v>24137.420000000031</v>
      </c>
      <c r="E25" s="30">
        <v>27454.820000000029</v>
      </c>
      <c r="F25" s="30">
        <v>24717.679999999964</v>
      </c>
      <c r="G25" s="30">
        <v>28833.079999999962</v>
      </c>
      <c r="H25" s="30">
        <v>33370.28000000013</v>
      </c>
      <c r="I25" s="30">
        <v>43563.019999999866</v>
      </c>
      <c r="J25" s="30">
        <v>40038.140000000065</v>
      </c>
      <c r="K25" s="30">
        <v>35205.679999999964</v>
      </c>
      <c r="L25" s="30">
        <v>37990.699999999997</v>
      </c>
      <c r="M25" s="30">
        <v>33450.079999999965</v>
      </c>
      <c r="N25" s="30">
        <v>23861.540000000066</v>
      </c>
    </row>
    <row r="26" spans="2:15" ht="32.25" customHeight="1">
      <c r="B26" s="54" t="s">
        <v>180</v>
      </c>
      <c r="C26" s="30">
        <v>18207.140000000065</v>
      </c>
      <c r="D26" s="30">
        <v>25284.259999999933</v>
      </c>
      <c r="E26" s="30">
        <v>43821.8</v>
      </c>
      <c r="F26" s="30">
        <v>38703.199999999997</v>
      </c>
      <c r="G26" s="30">
        <v>51905.540000000059</v>
      </c>
      <c r="H26" s="30">
        <v>56326.459999999934</v>
      </c>
      <c r="I26" s="30">
        <v>61115.599999999991</v>
      </c>
      <c r="J26" s="30">
        <v>59284.759999999929</v>
      </c>
      <c r="K26" s="30">
        <v>49277.840000000055</v>
      </c>
      <c r="L26" s="30">
        <v>42973.640000000065</v>
      </c>
      <c r="M26" s="30"/>
      <c r="N26" s="30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8" zoomScaleNormal="100" workbookViewId="0">
      <selection activeCell="L26" sqref="L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275" t="s">
        <v>184</v>
      </c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7"/>
    </row>
    <row r="6" spans="2:14" ht="23.25" customHeight="1"/>
    <row r="7" spans="2:14">
      <c r="C7" s="31" t="s">
        <v>161</v>
      </c>
      <c r="D7" s="31" t="s">
        <v>162</v>
      </c>
      <c r="E7" s="31" t="s">
        <v>163</v>
      </c>
      <c r="F7" s="31" t="s">
        <v>164</v>
      </c>
      <c r="G7" s="31" t="s">
        <v>165</v>
      </c>
      <c r="H7" s="31" t="s">
        <v>166</v>
      </c>
      <c r="I7" s="31" t="s">
        <v>167</v>
      </c>
      <c r="J7" s="31" t="s">
        <v>168</v>
      </c>
      <c r="K7" s="31" t="s">
        <v>169</v>
      </c>
      <c r="L7" s="31" t="s">
        <v>170</v>
      </c>
      <c r="M7" s="31" t="s">
        <v>171</v>
      </c>
      <c r="N7" s="31" t="s">
        <v>172</v>
      </c>
    </row>
    <row r="8" spans="2:14" ht="33.75" customHeight="1">
      <c r="B8" s="32" t="s">
        <v>173</v>
      </c>
      <c r="C8" s="281"/>
      <c r="D8" s="282"/>
      <c r="E8" s="282"/>
      <c r="F8" s="282"/>
      <c r="G8" s="282"/>
      <c r="H8" s="282"/>
      <c r="I8" s="282"/>
      <c r="J8" s="282"/>
      <c r="K8" s="283"/>
      <c r="L8" s="30">
        <v>19365</v>
      </c>
      <c r="M8" s="30">
        <v>21235</v>
      </c>
      <c r="N8" s="30">
        <v>34053</v>
      </c>
    </row>
    <row r="9" spans="2:14" ht="35.25" customHeight="1">
      <c r="B9" s="33" t="s">
        <v>174</v>
      </c>
      <c r="C9" s="30">
        <v>23598</v>
      </c>
      <c r="D9" s="30">
        <v>28302</v>
      </c>
      <c r="E9" s="30">
        <v>23000</v>
      </c>
      <c r="F9" s="30">
        <v>28601</v>
      </c>
      <c r="G9" s="30">
        <v>24612</v>
      </c>
      <c r="H9" s="30">
        <v>16695</v>
      </c>
      <c r="I9" s="30">
        <v>10756</v>
      </c>
      <c r="J9" s="30">
        <v>14749</v>
      </c>
      <c r="K9" s="30">
        <v>18297</v>
      </c>
      <c r="L9" s="30">
        <v>20801</v>
      </c>
      <c r="M9" s="30">
        <v>22927</v>
      </c>
      <c r="N9" s="30">
        <v>38265</v>
      </c>
    </row>
    <row r="10" spans="2:14" ht="32.25" customHeight="1">
      <c r="B10" s="37" t="s">
        <v>175</v>
      </c>
      <c r="C10" s="30">
        <v>39843</v>
      </c>
      <c r="D10" s="30">
        <v>27644</v>
      </c>
      <c r="E10" s="30">
        <v>31207</v>
      </c>
      <c r="F10" s="30">
        <v>34231</v>
      </c>
      <c r="G10" s="30">
        <v>21149.420000000002</v>
      </c>
      <c r="H10" s="30">
        <v>19502</v>
      </c>
      <c r="I10" s="30">
        <v>22293</v>
      </c>
      <c r="J10" s="30">
        <v>21244</v>
      </c>
      <c r="K10" s="30">
        <v>20201</v>
      </c>
      <c r="L10" s="30">
        <v>21000</v>
      </c>
      <c r="M10" s="30">
        <v>30135</v>
      </c>
      <c r="N10" s="30">
        <v>28841</v>
      </c>
    </row>
    <row r="11" spans="2:14" ht="34.5" customHeight="1">
      <c r="B11" s="34" t="s">
        <v>176</v>
      </c>
      <c r="C11" s="30">
        <v>33210.620000000003</v>
      </c>
      <c r="D11" s="30">
        <v>27328.669000000002</v>
      </c>
      <c r="E11" s="30">
        <v>22296.292000000001</v>
      </c>
      <c r="F11" s="30">
        <v>18205.006000000001</v>
      </c>
      <c r="G11" s="30">
        <v>16641.811000000002</v>
      </c>
      <c r="H11" s="30">
        <v>17087.758000000002</v>
      </c>
      <c r="I11" s="30">
        <v>13220.239000000001</v>
      </c>
      <c r="J11" s="30">
        <v>15457.909000000001</v>
      </c>
      <c r="K11" s="30">
        <v>10651.944000000001</v>
      </c>
      <c r="L11" s="30">
        <v>13951.846000000001</v>
      </c>
      <c r="M11" s="30">
        <v>24676.263000000003</v>
      </c>
      <c r="N11" s="30">
        <v>21781.575000000001</v>
      </c>
    </row>
    <row r="12" spans="2:14" ht="36.75" customHeight="1">
      <c r="B12" s="38" t="s">
        <v>177</v>
      </c>
      <c r="C12" s="30">
        <v>26669.535</v>
      </c>
      <c r="D12" s="30">
        <v>26601.294000000002</v>
      </c>
      <c r="E12" s="30">
        <v>23114.126</v>
      </c>
      <c r="F12" s="30">
        <v>20873.811000000002</v>
      </c>
      <c r="G12" s="30">
        <v>14596.168000000001</v>
      </c>
      <c r="H12" s="30">
        <v>10659.35</v>
      </c>
      <c r="I12" s="30">
        <v>18584.299000000003</v>
      </c>
      <c r="J12" s="30">
        <v>10559.897999999999</v>
      </c>
      <c r="K12" s="30">
        <v>8546.5240000000013</v>
      </c>
      <c r="L12" s="30">
        <v>17517.306</v>
      </c>
      <c r="M12" s="30">
        <v>20452.198</v>
      </c>
      <c r="N12" s="30">
        <v>27341.365000000002</v>
      </c>
    </row>
    <row r="13" spans="2:14" ht="36.75" customHeight="1">
      <c r="B13" s="51" t="s">
        <v>178</v>
      </c>
      <c r="C13" s="30">
        <v>30735.958000000002</v>
      </c>
      <c r="D13" s="30">
        <v>21724.442999999999</v>
      </c>
      <c r="E13" s="30">
        <v>11128.573</v>
      </c>
      <c r="F13" s="30">
        <v>4506.0219999999999</v>
      </c>
      <c r="G13" s="30">
        <v>0</v>
      </c>
      <c r="H13" s="30">
        <v>2998.3720000000003</v>
      </c>
      <c r="I13" s="30">
        <v>8663.5590000000011</v>
      </c>
      <c r="J13" s="30">
        <v>4731.9050000000007</v>
      </c>
      <c r="K13" s="30">
        <v>4832.415</v>
      </c>
      <c r="L13" s="30">
        <v>13092.221000000001</v>
      </c>
      <c r="M13" s="30">
        <v>17284.017</v>
      </c>
      <c r="N13" s="30">
        <v>16432.856</v>
      </c>
    </row>
    <row r="14" spans="2:14" ht="36.75" customHeight="1">
      <c r="B14" s="52" t="s">
        <v>179</v>
      </c>
      <c r="C14" s="30">
        <v>16222.314</v>
      </c>
      <c r="D14" s="30">
        <v>13578.901</v>
      </c>
      <c r="E14" s="30">
        <v>18500.717000000001</v>
      </c>
      <c r="F14" s="30">
        <v>11555.476000000001</v>
      </c>
      <c r="G14" s="30">
        <v>10801.651</v>
      </c>
      <c r="H14" s="30">
        <v>13800.552000000001</v>
      </c>
      <c r="I14" s="30">
        <v>9448.469000000001</v>
      </c>
      <c r="J14" s="30">
        <v>8828.4809999999998</v>
      </c>
      <c r="K14" s="30">
        <v>11498.344000000001</v>
      </c>
      <c r="L14" s="30">
        <v>11280.396000000001</v>
      </c>
      <c r="M14" s="30">
        <v>20677.552</v>
      </c>
      <c r="N14" s="30">
        <v>12106.165000000001</v>
      </c>
    </row>
    <row r="15" spans="2:14" ht="36.75" customHeight="1">
      <c r="B15" s="54" t="s">
        <v>180</v>
      </c>
      <c r="C15" s="30">
        <v>8859.1630000000005</v>
      </c>
      <c r="D15" s="30">
        <v>13938.621000000001</v>
      </c>
      <c r="E15" s="30">
        <v>316387</v>
      </c>
      <c r="F15" s="30">
        <v>23168.613000000001</v>
      </c>
      <c r="G15" s="30">
        <v>13780.45</v>
      </c>
      <c r="H15" s="30">
        <v>4938.8999999999942</v>
      </c>
      <c r="I15" s="30">
        <v>6726.2350000000006</v>
      </c>
      <c r="J15" s="30">
        <v>9206.7160000000003</v>
      </c>
      <c r="K15" s="30">
        <v>11550.186</v>
      </c>
      <c r="L15" s="30">
        <v>10799.535</v>
      </c>
      <c r="M15" s="30"/>
      <c r="N15" s="30"/>
    </row>
    <row r="16" spans="2:14" ht="21" thickBot="1">
      <c r="C16" s="278" t="s">
        <v>185</v>
      </c>
      <c r="D16" s="279"/>
      <c r="E16" s="279"/>
      <c r="F16" s="279"/>
      <c r="G16" s="279"/>
      <c r="H16" s="279"/>
      <c r="I16" s="279"/>
      <c r="J16" s="279"/>
      <c r="K16" s="279"/>
      <c r="L16" s="279"/>
      <c r="M16" s="279"/>
      <c r="N16" s="280"/>
    </row>
    <row r="18" spans="2:14" ht="17.25" customHeight="1">
      <c r="C18" s="31" t="s">
        <v>161</v>
      </c>
      <c r="D18" s="31" t="s">
        <v>162</v>
      </c>
      <c r="E18" s="31" t="s">
        <v>163</v>
      </c>
      <c r="F18" s="31" t="s">
        <v>164</v>
      </c>
      <c r="G18" s="31" t="s">
        <v>165</v>
      </c>
      <c r="H18" s="31" t="s">
        <v>166</v>
      </c>
      <c r="I18" s="31" t="s">
        <v>167</v>
      </c>
      <c r="J18" s="31" t="s">
        <v>168</v>
      </c>
      <c r="K18" s="31" t="s">
        <v>169</v>
      </c>
      <c r="L18" s="31" t="s">
        <v>170</v>
      </c>
      <c r="M18" s="31" t="s">
        <v>171</v>
      </c>
      <c r="N18" s="31" t="s">
        <v>172</v>
      </c>
    </row>
    <row r="19" spans="2:14" ht="30" customHeight="1">
      <c r="B19" s="32" t="s">
        <v>173</v>
      </c>
      <c r="C19" s="281"/>
      <c r="D19" s="282"/>
      <c r="E19" s="282"/>
      <c r="F19" s="282"/>
      <c r="G19" s="282"/>
      <c r="H19" s="282"/>
      <c r="I19" s="282"/>
      <c r="J19" s="282"/>
      <c r="K19" s="283"/>
      <c r="L19" s="30">
        <v>222503.85</v>
      </c>
      <c r="M19" s="30">
        <v>248385.8</v>
      </c>
      <c r="N19" s="30">
        <v>412790.47</v>
      </c>
    </row>
    <row r="20" spans="2:14" ht="30" customHeight="1">
      <c r="B20" s="33" t="s">
        <v>174</v>
      </c>
      <c r="C20" s="30">
        <v>281335.36</v>
      </c>
      <c r="D20" s="30">
        <v>329491.88</v>
      </c>
      <c r="E20" s="35">
        <v>263166</v>
      </c>
      <c r="F20" s="30">
        <v>334402.89</v>
      </c>
      <c r="G20" s="30">
        <v>287763.5</v>
      </c>
      <c r="H20" s="30">
        <v>200206.44</v>
      </c>
      <c r="I20" s="30">
        <v>128985.95</v>
      </c>
      <c r="J20" s="30">
        <v>174687.16</v>
      </c>
      <c r="K20" s="30">
        <v>221708.41</v>
      </c>
      <c r="L20" s="30">
        <v>257125.33</v>
      </c>
      <c r="M20" s="30">
        <v>290283.33</v>
      </c>
      <c r="N20" s="30">
        <v>491751.17</v>
      </c>
    </row>
    <row r="21" spans="2:14" ht="38.25" customHeight="1">
      <c r="B21" s="37" t="s">
        <v>175</v>
      </c>
      <c r="C21" s="30">
        <v>534222.91</v>
      </c>
      <c r="D21" s="30">
        <v>397841.39</v>
      </c>
      <c r="E21" s="35">
        <v>463317.85</v>
      </c>
      <c r="F21" s="30">
        <v>473982.96</v>
      </c>
      <c r="G21" s="30">
        <v>288617.67497200001</v>
      </c>
      <c r="H21" s="30">
        <v>262138.08</v>
      </c>
      <c r="I21" s="30">
        <v>290959.32</v>
      </c>
      <c r="J21" s="30">
        <v>277268.19</v>
      </c>
      <c r="K21" s="30">
        <v>269109.64</v>
      </c>
      <c r="L21" s="30">
        <v>279753.59999999998</v>
      </c>
      <c r="M21" s="30">
        <v>411233.26</v>
      </c>
      <c r="N21" s="30">
        <v>393575.4632766</v>
      </c>
    </row>
    <row r="22" spans="2:14" ht="36" customHeight="1">
      <c r="B22" s="34" t="s">
        <v>176</v>
      </c>
      <c r="C22" s="30">
        <v>433913.35561000003</v>
      </c>
      <c r="D22" s="30">
        <v>365261.32551950007</v>
      </c>
      <c r="E22" s="30">
        <v>291312.20312600001</v>
      </c>
      <c r="F22" s="30">
        <v>213834.17997540004</v>
      </c>
      <c r="G22" s="30">
        <v>197886.11041990001</v>
      </c>
      <c r="H22" s="30">
        <v>143537.16720000003</v>
      </c>
      <c r="I22" s="30">
        <v>111050.00760000001</v>
      </c>
      <c r="J22" s="30">
        <v>129846.43560000001</v>
      </c>
      <c r="K22" s="30">
        <v>97997.8848</v>
      </c>
      <c r="L22" s="30">
        <v>117195.50640000001</v>
      </c>
      <c r="M22" s="30">
        <v>207280.60920000004</v>
      </c>
      <c r="N22" s="30">
        <v>182965.23</v>
      </c>
    </row>
    <row r="23" spans="2:14" ht="36.75" customHeight="1">
      <c r="B23" s="38" t="s">
        <v>177</v>
      </c>
      <c r="C23" s="30">
        <v>224024.09400000001</v>
      </c>
      <c r="D23" s="30">
        <v>223450.86960000003</v>
      </c>
      <c r="E23" s="30">
        <v>209182.84030000001</v>
      </c>
      <c r="F23" s="30">
        <v>188907.98955000003</v>
      </c>
      <c r="G23" s="30">
        <v>129176.0868</v>
      </c>
      <c r="H23" s="30">
        <v>94335.247499999998</v>
      </c>
      <c r="I23" s="30">
        <v>144957.53220000002</v>
      </c>
      <c r="J23" s="30">
        <v>77405.108330000003</v>
      </c>
      <c r="K23" s="30">
        <v>62646.875572400008</v>
      </c>
      <c r="L23" s="30">
        <v>128403.6047106</v>
      </c>
      <c r="M23" s="30">
        <v>149916.6565598</v>
      </c>
      <c r="N23" s="30">
        <v>217831.38909150002</v>
      </c>
    </row>
    <row r="24" spans="2:14" ht="36.75" customHeight="1">
      <c r="B24" s="51" t="s">
        <v>178</v>
      </c>
      <c r="C24" s="30">
        <v>244876.45098180004</v>
      </c>
      <c r="D24" s="30">
        <v>193260.64492800002</v>
      </c>
      <c r="E24" s="30">
        <v>87871.212408000007</v>
      </c>
      <c r="F24" s="30">
        <v>35579.549712</v>
      </c>
      <c r="G24" s="30">
        <v>0</v>
      </c>
      <c r="H24" s="30">
        <v>23675.145312000001</v>
      </c>
      <c r="I24" s="30">
        <v>72782.559159000011</v>
      </c>
      <c r="J24" s="30">
        <v>40462.519659999998</v>
      </c>
      <c r="K24" s="30">
        <v>41321.980665000003</v>
      </c>
      <c r="L24" s="30">
        <v>111951.58177100001</v>
      </c>
      <c r="M24" s="30">
        <v>151252.43276699999</v>
      </c>
      <c r="N24" s="30">
        <v>147090.494056</v>
      </c>
    </row>
    <row r="25" spans="2:14" ht="36.75" customHeight="1">
      <c r="B25" s="52" t="s">
        <v>179</v>
      </c>
      <c r="C25" s="30">
        <v>175249.65814200003</v>
      </c>
      <c r="D25" s="30">
        <v>133357.0288309</v>
      </c>
      <c r="E25" s="30">
        <v>160956.23789999998</v>
      </c>
      <c r="F25" s="30">
        <v>100532.6412</v>
      </c>
      <c r="G25" s="30">
        <v>93974.363699999987</v>
      </c>
      <c r="H25" s="30">
        <v>120064.8024</v>
      </c>
      <c r="I25" s="30">
        <v>79461.624290000007</v>
      </c>
      <c r="J25" s="30">
        <v>84841.702409999998</v>
      </c>
      <c r="K25" s="30">
        <v>114580.99796000001</v>
      </c>
      <c r="L25" s="30">
        <v>126919.11951480001</v>
      </c>
      <c r="M25" s="30">
        <v>216928.19803199999</v>
      </c>
      <c r="N25" s="30">
        <v>127005.777015</v>
      </c>
    </row>
    <row r="26" spans="2:14" ht="36.75" customHeight="1">
      <c r="B26" s="54" t="s">
        <v>180</v>
      </c>
      <c r="C26" s="30">
        <v>102456.220095</v>
      </c>
      <c r="D26" s="30">
        <v>164336.34159</v>
      </c>
      <c r="E26" s="30">
        <v>348747.65639999998</v>
      </c>
      <c r="F26" s="30">
        <v>316019.88132000004</v>
      </c>
      <c r="G26" s="30">
        <v>181075.11300000001</v>
      </c>
      <c r="H26" s="30"/>
      <c r="I26" s="30">
        <v>87037.48090000001</v>
      </c>
      <c r="J26" s="30">
        <v>118214.23344</v>
      </c>
      <c r="K26" s="30">
        <v>147149.36963999999</v>
      </c>
      <c r="L26" s="30">
        <v>132186.30840000001</v>
      </c>
      <c r="M26" s="30"/>
      <c r="N26" s="30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2022-11-14T10:25:12Z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