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5360" windowHeight="762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5" l="1"/>
  <c r="G3" i="5" l="1"/>
  <c r="G4" i="5"/>
  <c r="G5" i="5"/>
  <c r="G6" i="5"/>
  <c r="I3" i="5"/>
  <c r="I4" i="5"/>
  <c r="I5" i="5"/>
  <c r="I6" i="5"/>
  <c r="I4" i="10"/>
  <c r="J4" i="9" l="1"/>
  <c r="G2" i="5" s="1"/>
  <c r="H4" i="8"/>
  <c r="I2" i="5" s="1"/>
  <c r="E2" i="5" l="1"/>
  <c r="E3" i="5"/>
  <c r="B32" i="5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30" i="8" l="1"/>
  <c r="H31" i="8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I16" i="10" l="1"/>
  <c r="J12" i="9"/>
  <c r="I7" i="10"/>
  <c r="E5" i="5" s="1"/>
  <c r="J30" i="9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<sst xmlns="http://schemas.openxmlformats.org/spreadsheetml/2006/main" count="76" uniqueCount="40">
  <si>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</si>
  <si>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</si>
  <si>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</si>
  <si>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</si>
  <si>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</si>
  <si>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</si>
  <si>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</si>
  <si>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</si>
  <si>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</si>
  <si>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</si>
  <si>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</si>
  <si>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</si>
  <si>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</si>
  <si>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</si>
  <si>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</si>
  <si>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</si>
  <si>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</si>
  <si>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</si>
  <si>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</si>
  <si>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</si>
  <si>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</si>
  <si>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</si>
  <si>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</si>
  <si>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</si>
  <si>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</si>
  <si>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</si>
  <si>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</si>
  <si>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</si>
  <si>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</si>
  <si>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</si>
  <si>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</si>
  <si>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</si>
  <si>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</si>
  <si>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</si>
  <si>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</si>
  <si>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</si>
  <si>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</si>
  <si>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DEC.2022</t>
  </si>
  <si>
    <t>NATURAL GAS CONSUMPTION , DEC.2022</t>
  </si>
  <si>
    <t>WATER CONSUMPTION , DEC.2022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</si>
</sst>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10" zoomScaleNormal="110" workbookViewId="0">
      <selection activeCell="C20" sqref="C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1.2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1.2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1.2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1.2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1.2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1.2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1.2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1.2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1.2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</v>
      </c>
      <c r="D12" s="12">
        <v>2022</v>
      </c>
      <c r="E12" s="13">
        <f>Electricity!I14</f>
        <v>1460.0400000009686</v>
      </c>
      <c r="F12" s="3">
        <v>1.2</v>
      </c>
      <c r="G12" s="13">
        <f>Gas!J14</f>
        <v>0</v>
      </c>
      <c r="H12" s="3">
        <v>1.69</v>
      </c>
      <c r="I12" s="13">
        <f>Water!H14</f>
        <v>2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</v>
      </c>
      <c r="D13" s="12">
        <v>2022</v>
      </c>
      <c r="E13" s="13">
        <f>Electricity!I15</f>
        <v>1457.2799999974668</v>
      </c>
      <c r="F13" s="3">
        <v>1.2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</v>
      </c>
      <c r="D14" s="12">
        <v>2022</v>
      </c>
      <c r="E14" s="13">
        <f>Electricity!I16</f>
        <v>1559.4000000022352</v>
      </c>
      <c r="F14" s="3">
        <v>1.2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</v>
      </c>
      <c r="D15" s="12">
        <v>2022</v>
      </c>
      <c r="E15" s="13">
        <f>Electricity!I17</f>
        <v>1973.4000000003725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</v>
      </c>
      <c r="D16" s="12">
        <v>2022</v>
      </c>
      <c r="E16" s="13">
        <f>Electricity!I18</f>
        <v>1851.9599999990314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</v>
      </c>
      <c r="D17" s="12">
        <v>2022</v>
      </c>
      <c r="E17" s="13">
        <f>Electricity!I19</f>
        <v>1909.9199999999255</v>
      </c>
      <c r="F17" s="3">
        <v>1.2</v>
      </c>
      <c r="G17" s="13">
        <f>Gas!J19</f>
        <v>0</v>
      </c>
      <c r="H17" s="3">
        <v>1.69</v>
      </c>
      <c r="I17" s="13">
        <f>Water!H19</f>
        <v>1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</v>
      </c>
      <c r="D18" s="12">
        <v>2022</v>
      </c>
      <c r="E18" s="13">
        <f>Electricity!I20</f>
        <v>1636.6800000015646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</v>
      </c>
      <c r="D19" s="12">
        <v>2022</v>
      </c>
      <c r="E19" s="13">
        <f>Electricity!I21</f>
        <v>2050.6799999978393</v>
      </c>
      <c r="F19" s="3">
        <v>1.2</v>
      </c>
      <c r="G19" s="13">
        <f>Gas!J21</f>
        <v>0</v>
      </c>
      <c r="H19" s="3">
        <v>1.69</v>
      </c>
      <c r="I19" s="13">
        <f>Water!H21</f>
        <v>15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</v>
      </c>
      <c r="D20" s="12">
        <v>2022</v>
      </c>
      <c r="E20" s="13">
        <f>Electricity!I22</f>
        <v>2111.4000000022352</v>
      </c>
      <c r="F20" s="3">
        <v>1.2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</v>
      </c>
      <c r="D21" s="12">
        <v>2022</v>
      </c>
      <c r="E21" s="13">
        <f>Electricity!I23</f>
        <v>2141.7599999979138</v>
      </c>
      <c r="F21" s="3">
        <v>1.2</v>
      </c>
      <c r="G21" s="13">
        <f>Gas!J23</f>
        <v>0</v>
      </c>
      <c r="H21" s="3">
        <v>1.69</v>
      </c>
      <c r="I21" s="13">
        <f>Water!H23</f>
        <v>1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</v>
      </c>
      <c r="D22" s="12">
        <v>2022</v>
      </c>
      <c r="E22" s="13">
        <f>Electricity!I24</f>
        <v>2081.0400000009686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</v>
      </c>
      <c r="D23" s="12">
        <v>2022</v>
      </c>
      <c r="E23" s="13">
        <f>Electricity!I25</f>
        <v>2017.5599999986589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</v>
      </c>
      <c r="D24" s="12">
        <v>2022</v>
      </c>
      <c r="E24" s="13">
        <f>Electricity!I26</f>
        <v>2042.4000000022352</v>
      </c>
      <c r="F24" s="3">
        <v>1.2</v>
      </c>
      <c r="G24" s="13">
        <f>Gas!J26</f>
        <v>0</v>
      </c>
      <c r="H24" s="3">
        <v>1.69</v>
      </c>
      <c r="I24" s="13">
        <f>Water!H26</f>
        <v>12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</v>
      </c>
      <c r="D25" s="12">
        <v>2022</v>
      </c>
      <c r="E25" s="13">
        <f>Electricity!I27</f>
        <v>-13230780.360000001</v>
      </c>
      <c r="F25" s="3">
        <v>1.2</v>
      </c>
      <c r="G25" s="13">
        <f>Gas!J27</f>
        <v>-1176540.4133199998</v>
      </c>
      <c r="H25" s="3">
        <v>1.69</v>
      </c>
      <c r="I25" s="13">
        <f>Water!H27</f>
        <v>-11569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</v>
      </c>
      <c r="D26" s="12">
        <v>2022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</v>
      </c>
      <c r="D27" s="12">
        <v>2022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</v>
      </c>
      <c r="D28" s="12">
        <v>2022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</v>
      </c>
      <c r="D29" s="12">
        <v>2022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</v>
      </c>
      <c r="D30" s="12">
        <v>2022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</v>
      </c>
      <c r="D31" s="12">
        <v>2022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</v>
      </c>
      <c r="D32" s="12">
        <v>2022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abSelected="1" topLeftCell="A7" workbookViewId="0">
      <selection activeCell="E27" sqref="E2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44572</v>
      </c>
      <c r="E14" s="24">
        <v>11538</v>
      </c>
      <c r="F14" s="24">
        <v>1065</v>
      </c>
      <c r="G14" s="24">
        <f t="shared" si="0"/>
        <v>12603</v>
      </c>
      <c r="H14" s="25">
        <f t="shared" si="1"/>
        <v>2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44573</v>
      </c>
      <c r="E15" s="24">
        <v>11538</v>
      </c>
      <c r="F15" s="24">
        <v>1065</v>
      </c>
      <c r="G15" s="24">
        <f t="shared" si="0"/>
        <v>12603</v>
      </c>
      <c r="H15" s="25">
        <f t="shared" si="1"/>
        <v>0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44574</v>
      </c>
      <c r="E16" s="24">
        <v>11538</v>
      </c>
      <c r="F16" s="24">
        <v>1065</v>
      </c>
      <c r="G16" s="24">
        <f t="shared" si="0"/>
        <v>12603</v>
      </c>
      <c r="H16" s="25">
        <f t="shared" si="1"/>
        <v>0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44575</v>
      </c>
      <c r="E17" s="24">
        <v>11538</v>
      </c>
      <c r="F17" s="24">
        <v>1065</v>
      </c>
      <c r="G17" s="24">
        <f t="shared" si="0"/>
        <v>12603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44576</v>
      </c>
      <c r="E18" s="24">
        <v>11538</v>
      </c>
      <c r="F18" s="24">
        <v>1065</v>
      </c>
      <c r="G18" s="24">
        <f t="shared" si="0"/>
        <v>12603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44577</v>
      </c>
      <c r="E19" s="24">
        <v>11539</v>
      </c>
      <c r="F19" s="24">
        <v>1065</v>
      </c>
      <c r="G19" s="24">
        <f t="shared" si="0"/>
        <v>12604</v>
      </c>
      <c r="H19" s="25">
        <f t="shared" si="1"/>
        <v>1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44578</v>
      </c>
      <c r="E20" s="24">
        <v>11539</v>
      </c>
      <c r="F20" s="24">
        <v>1065</v>
      </c>
      <c r="G20" s="24">
        <f t="shared" si="0"/>
        <v>12604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44579</v>
      </c>
      <c r="E21" s="24">
        <v>11554</v>
      </c>
      <c r="F21" s="24">
        <v>1065</v>
      </c>
      <c r="G21" s="24">
        <f t="shared" si="0"/>
        <v>12619</v>
      </c>
      <c r="H21" s="25">
        <f t="shared" si="1"/>
        <v>15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44580</v>
      </c>
      <c r="E22" s="24">
        <v>11556</v>
      </c>
      <c r="F22" s="24">
        <v>1065</v>
      </c>
      <c r="G22" s="24">
        <f t="shared" si="0"/>
        <v>12621</v>
      </c>
      <c r="H22" s="25">
        <f t="shared" si="1"/>
        <v>2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44581</v>
      </c>
      <c r="E23" s="24">
        <v>11557</v>
      </c>
      <c r="F23" s="24">
        <v>1065</v>
      </c>
      <c r="G23" s="24">
        <f t="shared" si="0"/>
        <v>12622</v>
      </c>
      <c r="H23" s="25">
        <f t="shared" si="1"/>
        <v>1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44582</v>
      </c>
      <c r="E24" s="24">
        <v>11557</v>
      </c>
      <c r="F24" s="24">
        <v>1065</v>
      </c>
      <c r="G24" s="24">
        <f t="shared" si="0"/>
        <v>12622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44583</v>
      </c>
      <c r="E25" s="24">
        <v>11557</v>
      </c>
      <c r="F25" s="24">
        <v>1065</v>
      </c>
      <c r="G25" s="24">
        <f t="shared" si="0"/>
        <v>12622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44584</v>
      </c>
      <c r="E26" s="24">
        <v>11569</v>
      </c>
      <c r="F26" s="24">
        <v>1065</v>
      </c>
      <c r="G26" s="24">
        <f t="shared" si="0"/>
        <v>12634</v>
      </c>
      <c r="H26" s="25">
        <f t="shared" si="1"/>
        <v>12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44585</v>
      </c>
      <c r="E27" s="24"/>
      <c r="F27" s="24">
        <v>1065</v>
      </c>
      <c r="G27" s="24">
        <f t="shared" si="0"/>
        <v>1065</v>
      </c>
      <c r="H27" s="25">
        <f t="shared" si="1"/>
        <v>-11569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44586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44587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44588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44589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44590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44591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44592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G26" sqref="G2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38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44572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44573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44574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44575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44576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44577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44578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44579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44580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44581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44582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44583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44584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44585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-1176540.4133199998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44586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44587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44588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44589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44590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44591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44592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</v>
      </c>
      <c r="M37" s="17">
        <f>+(L37*31)</f>
        <v>0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8"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44562</v>
      </c>
      <c r="F4" s="92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44563</v>
      </c>
      <c r="F5" s="92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44564</v>
      </c>
      <c r="F6" s="92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44565</v>
      </c>
      <c r="F7" s="92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44566</v>
      </c>
      <c r="F8" s="92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44567</v>
      </c>
      <c r="F9" s="92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44568</v>
      </c>
      <c r="F10" s="92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44569</v>
      </c>
      <c r="F11" s="92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44570</v>
      </c>
      <c r="F12" s="92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44571</v>
      </c>
      <c r="F13" s="92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44572</v>
      </c>
      <c r="F14" s="92">
        <v>4785.4880000000003</v>
      </c>
      <c r="G14" s="23">
        <v>2760</v>
      </c>
      <c r="H14" s="24">
        <f t="shared" si="0"/>
        <v>13207946.880000001</v>
      </c>
      <c r="I14" s="25">
        <f t="shared" si="1"/>
        <v>1460.0400000009686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44573</v>
      </c>
      <c r="F15" s="92">
        <v>4786.0159999999996</v>
      </c>
      <c r="G15" s="23">
        <v>2760</v>
      </c>
      <c r="H15" s="24">
        <f t="shared" si="0"/>
        <v>13209404.159999998</v>
      </c>
      <c r="I15" s="25">
        <f t="shared" si="1"/>
        <v>1457.2799999974668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44574</v>
      </c>
      <c r="F16" s="92">
        <v>4786.5810000000001</v>
      </c>
      <c r="G16" s="23">
        <v>2760</v>
      </c>
      <c r="H16" s="24">
        <f t="shared" si="0"/>
        <v>13210963.560000001</v>
      </c>
      <c r="I16" s="25">
        <f t="shared" si="1"/>
        <v>1559.4000000022352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44575</v>
      </c>
      <c r="F17" s="92">
        <v>4787.2960000000003</v>
      </c>
      <c r="G17" s="23">
        <v>2760</v>
      </c>
      <c r="H17" s="24">
        <f t="shared" si="0"/>
        <v>13212936.960000001</v>
      </c>
      <c r="I17" s="25">
        <f t="shared" si="1"/>
        <v>1973.4000000003725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44576</v>
      </c>
      <c r="F18" s="92">
        <v>4787.9669999999996</v>
      </c>
      <c r="G18" s="23">
        <v>2760</v>
      </c>
      <c r="H18" s="24">
        <f t="shared" si="0"/>
        <v>13214788.92</v>
      </c>
      <c r="I18" s="25">
        <f t="shared" si="1"/>
        <v>1851.9599999990314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44577</v>
      </c>
      <c r="F19" s="92">
        <v>4788.6589999999997</v>
      </c>
      <c r="G19" s="23">
        <v>2760</v>
      </c>
      <c r="H19" s="24">
        <f t="shared" si="0"/>
        <v>13216698.84</v>
      </c>
      <c r="I19" s="25">
        <f t="shared" si="1"/>
        <v>1909.9199999999255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44578</v>
      </c>
      <c r="F20" s="92">
        <v>4789.2520000000004</v>
      </c>
      <c r="G20" s="23">
        <v>2760</v>
      </c>
      <c r="H20" s="24">
        <f t="shared" si="0"/>
        <v>13218335.520000001</v>
      </c>
      <c r="I20" s="25">
        <f t="shared" si="1"/>
        <v>1636.6800000015646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44579</v>
      </c>
      <c r="F21" s="92">
        <v>4789.9949999999999</v>
      </c>
      <c r="G21" s="23">
        <v>2760</v>
      </c>
      <c r="H21" s="24">
        <f t="shared" si="0"/>
        <v>13220386.199999999</v>
      </c>
      <c r="I21" s="25">
        <f t="shared" si="1"/>
        <v>2050.6799999978393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44580</v>
      </c>
      <c r="F22" s="92">
        <v>4790.76</v>
      </c>
      <c r="G22" s="23">
        <v>2760</v>
      </c>
      <c r="H22" s="24">
        <f t="shared" si="0"/>
        <v>13222497.600000001</v>
      </c>
      <c r="I22" s="25">
        <f t="shared" si="1"/>
        <v>2111.4000000022352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44581</v>
      </c>
      <c r="F23" s="92">
        <v>4791.5360000000001</v>
      </c>
      <c r="G23" s="23">
        <v>2760</v>
      </c>
      <c r="H23" s="24">
        <f t="shared" si="0"/>
        <v>13224639.359999999</v>
      </c>
      <c r="I23" s="25">
        <f t="shared" si="1"/>
        <v>2141.7599999979138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44582</v>
      </c>
      <c r="F24" s="92">
        <v>4792.29</v>
      </c>
      <c r="G24" s="23">
        <v>2760</v>
      </c>
      <c r="H24" s="24">
        <f t="shared" si="0"/>
        <v>13226720.4</v>
      </c>
      <c r="I24" s="25">
        <f t="shared" si="1"/>
        <v>2081.0400000009686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44583</v>
      </c>
      <c r="F25" s="92">
        <v>4793.0209999999997</v>
      </c>
      <c r="G25" s="23">
        <v>2760</v>
      </c>
      <c r="H25" s="24">
        <f t="shared" si="0"/>
        <v>13228737.959999999</v>
      </c>
      <c r="I25" s="25">
        <f t="shared" si="1"/>
        <v>2017.5599999986589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44584</v>
      </c>
      <c r="F26" s="92">
        <v>4793.7610000000004</v>
      </c>
      <c r="G26" s="23">
        <v>2760</v>
      </c>
      <c r="H26" s="24">
        <f t="shared" si="0"/>
        <v>13230780.360000001</v>
      </c>
      <c r="I26" s="25">
        <f t="shared" si="1"/>
        <v>2042.4000000022352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44585</v>
      </c>
      <c r="F27" s="92"/>
      <c r="G27" s="23">
        <v>2760</v>
      </c>
      <c r="H27" s="24">
        <f t="shared" si="0"/>
        <v>0</v>
      </c>
      <c r="I27" s="25">
        <f t="shared" si="1"/>
        <v>-13230780.360000001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44586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44587</v>
      </c>
      <c r="F29" s="110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44588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44589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44590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44591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44592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2022-01-23T03:34:06Z</dcterms:modified>
</cp:coreProperties>
</file>