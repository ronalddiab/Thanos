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l\Downloads\"/>
    </mc:Choice>
  </mc:AlternateContent>
  <xr:revisionPtr revIDLastSave="0" documentId="13_ncr:1_{4E4008A4-EDDA-4A95-9FC4-8FD1A34C9C47}" xr6:coauthVersionLast="47" xr6:coauthVersionMax="47" xr10:uidLastSave="{00000000-0000-0000-0000-000000000000}"/>
  <bookViews>
    <workbookView xWindow="-98" yWindow="-98" windowWidth="19396" windowHeight="10276" tabRatio="500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AF12" i="37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H30" i="36"/>
  <c r="P25" i="36" s="1"/>
  <c r="P28" i="36" s="1"/>
  <c r="F30" i="36"/>
  <c r="F29" i="36"/>
  <c r="K28" i="36"/>
  <c r="H28" i="36"/>
  <c r="N25" i="36" s="1"/>
  <c r="N28" i="36" s="1"/>
  <c r="F28" i="36"/>
  <c r="N27" i="36" s="1"/>
  <c r="P27" i="36"/>
  <c r="H27" i="36"/>
  <c r="M25" i="36" s="1"/>
  <c r="F27" i="36"/>
  <c r="M27" i="36" s="1"/>
  <c r="M28" i="36" s="1"/>
  <c r="F26" i="36"/>
  <c r="K25" i="36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22" i="35"/>
  <c r="F21" i="35"/>
  <c r="F20" i="35"/>
  <c r="F17" i="35"/>
  <c r="D47" i="35" s="1"/>
  <c r="F16" i="35"/>
  <c r="G13" i="35"/>
  <c r="F13" i="35"/>
  <c r="H13" i="35" s="1"/>
  <c r="H14" i="35" s="1"/>
  <c r="G12" i="35"/>
  <c r="G14" i="35" s="1"/>
  <c r="F11" i="35"/>
  <c r="F8" i="35"/>
  <c r="F9" i="35" s="1"/>
  <c r="F29" i="34"/>
  <c r="E22" i="34"/>
  <c r="E18" i="34"/>
  <c r="F18" i="34" s="1"/>
  <c r="D18" i="34"/>
  <c r="E17" i="34"/>
  <c r="F17" i="34" s="1"/>
  <c r="E16" i="34"/>
  <c r="F16" i="34" s="1"/>
  <c r="E15" i="34"/>
  <c r="F15" i="34" s="1"/>
  <c r="D15" i="34"/>
  <c r="E14" i="34"/>
  <c r="E13" i="34"/>
  <c r="F13" i="34" s="1"/>
  <c r="E10" i="34"/>
  <c r="D10" i="34"/>
  <c r="F10" i="34" s="1"/>
  <c r="F11" i="34" s="1"/>
  <c r="G11" i="34" s="1"/>
  <c r="G29" i="34" s="1"/>
  <c r="F7" i="34"/>
  <c r="F8" i="34" s="1"/>
  <c r="E7" i="34"/>
  <c r="D7" i="34"/>
  <c r="B3" i="34"/>
  <c r="E22" i="33"/>
  <c r="D22" i="34" s="1"/>
  <c r="F22" i="34" s="1"/>
  <c r="D22" i="33"/>
  <c r="F22" i="33" s="1"/>
  <c r="E18" i="33"/>
  <c r="E17" i="33"/>
  <c r="D17" i="34" s="1"/>
  <c r="D17" i="33"/>
  <c r="F16" i="33"/>
  <c r="E16" i="33"/>
  <c r="D16" i="34" s="1"/>
  <c r="F15" i="33"/>
  <c r="E15" i="33"/>
  <c r="E14" i="33"/>
  <c r="E13" i="33"/>
  <c r="D13" i="34" s="1"/>
  <c r="D13" i="33"/>
  <c r="E10" i="33"/>
  <c r="F10" i="33" s="1"/>
  <c r="F11" i="33" s="1"/>
  <c r="F29" i="33" s="1"/>
  <c r="E7" i="33"/>
  <c r="D7" i="33"/>
  <c r="F7" i="33" s="1"/>
  <c r="F8" i="33" s="1"/>
  <c r="G8" i="33" s="1"/>
  <c r="G28" i="33" s="1"/>
  <c r="E3" i="33"/>
  <c r="B3" i="33"/>
  <c r="E22" i="32"/>
  <c r="F22" i="32" s="1"/>
  <c r="E18" i="32"/>
  <c r="D18" i="33" s="1"/>
  <c r="F18" i="33" s="1"/>
  <c r="D18" i="32"/>
  <c r="F18" i="32" s="1"/>
  <c r="E17" i="32"/>
  <c r="D17" i="32"/>
  <c r="F17" i="32" s="1"/>
  <c r="E16" i="32"/>
  <c r="D16" i="33" s="1"/>
  <c r="E15" i="32"/>
  <c r="D15" i="33" s="1"/>
  <c r="E14" i="32"/>
  <c r="D14" i="33" s="1"/>
  <c r="F13" i="32"/>
  <c r="E13" i="32"/>
  <c r="D13" i="32"/>
  <c r="F11" i="32"/>
  <c r="F29" i="32" s="1"/>
  <c r="F10" i="32"/>
  <c r="E10" i="32"/>
  <c r="D10" i="33" s="1"/>
  <c r="E7" i="32"/>
  <c r="F7" i="32" s="1"/>
  <c r="F8" i="32" s="1"/>
  <c r="F28" i="32" s="1"/>
  <c r="D7" i="32"/>
  <c r="E3" i="32"/>
  <c r="B3" i="32"/>
  <c r="E22" i="31"/>
  <c r="D22" i="32" s="1"/>
  <c r="D22" i="31"/>
  <c r="F22" i="31" s="1"/>
  <c r="E18" i="31"/>
  <c r="E17" i="31"/>
  <c r="D17" i="31"/>
  <c r="E16" i="31"/>
  <c r="D16" i="31"/>
  <c r="E15" i="31"/>
  <c r="D15" i="32" s="1"/>
  <c r="F15" i="32" s="1"/>
  <c r="E14" i="31"/>
  <c r="E13" i="31"/>
  <c r="D13" i="31"/>
  <c r="E10" i="31"/>
  <c r="D10" i="32" s="1"/>
  <c r="D10" i="31"/>
  <c r="F7" i="31"/>
  <c r="F8" i="31" s="1"/>
  <c r="G8" i="31" s="1"/>
  <c r="G28" i="31" s="1"/>
  <c r="E7" i="31"/>
  <c r="E3" i="31"/>
  <c r="B3" i="31"/>
  <c r="E22" i="30"/>
  <c r="D22" i="30"/>
  <c r="F22" i="30" s="1"/>
  <c r="F23" i="30" s="1"/>
  <c r="G23" i="30" s="1"/>
  <c r="G31" i="30" s="1"/>
  <c r="F18" i="30"/>
  <c r="E18" i="30"/>
  <c r="D18" i="31" s="1"/>
  <c r="E17" i="30"/>
  <c r="E16" i="30"/>
  <c r="E15" i="30"/>
  <c r="D15" i="31" s="1"/>
  <c r="D15" i="30"/>
  <c r="F14" i="30"/>
  <c r="E14" i="30"/>
  <c r="D14" i="31" s="1"/>
  <c r="F13" i="30"/>
  <c r="E13" i="30"/>
  <c r="E10" i="30"/>
  <c r="E7" i="30"/>
  <c r="D7" i="31" s="1"/>
  <c r="E3" i="30"/>
  <c r="B3" i="30"/>
  <c r="E22" i="29"/>
  <c r="D22" i="29"/>
  <c r="F18" i="29"/>
  <c r="E18" i="29"/>
  <c r="D18" i="30" s="1"/>
  <c r="D18" i="29"/>
  <c r="E17" i="29"/>
  <c r="D17" i="30" s="1"/>
  <c r="F17" i="30" s="1"/>
  <c r="E16" i="29"/>
  <c r="D16" i="30" s="1"/>
  <c r="E15" i="29"/>
  <c r="E14" i="29"/>
  <c r="D14" i="30" s="1"/>
  <c r="E13" i="29"/>
  <c r="D13" i="30" s="1"/>
  <c r="D13" i="29"/>
  <c r="F13" i="29" s="1"/>
  <c r="E10" i="29"/>
  <c r="D10" i="30" s="1"/>
  <c r="G8" i="29"/>
  <c r="G28" i="29" s="1"/>
  <c r="E7" i="29"/>
  <c r="F7" i="29" s="1"/>
  <c r="F8" i="29" s="1"/>
  <c r="F28" i="29" s="1"/>
  <c r="E3" i="29"/>
  <c r="B3" i="29"/>
  <c r="F22" i="28"/>
  <c r="E22" i="28"/>
  <c r="E18" i="28"/>
  <c r="E17" i="28"/>
  <c r="F17" i="28" s="1"/>
  <c r="E16" i="28"/>
  <c r="F16" i="28" s="1"/>
  <c r="E15" i="28"/>
  <c r="D15" i="28"/>
  <c r="E14" i="28"/>
  <c r="D14" i="29" s="1"/>
  <c r="F14" i="29" s="1"/>
  <c r="E13" i="28"/>
  <c r="F13" i="28" s="1"/>
  <c r="E10" i="28"/>
  <c r="D10" i="29" s="1"/>
  <c r="D10" i="28"/>
  <c r="F10" i="28" s="1"/>
  <c r="F11" i="28" s="1"/>
  <c r="F7" i="28"/>
  <c r="F8" i="28" s="1"/>
  <c r="G8" i="28" s="1"/>
  <c r="G28" i="28" s="1"/>
  <c r="E7" i="28"/>
  <c r="D7" i="29" s="1"/>
  <c r="D7" i="28"/>
  <c r="E3" i="28"/>
  <c r="B3" i="28"/>
  <c r="E22" i="27"/>
  <c r="D22" i="28" s="1"/>
  <c r="D22" i="27"/>
  <c r="F22" i="27" s="1"/>
  <c r="F31" i="27" s="1"/>
  <c r="E18" i="27"/>
  <c r="F17" i="27"/>
  <c r="E17" i="27"/>
  <c r="D17" i="28" s="1"/>
  <c r="D17" i="27"/>
  <c r="E16" i="27"/>
  <c r="D16" i="28" s="1"/>
  <c r="E15" i="27"/>
  <c r="E14" i="27"/>
  <c r="F14" i="27" s="1"/>
  <c r="E13" i="27"/>
  <c r="D13" i="28" s="1"/>
  <c r="D13" i="27"/>
  <c r="E10" i="27"/>
  <c r="E7" i="27"/>
  <c r="D7" i="27"/>
  <c r="F7" i="27" s="1"/>
  <c r="F8" i="27" s="1"/>
  <c r="E3" i="27"/>
  <c r="B3" i="27"/>
  <c r="E22" i="26"/>
  <c r="F22" i="26" s="1"/>
  <c r="D22" i="26"/>
  <c r="E18" i="26"/>
  <c r="D18" i="27" s="1"/>
  <c r="E17" i="26"/>
  <c r="D17" i="26"/>
  <c r="F17" i="26" s="1"/>
  <c r="E16" i="26"/>
  <c r="D16" i="27" s="1"/>
  <c r="E15" i="26"/>
  <c r="D15" i="27" s="1"/>
  <c r="F15" i="27" s="1"/>
  <c r="D15" i="26"/>
  <c r="F15" i="26" s="1"/>
  <c r="E14" i="26"/>
  <c r="D14" i="27" s="1"/>
  <c r="D14" i="26"/>
  <c r="F14" i="26" s="1"/>
  <c r="E13" i="26"/>
  <c r="D13" i="26"/>
  <c r="F13" i="26" s="1"/>
  <c r="E10" i="26"/>
  <c r="D10" i="27" s="1"/>
  <c r="E7" i="26"/>
  <c r="D7" i="26"/>
  <c r="E3" i="26"/>
  <c r="B3" i="26"/>
  <c r="E22" i="25"/>
  <c r="F22" i="25" s="1"/>
  <c r="F23" i="25" s="1"/>
  <c r="G23" i="25" s="1"/>
  <c r="G31" i="25" s="1"/>
  <c r="D22" i="25"/>
  <c r="E18" i="25"/>
  <c r="F18" i="25" s="1"/>
  <c r="E17" i="25"/>
  <c r="D17" i="25"/>
  <c r="E16" i="25"/>
  <c r="D16" i="25"/>
  <c r="E15" i="25"/>
  <c r="F15" i="25" s="1"/>
  <c r="E14" i="25"/>
  <c r="F14" i="25" s="1"/>
  <c r="E13" i="25"/>
  <c r="F13" i="25" s="1"/>
  <c r="D13" i="25"/>
  <c r="E10" i="25"/>
  <c r="D10" i="26" s="1"/>
  <c r="D10" i="25"/>
  <c r="E7" i="25"/>
  <c r="E3" i="25"/>
  <c r="B3" i="25"/>
  <c r="E22" i="24"/>
  <c r="E18" i="24"/>
  <c r="D18" i="25" s="1"/>
  <c r="E17" i="24"/>
  <c r="E16" i="24"/>
  <c r="F16" i="24" s="1"/>
  <c r="F15" i="24"/>
  <c r="E15" i="24"/>
  <c r="D15" i="25" s="1"/>
  <c r="D15" i="24"/>
  <c r="E14" i="24"/>
  <c r="D14" i="25" s="1"/>
  <c r="E13" i="24"/>
  <c r="E10" i="24"/>
  <c r="F7" i="24"/>
  <c r="F8" i="24" s="1"/>
  <c r="E7" i="24"/>
  <c r="D7" i="25" s="1"/>
  <c r="F7" i="25" s="1"/>
  <c r="F8" i="25" s="1"/>
  <c r="E3" i="24"/>
  <c r="B3" i="24"/>
  <c r="E22" i="23"/>
  <c r="E18" i="23"/>
  <c r="D18" i="24" s="1"/>
  <c r="D18" i="23"/>
  <c r="E17" i="23"/>
  <c r="D17" i="24" s="1"/>
  <c r="F17" i="24" s="1"/>
  <c r="E16" i="23"/>
  <c r="D16" i="24" s="1"/>
  <c r="D16" i="23"/>
  <c r="F16" i="23" s="1"/>
  <c r="E15" i="23"/>
  <c r="E14" i="23"/>
  <c r="D14" i="24" s="1"/>
  <c r="D14" i="23"/>
  <c r="E13" i="23"/>
  <c r="D13" i="24" s="1"/>
  <c r="F13" i="24" s="1"/>
  <c r="D13" i="23"/>
  <c r="F13" i="23" s="1"/>
  <c r="E10" i="23"/>
  <c r="D10" i="24" s="1"/>
  <c r="E7" i="23"/>
  <c r="D7" i="24" s="1"/>
  <c r="E3" i="23"/>
  <c r="B3" i="23"/>
  <c r="F28" i="22"/>
  <c r="F22" i="22"/>
  <c r="E22" i="22"/>
  <c r="D22" i="23" s="1"/>
  <c r="E18" i="22"/>
  <c r="E17" i="22"/>
  <c r="E16" i="22"/>
  <c r="F16" i="22" s="1"/>
  <c r="D16" i="22"/>
  <c r="E15" i="22"/>
  <c r="E14" i="22"/>
  <c r="E13" i="22"/>
  <c r="E10" i="22"/>
  <c r="D10" i="23" s="1"/>
  <c r="D10" i="22"/>
  <c r="F10" i="22" s="1"/>
  <c r="F11" i="22" s="1"/>
  <c r="F29" i="22" s="1"/>
  <c r="G8" i="22"/>
  <c r="G28" i="22" s="1"/>
  <c r="E7" i="22"/>
  <c r="F7" i="22" s="1"/>
  <c r="F8" i="22" s="1"/>
  <c r="D7" i="22"/>
  <c r="E3" i="22"/>
  <c r="B3" i="22"/>
  <c r="E22" i="21"/>
  <c r="D22" i="22" s="1"/>
  <c r="E18" i="21"/>
  <c r="D18" i="22" s="1"/>
  <c r="E17" i="21"/>
  <c r="D17" i="21"/>
  <c r="F16" i="21"/>
  <c r="E16" i="21"/>
  <c r="E15" i="21"/>
  <c r="D15" i="22" s="1"/>
  <c r="E14" i="21"/>
  <c r="D14" i="22" s="1"/>
  <c r="F13" i="21"/>
  <c r="E13" i="21"/>
  <c r="D13" i="22" s="1"/>
  <c r="D13" i="21"/>
  <c r="F10" i="21"/>
  <c r="F11" i="21" s="1"/>
  <c r="E10" i="21"/>
  <c r="E7" i="21"/>
  <c r="E3" i="21"/>
  <c r="B3" i="21"/>
  <c r="E22" i="20"/>
  <c r="D22" i="20"/>
  <c r="E18" i="20"/>
  <c r="D18" i="21" s="1"/>
  <c r="F18" i="21" s="1"/>
  <c r="E17" i="20"/>
  <c r="E16" i="20"/>
  <c r="D16" i="21" s="1"/>
  <c r="E15" i="20"/>
  <c r="D15" i="21" s="1"/>
  <c r="D15" i="20"/>
  <c r="E14" i="20"/>
  <c r="D14" i="21" s="1"/>
  <c r="F14" i="21" s="1"/>
  <c r="E13" i="20"/>
  <c r="E10" i="20"/>
  <c r="D10" i="21" s="1"/>
  <c r="E7" i="20"/>
  <c r="E3" i="20"/>
  <c r="B3" i="20"/>
  <c r="E22" i="19"/>
  <c r="F22" i="19" s="1"/>
  <c r="D22" i="19"/>
  <c r="E18" i="19"/>
  <c r="E17" i="19"/>
  <c r="D17" i="19"/>
  <c r="E16" i="19"/>
  <c r="F16" i="19" s="1"/>
  <c r="D16" i="19"/>
  <c r="E15" i="19"/>
  <c r="E14" i="19"/>
  <c r="D14" i="20" s="1"/>
  <c r="F14" i="20" s="1"/>
  <c r="E13" i="19"/>
  <c r="E10" i="19"/>
  <c r="D10" i="20" s="1"/>
  <c r="F10" i="20" s="1"/>
  <c r="F11" i="20" s="1"/>
  <c r="D10" i="19"/>
  <c r="F10" i="19" s="1"/>
  <c r="F11" i="19" s="1"/>
  <c r="E7" i="19"/>
  <c r="D7" i="20" s="1"/>
  <c r="E3" i="19"/>
  <c r="B3" i="19"/>
  <c r="E22" i="18"/>
  <c r="E18" i="18"/>
  <c r="D18" i="19" s="1"/>
  <c r="D18" i="18"/>
  <c r="F18" i="18" s="1"/>
  <c r="F17" i="18"/>
  <c r="E17" i="18"/>
  <c r="E16" i="18"/>
  <c r="E15" i="18"/>
  <c r="D15" i="19" s="1"/>
  <c r="D15" i="18"/>
  <c r="E14" i="18"/>
  <c r="D14" i="19" s="1"/>
  <c r="D14" i="18"/>
  <c r="F14" i="18" s="1"/>
  <c r="F13" i="18"/>
  <c r="E13" i="18"/>
  <c r="D13" i="19" s="1"/>
  <c r="E10" i="18"/>
  <c r="E7" i="18"/>
  <c r="E3" i="18"/>
  <c r="B3" i="18"/>
  <c r="E22" i="17"/>
  <c r="D22" i="17"/>
  <c r="E18" i="17"/>
  <c r="E17" i="17"/>
  <c r="D17" i="18" s="1"/>
  <c r="E16" i="17"/>
  <c r="D16" i="18" s="1"/>
  <c r="F16" i="18" s="1"/>
  <c r="D16" i="17"/>
  <c r="F16" i="17" s="1"/>
  <c r="E15" i="17"/>
  <c r="D15" i="17"/>
  <c r="F15" i="17" s="1"/>
  <c r="E14" i="17"/>
  <c r="E13" i="17"/>
  <c r="D13" i="18" s="1"/>
  <c r="D13" i="17"/>
  <c r="E10" i="17"/>
  <c r="D10" i="18" s="1"/>
  <c r="E7" i="17"/>
  <c r="D7" i="18" s="1"/>
  <c r="E3" i="17"/>
  <c r="B3" i="17"/>
  <c r="F28" i="16"/>
  <c r="E22" i="16"/>
  <c r="F22" i="16" s="1"/>
  <c r="F31" i="16" s="1"/>
  <c r="E18" i="16"/>
  <c r="E17" i="16"/>
  <c r="D17" i="17" s="1"/>
  <c r="F17" i="17" s="1"/>
  <c r="D17" i="16"/>
  <c r="F16" i="16"/>
  <c r="E16" i="16"/>
  <c r="D16" i="16"/>
  <c r="E15" i="16"/>
  <c r="E14" i="16"/>
  <c r="E13" i="16"/>
  <c r="E10" i="16"/>
  <c r="D10" i="17" s="1"/>
  <c r="F10" i="17" s="1"/>
  <c r="F11" i="17" s="1"/>
  <c r="D10" i="16"/>
  <c r="F10" i="16" s="1"/>
  <c r="F11" i="16" s="1"/>
  <c r="F7" i="16"/>
  <c r="F8" i="16" s="1"/>
  <c r="G8" i="16" s="1"/>
  <c r="G28" i="16" s="1"/>
  <c r="E7" i="16"/>
  <c r="D7" i="17" s="1"/>
  <c r="D7" i="16"/>
  <c r="E3" i="16"/>
  <c r="B3" i="16"/>
  <c r="E22" i="15"/>
  <c r="D22" i="16" s="1"/>
  <c r="E18" i="15"/>
  <c r="D18" i="16" s="1"/>
  <c r="E17" i="15"/>
  <c r="F17" i="15" s="1"/>
  <c r="D17" i="15"/>
  <c r="E16" i="15"/>
  <c r="E15" i="15"/>
  <c r="D15" i="16" s="1"/>
  <c r="E14" i="15"/>
  <c r="E13" i="15"/>
  <c r="D13" i="16" s="1"/>
  <c r="F13" i="16" s="1"/>
  <c r="D13" i="15"/>
  <c r="E10" i="15"/>
  <c r="F10" i="15" s="1"/>
  <c r="F11" i="15" s="1"/>
  <c r="E7" i="15"/>
  <c r="D7" i="15"/>
  <c r="F7" i="15" s="1"/>
  <c r="F8" i="15" s="1"/>
  <c r="E3" i="15"/>
  <c r="B3" i="15"/>
  <c r="E22" i="14"/>
  <c r="D22" i="15" s="1"/>
  <c r="D22" i="14"/>
  <c r="E18" i="14"/>
  <c r="D18" i="15" s="1"/>
  <c r="E17" i="14"/>
  <c r="E16" i="14"/>
  <c r="D16" i="14"/>
  <c r="E15" i="14"/>
  <c r="D15" i="15" s="1"/>
  <c r="D15" i="14"/>
  <c r="F14" i="14"/>
  <c r="E14" i="14"/>
  <c r="D14" i="15" s="1"/>
  <c r="E13" i="14"/>
  <c r="D13" i="14"/>
  <c r="F13" i="14" s="1"/>
  <c r="F10" i="14"/>
  <c r="F11" i="14" s="1"/>
  <c r="E10" i="14"/>
  <c r="D10" i="15" s="1"/>
  <c r="D10" i="14"/>
  <c r="E7" i="14"/>
  <c r="E3" i="14"/>
  <c r="B3" i="14"/>
  <c r="F31" i="13"/>
  <c r="E22" i="13"/>
  <c r="D22" i="13"/>
  <c r="F22" i="13" s="1"/>
  <c r="F23" i="13" s="1"/>
  <c r="G23" i="13" s="1"/>
  <c r="G31" i="13" s="1"/>
  <c r="E18" i="13"/>
  <c r="D18" i="14" s="1"/>
  <c r="F18" i="14" s="1"/>
  <c r="D18" i="13"/>
  <c r="E17" i="13"/>
  <c r="D17" i="13"/>
  <c r="E16" i="13"/>
  <c r="E15" i="13"/>
  <c r="D15" i="13"/>
  <c r="F15" i="13" s="1"/>
  <c r="E14" i="13"/>
  <c r="D14" i="14" s="1"/>
  <c r="E13" i="13"/>
  <c r="D13" i="13"/>
  <c r="E10" i="13"/>
  <c r="E7" i="13"/>
  <c r="D7" i="14" s="1"/>
  <c r="E3" i="13"/>
  <c r="B3" i="13"/>
  <c r="E22" i="12"/>
  <c r="E18" i="12"/>
  <c r="F18" i="12" s="1"/>
  <c r="D18" i="12"/>
  <c r="E17" i="12"/>
  <c r="E16" i="12"/>
  <c r="E15" i="12"/>
  <c r="D15" i="12"/>
  <c r="F15" i="12" s="1"/>
  <c r="E14" i="12"/>
  <c r="E13" i="12"/>
  <c r="E10" i="12"/>
  <c r="E7" i="12"/>
  <c r="D7" i="13" s="1"/>
  <c r="F7" i="13" s="1"/>
  <c r="F8" i="13" s="1"/>
  <c r="D7" i="12"/>
  <c r="E3" i="12"/>
  <c r="B3" i="12"/>
  <c r="E22" i="11"/>
  <c r="D22" i="11"/>
  <c r="E18" i="11"/>
  <c r="F17" i="11"/>
  <c r="E17" i="11"/>
  <c r="D17" i="12" s="1"/>
  <c r="E16" i="11"/>
  <c r="D16" i="12" s="1"/>
  <c r="F15" i="11"/>
  <c r="E15" i="11"/>
  <c r="D15" i="11"/>
  <c r="E14" i="11"/>
  <c r="D14" i="12" s="1"/>
  <c r="E13" i="11"/>
  <c r="D13" i="12" s="1"/>
  <c r="F13" i="12" s="1"/>
  <c r="F10" i="11"/>
  <c r="F11" i="11" s="1"/>
  <c r="G11" i="11" s="1"/>
  <c r="G29" i="11" s="1"/>
  <c r="E10" i="11"/>
  <c r="D10" i="12" s="1"/>
  <c r="E7" i="11"/>
  <c r="E3" i="11"/>
  <c r="B3" i="11"/>
  <c r="F22" i="10"/>
  <c r="E22" i="10"/>
  <c r="E18" i="10"/>
  <c r="D18" i="10"/>
  <c r="F17" i="10"/>
  <c r="E17" i="10"/>
  <c r="D17" i="11" s="1"/>
  <c r="D17" i="10"/>
  <c r="E16" i="10"/>
  <c r="E15" i="10"/>
  <c r="E14" i="10"/>
  <c r="D14" i="10"/>
  <c r="E13" i="10"/>
  <c r="F10" i="10"/>
  <c r="F11" i="10" s="1"/>
  <c r="E10" i="10"/>
  <c r="D10" i="11" s="1"/>
  <c r="E7" i="10"/>
  <c r="D7" i="11" s="1"/>
  <c r="F7" i="11" s="1"/>
  <c r="F8" i="11" s="1"/>
  <c r="D7" i="10"/>
  <c r="E3" i="10"/>
  <c r="B3" i="10"/>
  <c r="F31" i="9"/>
  <c r="F22" i="9"/>
  <c r="F23" i="9" s="1"/>
  <c r="G23" i="9" s="1"/>
  <c r="G31" i="9" s="1"/>
  <c r="E22" i="9"/>
  <c r="D22" i="10" s="1"/>
  <c r="D22" i="9"/>
  <c r="F18" i="9"/>
  <c r="E18" i="9"/>
  <c r="E17" i="9"/>
  <c r="D17" i="9"/>
  <c r="F17" i="9" s="1"/>
  <c r="E16" i="9"/>
  <c r="E15" i="9"/>
  <c r="D15" i="9"/>
  <c r="E14" i="9"/>
  <c r="E13" i="9"/>
  <c r="F13" i="9" s="1"/>
  <c r="D13" i="9"/>
  <c r="E10" i="9"/>
  <c r="D10" i="10" s="1"/>
  <c r="F7" i="9"/>
  <c r="F8" i="9" s="1"/>
  <c r="E7" i="9"/>
  <c r="D7" i="9"/>
  <c r="E3" i="9"/>
  <c r="B3" i="9"/>
  <c r="E22" i="8"/>
  <c r="F18" i="8"/>
  <c r="E18" i="8"/>
  <c r="D18" i="9" s="1"/>
  <c r="D18" i="8"/>
  <c r="E17" i="8"/>
  <c r="D17" i="8"/>
  <c r="F17" i="8" s="1"/>
  <c r="E16" i="8"/>
  <c r="D16" i="9" s="1"/>
  <c r="E15" i="8"/>
  <c r="E14" i="8"/>
  <c r="D14" i="9" s="1"/>
  <c r="F14" i="9" s="1"/>
  <c r="E13" i="8"/>
  <c r="E10" i="8"/>
  <c r="E7" i="8"/>
  <c r="E3" i="8"/>
  <c r="B3" i="8"/>
  <c r="E22" i="7"/>
  <c r="D22" i="8" s="1"/>
  <c r="F22" i="8" s="1"/>
  <c r="E18" i="7"/>
  <c r="D18" i="7"/>
  <c r="F18" i="7" s="1"/>
  <c r="E17" i="7"/>
  <c r="E16" i="7"/>
  <c r="E15" i="7"/>
  <c r="D15" i="8" s="1"/>
  <c r="F15" i="8" s="1"/>
  <c r="E14" i="7"/>
  <c r="F14" i="7" s="1"/>
  <c r="E13" i="7"/>
  <c r="F13" i="7" s="1"/>
  <c r="D13" i="7"/>
  <c r="F10" i="7"/>
  <c r="F11" i="7" s="1"/>
  <c r="E10" i="7"/>
  <c r="D10" i="8" s="1"/>
  <c r="D10" i="7"/>
  <c r="E7" i="7"/>
  <c r="F7" i="7" s="1"/>
  <c r="F8" i="7" s="1"/>
  <c r="E3" i="7"/>
  <c r="B3" i="7"/>
  <c r="E22" i="6"/>
  <c r="D22" i="7" s="1"/>
  <c r="D22" i="6"/>
  <c r="E18" i="6"/>
  <c r="F18" i="6" s="1"/>
  <c r="D18" i="6"/>
  <c r="E17" i="6"/>
  <c r="E16" i="6"/>
  <c r="D16" i="7" s="1"/>
  <c r="E15" i="6"/>
  <c r="D15" i="7" s="1"/>
  <c r="D15" i="6"/>
  <c r="E14" i="6"/>
  <c r="D14" i="7" s="1"/>
  <c r="E13" i="6"/>
  <c r="E10" i="6"/>
  <c r="F7" i="6"/>
  <c r="F8" i="6" s="1"/>
  <c r="E7" i="6"/>
  <c r="D7" i="7" s="1"/>
  <c r="E3" i="6"/>
  <c r="B3" i="6"/>
  <c r="E22" i="5"/>
  <c r="E18" i="5"/>
  <c r="E17" i="5"/>
  <c r="D17" i="6" s="1"/>
  <c r="F16" i="5"/>
  <c r="E16" i="5"/>
  <c r="D16" i="6" s="1"/>
  <c r="D16" i="5"/>
  <c r="E15" i="5"/>
  <c r="F15" i="5" s="1"/>
  <c r="D15" i="5"/>
  <c r="E14" i="5"/>
  <c r="D14" i="6" s="1"/>
  <c r="F14" i="6" s="1"/>
  <c r="E13" i="5"/>
  <c r="D13" i="6" s="1"/>
  <c r="E10" i="5"/>
  <c r="F10" i="5" s="1"/>
  <c r="F11" i="5" s="1"/>
  <c r="E7" i="5"/>
  <c r="D7" i="6" s="1"/>
  <c r="E3" i="5"/>
  <c r="B3" i="5"/>
  <c r="E22" i="4"/>
  <c r="F22" i="4" s="1"/>
  <c r="F31" i="4" s="1"/>
  <c r="E18" i="4"/>
  <c r="F18" i="4" s="1"/>
  <c r="E17" i="4"/>
  <c r="D17" i="5" s="1"/>
  <c r="F16" i="4"/>
  <c r="E16" i="4"/>
  <c r="F15" i="4"/>
  <c r="E15" i="4"/>
  <c r="E14" i="4"/>
  <c r="F14" i="4" s="1"/>
  <c r="E13" i="4"/>
  <c r="D13" i="5" s="1"/>
  <c r="G11" i="4"/>
  <c r="G29" i="4" s="1"/>
  <c r="F10" i="4"/>
  <c r="F11" i="4" s="1"/>
  <c r="F29" i="4" s="1"/>
  <c r="E10" i="4"/>
  <c r="D10" i="5" s="1"/>
  <c r="E7" i="4"/>
  <c r="F7" i="4" s="1"/>
  <c r="F8" i="4" s="1"/>
  <c r="E3" i="4"/>
  <c r="O37" i="3"/>
  <c r="E3" i="34" s="1"/>
  <c r="M32" i="2"/>
  <c r="L32" i="2"/>
  <c r="I32" i="1" s="1"/>
  <c r="J32" i="1" s="1"/>
  <c r="K32" i="2"/>
  <c r="J32" i="2"/>
  <c r="I32" i="2"/>
  <c r="H32" i="2"/>
  <c r="G32" i="2"/>
  <c r="F32" i="2"/>
  <c r="E32" i="2"/>
  <c r="E32" i="1" s="1"/>
  <c r="M31" i="2"/>
  <c r="G31" i="1" s="1"/>
  <c r="L31" i="2"/>
  <c r="I31" i="1" s="1"/>
  <c r="J31" i="1" s="1"/>
  <c r="K31" i="2"/>
  <c r="J31" i="2"/>
  <c r="E31" i="1" s="1"/>
  <c r="F31" i="1" s="1"/>
  <c r="I31" i="2"/>
  <c r="H31" i="2"/>
  <c r="G31" i="2"/>
  <c r="F31" i="2"/>
  <c r="E31" i="2"/>
  <c r="M30" i="2"/>
  <c r="L30" i="2"/>
  <c r="K30" i="2"/>
  <c r="J30" i="2"/>
  <c r="I30" i="2"/>
  <c r="H30" i="2"/>
  <c r="G30" i="2"/>
  <c r="F30" i="2"/>
  <c r="E30" i="2"/>
  <c r="E30" i="1" s="1"/>
  <c r="F30" i="1" s="1"/>
  <c r="M29" i="2"/>
  <c r="L29" i="2"/>
  <c r="I29" i="1" s="1"/>
  <c r="J29" i="1" s="1"/>
  <c r="K29" i="2"/>
  <c r="J29" i="2"/>
  <c r="I29" i="2"/>
  <c r="H29" i="2"/>
  <c r="G29" i="2"/>
  <c r="F29" i="2"/>
  <c r="E29" i="2"/>
  <c r="M28" i="2"/>
  <c r="G28" i="1" s="1"/>
  <c r="L28" i="2"/>
  <c r="K28" i="2"/>
  <c r="J28" i="2"/>
  <c r="I28" i="2"/>
  <c r="H28" i="2"/>
  <c r="G28" i="2"/>
  <c r="F28" i="2"/>
  <c r="E28" i="1" s="1"/>
  <c r="F28" i="1" s="1"/>
  <c r="E28" i="2"/>
  <c r="M27" i="2"/>
  <c r="G27" i="1" s="1"/>
  <c r="L27" i="2"/>
  <c r="K27" i="2"/>
  <c r="J27" i="2"/>
  <c r="I27" i="2"/>
  <c r="H27" i="2"/>
  <c r="G27" i="2"/>
  <c r="F27" i="2"/>
  <c r="E27" i="2"/>
  <c r="E27" i="1" s="1"/>
  <c r="F27" i="1" s="1"/>
  <c r="M26" i="2"/>
  <c r="L26" i="2"/>
  <c r="K26" i="2"/>
  <c r="J26" i="2"/>
  <c r="I26" i="2"/>
  <c r="H26" i="2"/>
  <c r="G26" i="2"/>
  <c r="F26" i="2"/>
  <c r="E26" i="2"/>
  <c r="E26" i="1" s="1"/>
  <c r="F26" i="1" s="1"/>
  <c r="M25" i="2"/>
  <c r="L25" i="2"/>
  <c r="K25" i="2"/>
  <c r="J25" i="2"/>
  <c r="I25" i="2"/>
  <c r="H25" i="2"/>
  <c r="G25" i="2"/>
  <c r="F25" i="2"/>
  <c r="E25" i="2"/>
  <c r="E25" i="1" s="1"/>
  <c r="F25" i="1" s="1"/>
  <c r="N24" i="2"/>
  <c r="M24" i="2"/>
  <c r="L24" i="2"/>
  <c r="I24" i="1" s="1"/>
  <c r="J24" i="1" s="1"/>
  <c r="K24" i="2"/>
  <c r="J24" i="2"/>
  <c r="I24" i="2"/>
  <c r="H24" i="2"/>
  <c r="G24" i="2"/>
  <c r="F24" i="2"/>
  <c r="E24" i="2"/>
  <c r="E24" i="1" s="1"/>
  <c r="F24" i="1" s="1"/>
  <c r="N23" i="2"/>
  <c r="M23" i="2"/>
  <c r="G23" i="1" s="1"/>
  <c r="L23" i="2"/>
  <c r="K23" i="2"/>
  <c r="J23" i="2"/>
  <c r="I23" i="2"/>
  <c r="H23" i="2"/>
  <c r="G23" i="2"/>
  <c r="F23" i="2"/>
  <c r="E23" i="2"/>
  <c r="M22" i="2"/>
  <c r="G22" i="1" s="1"/>
  <c r="L22" i="2"/>
  <c r="I22" i="1" s="1"/>
  <c r="J22" i="1" s="1"/>
  <c r="K22" i="2"/>
  <c r="J22" i="2"/>
  <c r="I22" i="2"/>
  <c r="H22" i="2"/>
  <c r="G22" i="2"/>
  <c r="F22" i="2"/>
  <c r="E22" i="2"/>
  <c r="M21" i="2"/>
  <c r="L21" i="2"/>
  <c r="K21" i="2"/>
  <c r="J21" i="2"/>
  <c r="I21" i="2"/>
  <c r="H21" i="2"/>
  <c r="G21" i="2"/>
  <c r="F21" i="2"/>
  <c r="E21" i="2"/>
  <c r="M20" i="2"/>
  <c r="L20" i="2"/>
  <c r="I20" i="1" s="1"/>
  <c r="J20" i="1" s="1"/>
  <c r="K20" i="2"/>
  <c r="J20" i="2"/>
  <c r="E20" i="1" s="1"/>
  <c r="F20" i="1" s="1"/>
  <c r="I20" i="2"/>
  <c r="H20" i="2"/>
  <c r="G20" i="2"/>
  <c r="F20" i="2"/>
  <c r="E20" i="2"/>
  <c r="M19" i="2"/>
  <c r="L19" i="2"/>
  <c r="K19" i="2"/>
  <c r="J19" i="2"/>
  <c r="I19" i="2"/>
  <c r="H19" i="2"/>
  <c r="E19" i="1" s="1"/>
  <c r="F19" i="1" s="1"/>
  <c r="G19" i="2"/>
  <c r="F19" i="2"/>
  <c r="E19" i="2"/>
  <c r="M18" i="2"/>
  <c r="L18" i="2"/>
  <c r="K18" i="2"/>
  <c r="J18" i="2"/>
  <c r="I18" i="2"/>
  <c r="H18" i="2"/>
  <c r="G18" i="2"/>
  <c r="F18" i="2"/>
  <c r="E18" i="1" s="1"/>
  <c r="F18" i="1" s="1"/>
  <c r="E18" i="2"/>
  <c r="M17" i="2"/>
  <c r="L17" i="2"/>
  <c r="K17" i="2"/>
  <c r="J17" i="2"/>
  <c r="I17" i="2"/>
  <c r="H17" i="2"/>
  <c r="G17" i="2"/>
  <c r="F17" i="2"/>
  <c r="E17" i="2"/>
  <c r="E17" i="1" s="1"/>
  <c r="F17" i="1" s="1"/>
  <c r="M16" i="2"/>
  <c r="L16" i="2"/>
  <c r="K16" i="2"/>
  <c r="J16" i="2"/>
  <c r="I16" i="2"/>
  <c r="H16" i="2"/>
  <c r="G16" i="2"/>
  <c r="F16" i="2"/>
  <c r="E16" i="2"/>
  <c r="E16" i="1" s="1"/>
  <c r="F16" i="1" s="1"/>
  <c r="M15" i="2"/>
  <c r="G15" i="1" s="1"/>
  <c r="L15" i="2"/>
  <c r="K15" i="2"/>
  <c r="J15" i="2"/>
  <c r="I15" i="2"/>
  <c r="H15" i="2"/>
  <c r="G15" i="2"/>
  <c r="F15" i="2"/>
  <c r="E15" i="2"/>
  <c r="E15" i="1" s="1"/>
  <c r="F15" i="1" s="1"/>
  <c r="M14" i="2"/>
  <c r="L14" i="2"/>
  <c r="K14" i="2"/>
  <c r="J14" i="2"/>
  <c r="I14" i="2"/>
  <c r="H14" i="2"/>
  <c r="G14" i="2"/>
  <c r="F14" i="2"/>
  <c r="E14" i="2"/>
  <c r="E14" i="1" s="1"/>
  <c r="F14" i="1" s="1"/>
  <c r="M13" i="2"/>
  <c r="G13" i="1" s="1"/>
  <c r="L13" i="2"/>
  <c r="K13" i="2"/>
  <c r="J13" i="2"/>
  <c r="I13" i="2"/>
  <c r="H13" i="2"/>
  <c r="G13" i="2"/>
  <c r="F13" i="2"/>
  <c r="E13" i="2"/>
  <c r="M12" i="2"/>
  <c r="G12" i="1" s="1"/>
  <c r="L12" i="2"/>
  <c r="I12" i="1" s="1"/>
  <c r="J12" i="1" s="1"/>
  <c r="K12" i="2"/>
  <c r="J12" i="2"/>
  <c r="I12" i="2"/>
  <c r="H12" i="2"/>
  <c r="G12" i="2"/>
  <c r="F12" i="2"/>
  <c r="E12" i="2"/>
  <c r="E12" i="1" s="1"/>
  <c r="F12" i="1" s="1"/>
  <c r="M11" i="2"/>
  <c r="L11" i="2"/>
  <c r="I11" i="1" s="1"/>
  <c r="J11" i="1" s="1"/>
  <c r="K11" i="2"/>
  <c r="J11" i="2"/>
  <c r="I11" i="2"/>
  <c r="H11" i="2"/>
  <c r="G11" i="2"/>
  <c r="F11" i="2"/>
  <c r="E11" i="2"/>
  <c r="M10" i="2"/>
  <c r="G10" i="1" s="1"/>
  <c r="L10" i="2"/>
  <c r="I10" i="1" s="1"/>
  <c r="J10" i="1" s="1"/>
  <c r="K10" i="2"/>
  <c r="J10" i="2"/>
  <c r="E10" i="1" s="1"/>
  <c r="F10" i="1" s="1"/>
  <c r="I10" i="2"/>
  <c r="H10" i="2"/>
  <c r="G10" i="2"/>
  <c r="F10" i="2"/>
  <c r="E10" i="2"/>
  <c r="M9" i="2"/>
  <c r="L9" i="2"/>
  <c r="K9" i="2"/>
  <c r="J9" i="2"/>
  <c r="I9" i="2"/>
  <c r="E9" i="1" s="1"/>
  <c r="F9" i="1" s="1"/>
  <c r="H9" i="2"/>
  <c r="G9" i="2"/>
  <c r="F9" i="2"/>
  <c r="E9" i="2"/>
  <c r="M8" i="2"/>
  <c r="L8" i="2"/>
  <c r="K8" i="2"/>
  <c r="J8" i="2"/>
  <c r="I8" i="2"/>
  <c r="H8" i="2"/>
  <c r="E8" i="1" s="1"/>
  <c r="F8" i="1" s="1"/>
  <c r="G8" i="2"/>
  <c r="F8" i="2"/>
  <c r="E8" i="2"/>
  <c r="M7" i="2"/>
  <c r="L7" i="2"/>
  <c r="K7" i="2"/>
  <c r="J7" i="2"/>
  <c r="I7" i="2"/>
  <c r="H7" i="2"/>
  <c r="G7" i="2"/>
  <c r="F7" i="2"/>
  <c r="E7" i="1" s="1"/>
  <c r="F7" i="1" s="1"/>
  <c r="E7" i="2"/>
  <c r="M6" i="2"/>
  <c r="L6" i="2"/>
  <c r="I6" i="1" s="1"/>
  <c r="J6" i="1" s="1"/>
  <c r="K6" i="2"/>
  <c r="J6" i="2"/>
  <c r="I6" i="2"/>
  <c r="H6" i="2"/>
  <c r="G6" i="2"/>
  <c r="F6" i="2"/>
  <c r="E6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M5" i="2"/>
  <c r="L5" i="2"/>
  <c r="K5" i="2"/>
  <c r="J5" i="2"/>
  <c r="I5" i="2"/>
  <c r="H5" i="2"/>
  <c r="G5" i="2"/>
  <c r="F5" i="2"/>
  <c r="E5" i="2"/>
  <c r="E5" i="1" s="1"/>
  <c r="F5" i="1" s="1"/>
  <c r="B5" i="2"/>
  <c r="M4" i="2"/>
  <c r="L4" i="2"/>
  <c r="K4" i="2"/>
  <c r="J4" i="2"/>
  <c r="I4" i="2"/>
  <c r="H4" i="2"/>
  <c r="G4" i="2"/>
  <c r="F4" i="2"/>
  <c r="E4" i="2"/>
  <c r="E4" i="1" s="1"/>
  <c r="B4" i="2"/>
  <c r="M3" i="2"/>
  <c r="G3" i="1" s="1"/>
  <c r="L3" i="2"/>
  <c r="K3" i="2"/>
  <c r="J3" i="2"/>
  <c r="I3" i="2"/>
  <c r="H3" i="2"/>
  <c r="G3" i="2"/>
  <c r="F3" i="2"/>
  <c r="E3" i="1" s="1"/>
  <c r="F3" i="1" s="1"/>
  <c r="E3" i="2"/>
  <c r="B3" i="2"/>
  <c r="M2" i="2"/>
  <c r="G2" i="1" s="1"/>
  <c r="L2" i="2"/>
  <c r="I2" i="1" s="1"/>
  <c r="J2" i="1" s="1"/>
  <c r="K2" i="2"/>
  <c r="J2" i="2"/>
  <c r="I2" i="2"/>
  <c r="H2" i="2"/>
  <c r="G2" i="2"/>
  <c r="F2" i="2"/>
  <c r="E2" i="2"/>
  <c r="E2" i="1" s="1"/>
  <c r="F2" i="1" s="1"/>
  <c r="M32" i="1"/>
  <c r="N32" i="2" s="1"/>
  <c r="G32" i="1"/>
  <c r="F32" i="1"/>
  <c r="M31" i="1"/>
  <c r="N31" i="2" s="1"/>
  <c r="M30" i="1"/>
  <c r="N30" i="2" s="1"/>
  <c r="I30" i="1"/>
  <c r="J30" i="1" s="1"/>
  <c r="G30" i="1"/>
  <c r="M29" i="1"/>
  <c r="N29" i="2" s="1"/>
  <c r="G29" i="1"/>
  <c r="M28" i="1"/>
  <c r="N28" i="2" s="1"/>
  <c r="I28" i="1"/>
  <c r="J28" i="1" s="1"/>
  <c r="M27" i="1"/>
  <c r="N27" i="2" s="1"/>
  <c r="I27" i="1"/>
  <c r="J27" i="1" s="1"/>
  <c r="M26" i="1"/>
  <c r="N26" i="2" s="1"/>
  <c r="I26" i="1"/>
  <c r="J26" i="1" s="1"/>
  <c r="G26" i="1"/>
  <c r="M25" i="1"/>
  <c r="N25" i="2" s="1"/>
  <c r="I25" i="1"/>
  <c r="J25" i="1" s="1"/>
  <c r="G25" i="1"/>
  <c r="M24" i="1"/>
  <c r="G24" i="1"/>
  <c r="M23" i="1"/>
  <c r="I23" i="1"/>
  <c r="J23" i="1" s="1"/>
  <c r="E23" i="1"/>
  <c r="F23" i="1" s="1"/>
  <c r="M22" i="1"/>
  <c r="N22" i="2" s="1"/>
  <c r="E22" i="1"/>
  <c r="F22" i="1" s="1"/>
  <c r="M21" i="1"/>
  <c r="N21" i="2" s="1"/>
  <c r="I21" i="1"/>
  <c r="J21" i="1" s="1"/>
  <c r="G21" i="1"/>
  <c r="E21" i="1"/>
  <c r="F21" i="1" s="1"/>
  <c r="M20" i="1"/>
  <c r="N20" i="2" s="1"/>
  <c r="G20" i="1"/>
  <c r="M19" i="1"/>
  <c r="N19" i="2" s="1"/>
  <c r="I19" i="1"/>
  <c r="J19" i="1" s="1"/>
  <c r="G19" i="1"/>
  <c r="M18" i="1"/>
  <c r="N18" i="2" s="1"/>
  <c r="I18" i="1"/>
  <c r="J18" i="1" s="1"/>
  <c r="G18" i="1"/>
  <c r="M17" i="1"/>
  <c r="N17" i="2" s="1"/>
  <c r="I17" i="1"/>
  <c r="J17" i="1" s="1"/>
  <c r="G17" i="1"/>
  <c r="M16" i="1"/>
  <c r="N16" i="2" s="1"/>
  <c r="I16" i="1"/>
  <c r="J16" i="1" s="1"/>
  <c r="G16" i="1"/>
  <c r="M15" i="1"/>
  <c r="N15" i="2" s="1"/>
  <c r="I15" i="1"/>
  <c r="J15" i="1" s="1"/>
  <c r="M14" i="1"/>
  <c r="N14" i="2" s="1"/>
  <c r="I14" i="1"/>
  <c r="J14" i="1" s="1"/>
  <c r="G14" i="1"/>
  <c r="M13" i="1"/>
  <c r="N13" i="2" s="1"/>
  <c r="I13" i="1"/>
  <c r="J13" i="1" s="1"/>
  <c r="E13" i="1"/>
  <c r="F13" i="1" s="1"/>
  <c r="M12" i="1"/>
  <c r="N12" i="2" s="1"/>
  <c r="M11" i="1"/>
  <c r="N11" i="2" s="1"/>
  <c r="G11" i="1"/>
  <c r="E11" i="1"/>
  <c r="F11" i="1" s="1"/>
  <c r="M10" i="1"/>
  <c r="N10" i="2" s="1"/>
  <c r="M9" i="1"/>
  <c r="N9" i="2" s="1"/>
  <c r="I9" i="1"/>
  <c r="J9" i="1" s="1"/>
  <c r="G9" i="1"/>
  <c r="M8" i="1"/>
  <c r="N8" i="2" s="1"/>
  <c r="J8" i="1"/>
  <c r="I8" i="1"/>
  <c r="G8" i="1"/>
  <c r="M7" i="1"/>
  <c r="N7" i="2" s="1"/>
  <c r="J7" i="1"/>
  <c r="I7" i="1"/>
  <c r="G7" i="1"/>
  <c r="M6" i="1"/>
  <c r="N6" i="2" s="1"/>
  <c r="G6" i="1"/>
  <c r="E6" i="1"/>
  <c r="F6" i="1" s="1"/>
  <c r="M5" i="1"/>
  <c r="N5" i="2" s="1"/>
  <c r="J5" i="1"/>
  <c r="I5" i="1"/>
  <c r="G5" i="1"/>
  <c r="M4" i="1"/>
  <c r="N4" i="2" s="1"/>
  <c r="I4" i="1"/>
  <c r="J4" i="1" s="1"/>
  <c r="G4" i="1"/>
  <c r="F4" i="1"/>
  <c r="M3" i="1"/>
  <c r="N3" i="2" s="1"/>
  <c r="I3" i="1"/>
  <c r="J3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M2" i="1"/>
  <c r="N2" i="2" s="1"/>
  <c r="F29" i="5" l="1"/>
  <c r="G11" i="5"/>
  <c r="G29" i="5" s="1"/>
  <c r="F16" i="10"/>
  <c r="F29" i="14"/>
  <c r="G11" i="14"/>
  <c r="G29" i="14" s="1"/>
  <c r="F29" i="21"/>
  <c r="G11" i="21"/>
  <c r="G29" i="21" s="1"/>
  <c r="E29" i="1"/>
  <c r="F29" i="1" s="1"/>
  <c r="F28" i="6"/>
  <c r="G8" i="6"/>
  <c r="G28" i="6" s="1"/>
  <c r="F19" i="9"/>
  <c r="F28" i="25"/>
  <c r="G8" i="25"/>
  <c r="G28" i="25" s="1"/>
  <c r="F28" i="7"/>
  <c r="G8" i="7"/>
  <c r="G28" i="7" s="1"/>
  <c r="F23" i="8"/>
  <c r="G23" i="8" s="1"/>
  <c r="G31" i="8" s="1"/>
  <c r="F31" i="8"/>
  <c r="G8" i="13"/>
  <c r="G28" i="13" s="1"/>
  <c r="F28" i="13"/>
  <c r="G8" i="4"/>
  <c r="G28" i="4" s="1"/>
  <c r="F28" i="4"/>
  <c r="G8" i="11"/>
  <c r="G28" i="11" s="1"/>
  <c r="F28" i="11"/>
  <c r="F29" i="15"/>
  <c r="G11" i="15"/>
  <c r="G29" i="15" s="1"/>
  <c r="F29" i="17"/>
  <c r="G11" i="17"/>
  <c r="G29" i="17" s="1"/>
  <c r="F28" i="9"/>
  <c r="G8" i="9"/>
  <c r="G28" i="9" s="1"/>
  <c r="F28" i="24"/>
  <c r="G8" i="24"/>
  <c r="G28" i="24" s="1"/>
  <c r="G11" i="7"/>
  <c r="G29" i="7" s="1"/>
  <c r="F29" i="7"/>
  <c r="F14" i="12"/>
  <c r="F19" i="12" s="1"/>
  <c r="F29" i="10"/>
  <c r="G11" i="10"/>
  <c r="G29" i="10" s="1"/>
  <c r="G11" i="19"/>
  <c r="G29" i="19" s="1"/>
  <c r="F29" i="19"/>
  <c r="F29" i="16"/>
  <c r="G11" i="16"/>
  <c r="G29" i="16" s="1"/>
  <c r="F29" i="20"/>
  <c r="G11" i="20"/>
  <c r="G29" i="20" s="1"/>
  <c r="D16" i="10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D16" i="13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22" i="11"/>
  <c r="F7" i="12"/>
  <c r="F8" i="12" s="1"/>
  <c r="F22" i="14"/>
  <c r="F31" i="26"/>
  <c r="F23" i="26"/>
  <c r="G23" i="26" s="1"/>
  <c r="G31" i="26" s="1"/>
  <c r="F10" i="29"/>
  <c r="F11" i="29" s="1"/>
  <c r="F31" i="30"/>
  <c r="F15" i="31"/>
  <c r="D7" i="5"/>
  <c r="D14" i="5"/>
  <c r="F14" i="5" s="1"/>
  <c r="F22" i="6"/>
  <c r="D14" i="8"/>
  <c r="F14" i="8" s="1"/>
  <c r="D13" i="11"/>
  <c r="F13" i="10"/>
  <c r="F17" i="12"/>
  <c r="D14" i="13"/>
  <c r="F14" i="13" s="1"/>
  <c r="F15" i="14"/>
  <c r="F19" i="14" s="1"/>
  <c r="D14" i="16"/>
  <c r="F14" i="15"/>
  <c r="D7" i="19"/>
  <c r="F7" i="18"/>
  <c r="F8" i="18" s="1"/>
  <c r="F13" i="22"/>
  <c r="F23" i="22"/>
  <c r="G23" i="22" s="1"/>
  <c r="G31" i="22" s="1"/>
  <c r="F31" i="22"/>
  <c r="F23" i="19"/>
  <c r="G23" i="19" s="1"/>
  <c r="G31" i="19" s="1"/>
  <c r="F31" i="19"/>
  <c r="D22" i="21"/>
  <c r="F22" i="21" s="1"/>
  <c r="F22" i="20"/>
  <c r="F23" i="28"/>
  <c r="G23" i="28" s="1"/>
  <c r="G31" i="28" s="1"/>
  <c r="F31" i="28"/>
  <c r="D46" i="36"/>
  <c r="F11" i="36"/>
  <c r="F10" i="36"/>
  <c r="F12" i="36" s="1"/>
  <c r="D17" i="22"/>
  <c r="F17" i="22" s="1"/>
  <c r="F17" i="21"/>
  <c r="D13" i="8"/>
  <c r="F13" i="8" s="1"/>
  <c r="F13" i="4"/>
  <c r="F19" i="4" s="1"/>
  <c r="D7" i="8"/>
  <c r="F7" i="8" s="1"/>
  <c r="F8" i="8" s="1"/>
  <c r="F7" i="5"/>
  <c r="F8" i="5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F29" i="11"/>
  <c r="D16" i="15"/>
  <c r="F16" i="15" s="1"/>
  <c r="F16" i="14"/>
  <c r="F23" i="16"/>
  <c r="G23" i="16" s="1"/>
  <c r="G31" i="16" s="1"/>
  <c r="F15" i="22"/>
  <c r="D15" i="23"/>
  <c r="F15" i="23" s="1"/>
  <c r="F31" i="25"/>
  <c r="G11" i="28"/>
  <c r="G29" i="28" s="1"/>
  <c r="F29" i="28"/>
  <c r="F28" i="28"/>
  <c r="F31" i="33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F19" i="7" s="1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3" i="11"/>
  <c r="F10" i="9"/>
  <c r="F11" i="9" s="1"/>
  <c r="F17" i="4"/>
  <c r="F13" i="6"/>
  <c r="D17" i="7"/>
  <c r="F17" i="7" s="1"/>
  <c r="F7" i="10"/>
  <c r="F8" i="10" s="1"/>
  <c r="F16" i="13"/>
  <c r="D17" i="23"/>
  <c r="F17" i="23" s="1"/>
  <c r="F16" i="25"/>
  <c r="F19" i="25" s="1"/>
  <c r="D16" i="26"/>
  <c r="F16" i="26" s="1"/>
  <c r="D18" i="28"/>
  <c r="F18" i="27"/>
  <c r="D14" i="28"/>
  <c r="F14" i="28" s="1"/>
  <c r="F19" i="28" s="1"/>
  <c r="D17" i="29"/>
  <c r="F17" i="29" s="1"/>
  <c r="G11" i="32"/>
  <c r="G29" i="32" s="1"/>
  <c r="F31" i="32"/>
  <c r="F23" i="32"/>
  <c r="G23" i="32" s="1"/>
  <c r="G31" i="32" s="1"/>
  <c r="D14" i="34"/>
  <c r="F14" i="34" s="1"/>
  <c r="F19" i="34" s="1"/>
  <c r="F14" i="33"/>
  <c r="F10" i="8"/>
  <c r="F11" i="8" s="1"/>
  <c r="D10" i="9"/>
  <c r="D15" i="10"/>
  <c r="F15" i="10" s="1"/>
  <c r="F15" i="9"/>
  <c r="F22" i="23"/>
  <c r="D22" i="24"/>
  <c r="F22" i="24" s="1"/>
  <c r="F18" i="13"/>
  <c r="D22" i="12"/>
  <c r="F22" i="12" s="1"/>
  <c r="F22" i="17"/>
  <c r="D22" i="18"/>
  <c r="F22" i="18" s="1"/>
  <c r="F15" i="19"/>
  <c r="D16" i="20"/>
  <c r="F16" i="20" s="1"/>
  <c r="F18" i="11"/>
  <c r="F17" i="13"/>
  <c r="D17" i="14"/>
  <c r="F17" i="14" s="1"/>
  <c r="F18" i="15"/>
  <c r="F28" i="31"/>
  <c r="F23" i="35"/>
  <c r="E47" i="35" s="1"/>
  <c r="F17" i="19"/>
  <c r="F17" i="25"/>
  <c r="F15" i="28"/>
  <c r="F15" i="20"/>
  <c r="F10" i="23"/>
  <c r="F11" i="23" s="1"/>
  <c r="F10" i="25"/>
  <c r="F11" i="25" s="1"/>
  <c r="D18" i="26"/>
  <c r="F18" i="26" s="1"/>
  <c r="F19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F18" i="28"/>
  <c r="D15" i="29"/>
  <c r="F15" i="29" s="1"/>
  <c r="F19" i="29" s="1"/>
  <c r="F22" i="29"/>
  <c r="F15" i="30"/>
  <c r="F19" i="30" s="1"/>
  <c r="F10" i="31"/>
  <c r="F11" i="31" s="1"/>
  <c r="F31" i="35"/>
  <c r="F31" i="36"/>
  <c r="D18" i="11"/>
  <c r="F10" i="12"/>
  <c r="F11" i="12" s="1"/>
  <c r="F14" i="16"/>
  <c r="F19" i="16" s="1"/>
  <c r="F13" i="17"/>
  <c r="F19" i="17" s="1"/>
  <c r="F7" i="19"/>
  <c r="F8" i="19" s="1"/>
  <c r="F15" i="21"/>
  <c r="F19" i="21" s="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9" i="23" s="1"/>
  <c r="F16" i="27"/>
  <c r="G8" i="32"/>
  <c r="G28" i="32" s="1"/>
  <c r="D16" i="32"/>
  <c r="F16" i="32" s="1"/>
  <c r="F19" i="32" s="1"/>
  <c r="G11" i="33"/>
  <c r="G29" i="33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F30" i="30" l="1"/>
  <c r="G19" i="30"/>
  <c r="G30" i="30" s="1"/>
  <c r="F23" i="21"/>
  <c r="G23" i="21" s="1"/>
  <c r="G31" i="21" s="1"/>
  <c r="F31" i="21"/>
  <c r="F30" i="7"/>
  <c r="G19" i="7"/>
  <c r="G30" i="7" s="1"/>
  <c r="G19" i="12"/>
  <c r="G30" i="12" s="1"/>
  <c r="F30" i="12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19" i="23"/>
  <c r="G30" i="23" s="1"/>
  <c r="F30" i="23"/>
  <c r="G32" i="33"/>
  <c r="G19" i="32"/>
  <c r="G30" i="32" s="1"/>
  <c r="G32" i="32" s="1"/>
  <c r="F30" i="32"/>
  <c r="F30" i="28"/>
  <c r="G19" i="28"/>
  <c r="G30" i="28" s="1"/>
  <c r="G32" i="28" s="1"/>
  <c r="F30" i="14"/>
  <c r="G19" i="14"/>
  <c r="G30" i="14" s="1"/>
  <c r="G19" i="21"/>
  <c r="G30" i="21" s="1"/>
  <c r="F30" i="21"/>
  <c r="F30" i="16"/>
  <c r="G19" i="16"/>
  <c r="G30" i="16" s="1"/>
  <c r="G32" i="16" s="1"/>
  <c r="G19" i="24"/>
  <c r="G30" i="24" s="1"/>
  <c r="F30" i="24"/>
  <c r="F19" i="11"/>
  <c r="F29" i="25"/>
  <c r="G11" i="25"/>
  <c r="G29" i="25" s="1"/>
  <c r="G32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G32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G32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30" i="9"/>
  <c r="F28" i="8"/>
  <c r="G8" i="8"/>
  <c r="G28" i="8" s="1"/>
  <c r="F30" i="4"/>
  <c r="G19" i="4"/>
  <c r="G30" i="4" s="1"/>
  <c r="G32" i="4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G32" i="7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E50" i="35" l="1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9"/>
  <c r="G32" i="17"/>
  <c r="F30" i="22"/>
  <c r="G19" i="22"/>
  <c r="G30" i="22" s="1"/>
  <c r="G32" i="22" s="1"/>
  <c r="F30" i="31"/>
  <c r="G19" i="31"/>
  <c r="G30" i="31" s="1"/>
  <c r="F30" i="10"/>
  <c r="G19" i="10"/>
  <c r="G30" i="10" s="1"/>
  <c r="G19" i="11"/>
  <c r="G30" i="11" s="1"/>
  <c r="G32" i="11" s="1"/>
  <c r="F30" i="11"/>
  <c r="G32" i="10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<sst xmlns="http://schemas.openxmlformats.org/spreadsheetml/2006/main" count="2286" uniqueCount="181">
  <si>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</si>
  <si>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</si>
  <si>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</si>
  <si>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</si>
  <si>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</si>
  <si>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</si>
  <si>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</si>
  <si>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</si>
  <si>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</si>
  <si>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</si>
  <si>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</si>
  <si>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</si>
  <si>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</si>
  <si>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</si>
  <si>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</si>
  <si>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</si>
  <si>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</si>
  <si>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</si>
  <si>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</si>
  <si>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</si>
  <si>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</si>
  <si>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</si>
  <si>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JANUARY 2024 UTILITY READING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</si>
  <si>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</si>
  <si>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</si>
  <si>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</si>
  <si>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</si>
  <si>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</si>
  <si>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</si>
  <si>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</si>
  <si>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</si>
  <si>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</si>
  <si>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</si>
  <si>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</si>
  <si>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</si>
  <si>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</si>
  <si>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</si>
  <si>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</si>
  <si>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</si>
  <si>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</si>
  <si>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</si>
  <si>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</si>
  <si>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</si>
  <si>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</si>
  <si>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</si>
  <si>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</si>
  <si>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</si>
  <si>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</si>
  <si>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</si>
  <si>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JANUARY 2024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</si>
  <si>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</si>
  <si>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</si>
  <si>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</si>
  <si>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</si>
  <si>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</si>
  <si>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</si>
  <si>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</si>
  <si>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DECEMBER 31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</si>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</sst>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29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0" fontId="25" fillId="8" borderId="8" xfId="0" applyFont="1" applyFill="1" applyBorder="1" applyAlignment="1">
      <alignment horizontal="center"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68" fontId="11" fillId="8" borderId="8" xfId="1" applyFont="1" applyFill="1" applyBorder="1" applyAlignment="1" applyProtection="1">
      <alignment horizont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1" fontId="44" fillId="0" borderId="0" xfId="0" applyNumberFormat="1" applyFont="1" applyAlignment="1">
      <alignment horizontal="center" wrapText="1"/>
    </xf>
    <xf numFmtId="1" fontId="43" fillId="0" borderId="0" xfId="0" applyNumberFormat="1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abSelected="1" topLeftCell="B1" zoomScaleNormal="100" workbookViewId="0">
      <selection activeCell="J2" sqref="J2"/>
    </sheetView>
  </sheetViews>
  <sheetFormatPr defaultColWidth="11.5234375" defaultRowHeight="14.4"/>
  <cols>
    <col min="1" max="1" width="23" style="14" customWidth="1"/>
    <col min="2" max="2" width="11.5234375" style="14"/>
    <col min="3" max="3" width="11.5234375" style="15"/>
    <col min="4" max="4" width="13.47265625" style="14" customWidth="1"/>
    <col min="5" max="5" width="12.5234375" style="14" customWidth="1"/>
    <col min="6" max="6" width="12.5234375" style="16" customWidth="1"/>
    <col min="7" max="7" width="11.5234375" style="14"/>
    <col min="8" max="8" width="11.5234375" style="16"/>
    <col min="9" max="9" width="11.5234375" style="14"/>
    <col min="10" max="10" width="11.5234375" style="17"/>
    <col min="11" max="11" width="11.5234375" style="328"/>
    <col min="12" max="12" width="11.5234375" style="17"/>
    <col min="13" max="13" width="11.5234375" style="18"/>
    <col min="14" max="16384" width="11.5234375" style="14"/>
  </cols>
  <sheetData>
    <row r="1" spans="1:15" s="19" customFormat="1" ht="57.6">
      <c r="A1" s="19" t="s">
        <v>0</v>
      </c>
      <c r="B1" s="19" t="s">
        <v>1</v>
      </c>
      <c r="C1" s="20" t="s">
        <v>2</v>
      </c>
      <c r="D1" s="19" t="s">
        <v>3</v>
      </c>
      <c r="E1" s="21" t="s">
        <v>4</v>
      </c>
      <c r="F1" s="22" t="s">
        <v>5</v>
      </c>
      <c r="G1" s="21" t="s">
        <v>6</v>
      </c>
      <c r="H1" s="22" t="s">
        <v>7</v>
      </c>
      <c r="I1" s="21" t="s">
        <v>8</v>
      </c>
      <c r="J1" s="23" t="s">
        <v>180</v>
      </c>
      <c r="K1" s="327" t="s">
        <v>178</v>
      </c>
      <c r="L1" s="23" t="s">
        <v>179</v>
      </c>
      <c r="M1" s="24" t="s">
        <v>9</v>
      </c>
      <c r="N1" s="21" t="s">
        <v>10</v>
      </c>
    </row>
    <row r="2" spans="1:15">
      <c r="A2" s="14" t="s">
        <v>11</v>
      </c>
      <c r="B2" s="14">
        <v>1</v>
      </c>
      <c r="C2" s="15">
        <v>1</v>
      </c>
      <c r="D2" s="14">
        <v>2024</v>
      </c>
      <c r="E2" s="18">
        <f>Submetering!E2+Submetering!F2+Submetering!G2+Submetering!H2+Submetering!I2+Submetering!J2</f>
        <v>16896.000000000131</v>
      </c>
      <c r="F2" s="17">
        <f t="shared" ref="F2:F27" si="0">IF(E2=0,"0",(2000*0.23+2000*0.28+2000*0.32+(E2-6000)*0.38+0.065*E2)/E2)</f>
        <v>0.40830492424242454</v>
      </c>
      <c r="G2" s="18">
        <f>Submetering!M2</f>
        <v>550.56000000001075</v>
      </c>
      <c r="H2" s="25">
        <v>2.5</v>
      </c>
      <c r="I2" s="18">
        <f>Submetering!L2</f>
        <v>48613.148999999998</v>
      </c>
      <c r="J2" s="17">
        <f t="shared" ref="J2:J27" si="1">IF(I2=0,"0",(10000*0.035+10000*0.04+(I2-20000)*0.046+0.005*I2+0.01*I2)/I2)</f>
        <v>5.7503003744933279E-2</v>
      </c>
      <c r="K2" s="328">
        <f>Submetering!K2</f>
        <v>8672.369999999999</v>
      </c>
      <c r="L2" s="17">
        <f>0.568+0.075</f>
        <v>0.6429999999999999</v>
      </c>
      <c r="M2" s="18">
        <f>INT('Daily Meter'!O6*434/100)</f>
        <v>264</v>
      </c>
      <c r="N2" s="14" t="s">
        <v>12</v>
      </c>
      <c r="O2" s="19"/>
    </row>
    <row r="3" spans="1:15">
      <c r="A3" s="14" t="s">
        <v>11</v>
      </c>
      <c r="B3" s="14">
        <f t="shared" ref="B3:B32" si="2">B2+1</f>
        <v>2</v>
      </c>
      <c r="C3" s="15">
        <v>1</v>
      </c>
      <c r="D3" s="14">
        <v>2024</v>
      </c>
      <c r="E3" s="18">
        <f>Submetering!E3+Submetering!F3+Submetering!G3+Submetering!H3+Submetering!I3+Submetering!J3</f>
        <v>16223.999999999651</v>
      </c>
      <c r="F3" s="17">
        <f t="shared" si="0"/>
        <v>0.40678500986193211</v>
      </c>
      <c r="G3" s="18">
        <f>Submetering!M3</f>
        <v>480.26000000001079</v>
      </c>
      <c r="H3" s="25">
        <v>2.5</v>
      </c>
      <c r="I3" s="18">
        <f>Submetering!L3</f>
        <v>43113.923999999999</v>
      </c>
      <c r="J3" s="17">
        <f t="shared" si="1"/>
        <v>5.7056958304236009E-2</v>
      </c>
      <c r="K3" s="328">
        <f>Submetering!K3</f>
        <v>7933.0859999983441</v>
      </c>
      <c r="L3" s="17">
        <f t="shared" ref="L3:L32" si="3">0.568+0.075</f>
        <v>0.6429999999999999</v>
      </c>
      <c r="M3" s="18">
        <f>INT('Daily Meter'!O7*434/100)</f>
        <v>239</v>
      </c>
      <c r="N3" s="14" t="s">
        <v>12</v>
      </c>
      <c r="O3" s="19"/>
    </row>
    <row r="4" spans="1:15">
      <c r="A4" s="14" t="s">
        <v>11</v>
      </c>
      <c r="B4" s="14">
        <f t="shared" si="2"/>
        <v>3</v>
      </c>
      <c r="C4" s="15">
        <v>1</v>
      </c>
      <c r="D4" s="14">
        <v>2024</v>
      </c>
      <c r="E4" s="18">
        <f>Submetering!E4+Submetering!F4+Submetering!G4+Submetering!H4+Submetering!I4+Submetering!J4</f>
        <v>15935.999999999913</v>
      </c>
      <c r="F4" s="17">
        <f t="shared" si="0"/>
        <v>0.40609437751003996</v>
      </c>
      <c r="G4" s="18">
        <f>Submetering!M4</f>
        <v>443.26000000001079</v>
      </c>
      <c r="H4" s="25">
        <v>2.5</v>
      </c>
      <c r="I4" s="18">
        <f>Submetering!L4</f>
        <v>36514.853999999999</v>
      </c>
      <c r="J4" s="17">
        <f t="shared" si="1"/>
        <v>5.6344360407411184E-2</v>
      </c>
      <c r="K4" s="328">
        <f>Submetering!K4</f>
        <v>6852.5940000016544</v>
      </c>
      <c r="L4" s="17">
        <f t="shared" si="3"/>
        <v>0.6429999999999999</v>
      </c>
      <c r="M4" s="18">
        <f>INT('Daily Meter'!O8*434/100)</f>
        <v>232</v>
      </c>
      <c r="N4" s="14" t="s">
        <v>12</v>
      </c>
      <c r="O4" s="19"/>
    </row>
    <row r="5" spans="1:15">
      <c r="A5" s="14" t="s">
        <v>11</v>
      </c>
      <c r="B5" s="14">
        <f t="shared" si="2"/>
        <v>4</v>
      </c>
      <c r="C5" s="15">
        <v>1</v>
      </c>
      <c r="D5" s="14">
        <v>2024</v>
      </c>
      <c r="E5" s="18">
        <f>Submetering!E5+Submetering!F5+Submetering!G5+Submetering!H5+Submetering!I5+Submetering!J5</f>
        <v>15408.000000000611</v>
      </c>
      <c r="F5" s="17">
        <f t="shared" si="0"/>
        <v>0.40476116303219262</v>
      </c>
      <c r="G5" s="18">
        <f>Submetering!M5</f>
        <v>454.72999999997847</v>
      </c>
      <c r="H5" s="25">
        <v>2.5</v>
      </c>
      <c r="I5" s="18">
        <f>Submetering!L5</f>
        <v>37614.699000000001</v>
      </c>
      <c r="J5" s="17">
        <f t="shared" si="1"/>
        <v>5.6480490220059992E-2</v>
      </c>
      <c r="K5" s="328">
        <f>Submetering!K5</f>
        <v>6397.65</v>
      </c>
      <c r="L5" s="17">
        <f t="shared" si="3"/>
        <v>0.6429999999999999</v>
      </c>
      <c r="M5" s="18">
        <f>INT('Daily Meter'!O9*434/100)</f>
        <v>233</v>
      </c>
      <c r="N5" s="14" t="s">
        <v>12</v>
      </c>
      <c r="O5" s="19"/>
    </row>
    <row r="6" spans="1:15">
      <c r="A6" s="14" t="s">
        <v>11</v>
      </c>
      <c r="B6" s="14">
        <f t="shared" si="2"/>
        <v>5</v>
      </c>
      <c r="C6" s="15">
        <v>1</v>
      </c>
      <c r="D6" s="14">
        <v>2024</v>
      </c>
      <c r="E6" s="18">
        <f>Submetering!E6+Submetering!F6+Submetering!G6+Submetering!H6+Submetering!I6+Submetering!J6</f>
        <v>15552.000000000262</v>
      </c>
      <c r="F6" s="17">
        <f t="shared" si="0"/>
        <v>0.40513374485596776</v>
      </c>
      <c r="G6" s="18">
        <f>Submetering!M6</f>
        <v>452.13999999998924</v>
      </c>
      <c r="H6" s="25">
        <v>2.5</v>
      </c>
      <c r="I6" s="18">
        <f>Submetering!L6</f>
        <v>26176.310999999998</v>
      </c>
      <c r="J6" s="17">
        <f t="shared" si="1"/>
        <v>5.4505578383447537E-2</v>
      </c>
      <c r="K6" s="328">
        <f>Submetering!K6</f>
        <v>6397.65</v>
      </c>
      <c r="L6" s="17">
        <f t="shared" si="3"/>
        <v>0.6429999999999999</v>
      </c>
      <c r="M6" s="18">
        <f>INT('Daily Meter'!O10*434/100)</f>
        <v>227</v>
      </c>
      <c r="N6" s="14" t="s">
        <v>12</v>
      </c>
      <c r="O6" s="19"/>
    </row>
    <row r="7" spans="1:15">
      <c r="A7" s="14" t="s">
        <v>11</v>
      </c>
      <c r="B7" s="14">
        <f t="shared" si="2"/>
        <v>6</v>
      </c>
      <c r="C7" s="15">
        <v>1</v>
      </c>
      <c r="D7" s="14">
        <v>2024</v>
      </c>
      <c r="E7" s="18">
        <f>Submetering!E7+Submetering!F7+Submetering!G7+Submetering!H7+Submetering!I7+Submetering!J7</f>
        <v>15791.999999999825</v>
      </c>
      <c r="F7" s="17">
        <f t="shared" si="0"/>
        <v>0.40573961499493372</v>
      </c>
      <c r="G7" s="18">
        <f>Submetering!M7</f>
        <v>452.14000000004307</v>
      </c>
      <c r="H7" s="25">
        <v>2.5</v>
      </c>
      <c r="I7" s="18">
        <f>Submetering!L7</f>
        <v>48393.18</v>
      </c>
      <c r="J7" s="17">
        <f t="shared" si="1"/>
        <v>5.7487108307410259E-2</v>
      </c>
      <c r="K7" s="328">
        <f>Submetering!K7</f>
        <v>6028.0079999991722</v>
      </c>
      <c r="L7" s="17">
        <f t="shared" si="3"/>
        <v>0.6429999999999999</v>
      </c>
      <c r="M7" s="18">
        <f>INT('Daily Meter'!O11*434/100)</f>
        <v>214</v>
      </c>
      <c r="N7" s="14" t="s">
        <v>12</v>
      </c>
    </row>
    <row r="8" spans="1:15">
      <c r="A8" s="14" t="s">
        <v>11</v>
      </c>
      <c r="B8" s="14">
        <f t="shared" si="2"/>
        <v>7</v>
      </c>
      <c r="C8" s="15">
        <v>1</v>
      </c>
      <c r="D8" s="14">
        <v>2024</v>
      </c>
      <c r="E8" s="18">
        <f>Submetering!E8+Submetering!F8+Submetering!G8+Submetering!H8+Submetering!I8+Submetering!J8</f>
        <v>16463.999999999432</v>
      </c>
      <c r="F8" s="17">
        <f t="shared" si="0"/>
        <v>0.40734207968901726</v>
      </c>
      <c r="G8" s="18">
        <f>Submetering!M8</f>
        <v>441.77999999997849</v>
      </c>
      <c r="H8" s="25">
        <v>2.5</v>
      </c>
      <c r="I8" s="18">
        <f>Submetering!L8</f>
        <v>51912.684000000001</v>
      </c>
      <c r="J8" s="17">
        <f t="shared" si="1"/>
        <v>5.7725270456060407E-2</v>
      </c>
      <c r="K8" s="328">
        <f>Submetering!K8</f>
        <v>6028.0079999991722</v>
      </c>
      <c r="L8" s="17">
        <f t="shared" si="3"/>
        <v>0.6429999999999999</v>
      </c>
      <c r="M8" s="18">
        <f>INT('Daily Meter'!O12*434/100)</f>
        <v>171</v>
      </c>
      <c r="N8" s="14" t="s">
        <v>12</v>
      </c>
    </row>
    <row r="9" spans="1:15">
      <c r="A9" s="14" t="s">
        <v>11</v>
      </c>
      <c r="B9" s="14">
        <f t="shared" si="2"/>
        <v>8</v>
      </c>
      <c r="C9" s="15">
        <v>1</v>
      </c>
      <c r="D9" s="14">
        <v>2024</v>
      </c>
      <c r="E9" s="18">
        <f>Submetering!E9+Submetering!F9+Submetering!G9+Submetering!H9+Submetering!I9+Submetering!J9</f>
        <v>15744.000000000524</v>
      </c>
      <c r="F9" s="17">
        <f t="shared" si="0"/>
        <v>0.40561991869918834</v>
      </c>
      <c r="G9" s="18">
        <f>Submetering!M9</f>
        <v>419.21000000001078</v>
      </c>
      <c r="H9" s="25">
        <v>2.5</v>
      </c>
      <c r="I9" s="18">
        <f>Submetering!L9</f>
        <v>35634.977999999996</v>
      </c>
      <c r="J9" s="17">
        <f t="shared" si="1"/>
        <v>5.6229406343396654E-2</v>
      </c>
      <c r="K9" s="328">
        <f>Submetering!K9</f>
        <v>5402.4599999999991</v>
      </c>
      <c r="L9" s="17">
        <f t="shared" si="3"/>
        <v>0.6429999999999999</v>
      </c>
      <c r="M9" s="18">
        <f>INT('Daily Meter'!O13*434/100)</f>
        <v>308</v>
      </c>
      <c r="N9" s="14" t="s">
        <v>12</v>
      </c>
    </row>
    <row r="10" spans="1:15">
      <c r="A10" s="14" t="s">
        <v>11</v>
      </c>
      <c r="B10" s="14">
        <f t="shared" si="2"/>
        <v>9</v>
      </c>
      <c r="C10" s="15">
        <v>1</v>
      </c>
      <c r="D10" s="14">
        <v>2024</v>
      </c>
      <c r="E10" s="18">
        <f>Submetering!E10+Submetering!F10+Submetering!G10+Submetering!H10+Submetering!I10+Submetering!J10</f>
        <v>15983.999999999214</v>
      </c>
      <c r="F10" s="17">
        <f t="shared" si="0"/>
        <v>0.40621121121120934</v>
      </c>
      <c r="G10" s="18">
        <f>Submetering!M10</f>
        <v>444.73999999998927</v>
      </c>
      <c r="H10" s="25">
        <v>2.5</v>
      </c>
      <c r="I10" s="18">
        <f>Submetering!L10</f>
        <v>28815.938999999998</v>
      </c>
      <c r="J10" s="17">
        <f t="shared" si="1"/>
        <v>5.5100487233818753E-2</v>
      </c>
      <c r="K10" s="328">
        <f>Submetering!K10</f>
        <v>5914.2720000008267</v>
      </c>
      <c r="L10" s="17">
        <f t="shared" si="3"/>
        <v>0.6429999999999999</v>
      </c>
      <c r="M10" s="18">
        <f>INT('Daily Meter'!O14*434/100)</f>
        <v>343</v>
      </c>
      <c r="N10" s="14" t="s">
        <v>12</v>
      </c>
    </row>
    <row r="11" spans="1:15">
      <c r="A11" s="14" t="s">
        <v>11</v>
      </c>
      <c r="B11" s="14">
        <f t="shared" si="2"/>
        <v>10</v>
      </c>
      <c r="C11" s="15">
        <v>1</v>
      </c>
      <c r="D11" s="14">
        <v>2024</v>
      </c>
      <c r="E11" s="18">
        <f>Submetering!E11+Submetering!F11+Submetering!G11+Submetering!H11+Submetering!I11+Submetering!J11</f>
        <v>16176.000000001004</v>
      </c>
      <c r="F11" s="17">
        <f t="shared" si="0"/>
        <v>0.40667161226508641</v>
      </c>
      <c r="G11" s="18">
        <f>Submetering!M11</f>
        <v>473.6</v>
      </c>
      <c r="H11" s="25">
        <v>2.5</v>
      </c>
      <c r="I11" s="18">
        <f>Submetering!L11</f>
        <v>49053.087</v>
      </c>
      <c r="J11" s="17">
        <f t="shared" si="1"/>
        <v>5.7534366940045989E-2</v>
      </c>
      <c r="K11" s="328">
        <f>Submetering!K11</f>
        <v>5942.706000000413</v>
      </c>
      <c r="L11" s="17">
        <f t="shared" si="3"/>
        <v>0.6429999999999999</v>
      </c>
      <c r="M11" s="18">
        <f>INT('Daily Meter'!O15*434/100)</f>
        <v>376</v>
      </c>
      <c r="N11" s="14" t="s">
        <v>12</v>
      </c>
    </row>
    <row r="12" spans="1:15">
      <c r="A12" s="14" t="s">
        <v>11</v>
      </c>
      <c r="B12" s="14">
        <f t="shared" si="2"/>
        <v>11</v>
      </c>
      <c r="C12" s="15">
        <v>1</v>
      </c>
      <c r="D12" s="14">
        <v>2024</v>
      </c>
      <c r="E12" s="18">
        <f>Submetering!E12+Submetering!F12+Submetering!G12+Submetering!H12+Submetering!I12+Submetering!J12</f>
        <v>16175.99999999904</v>
      </c>
      <c r="F12" s="17">
        <f t="shared" si="0"/>
        <v>0.40667161226508181</v>
      </c>
      <c r="G12" s="18">
        <f>Submetering!M12</f>
        <v>397.75</v>
      </c>
      <c r="H12" s="25">
        <v>2.5</v>
      </c>
      <c r="I12" s="18">
        <f>Submetering!L12</f>
        <v>18917.333999999999</v>
      </c>
      <c r="J12" s="17">
        <f t="shared" si="1"/>
        <v>5.2013532879421599E-2</v>
      </c>
      <c r="K12" s="328">
        <f>Submetering!K12</f>
        <v>5828.9699999999993</v>
      </c>
      <c r="L12" s="17">
        <f t="shared" si="3"/>
        <v>0.6429999999999999</v>
      </c>
      <c r="M12" s="18">
        <f>INT('Daily Meter'!O16*434/100)</f>
        <v>303</v>
      </c>
      <c r="N12" s="14" t="s">
        <v>12</v>
      </c>
    </row>
    <row r="13" spans="1:15">
      <c r="A13" s="14" t="s">
        <v>11</v>
      </c>
      <c r="B13" s="14">
        <f t="shared" si="2"/>
        <v>12</v>
      </c>
      <c r="C13" s="15">
        <v>1</v>
      </c>
      <c r="D13" s="14">
        <v>2024</v>
      </c>
      <c r="E13" s="18">
        <f>Submetering!E13+Submetering!F13+Submetering!G13+Submetering!H13+Submetering!I13+Submetering!J13</f>
        <v>16512.00000000048</v>
      </c>
      <c r="F13" s="17">
        <f t="shared" si="0"/>
        <v>0.40745155038759806</v>
      </c>
      <c r="G13" s="18">
        <f>Submetering!M13</f>
        <v>651.93999999998925</v>
      </c>
      <c r="H13" s="25">
        <v>2.5</v>
      </c>
      <c r="I13" s="18">
        <f>Submetering!L13</f>
        <v>66870.576000000001</v>
      </c>
      <c r="J13" s="17">
        <f t="shared" si="1"/>
        <v>5.845777574878374E-2</v>
      </c>
      <c r="K13" s="328">
        <f>Submetering!K13</f>
        <v>5345.5919999987582</v>
      </c>
      <c r="L13" s="17">
        <f t="shared" si="3"/>
        <v>0.6429999999999999</v>
      </c>
      <c r="M13" s="18">
        <f>INT('Daily Meter'!O17*434/100)</f>
        <v>242</v>
      </c>
      <c r="N13" s="14" t="s">
        <v>12</v>
      </c>
    </row>
    <row r="14" spans="1:15">
      <c r="A14" s="14" t="s">
        <v>11</v>
      </c>
      <c r="B14" s="14">
        <f t="shared" si="2"/>
        <v>13</v>
      </c>
      <c r="C14" s="15">
        <v>1</v>
      </c>
      <c r="D14" s="14">
        <v>2024</v>
      </c>
      <c r="E14" s="18">
        <f>Submetering!E14+Submetering!F14+Submetering!G14+Submetering!H14+Submetering!I14+Submetering!J14</f>
        <v>16655.999999999694</v>
      </c>
      <c r="F14" s="17">
        <f t="shared" si="0"/>
        <v>0.40777617675312133</v>
      </c>
      <c r="G14" s="18">
        <f>Submetering!M14</f>
        <v>589.78000000003237</v>
      </c>
      <c r="H14" s="25">
        <v>2.5</v>
      </c>
      <c r="I14" s="18">
        <f>Submetering!L14</f>
        <v>55652.156999999999</v>
      </c>
      <c r="J14" s="17">
        <f t="shared" si="1"/>
        <v>5.7945311571661093E-2</v>
      </c>
      <c r="K14" s="328">
        <f>Submetering!K14</f>
        <v>5288.7240000016545</v>
      </c>
      <c r="L14" s="17">
        <f t="shared" si="3"/>
        <v>0.6429999999999999</v>
      </c>
      <c r="M14" s="18">
        <f>INT('Daily Meter'!O18*434/100)</f>
        <v>192</v>
      </c>
      <c r="N14" s="14" t="s">
        <v>12</v>
      </c>
    </row>
    <row r="15" spans="1:15">
      <c r="A15" s="14" t="s">
        <v>11</v>
      </c>
      <c r="B15" s="14">
        <f t="shared" si="2"/>
        <v>14</v>
      </c>
      <c r="C15" s="15">
        <v>1</v>
      </c>
      <c r="D15" s="14">
        <v>2024</v>
      </c>
      <c r="E15" s="18">
        <f>Submetering!E15+Submetering!F15+Submetering!G15+Submetering!H15+Submetering!I15+Submetering!J15</f>
        <v>15744.000000000742</v>
      </c>
      <c r="F15" s="17">
        <f t="shared" si="0"/>
        <v>0.4056199186991889</v>
      </c>
      <c r="G15" s="18">
        <f>Submetering!M15</f>
        <v>507.26999999996769</v>
      </c>
      <c r="H15" s="25">
        <v>2.5</v>
      </c>
      <c r="I15" s="18">
        <f>Submetering!L15</f>
        <v>42234.047999999995</v>
      </c>
      <c r="J15" s="17">
        <f t="shared" si="1"/>
        <v>5.6974811602240924E-2</v>
      </c>
      <c r="K15" s="328">
        <f>Submetering!K15</f>
        <v>5260.29</v>
      </c>
      <c r="L15" s="17">
        <f t="shared" si="3"/>
        <v>0.6429999999999999</v>
      </c>
      <c r="M15" s="18">
        <f>INT('Daily Meter'!O19*434/100)</f>
        <v>225</v>
      </c>
      <c r="N15" s="14" t="s">
        <v>12</v>
      </c>
    </row>
    <row r="16" spans="1:15">
      <c r="A16" s="14" t="s">
        <v>11</v>
      </c>
      <c r="B16" s="14">
        <f t="shared" si="2"/>
        <v>15</v>
      </c>
      <c r="C16" s="15">
        <v>1</v>
      </c>
      <c r="D16" s="14">
        <v>2024</v>
      </c>
      <c r="E16" s="18">
        <f>Submetering!E16+Submetering!F16+Submetering!G16+Submetering!H16+Submetering!I16+Submetering!J16</f>
        <v>15143.999999998996</v>
      </c>
      <c r="F16" s="17">
        <f t="shared" si="0"/>
        <v>0.4040596936080269</v>
      </c>
      <c r="G16" s="18">
        <f>Submetering!M16</f>
        <v>423.65000000000003</v>
      </c>
      <c r="H16" s="25">
        <v>2.5</v>
      </c>
      <c r="I16" s="18">
        <f>Submetering!L16</f>
        <v>38054.637000000002</v>
      </c>
      <c r="J16" s="17">
        <f t="shared" si="1"/>
        <v>5.6532738888036171E-2</v>
      </c>
      <c r="K16" s="328">
        <f>Submetering!K16</f>
        <v>5402.4599999999991</v>
      </c>
      <c r="L16" s="17">
        <f t="shared" si="3"/>
        <v>0.6429999999999999</v>
      </c>
      <c r="M16" s="18">
        <f>INT('Daily Meter'!O20*434/100)</f>
        <v>359</v>
      </c>
      <c r="N16" s="14" t="s">
        <v>12</v>
      </c>
    </row>
    <row r="17" spans="1:14">
      <c r="A17" s="14" t="s">
        <v>11</v>
      </c>
      <c r="B17" s="14">
        <f t="shared" si="2"/>
        <v>16</v>
      </c>
      <c r="C17" s="15">
        <v>1</v>
      </c>
      <c r="D17" s="14">
        <v>2024</v>
      </c>
      <c r="E17" s="18">
        <f>Submetering!E17+Submetering!F17+Submetering!G17+Submetering!H17+Submetering!I17+Submetering!J17</f>
        <v>14904.000000000306</v>
      </c>
      <c r="F17" s="17">
        <f t="shared" si="0"/>
        <v>0.40340042941492305</v>
      </c>
      <c r="G17" s="18">
        <f>Submetering!M17</f>
        <v>434.01000000001079</v>
      </c>
      <c r="H17" s="25">
        <v>2.5</v>
      </c>
      <c r="I17" s="18">
        <f>Submetering!L17</f>
        <v>37834.667999999998</v>
      </c>
      <c r="J17" s="17">
        <f t="shared" si="1"/>
        <v>5.6506766439710789E-2</v>
      </c>
      <c r="K17" s="328">
        <f>Submetering!K17</f>
        <v>5516.1959999983446</v>
      </c>
      <c r="L17" s="17">
        <f t="shared" si="3"/>
        <v>0.6429999999999999</v>
      </c>
      <c r="M17" s="18">
        <f>INT('Daily Meter'!O21*434/100)</f>
        <v>426</v>
      </c>
      <c r="N17" s="14" t="s">
        <v>12</v>
      </c>
    </row>
    <row r="18" spans="1:14">
      <c r="A18" s="14" t="s">
        <v>11</v>
      </c>
      <c r="B18" s="14">
        <f t="shared" si="2"/>
        <v>17</v>
      </c>
      <c r="C18" s="15">
        <v>1</v>
      </c>
      <c r="D18" s="14">
        <v>2024</v>
      </c>
      <c r="E18" s="18">
        <f>Submetering!E18+Submetering!F18+Submetering!G18+Submetering!H18+Submetering!I18+Submetering!J18</f>
        <v>15072.00000000048</v>
      </c>
      <c r="F18" s="17">
        <f t="shared" si="0"/>
        <v>0.40386411889596735</v>
      </c>
      <c r="G18" s="18">
        <f>Submetering!M18</f>
        <v>548.33999999998923</v>
      </c>
      <c r="H18" s="25">
        <v>2.5</v>
      </c>
      <c r="I18" s="18">
        <f>Submetering!L18</f>
        <v>43993.799999999996</v>
      </c>
      <c r="J18" s="17">
        <f t="shared" si="1"/>
        <v>5.7135819138151286E-2</v>
      </c>
      <c r="K18" s="328">
        <f>Submetering!K18</f>
        <v>6482.952000000827</v>
      </c>
      <c r="L18" s="17">
        <f t="shared" si="3"/>
        <v>0.6429999999999999</v>
      </c>
      <c r="M18" s="18">
        <f>INT('Daily Meter'!O22*434/100)</f>
        <v>430</v>
      </c>
      <c r="N18" s="14" t="s">
        <v>12</v>
      </c>
    </row>
    <row r="19" spans="1:14">
      <c r="A19" s="14" t="s">
        <v>11</v>
      </c>
      <c r="B19" s="14">
        <f t="shared" si="2"/>
        <v>18</v>
      </c>
      <c r="C19" s="15">
        <v>1</v>
      </c>
      <c r="D19" s="14">
        <v>2024</v>
      </c>
      <c r="E19" s="18">
        <f>Submetering!E19+Submetering!F19+Submetering!G19+Submetering!H19+Submetering!I19+Submetering!J19</f>
        <v>15407.999999999302</v>
      </c>
      <c r="F19" s="17">
        <f t="shared" si="0"/>
        <v>0.40476116303218923</v>
      </c>
      <c r="G19" s="18">
        <f>Submetering!M19</f>
        <v>545.01000000001079</v>
      </c>
      <c r="H19" s="25">
        <v>2.5</v>
      </c>
      <c r="I19" s="18">
        <f>Submetering!L19</f>
        <v>45313.614000000001</v>
      </c>
      <c r="J19" s="17">
        <f t="shared" si="1"/>
        <v>5.7248368095292511E-2</v>
      </c>
      <c r="K19" s="328">
        <f>Submetering!K19</f>
        <v>6141.7439999995859</v>
      </c>
      <c r="L19" s="17">
        <f t="shared" si="3"/>
        <v>0.6429999999999999</v>
      </c>
      <c r="M19" s="18">
        <f>INT('Daily Meter'!O23*434/100)</f>
        <v>376</v>
      </c>
      <c r="N19" s="14" t="s">
        <v>12</v>
      </c>
    </row>
    <row r="20" spans="1:14">
      <c r="A20" s="14" t="s">
        <v>11</v>
      </c>
      <c r="B20" s="14">
        <f t="shared" si="2"/>
        <v>19</v>
      </c>
      <c r="C20" s="15">
        <v>1</v>
      </c>
      <c r="D20" s="14">
        <v>2024</v>
      </c>
      <c r="E20" s="18">
        <f>Submetering!E20+Submetering!F20+Submetering!G20+Submetering!H20+Submetering!I20+Submetering!J20</f>
        <v>15744.000000000087</v>
      </c>
      <c r="F20" s="17">
        <f t="shared" si="0"/>
        <v>0.40561991869918723</v>
      </c>
      <c r="G20" s="18">
        <f>Submetering!M20</f>
        <v>535.02000000002158</v>
      </c>
      <c r="H20" s="25">
        <v>2.5</v>
      </c>
      <c r="I20" s="18">
        <f>Submetering!L20</f>
        <v>42234.047999999995</v>
      </c>
      <c r="J20" s="17">
        <f t="shared" si="1"/>
        <v>5.6974811602240924E-2</v>
      </c>
      <c r="K20" s="328">
        <f>Submetering!K20</f>
        <v>5772.1020000008266</v>
      </c>
      <c r="L20" s="17">
        <f t="shared" si="3"/>
        <v>0.6429999999999999</v>
      </c>
      <c r="M20" s="18">
        <f>INT('Daily Meter'!O24*434/100)</f>
        <v>312</v>
      </c>
      <c r="N20" s="14" t="s">
        <v>12</v>
      </c>
    </row>
    <row r="21" spans="1:14">
      <c r="A21" s="14" t="s">
        <v>11</v>
      </c>
      <c r="B21" s="14">
        <f t="shared" si="2"/>
        <v>20</v>
      </c>
      <c r="C21" s="15">
        <v>1</v>
      </c>
      <c r="D21" s="14">
        <v>2024</v>
      </c>
      <c r="E21" s="18">
        <f>Submetering!E21+Submetering!F21+Submetering!G21+Submetering!H21+Submetering!I21+Submetering!J21</f>
        <v>16560.000000000218</v>
      </c>
      <c r="F21" s="17">
        <f t="shared" si="0"/>
        <v>0.40756038647343046</v>
      </c>
      <c r="G21" s="18">
        <f>Submetering!M21</f>
        <v>515.40999999995699</v>
      </c>
      <c r="H21" s="25">
        <v>2.5</v>
      </c>
      <c r="I21" s="18">
        <f>Submetering!L21</f>
        <v>39814.388999999996</v>
      </c>
      <c r="J21" s="17">
        <f t="shared" si="1"/>
        <v>5.6730186892984841E-2</v>
      </c>
      <c r="K21" s="328">
        <f>Submetering!K21</f>
        <v>5942.706000000413</v>
      </c>
      <c r="L21" s="17">
        <f t="shared" si="3"/>
        <v>0.6429999999999999</v>
      </c>
      <c r="M21" s="18">
        <f>INT('Daily Meter'!O25*434/100)</f>
        <v>284</v>
      </c>
      <c r="N21" s="14" t="s">
        <v>12</v>
      </c>
    </row>
    <row r="22" spans="1:14">
      <c r="A22" s="14" t="s">
        <v>11</v>
      </c>
      <c r="B22" s="14">
        <f t="shared" si="2"/>
        <v>21</v>
      </c>
      <c r="C22" s="15">
        <v>1</v>
      </c>
      <c r="D22" s="14">
        <v>2024</v>
      </c>
      <c r="E22" s="18">
        <f>Submetering!E22+Submetering!F22+Submetering!G22+Submetering!H22+Submetering!I22+Submetering!J22</f>
        <v>16655.999999999694</v>
      </c>
      <c r="F22" s="17">
        <f t="shared" si="0"/>
        <v>0.40777617675312133</v>
      </c>
      <c r="G22" s="18">
        <f>Submetering!M22</f>
        <v>492.1</v>
      </c>
      <c r="H22" s="25">
        <v>2.5</v>
      </c>
      <c r="I22" s="18">
        <f>Submetering!L22</f>
        <v>38494.574999999997</v>
      </c>
      <c r="J22" s="17">
        <f t="shared" si="1"/>
        <v>5.6583793300744326E-2</v>
      </c>
      <c r="K22" s="328">
        <f>Submetering!K22</f>
        <v>6028.0079999991722</v>
      </c>
      <c r="L22" s="17">
        <f t="shared" si="3"/>
        <v>0.6429999999999999</v>
      </c>
      <c r="M22" s="18">
        <f>INT('Daily Meter'!O26*434/100)</f>
        <v>293</v>
      </c>
      <c r="N22" s="14" t="s">
        <v>12</v>
      </c>
    </row>
    <row r="23" spans="1:14">
      <c r="A23" s="14" t="s">
        <v>11</v>
      </c>
      <c r="B23" s="14">
        <f t="shared" si="2"/>
        <v>22</v>
      </c>
      <c r="C23" s="15">
        <v>1</v>
      </c>
      <c r="D23" s="14">
        <v>2024</v>
      </c>
      <c r="E23" s="18">
        <f>Submetering!E23+Submetering!F23+Submetering!G23+Submetering!H23+Submetering!I23+Submetering!J23</f>
        <v>16128.000000000393</v>
      </c>
      <c r="F23" s="17">
        <f t="shared" si="0"/>
        <v>0.40655753968254066</v>
      </c>
      <c r="G23" s="18">
        <f>Submetering!M23</f>
        <v>455.47000000002157</v>
      </c>
      <c r="H23" s="25">
        <v>2.5</v>
      </c>
      <c r="I23" s="18">
        <f>Submetering!L23</f>
        <v>26616.249</v>
      </c>
      <c r="J23" s="17">
        <f t="shared" si="1"/>
        <v>5.461292419529138E-2</v>
      </c>
      <c r="K23" s="328">
        <f>Submetering!K23</f>
        <v>5658.3660000004129</v>
      </c>
      <c r="L23" s="17">
        <f t="shared" si="3"/>
        <v>0.6429999999999999</v>
      </c>
      <c r="M23" s="18">
        <f>INT('Daily Meter'!O27*434/100)</f>
        <v>347</v>
      </c>
      <c r="N23" s="14" t="s">
        <v>12</v>
      </c>
    </row>
    <row r="24" spans="1:14">
      <c r="A24" s="14" t="s">
        <v>11</v>
      </c>
      <c r="B24" s="14">
        <f t="shared" si="2"/>
        <v>23</v>
      </c>
      <c r="C24" s="15">
        <v>1</v>
      </c>
      <c r="D24" s="14">
        <v>2024</v>
      </c>
      <c r="E24" s="18">
        <f>Submetering!E24+Submetering!F24+Submetering!G24+Submetering!H24+Submetering!I24+Submetering!J24</f>
        <v>16559.999999999345</v>
      </c>
      <c r="F24" s="17">
        <f t="shared" si="0"/>
        <v>0.40756038647342852</v>
      </c>
      <c r="G24" s="18">
        <f>Submetering!M24</f>
        <v>493.21000000001078</v>
      </c>
      <c r="H24" s="25">
        <v>2.5</v>
      </c>
      <c r="I24" s="18">
        <f>Submetering!L24</f>
        <v>44433.737999999998</v>
      </c>
      <c r="J24" s="17">
        <f t="shared" si="1"/>
        <v>5.717407835460523E-2</v>
      </c>
      <c r="K24" s="328">
        <f>Submetering!K24</f>
        <v>5885.8379999991721</v>
      </c>
      <c r="L24" s="17">
        <f t="shared" si="3"/>
        <v>0.6429999999999999</v>
      </c>
      <c r="M24" s="18">
        <f>INT('Daily Meter'!O28*434/100)</f>
        <v>357</v>
      </c>
      <c r="N24" s="14" t="s">
        <v>12</v>
      </c>
    </row>
    <row r="25" spans="1:14">
      <c r="A25" s="14" t="s">
        <v>11</v>
      </c>
      <c r="B25" s="14">
        <f t="shared" si="2"/>
        <v>24</v>
      </c>
      <c r="C25" s="15">
        <v>1</v>
      </c>
      <c r="D25" s="14">
        <v>2024</v>
      </c>
      <c r="E25" s="18">
        <f>Submetering!E25+Submetering!F25+Submetering!G25+Submetering!H25+Submetering!I25+Submetering!J25</f>
        <v>17088.000000000393</v>
      </c>
      <c r="F25" s="17">
        <f t="shared" si="0"/>
        <v>0.40871722846442032</v>
      </c>
      <c r="G25" s="18">
        <f>Submetering!M25</f>
        <v>504.3100000000108</v>
      </c>
      <c r="H25" s="25">
        <v>2.5</v>
      </c>
      <c r="I25" s="18">
        <f>Submetering!L25</f>
        <v>40034.358</v>
      </c>
      <c r="J25" s="17">
        <f t="shared" si="1"/>
        <v>5.6753647404561854E-2</v>
      </c>
      <c r="K25" s="328">
        <f>Submetering!K25</f>
        <v>6141.7439999995859</v>
      </c>
      <c r="L25" s="17">
        <f t="shared" si="3"/>
        <v>0.6429999999999999</v>
      </c>
      <c r="M25" s="18">
        <f>INT('Daily Meter'!O29*434/100)</f>
        <v>366</v>
      </c>
      <c r="N25" s="14" t="s">
        <v>12</v>
      </c>
    </row>
    <row r="26" spans="1:14">
      <c r="A26" s="14" t="s">
        <v>11</v>
      </c>
      <c r="B26" s="14">
        <f t="shared" si="2"/>
        <v>25</v>
      </c>
      <c r="C26" s="15">
        <v>1</v>
      </c>
      <c r="D26" s="14">
        <v>2024</v>
      </c>
      <c r="E26" s="18">
        <f>Submetering!E26+Submetering!F26+Submetering!G26+Submetering!H26+Submetering!I26+Submetering!J26</f>
        <v>16800.000000000437</v>
      </c>
      <c r="F26" s="17">
        <f t="shared" si="0"/>
        <v>0.40809523809523901</v>
      </c>
      <c r="G26" s="18">
        <f>Submetering!M26</f>
        <v>472.11999999996772</v>
      </c>
      <c r="H26" s="25">
        <v>2.5</v>
      </c>
      <c r="I26" s="18">
        <f>Submetering!L26</f>
        <v>37834.667999999998</v>
      </c>
      <c r="J26" s="17">
        <f t="shared" si="1"/>
        <v>5.6506766439710789E-2</v>
      </c>
      <c r="K26" s="328">
        <f>Submetering!K26</f>
        <v>5430.8940000016546</v>
      </c>
      <c r="L26" s="17">
        <f t="shared" si="3"/>
        <v>0.6429999999999999</v>
      </c>
      <c r="M26" s="18">
        <f>INT('Daily Meter'!O30*434/100)</f>
        <v>407</v>
      </c>
      <c r="N26" s="14" t="s">
        <v>12</v>
      </c>
    </row>
    <row r="27" spans="1:14">
      <c r="A27" s="14" t="s">
        <v>11</v>
      </c>
      <c r="B27" s="14">
        <f t="shared" si="2"/>
        <v>26</v>
      </c>
      <c r="C27" s="15">
        <v>1</v>
      </c>
      <c r="D27" s="14">
        <v>2024</v>
      </c>
      <c r="E27" s="18">
        <f>Submetering!E27+Submetering!F27+Submetering!G27+Submetering!H27+Submetering!I27+Submetering!J27</f>
        <v>16703.999999999869</v>
      </c>
      <c r="F27" s="17">
        <f t="shared" si="0"/>
        <v>0.40788314176245188</v>
      </c>
      <c r="G27" s="18">
        <f>Submetering!M27</f>
        <v>494.32000000002154</v>
      </c>
      <c r="H27" s="25">
        <v>2.5</v>
      </c>
      <c r="I27" s="18">
        <f>Submetering!L27</f>
        <v>37174.760999999999</v>
      </c>
      <c r="J27" s="17">
        <f t="shared" si="1"/>
        <v>5.642700489722046E-2</v>
      </c>
      <c r="K27" s="328">
        <f>Submetering!K27</f>
        <v>5772.1019999987584</v>
      </c>
      <c r="L27" s="17">
        <f t="shared" si="3"/>
        <v>0.6429999999999999</v>
      </c>
      <c r="M27" s="18">
        <f>INT('Daily Meter'!O31*434/100)</f>
        <v>0</v>
      </c>
      <c r="N27" s="14" t="s">
        <v>12</v>
      </c>
    </row>
    <row r="28" spans="1:14">
      <c r="A28" s="14" t="s">
        <v>11</v>
      </c>
      <c r="B28" s="14">
        <f t="shared" si="2"/>
        <v>27</v>
      </c>
      <c r="C28" s="15">
        <v>1</v>
      </c>
      <c r="D28" s="14">
        <v>2024</v>
      </c>
      <c r="E28" s="18">
        <f>Submetering!E28+Submetering!F28+Submetering!G28+Submetering!H28+Submetering!I28+Submetering!J28</f>
        <v>0</v>
      </c>
      <c r="F28" s="17">
        <f>IF(E28=0,0,(2000*0.23+2000*0.28+2000*0.32+(E28-6000)*0.38+0.065*E28)/E28)</f>
        <v>0</v>
      </c>
      <c r="G28" s="18">
        <f>Submetering!M28</f>
        <v>0</v>
      </c>
      <c r="H28" s="25">
        <v>2.5</v>
      </c>
      <c r="I28" s="18">
        <f>Submetering!L28</f>
        <v>0</v>
      </c>
      <c r="J28" s="17">
        <f>IF(I28=0,0,(2000*0.23+2000*0.28+2000*0.32+(I28-6000)*0.38+0.065*I28)/I28)</f>
        <v>0</v>
      </c>
      <c r="K28" s="328">
        <f>Submetering!K28</f>
        <v>0</v>
      </c>
      <c r="L28" s="17">
        <f t="shared" si="3"/>
        <v>0.6429999999999999</v>
      </c>
      <c r="M28" s="18">
        <f>INT('Daily Meter'!O32*434/100)</f>
        <v>0</v>
      </c>
      <c r="N28" s="14" t="s">
        <v>12</v>
      </c>
    </row>
    <row r="29" spans="1:14">
      <c r="A29" s="14" t="s">
        <v>11</v>
      </c>
      <c r="B29" s="14">
        <f t="shared" si="2"/>
        <v>28</v>
      </c>
      <c r="C29" s="15">
        <v>1</v>
      </c>
      <c r="D29" s="14">
        <v>2024</v>
      </c>
      <c r="E29" s="18">
        <f>Submetering!E29+Submetering!F29+Submetering!G29+Submetering!H29+Submetering!I29+Submetering!J29</f>
        <v>0</v>
      </c>
      <c r="F29" s="17">
        <f>IF(E29=0,0,(2000*0.23+2000*0.28+2000*0.32+(E29-6000)*0.38+0.065*E29)/E29)</f>
        <v>0</v>
      </c>
      <c r="G29" s="18">
        <f>Submetering!M29</f>
        <v>0</v>
      </c>
      <c r="H29" s="25">
        <v>2.5</v>
      </c>
      <c r="I29" s="18">
        <f>Submetering!L29</f>
        <v>0</v>
      </c>
      <c r="J29" s="17">
        <f>IF(I29=0,0,(2000*0.23+2000*0.28+2000*0.32+(I29-6000)*0.38+0.065*I29)/I29)</f>
        <v>0</v>
      </c>
      <c r="K29" s="328">
        <f>Submetering!K29</f>
        <v>0</v>
      </c>
      <c r="L29" s="17">
        <f t="shared" si="3"/>
        <v>0.6429999999999999</v>
      </c>
      <c r="M29" s="18">
        <f>INT('Daily Meter'!O33*434/100)</f>
        <v>0</v>
      </c>
      <c r="N29" s="14" t="s">
        <v>12</v>
      </c>
    </row>
    <row r="30" spans="1:14">
      <c r="A30" s="14" t="s">
        <v>11</v>
      </c>
      <c r="B30" s="14">
        <f t="shared" si="2"/>
        <v>29</v>
      </c>
      <c r="C30" s="15">
        <v>1</v>
      </c>
      <c r="D30" s="14">
        <v>2024</v>
      </c>
      <c r="E30" s="18">
        <f>Submetering!E30+Submetering!F30+Submetering!G30+Submetering!H30+Submetering!I30+Submetering!J30</f>
        <v>0</v>
      </c>
      <c r="F30" s="17">
        <f>IF(E30=0,0,(2000*0.23+2000*0.28+2000*0.32+(E30-6000)*0.38+0.065*E30)/E30)</f>
        <v>0</v>
      </c>
      <c r="G30" s="18">
        <f>Submetering!M30</f>
        <v>0</v>
      </c>
      <c r="H30" s="25">
        <v>2.5</v>
      </c>
      <c r="I30" s="18">
        <f>Submetering!L30</f>
        <v>0</v>
      </c>
      <c r="J30" s="17">
        <f>IF(I30=0,0,(2000*0.23+2000*0.28+2000*0.32+(I30-6000)*0.38+0.065*I30)/I30)</f>
        <v>0</v>
      </c>
      <c r="K30" s="328">
        <f>Submetering!K30</f>
        <v>0</v>
      </c>
      <c r="L30" s="17">
        <f t="shared" si="3"/>
        <v>0.6429999999999999</v>
      </c>
      <c r="M30" s="18">
        <f>INT('Daily Meter'!O34*434/100)</f>
        <v>0</v>
      </c>
      <c r="N30" s="14" t="s">
        <v>12</v>
      </c>
    </row>
    <row r="31" spans="1:14">
      <c r="A31" s="14" t="s">
        <v>11</v>
      </c>
      <c r="B31" s="14">
        <f t="shared" si="2"/>
        <v>30</v>
      </c>
      <c r="C31" s="15">
        <v>1</v>
      </c>
      <c r="D31" s="14">
        <v>2024</v>
      </c>
      <c r="E31" s="18">
        <f>Submetering!E31+Submetering!F31+Submetering!G31+Submetering!H31+Submetering!I31+Submetering!J31</f>
        <v>0</v>
      </c>
      <c r="F31" s="17">
        <f>IF(E31=0,0,(2000*0.23+2000*0.28+2000*0.32+(E31-6000)*0.38+0.065*E31)/E31)</f>
        <v>0</v>
      </c>
      <c r="G31" s="18">
        <f>Submetering!M31</f>
        <v>0</v>
      </c>
      <c r="H31" s="25">
        <v>2.5</v>
      </c>
      <c r="I31" s="18">
        <f>Submetering!L31</f>
        <v>0</v>
      </c>
      <c r="J31" s="17">
        <f>IF(I31=0,0,(2000*0.23+2000*0.28+2000*0.32+(I31-6000)*0.38+0.065*I31)/I31)</f>
        <v>0</v>
      </c>
      <c r="K31" s="328">
        <f>Submetering!K31</f>
        <v>0</v>
      </c>
      <c r="L31" s="17">
        <f t="shared" si="3"/>
        <v>0.6429999999999999</v>
      </c>
      <c r="M31" s="18">
        <f>INT('Daily Meter'!O35*434/100)</f>
        <v>0</v>
      </c>
      <c r="N31" s="14" t="s">
        <v>12</v>
      </c>
    </row>
    <row r="32" spans="1:14">
      <c r="A32" s="14" t="s">
        <v>11</v>
      </c>
      <c r="B32" s="14">
        <f t="shared" si="2"/>
        <v>31</v>
      </c>
      <c r="C32" s="15">
        <v>1</v>
      </c>
      <c r="D32" s="14">
        <v>2024</v>
      </c>
      <c r="E32" s="18">
        <f>Submetering!E32+Submetering!F32+Submetering!G32+Submetering!H32+Submetering!I32+Submetering!J32</f>
        <v>0</v>
      </c>
      <c r="F32" s="17">
        <f>IF(E32=0,0,(2000*0.23+2000*0.28+2000*0.32+(E32-6000)*0.38+0.065*E32)/E32)</f>
        <v>0</v>
      </c>
      <c r="G32" s="18">
        <f>Submetering!M32</f>
        <v>0</v>
      </c>
      <c r="H32" s="25">
        <v>2.5</v>
      </c>
      <c r="I32" s="18">
        <f>Submetering!L32</f>
        <v>0</v>
      </c>
      <c r="J32" s="17">
        <f>IF(I32=0,0,(2000*0.23+2000*0.28+2000*0.32+(I32-6000)*0.38+0.065*I32)/I32)</f>
        <v>0</v>
      </c>
      <c r="K32" s="328">
        <f>Submetering!K32</f>
        <v>0</v>
      </c>
      <c r="L32" s="17">
        <f t="shared" si="3"/>
        <v>0.6429999999999999</v>
      </c>
      <c r="M32" s="18">
        <f>INT('Daily Meter'!O36*434/100)</f>
        <v>0</v>
      </c>
      <c r="N32" s="14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2"/>
  <sheetViews>
    <sheetView topLeftCell="B1" zoomScaleNormal="100" workbookViewId="0">
      <selection activeCell="M2" sqref="M2"/>
    </sheetView>
  </sheetViews>
  <sheetFormatPr defaultColWidth="11.5234375" defaultRowHeight="14.4"/>
  <cols>
    <col min="1" max="1" width="23" style="14" customWidth="1"/>
    <col min="2" max="2" width="11.5234375" style="14"/>
    <col min="3" max="3" width="11.5234375" style="15"/>
    <col min="4" max="4" width="13.47265625" style="14" customWidth="1"/>
    <col min="5" max="5" width="12.5234375" style="14" customWidth="1"/>
    <col min="6" max="6" width="12.5234375" style="16" customWidth="1"/>
    <col min="7" max="8" width="11.5234375" style="14"/>
    <col min="9" max="9" width="11.5234375" style="16"/>
    <col min="10" max="13" width="11.5234375" style="14"/>
    <col min="14" max="14" width="11.5234375" style="18"/>
    <col min="15" max="15" width="11.5234375" style="14"/>
  </cols>
  <sheetData>
    <row r="1" spans="1:15" s="26" customFormat="1" ht="28.8">
      <c r="A1" s="19" t="s">
        <v>0</v>
      </c>
      <c r="B1" s="19" t="s">
        <v>1</v>
      </c>
      <c r="C1" s="20" t="s">
        <v>2</v>
      </c>
      <c r="D1" s="19" t="s">
        <v>3</v>
      </c>
      <c r="E1" s="21" t="s">
        <v>13</v>
      </c>
      <c r="F1" s="22" t="s">
        <v>14</v>
      </c>
      <c r="G1" s="21" t="s">
        <v>15</v>
      </c>
      <c r="H1" s="21" t="s">
        <v>16</v>
      </c>
      <c r="I1" s="22" t="s">
        <v>17</v>
      </c>
      <c r="J1" s="21" t="s">
        <v>18</v>
      </c>
      <c r="K1" s="24" t="s">
        <v>19</v>
      </c>
      <c r="L1" s="21" t="s">
        <v>20</v>
      </c>
      <c r="M1" s="21" t="s">
        <v>21</v>
      </c>
      <c r="N1" s="24" t="s">
        <v>9</v>
      </c>
      <c r="O1" s="21" t="s">
        <v>10</v>
      </c>
    </row>
    <row r="2" spans="1:15">
      <c r="A2" s="14" t="s">
        <v>11</v>
      </c>
      <c r="B2" s="14">
        <v>1</v>
      </c>
      <c r="C2" s="15">
        <v>1</v>
      </c>
      <c r="D2" s="14">
        <v>2024</v>
      </c>
      <c r="E2" s="18">
        <f>IF(('Daily Meter'!H6-'1'!D13)&lt;0,"0",'Daily Meter'!H6-'1'!D13)*480</f>
        <v>3360</v>
      </c>
      <c r="F2" s="18">
        <f>IF(('Daily Meter'!I6-'1'!D14)&lt;0,"0",'Daily Meter'!I6-'1'!D14)*480</f>
        <v>1967.9999999999563</v>
      </c>
      <c r="G2" s="18">
        <f>IF(('Daily Meter'!J6-'1'!D15)&lt;0,"0",'Daily Meter'!J6-'1'!D15)*480</f>
        <v>2256.0000000003492</v>
      </c>
      <c r="H2" s="18">
        <f>IF(('Daily Meter'!K6-'1'!D16)&lt;0,"0",'Daily Meter'!K6-'1'!D16)*480</f>
        <v>1440</v>
      </c>
      <c r="I2" s="18">
        <f>IF(('Daily Meter'!L6-'1'!D17)&lt;0,"0",'Daily Meter'!L6-'1'!D17)*480</f>
        <v>2208.0000000001746</v>
      </c>
      <c r="J2" s="18">
        <f>IF(('Daily Meter'!M6-'1'!D18)&lt;0,"0",'Daily Meter'!M6-'1'!D18)*480</f>
        <v>5663.9999999996508</v>
      </c>
      <c r="K2" s="18">
        <f>IF(('Daily Meter'!B6-'1'!D7)&lt;0,"0",'Daily Meter'!B6-'1'!D7)*284.34</f>
        <v>8672.369999999999</v>
      </c>
      <c r="L2" s="18">
        <f>IF(('Daily Meter'!C6-'1'!D10)&lt;0,"0",'Daily Meter'!C6-'1'!D10)*219.969</f>
        <v>48613.148999999998</v>
      </c>
      <c r="M2" s="18">
        <f>IF(('Daily Meter'!N6-'1'!D22)&lt;0,"0",'Daily Meter'!N6-'1'!D22)*3.7</f>
        <v>550.56000000001075</v>
      </c>
      <c r="N2" s="18">
        <f>Total!M2</f>
        <v>264</v>
      </c>
      <c r="O2" s="14" t="s">
        <v>12</v>
      </c>
    </row>
    <row r="3" spans="1:15">
      <c r="A3" s="14" t="s">
        <v>11</v>
      </c>
      <c r="B3" s="14">
        <f t="shared" ref="B3:B32" si="0">B2+1</f>
        <v>2</v>
      </c>
      <c r="C3" s="15">
        <v>1</v>
      </c>
      <c r="D3" s="14">
        <v>2024</v>
      </c>
      <c r="E3" s="18">
        <f>IF(('Daily Meter'!H7-'Daily Meter'!H6)&lt;0,"0",'Daily Meter'!H7-'Daily Meter'!H6)*480</f>
        <v>3455.9999999999127</v>
      </c>
      <c r="F3" s="18">
        <f>IF(('Daily Meter'!I7-'Daily Meter'!I6)&lt;0,"0",'Daily Meter'!I7-'Daily Meter'!I6)*480</f>
        <v>1776.000000000131</v>
      </c>
      <c r="G3" s="18">
        <f>IF(('Daily Meter'!J7-'Daily Meter'!J6)&lt;0,"0",'Daily Meter'!J7-'Daily Meter'!J6)*480</f>
        <v>2063.9999999996508</v>
      </c>
      <c r="H3" s="18">
        <f>IF(('Daily Meter'!K7-'Daily Meter'!K6)&lt;0,"0",'Daily Meter'!K7-'Daily Meter'!K6)*480</f>
        <v>1247.9999999999563</v>
      </c>
      <c r="I3" s="18">
        <f>IF(('Daily Meter'!L7-'Daily Meter'!L6)&lt;0,"0",'Daily Meter'!L7-'Daily Meter'!L6)*480</f>
        <v>2111.9999999998254</v>
      </c>
      <c r="J3" s="18">
        <f>IF(('Daily Meter'!M7-'Daily Meter'!M6)&lt;0,"0",'Daily Meter'!M7-'Daily Meter'!M6)*480</f>
        <v>5568.0000000001746</v>
      </c>
      <c r="K3" s="18">
        <f>IF(('Daily Meter'!B7-'Daily Meter'!B6)&lt;0,"0",'Daily Meter'!B7-'Daily Meter'!B6)*284.34</f>
        <v>7933.0859999983441</v>
      </c>
      <c r="L3" s="18">
        <f>IF(('Daily Meter'!C7-'Daily Meter'!C6)&lt;0,"0",'Daily Meter'!C7-'Daily Meter'!C6)*219.969</f>
        <v>43113.923999999999</v>
      </c>
      <c r="M3" s="18">
        <f>IF(('Daily Meter'!N7-'Daily Meter'!N6)&lt;0,"0",'Daily Meter'!N7-'Daily Meter'!N6)*3.7</f>
        <v>480.26000000001079</v>
      </c>
      <c r="N3" s="18">
        <f>Total!M3</f>
        <v>239</v>
      </c>
      <c r="O3" s="14" t="s">
        <v>12</v>
      </c>
    </row>
    <row r="4" spans="1:15">
      <c r="A4" s="14" t="s">
        <v>11</v>
      </c>
      <c r="B4" s="14">
        <f t="shared" si="0"/>
        <v>3</v>
      </c>
      <c r="C4" s="15">
        <v>1</v>
      </c>
      <c r="D4" s="14">
        <v>2024</v>
      </c>
      <c r="E4" s="18">
        <f>IF(('Daily Meter'!H8-'Daily Meter'!H7)&lt;0,"0",'Daily Meter'!H8-'Daily Meter'!H7)*480</f>
        <v>3311.9999999998254</v>
      </c>
      <c r="F4" s="18">
        <f>IF(('Daily Meter'!I8-'Daily Meter'!I7)&lt;0,"0",'Daily Meter'!I8-'Daily Meter'!I7)*480</f>
        <v>1823.999999999869</v>
      </c>
      <c r="G4" s="18">
        <f>IF(('Daily Meter'!J8-'Daily Meter'!J7)&lt;0,"0",'Daily Meter'!J8-'Daily Meter'!J7)*480</f>
        <v>2016.0000000003492</v>
      </c>
      <c r="H4" s="18">
        <f>IF(('Daily Meter'!K8-'Daily Meter'!K7)&lt;0,"0",'Daily Meter'!K8-'Daily Meter'!K7)*480</f>
        <v>1247.9999999999563</v>
      </c>
      <c r="I4" s="18">
        <f>IF(('Daily Meter'!L8-'Daily Meter'!L7)&lt;0,"0",'Daily Meter'!L8-'Daily Meter'!L7)*480</f>
        <v>2112.0000000002619</v>
      </c>
      <c r="J4" s="18">
        <f>IF(('Daily Meter'!M8-'Daily Meter'!M7)&lt;0,"0",'Daily Meter'!M8-'Daily Meter'!M7)*480</f>
        <v>5423.9999999996508</v>
      </c>
      <c r="K4" s="18">
        <f>IF(('Daily Meter'!B8-'Daily Meter'!B7)&lt;0,"0",'Daily Meter'!B8-'Daily Meter'!B7)*284.34</f>
        <v>6852.5940000016544</v>
      </c>
      <c r="L4" s="18">
        <f>IF(('Daily Meter'!C8-'Daily Meter'!C7)&lt;0,"0",'Daily Meter'!C8-'Daily Meter'!C7)*219.969</f>
        <v>36514.853999999999</v>
      </c>
      <c r="M4" s="18">
        <f>IF(('Daily Meter'!N8-'Daily Meter'!N7)&lt;0,"0",'Daily Meter'!N8-'Daily Meter'!N7)*3.7</f>
        <v>443.26000000001079</v>
      </c>
      <c r="N4" s="18">
        <f>Total!M4</f>
        <v>232</v>
      </c>
      <c r="O4" s="14" t="s">
        <v>12</v>
      </c>
    </row>
    <row r="5" spans="1:15">
      <c r="A5" s="14" t="s">
        <v>11</v>
      </c>
      <c r="B5" s="14">
        <f t="shared" si="0"/>
        <v>4</v>
      </c>
      <c r="C5" s="15">
        <v>1</v>
      </c>
      <c r="D5" s="14">
        <v>2024</v>
      </c>
      <c r="E5" s="18">
        <f>IF(('Daily Meter'!H9-'Daily Meter'!H8)&lt;0,"0",'Daily Meter'!H9-'Daily Meter'!H8)*480</f>
        <v>3168.0000000001746</v>
      </c>
      <c r="F5" s="18">
        <f>IF(('Daily Meter'!I9-'Daily Meter'!I8)&lt;0,"0",'Daily Meter'!I9-'Daily Meter'!I8)*480</f>
        <v>1776.000000000131</v>
      </c>
      <c r="G5" s="18">
        <f>IF(('Daily Meter'!J9-'Daily Meter'!J8)&lt;0,"0",'Daily Meter'!J9-'Daily Meter'!J8)*480</f>
        <v>2111.9999999998254</v>
      </c>
      <c r="H5" s="18">
        <f>IF(('Daily Meter'!K9-'Daily Meter'!K8)&lt;0,"0",'Daily Meter'!K9-'Daily Meter'!K8)*480</f>
        <v>1247.9999999999563</v>
      </c>
      <c r="I5" s="18">
        <f>IF(('Daily Meter'!L9-'Daily Meter'!L8)&lt;0,"0",'Daily Meter'!L9-'Daily Meter'!L8)*480</f>
        <v>2160</v>
      </c>
      <c r="J5" s="18">
        <f>IF(('Daily Meter'!M9-'Daily Meter'!M8)&lt;0,"0",'Daily Meter'!M9-'Daily Meter'!M8)*480</f>
        <v>4944.0000000005239</v>
      </c>
      <c r="K5" s="18">
        <f>IF(('Daily Meter'!B9-'Daily Meter'!B8)&lt;0,"0",'Daily Meter'!B9-'Daily Meter'!B8)*284.34</f>
        <v>6397.65</v>
      </c>
      <c r="L5" s="18">
        <f>IF(('Daily Meter'!C9-'Daily Meter'!C8)&lt;0,"0",'Daily Meter'!C9-'Daily Meter'!C8)*219.969</f>
        <v>37614.699000000001</v>
      </c>
      <c r="M5" s="18">
        <f>IF(('Daily Meter'!N9-'Daily Meter'!N8)&lt;0,"0",'Daily Meter'!N9-'Daily Meter'!N8)*3.7</f>
        <v>454.72999999997847</v>
      </c>
      <c r="N5" s="18">
        <f>Total!M5</f>
        <v>233</v>
      </c>
      <c r="O5" s="14" t="s">
        <v>12</v>
      </c>
    </row>
    <row r="6" spans="1:15">
      <c r="A6" s="14" t="s">
        <v>11</v>
      </c>
      <c r="B6" s="14">
        <f t="shared" si="0"/>
        <v>5</v>
      </c>
      <c r="C6" s="15">
        <v>1</v>
      </c>
      <c r="D6" s="14">
        <v>2024</v>
      </c>
      <c r="E6" s="18">
        <f>IF(('Daily Meter'!H10-'Daily Meter'!H9)&lt;0,"0",'Daily Meter'!H10-'Daily Meter'!H9)*480</f>
        <v>3168.0000000001746</v>
      </c>
      <c r="F6" s="18">
        <f>IF(('Daily Meter'!I10-'Daily Meter'!I9)&lt;0,"0",'Daily Meter'!I10-'Daily Meter'!I9)*480</f>
        <v>1775.9999999999127</v>
      </c>
      <c r="G6" s="18">
        <f>IF(('Daily Meter'!J10-'Daily Meter'!J9)&lt;0,"0",'Daily Meter'!J10-'Daily Meter'!J9)*480</f>
        <v>2160</v>
      </c>
      <c r="H6" s="18">
        <f>IF(('Daily Meter'!K10-'Daily Meter'!K9)&lt;0,"0",'Daily Meter'!K10-'Daily Meter'!K9)*480</f>
        <v>1248.0000000001746</v>
      </c>
      <c r="I6" s="18">
        <f>IF(('Daily Meter'!L10-'Daily Meter'!L9)&lt;0,"0",'Daily Meter'!L10-'Daily Meter'!L9)*480</f>
        <v>2111.9999999998254</v>
      </c>
      <c r="J6" s="18">
        <f>IF(('Daily Meter'!M10-'Daily Meter'!M9)&lt;0,"0",'Daily Meter'!M10-'Daily Meter'!M9)*480</f>
        <v>5088.0000000001746</v>
      </c>
      <c r="K6" s="18">
        <f>IF(('Daily Meter'!B10-'Daily Meter'!B9)&lt;0,"0",'Daily Meter'!B10-'Daily Meter'!B9)*284.34</f>
        <v>6397.65</v>
      </c>
      <c r="L6" s="18">
        <f>IF(('Daily Meter'!C10-'Daily Meter'!C9)&lt;0,"0",'Daily Meter'!C10-'Daily Meter'!C9)*219.969</f>
        <v>26176.310999999998</v>
      </c>
      <c r="M6" s="18">
        <f>IF(('Daily Meter'!N10-'Daily Meter'!N9)&lt;0,"0",'Daily Meter'!N10-'Daily Meter'!N9)*3.7</f>
        <v>452.13999999998924</v>
      </c>
      <c r="N6" s="18">
        <f>Total!M6</f>
        <v>227</v>
      </c>
      <c r="O6" s="14" t="s">
        <v>12</v>
      </c>
    </row>
    <row r="7" spans="1:15">
      <c r="A7" s="14" t="s">
        <v>11</v>
      </c>
      <c r="B7" s="14">
        <f t="shared" si="0"/>
        <v>6</v>
      </c>
      <c r="C7" s="15">
        <v>1</v>
      </c>
      <c r="D7" s="14">
        <v>2024</v>
      </c>
      <c r="E7" s="18">
        <f>IF(('Daily Meter'!H11-'Daily Meter'!H10)&lt;0,"0",'Daily Meter'!H11-'Daily Meter'!H10)*480</f>
        <v>3215.9999999999127</v>
      </c>
      <c r="F7" s="18">
        <f>IF(('Daily Meter'!I11-'Daily Meter'!I10)&lt;0,"0",'Daily Meter'!I11-'Daily Meter'!I10)*480</f>
        <v>1776.000000000131</v>
      </c>
      <c r="G7" s="18">
        <f>IF(('Daily Meter'!J11-'Daily Meter'!J10)&lt;0,"0",'Daily Meter'!J11-'Daily Meter'!J10)*480</f>
        <v>2160</v>
      </c>
      <c r="H7" s="18">
        <f>IF(('Daily Meter'!K11-'Daily Meter'!K10)&lt;0,"0",'Daily Meter'!K11-'Daily Meter'!K10)*480</f>
        <v>1247.9999999999563</v>
      </c>
      <c r="I7" s="18">
        <f>IF(('Daily Meter'!L11-'Daily Meter'!L10)&lt;0,"0",'Daily Meter'!L11-'Daily Meter'!L10)*480</f>
        <v>2111.9999999998254</v>
      </c>
      <c r="J7" s="18">
        <f>IF(('Daily Meter'!M11-'Daily Meter'!M10)&lt;0,"0",'Daily Meter'!M11-'Daily Meter'!M10)*480</f>
        <v>5280</v>
      </c>
      <c r="K7" s="18">
        <f>IF(('Daily Meter'!B11-'Daily Meter'!B10)&lt;0,"0",'Daily Meter'!B11-'Daily Meter'!B10)*284.34</f>
        <v>6028.0079999991722</v>
      </c>
      <c r="L7" s="18">
        <f>IF(('Daily Meter'!C11-'Daily Meter'!C10)&lt;0,"0",'Daily Meter'!C11-'Daily Meter'!C10)*219.969</f>
        <v>48393.18</v>
      </c>
      <c r="M7" s="18">
        <f>IF(('Daily Meter'!N11-'Daily Meter'!N10)&lt;0,"0",'Daily Meter'!N11-'Daily Meter'!N10)*3.7</f>
        <v>452.14000000004307</v>
      </c>
      <c r="N7" s="18">
        <f>Total!M7</f>
        <v>214</v>
      </c>
      <c r="O7" s="14" t="s">
        <v>12</v>
      </c>
    </row>
    <row r="8" spans="1:15">
      <c r="A8" s="14" t="s">
        <v>11</v>
      </c>
      <c r="B8" s="14">
        <f t="shared" si="0"/>
        <v>7</v>
      </c>
      <c r="C8" s="15">
        <v>1</v>
      </c>
      <c r="D8" s="14">
        <v>2024</v>
      </c>
      <c r="E8" s="18">
        <f>IF(('Daily Meter'!H12-'Daily Meter'!H11)&lt;0,"0",'Daily Meter'!H12-'Daily Meter'!H11)*480</f>
        <v>3215.9999999999127</v>
      </c>
      <c r="F8" s="18">
        <f>IF(('Daily Meter'!I12-'Daily Meter'!I11)&lt;0,"0",'Daily Meter'!I12-'Daily Meter'!I11)*480</f>
        <v>1727.9999999999563</v>
      </c>
      <c r="G8" s="18">
        <f>IF(('Daily Meter'!J12-'Daily Meter'!J11)&lt;0,"0",'Daily Meter'!J12-'Daily Meter'!J11)*480</f>
        <v>2255.9999999999127</v>
      </c>
      <c r="H8" s="18">
        <f>IF(('Daily Meter'!K12-'Daily Meter'!K11)&lt;0,"0",'Daily Meter'!K12-'Daily Meter'!K11)*480</f>
        <v>1440</v>
      </c>
      <c r="I8" s="18">
        <f>IF(('Daily Meter'!L12-'Daily Meter'!L11)&lt;0,"0",'Daily Meter'!L12-'Daily Meter'!L11)*480</f>
        <v>2160</v>
      </c>
      <c r="J8" s="18">
        <f>IF(('Daily Meter'!M12-'Daily Meter'!M11)&lt;0,"0",'Daily Meter'!M12-'Daily Meter'!M11)*480</f>
        <v>5663.9999999996508</v>
      </c>
      <c r="K8" s="18">
        <f>IF(('Daily Meter'!B12-'Daily Meter'!B11)&lt;0,"0",'Daily Meter'!B12-'Daily Meter'!B11)*284.34</f>
        <v>6028.0079999991722</v>
      </c>
      <c r="L8" s="18">
        <f>IF(('Daily Meter'!C12-'Daily Meter'!C11)&lt;0,"0",'Daily Meter'!C12-'Daily Meter'!C11)*219.969</f>
        <v>51912.684000000001</v>
      </c>
      <c r="M8" s="18">
        <f>IF(('Daily Meter'!N12-'Daily Meter'!N11)&lt;0,"0",'Daily Meter'!N12-'Daily Meter'!N11)*3.7</f>
        <v>441.77999999997849</v>
      </c>
      <c r="N8" s="18">
        <f>Total!M8</f>
        <v>171</v>
      </c>
      <c r="O8" s="14" t="s">
        <v>12</v>
      </c>
    </row>
    <row r="9" spans="1:15">
      <c r="A9" s="14" t="s">
        <v>11</v>
      </c>
      <c r="B9" s="14">
        <f t="shared" si="0"/>
        <v>8</v>
      </c>
      <c r="C9" s="15">
        <v>1</v>
      </c>
      <c r="D9" s="14">
        <v>2024</v>
      </c>
      <c r="E9" s="18">
        <f>IF(('Daily Meter'!H13-'Daily Meter'!H12)&lt;0,"0",'Daily Meter'!H13-'Daily Meter'!H12)*480</f>
        <v>3215.9999999999127</v>
      </c>
      <c r="F9" s="18">
        <f>IF(('Daily Meter'!I13-'Daily Meter'!I12)&lt;0,"0",'Daily Meter'!I13-'Daily Meter'!I12)*480</f>
        <v>1680</v>
      </c>
      <c r="G9" s="18">
        <f>IF(('Daily Meter'!J13-'Daily Meter'!J12)&lt;0,"0",'Daily Meter'!J13-'Daily Meter'!J12)*480</f>
        <v>2208.0000000001746</v>
      </c>
      <c r="H9" s="18">
        <f>IF(('Daily Meter'!K13-'Daily Meter'!K12)&lt;0,"0",'Daily Meter'!K13-'Daily Meter'!K12)*480</f>
        <v>1200</v>
      </c>
      <c r="I9" s="18">
        <f>IF(('Daily Meter'!L13-'Daily Meter'!L12)&lt;0,"0",'Daily Meter'!L13-'Daily Meter'!L12)*480</f>
        <v>2064.0000000000873</v>
      </c>
      <c r="J9" s="18">
        <f>IF(('Daily Meter'!M13-'Daily Meter'!M12)&lt;0,"0",'Daily Meter'!M13-'Daily Meter'!M12)*480</f>
        <v>5376.0000000003492</v>
      </c>
      <c r="K9" s="18">
        <f>IF(('Daily Meter'!B13-'Daily Meter'!B12)&lt;0,"0",'Daily Meter'!B13-'Daily Meter'!B12)*284.34</f>
        <v>5402.4599999999991</v>
      </c>
      <c r="L9" s="18">
        <f>IF(('Daily Meter'!C13-'Daily Meter'!C12)&lt;0,"0",'Daily Meter'!C13-'Daily Meter'!C12)*219.969</f>
        <v>35634.977999999996</v>
      </c>
      <c r="M9" s="18">
        <f>IF(('Daily Meter'!N13-'Daily Meter'!N12)&lt;0,"0",'Daily Meter'!N13-'Daily Meter'!N12)*3.7</f>
        <v>419.21000000001078</v>
      </c>
      <c r="N9" s="18">
        <f>Total!M9</f>
        <v>308</v>
      </c>
      <c r="O9" s="14" t="s">
        <v>12</v>
      </c>
    </row>
    <row r="10" spans="1:15">
      <c r="A10" s="14" t="s">
        <v>11</v>
      </c>
      <c r="B10" s="14">
        <f t="shared" si="0"/>
        <v>9</v>
      </c>
      <c r="C10" s="15">
        <v>1</v>
      </c>
      <c r="D10" s="14">
        <v>2024</v>
      </c>
      <c r="E10" s="18">
        <f>IF(('Daily Meter'!H14-'Daily Meter'!H13)&lt;0,"0",'Daily Meter'!H14-'Daily Meter'!H13)*480</f>
        <v>3264.0000000000873</v>
      </c>
      <c r="F10" s="18">
        <f>IF(('Daily Meter'!I14-'Daily Meter'!I13)&lt;0,"0",'Daily Meter'!I14-'Daily Meter'!I13)*480</f>
        <v>1775.9999999999127</v>
      </c>
      <c r="G10" s="18">
        <f>IF(('Daily Meter'!J14-'Daily Meter'!J13)&lt;0,"0",'Daily Meter'!J14-'Daily Meter'!J13)*480</f>
        <v>2207.9999999997381</v>
      </c>
      <c r="H10" s="18">
        <f>IF(('Daily Meter'!K14-'Daily Meter'!K13)&lt;0,"0",'Daily Meter'!K14-'Daily Meter'!K13)*480</f>
        <v>1295.9999999999127</v>
      </c>
      <c r="I10" s="18">
        <f>IF(('Daily Meter'!L14-'Daily Meter'!L13)&lt;0,"0",'Daily Meter'!L14-'Daily Meter'!L13)*480</f>
        <v>2112.0000000002619</v>
      </c>
      <c r="J10" s="18">
        <f>IF(('Daily Meter'!M14-'Daily Meter'!M13)&lt;0,"0",'Daily Meter'!M14-'Daily Meter'!M13)*480</f>
        <v>5327.9999999993015</v>
      </c>
      <c r="K10" s="18">
        <f>IF(('Daily Meter'!B14-'Daily Meter'!B13)&lt;0,"0",'Daily Meter'!B14-'Daily Meter'!B13)*284.34</f>
        <v>5914.2720000008267</v>
      </c>
      <c r="L10" s="18">
        <f>IF(('Daily Meter'!C14-'Daily Meter'!C13)&lt;0,"0",'Daily Meter'!C14-'Daily Meter'!C13)*219.969</f>
        <v>28815.938999999998</v>
      </c>
      <c r="M10" s="18">
        <f>IF(('Daily Meter'!N14-'Daily Meter'!N13)&lt;0,"0",'Daily Meter'!N14-'Daily Meter'!N13)*3.7</f>
        <v>444.73999999998927</v>
      </c>
      <c r="N10" s="18">
        <f>Total!M10</f>
        <v>343</v>
      </c>
      <c r="O10" s="14" t="s">
        <v>12</v>
      </c>
    </row>
    <row r="11" spans="1:15">
      <c r="A11" s="14" t="s">
        <v>11</v>
      </c>
      <c r="B11" s="14">
        <f t="shared" si="0"/>
        <v>10</v>
      </c>
      <c r="C11" s="15">
        <v>1</v>
      </c>
      <c r="D11" s="14">
        <v>2024</v>
      </c>
      <c r="E11" s="18">
        <f>IF(('Daily Meter'!H15-'Daily Meter'!H14)&lt;0,"0",'Daily Meter'!H15-'Daily Meter'!H14)*480</f>
        <v>3264.0000000000873</v>
      </c>
      <c r="F11" s="18">
        <f>IF(('Daily Meter'!I15-'Daily Meter'!I14)&lt;0,"0",'Daily Meter'!I15-'Daily Meter'!I14)*480</f>
        <v>1967.9999999999563</v>
      </c>
      <c r="G11" s="18">
        <f>IF(('Daily Meter'!J15-'Daily Meter'!J14)&lt;0,"0",'Daily Meter'!J15-'Daily Meter'!J14)*480</f>
        <v>2256.0000000003492</v>
      </c>
      <c r="H11" s="18">
        <f>IF(('Daily Meter'!K15-'Daily Meter'!K14)&lt;0,"0",'Daily Meter'!K15-'Daily Meter'!K14)*480</f>
        <v>1344.0000000000873</v>
      </c>
      <c r="I11" s="18">
        <f>IF(('Daily Meter'!L15-'Daily Meter'!L14)&lt;0,"0",'Daily Meter'!L15-'Daily Meter'!L14)*480</f>
        <v>2111.9999999998254</v>
      </c>
      <c r="J11" s="18">
        <f>IF(('Daily Meter'!M15-'Daily Meter'!M14)&lt;0,"0",'Daily Meter'!M15-'Daily Meter'!M14)*480</f>
        <v>5232.0000000006985</v>
      </c>
      <c r="K11" s="18">
        <f>IF(('Daily Meter'!B15-'Daily Meter'!B14)&lt;0,"0",'Daily Meter'!B15-'Daily Meter'!B14)*284.34</f>
        <v>5942.706000000413</v>
      </c>
      <c r="L11" s="18">
        <f>IF(('Daily Meter'!C15-'Daily Meter'!C14)&lt;0,"0",'Daily Meter'!C15-'Daily Meter'!C14)*219.969</f>
        <v>49053.087</v>
      </c>
      <c r="M11" s="18">
        <f>IF(('Daily Meter'!N15-'Daily Meter'!N14)&lt;0,"0",'Daily Meter'!N15-'Daily Meter'!N14)*3.7</f>
        <v>473.6</v>
      </c>
      <c r="N11" s="18">
        <f>Total!M11</f>
        <v>376</v>
      </c>
      <c r="O11" s="14" t="s">
        <v>12</v>
      </c>
    </row>
    <row r="12" spans="1:15">
      <c r="A12" s="14" t="s">
        <v>11</v>
      </c>
      <c r="B12" s="14">
        <f t="shared" si="0"/>
        <v>11</v>
      </c>
      <c r="C12" s="15">
        <v>1</v>
      </c>
      <c r="D12" s="14">
        <v>2024</v>
      </c>
      <c r="E12" s="18">
        <f>IF(('Daily Meter'!H16-'Daily Meter'!H15)&lt;0,"0",'Daily Meter'!H16-'Daily Meter'!H15)*480</f>
        <v>3264.0000000000873</v>
      </c>
      <c r="F12" s="18">
        <f>IF(('Daily Meter'!I16-'Daily Meter'!I15)&lt;0,"0",'Daily Meter'!I16-'Daily Meter'!I15)*480</f>
        <v>1920</v>
      </c>
      <c r="G12" s="18">
        <f>IF(('Daily Meter'!J16-'Daily Meter'!J15)&lt;0,"0",'Daily Meter'!J16-'Daily Meter'!J15)*480</f>
        <v>2207.9999999997381</v>
      </c>
      <c r="H12" s="18">
        <f>IF(('Daily Meter'!K16-'Daily Meter'!K15)&lt;0,"0",'Daily Meter'!K16-'Daily Meter'!K15)*480</f>
        <v>1295.9999999999127</v>
      </c>
      <c r="I12" s="18">
        <f>IF(('Daily Meter'!L16-'Daily Meter'!L15)&lt;0,"0",'Daily Meter'!L16-'Daily Meter'!L15)*480</f>
        <v>2160</v>
      </c>
      <c r="J12" s="18">
        <f>IF(('Daily Meter'!M16-'Daily Meter'!M15)&lt;0,"0",'Daily Meter'!M16-'Daily Meter'!M15)*480</f>
        <v>5327.9999999993015</v>
      </c>
      <c r="K12" s="18">
        <f>IF(('Daily Meter'!B16-'Daily Meter'!B15)&lt;0,"0",'Daily Meter'!B16-'Daily Meter'!B15)*284.34</f>
        <v>5828.9699999999993</v>
      </c>
      <c r="L12" s="18">
        <f>IF(('Daily Meter'!C16-'Daily Meter'!C15)&lt;0,"0",'Daily Meter'!C16-'Daily Meter'!C15)*219.969</f>
        <v>18917.333999999999</v>
      </c>
      <c r="M12" s="18">
        <f>IF(('Daily Meter'!N16-'Daily Meter'!N15)&lt;0,"0",'Daily Meter'!N16-'Daily Meter'!N15)*3.7</f>
        <v>397.75</v>
      </c>
      <c r="N12" s="18">
        <f>Total!M12</f>
        <v>303</v>
      </c>
      <c r="O12" s="14" t="s">
        <v>12</v>
      </c>
    </row>
    <row r="13" spans="1:15">
      <c r="A13" s="14" t="s">
        <v>11</v>
      </c>
      <c r="B13" s="14">
        <f t="shared" si="0"/>
        <v>12</v>
      </c>
      <c r="C13" s="15">
        <v>1</v>
      </c>
      <c r="D13" s="14">
        <v>2024</v>
      </c>
      <c r="E13" s="18">
        <f>IF(('Daily Meter'!H17-'Daily Meter'!H16)&lt;0,"0",'Daily Meter'!H17-'Daily Meter'!H16)*480</f>
        <v>3407.9999999997381</v>
      </c>
      <c r="F13" s="18">
        <f>IF(('Daily Meter'!I17-'Daily Meter'!I16)&lt;0,"0",'Daily Meter'!I17-'Daily Meter'!I16)*480</f>
        <v>1872.0000000000437</v>
      </c>
      <c r="G13" s="18">
        <f>IF(('Daily Meter'!J17-'Daily Meter'!J16)&lt;0,"0",'Daily Meter'!J17-'Daily Meter'!J16)*480</f>
        <v>2304.0000000000873</v>
      </c>
      <c r="H13" s="18">
        <f>IF(('Daily Meter'!K17-'Daily Meter'!K16)&lt;0,"0",'Daily Meter'!K17-'Daily Meter'!K16)*480</f>
        <v>1344.0000000000873</v>
      </c>
      <c r="I13" s="18">
        <f>IF(('Daily Meter'!L17-'Daily Meter'!L16)&lt;0,"0",'Daily Meter'!L17-'Daily Meter'!L16)*480</f>
        <v>2160</v>
      </c>
      <c r="J13" s="18">
        <f>IF(('Daily Meter'!M17-'Daily Meter'!M16)&lt;0,"0",'Daily Meter'!M17-'Daily Meter'!M16)*480</f>
        <v>5424.0000000005239</v>
      </c>
      <c r="K13" s="18">
        <f>IF(('Daily Meter'!B17-'Daily Meter'!B16)&lt;0,"0",'Daily Meter'!B17-'Daily Meter'!B16)*284.34</f>
        <v>5345.5919999987582</v>
      </c>
      <c r="L13" s="18">
        <f>IF(('Daily Meter'!C17-'Daily Meter'!C16)&lt;0,"0",'Daily Meter'!C17-'Daily Meter'!C16)*219.969</f>
        <v>66870.576000000001</v>
      </c>
      <c r="M13" s="18">
        <f>IF(('Daily Meter'!N17-'Daily Meter'!N16)&lt;0,"0",'Daily Meter'!N17-'Daily Meter'!N16)*3.7</f>
        <v>651.93999999998925</v>
      </c>
      <c r="N13" s="18">
        <f>Total!M13</f>
        <v>242</v>
      </c>
      <c r="O13" s="14" t="s">
        <v>12</v>
      </c>
    </row>
    <row r="14" spans="1:15">
      <c r="A14" s="14" t="s">
        <v>11</v>
      </c>
      <c r="B14" s="14">
        <f t="shared" si="0"/>
        <v>13</v>
      </c>
      <c r="C14" s="15">
        <v>1</v>
      </c>
      <c r="D14" s="14">
        <v>2024</v>
      </c>
      <c r="E14" s="18">
        <f>IF(('Daily Meter'!H18-'Daily Meter'!H17)&lt;0,"0",'Daily Meter'!H18-'Daily Meter'!H17)*480</f>
        <v>3455.9999999999127</v>
      </c>
      <c r="F14" s="18">
        <f>IF(('Daily Meter'!I18-'Daily Meter'!I17)&lt;0,"0",'Daily Meter'!I18-'Daily Meter'!I17)*480</f>
        <v>1824.0000000000873</v>
      </c>
      <c r="G14" s="18">
        <f>IF(('Daily Meter'!J18-'Daily Meter'!J17)&lt;0,"0",'Daily Meter'!J18-'Daily Meter'!J17)*480</f>
        <v>2351.9999999998254</v>
      </c>
      <c r="H14" s="18">
        <f>IF(('Daily Meter'!K18-'Daily Meter'!K17)&lt;0,"0",'Daily Meter'!K18-'Daily Meter'!K17)*480</f>
        <v>1343.999999999869</v>
      </c>
      <c r="I14" s="18">
        <f>IF(('Daily Meter'!L18-'Daily Meter'!L17)&lt;0,"0",'Daily Meter'!L18-'Daily Meter'!L17)*480</f>
        <v>2208.0000000001746</v>
      </c>
      <c r="J14" s="18">
        <f>IF(('Daily Meter'!M18-'Daily Meter'!M17)&lt;0,"0",'Daily Meter'!M18-'Daily Meter'!M17)*480</f>
        <v>5471.9999999998254</v>
      </c>
      <c r="K14" s="18">
        <f>IF(('Daily Meter'!B18-'Daily Meter'!B17)&lt;0,"0",'Daily Meter'!B18-'Daily Meter'!B17)*284.34</f>
        <v>5288.7240000016545</v>
      </c>
      <c r="L14" s="18">
        <f>IF(('Daily Meter'!C18-'Daily Meter'!C17)&lt;0,"0",'Daily Meter'!C18-'Daily Meter'!C17)*219.969</f>
        <v>55652.156999999999</v>
      </c>
      <c r="M14" s="18">
        <f>IF(('Daily Meter'!N18-'Daily Meter'!N17)&lt;0,"0",'Daily Meter'!N18-'Daily Meter'!N17)*3.7</f>
        <v>589.78000000003237</v>
      </c>
      <c r="N14" s="18">
        <f>Total!M14</f>
        <v>192</v>
      </c>
      <c r="O14" s="14" t="s">
        <v>12</v>
      </c>
    </row>
    <row r="15" spans="1:15">
      <c r="A15" s="14" t="s">
        <v>11</v>
      </c>
      <c r="B15" s="14">
        <f t="shared" si="0"/>
        <v>14</v>
      </c>
      <c r="C15" s="15">
        <v>1</v>
      </c>
      <c r="D15" s="14">
        <v>2024</v>
      </c>
      <c r="E15" s="18">
        <f>IF(('Daily Meter'!H19-'Daily Meter'!H18)&lt;0,"0",'Daily Meter'!H19-'Daily Meter'!H18)*480</f>
        <v>3312.0000000002619</v>
      </c>
      <c r="F15" s="18">
        <f>IF(('Daily Meter'!I19-'Daily Meter'!I18)&lt;0,"0",'Daily Meter'!I19-'Daily Meter'!I18)*480</f>
        <v>1680</v>
      </c>
      <c r="G15" s="18">
        <f>IF(('Daily Meter'!J19-'Daily Meter'!J18)&lt;0,"0",'Daily Meter'!J19-'Daily Meter'!J18)*480</f>
        <v>2208.0000000001746</v>
      </c>
      <c r="H15" s="18">
        <f>IF(('Daily Meter'!K19-'Daily Meter'!K18)&lt;0,"0",'Daily Meter'!K19-'Daily Meter'!K18)*480</f>
        <v>1296.000000000131</v>
      </c>
      <c r="I15" s="18">
        <f>IF(('Daily Meter'!L19-'Daily Meter'!L18)&lt;0,"0",'Daily Meter'!L19-'Daily Meter'!L18)*480</f>
        <v>2111.9999999998254</v>
      </c>
      <c r="J15" s="18">
        <f>IF(('Daily Meter'!M19-'Daily Meter'!M18)&lt;0,"0",'Daily Meter'!M19-'Daily Meter'!M18)*480</f>
        <v>5136.0000000003492</v>
      </c>
      <c r="K15" s="18">
        <f>IF(('Daily Meter'!B19-'Daily Meter'!B18)&lt;0,"0",'Daily Meter'!B19-'Daily Meter'!B18)*284.34</f>
        <v>5260.29</v>
      </c>
      <c r="L15" s="18">
        <f>IF(('Daily Meter'!C19-'Daily Meter'!C18)&lt;0,"0",'Daily Meter'!C19-'Daily Meter'!C18)*219.969</f>
        <v>42234.047999999995</v>
      </c>
      <c r="M15" s="18">
        <f>IF(('Daily Meter'!N19-'Daily Meter'!N18)&lt;0,"0",'Daily Meter'!N19-'Daily Meter'!N18)*3.7</f>
        <v>507.26999999996769</v>
      </c>
      <c r="N15" s="18">
        <f>Total!M15</f>
        <v>225</v>
      </c>
      <c r="O15" s="14" t="s">
        <v>12</v>
      </c>
    </row>
    <row r="16" spans="1:15">
      <c r="A16" s="14" t="s">
        <v>11</v>
      </c>
      <c r="B16" s="14">
        <f t="shared" si="0"/>
        <v>15</v>
      </c>
      <c r="C16" s="15">
        <v>1</v>
      </c>
      <c r="D16" s="14">
        <v>2024</v>
      </c>
      <c r="E16" s="18">
        <f>IF(('Daily Meter'!H20-'Daily Meter'!H19)&lt;0,"0",'Daily Meter'!H20-'Daily Meter'!H19)*480</f>
        <v>3215.9999999999127</v>
      </c>
      <c r="F16" s="18">
        <f>IF(('Daily Meter'!I20-'Daily Meter'!I19)&lt;0,"0",'Daily Meter'!I20-'Daily Meter'!I19)*480</f>
        <v>1895.9999999999127</v>
      </c>
      <c r="G16" s="18">
        <f>IF(('Daily Meter'!J20-'Daily Meter'!J19)&lt;0,"0",'Daily Meter'!J20-'Daily Meter'!J19)*480</f>
        <v>2064.0000000000873</v>
      </c>
      <c r="H16" s="18">
        <f>IF(('Daily Meter'!K20-'Daily Meter'!K19)&lt;0,"0",'Daily Meter'!K20-'Daily Meter'!K19)*480</f>
        <v>1247.9999999999563</v>
      </c>
      <c r="I16" s="18">
        <f>IF(('Daily Meter'!L20-'Daily Meter'!L19)&lt;0,"0",'Daily Meter'!L20-'Daily Meter'!L19)*480</f>
        <v>2111.9999999998254</v>
      </c>
      <c r="J16" s="18">
        <f>IF(('Daily Meter'!M20-'Daily Meter'!M19)&lt;0,"0",'Daily Meter'!M20-'Daily Meter'!M19)*480</f>
        <v>4607.9999999993015</v>
      </c>
      <c r="K16" s="18">
        <f>IF(('Daily Meter'!B20-'Daily Meter'!B19)&lt;0,"0",'Daily Meter'!B20-'Daily Meter'!B19)*284.34</f>
        <v>5402.4599999999991</v>
      </c>
      <c r="L16" s="18">
        <f>IF(('Daily Meter'!C20-'Daily Meter'!C19)&lt;0,"0",'Daily Meter'!C20-'Daily Meter'!C19)*219.969</f>
        <v>38054.637000000002</v>
      </c>
      <c r="M16" s="18">
        <f>IF(('Daily Meter'!N20-'Daily Meter'!N19)&lt;0,"0",'Daily Meter'!N20-'Daily Meter'!N19)*3.7</f>
        <v>423.65000000000003</v>
      </c>
      <c r="N16" s="18">
        <f>Total!M16</f>
        <v>359</v>
      </c>
      <c r="O16" s="14" t="s">
        <v>12</v>
      </c>
    </row>
    <row r="17" spans="1:15">
      <c r="A17" s="14" t="s">
        <v>11</v>
      </c>
      <c r="B17" s="14">
        <f t="shared" si="0"/>
        <v>16</v>
      </c>
      <c r="C17" s="15">
        <v>1</v>
      </c>
      <c r="D17" s="14">
        <v>2024</v>
      </c>
      <c r="E17" s="18">
        <f>IF(('Daily Meter'!H21-'Daily Meter'!H20)&lt;0,"0",'Daily Meter'!H21-'Daily Meter'!H20)*480</f>
        <v>3215.9999999999127</v>
      </c>
      <c r="F17" s="18">
        <f>IF(('Daily Meter'!I21-'Daily Meter'!I20)&lt;0,"0",'Daily Meter'!I21-'Daily Meter'!I20)*480</f>
        <v>1656.000000000131</v>
      </c>
      <c r="G17" s="18">
        <f>IF(('Daily Meter'!J21-'Daily Meter'!J20)&lt;0,"0",'Daily Meter'!J21-'Daily Meter'!J20)*480</f>
        <v>2111.9999999998254</v>
      </c>
      <c r="H17" s="18">
        <f>IF(('Daily Meter'!K21-'Daily Meter'!K20)&lt;0,"0",'Daily Meter'!K21-'Daily Meter'!K20)*480</f>
        <v>1295.9999999999127</v>
      </c>
      <c r="I17" s="18">
        <f>IF(('Daily Meter'!L21-'Daily Meter'!L20)&lt;0,"0",'Daily Meter'!L21-'Daily Meter'!L20)*480</f>
        <v>2160</v>
      </c>
      <c r="J17" s="18">
        <f>IF(('Daily Meter'!M21-'Daily Meter'!M20)&lt;0,"0",'Daily Meter'!M21-'Daily Meter'!M20)*480</f>
        <v>4464.0000000005239</v>
      </c>
      <c r="K17" s="18">
        <f>IF(('Daily Meter'!B21-'Daily Meter'!B20)&lt;0,"0",'Daily Meter'!B21-'Daily Meter'!B20)*284.34</f>
        <v>5516.1959999983446</v>
      </c>
      <c r="L17" s="18">
        <f>IF(('Daily Meter'!C21-'Daily Meter'!C20)&lt;0,"0",'Daily Meter'!C21-'Daily Meter'!C20)*219.969</f>
        <v>37834.667999999998</v>
      </c>
      <c r="M17" s="18">
        <f>IF(('Daily Meter'!N21-'Daily Meter'!N20)&lt;0,"0",'Daily Meter'!N21-'Daily Meter'!N20)*3.7</f>
        <v>434.01000000001079</v>
      </c>
      <c r="N17" s="18">
        <f>Total!M17</f>
        <v>426</v>
      </c>
      <c r="O17" s="14" t="s">
        <v>12</v>
      </c>
    </row>
    <row r="18" spans="1:15">
      <c r="A18" s="14" t="s">
        <v>11</v>
      </c>
      <c r="B18" s="14">
        <f t="shared" si="0"/>
        <v>17</v>
      </c>
      <c r="C18" s="15">
        <v>1</v>
      </c>
      <c r="D18" s="14">
        <v>2024</v>
      </c>
      <c r="E18" s="18">
        <f>IF(('Daily Meter'!H22-'Daily Meter'!H21)&lt;0,"0",'Daily Meter'!H22-'Daily Meter'!H21)*480</f>
        <v>3312.0000000002619</v>
      </c>
      <c r="F18" s="18">
        <f>IF(('Daily Meter'!I22-'Daily Meter'!I21)&lt;0,"0",'Daily Meter'!I22-'Daily Meter'!I21)*480</f>
        <v>1920</v>
      </c>
      <c r="G18" s="18">
        <f>IF(('Daily Meter'!J22-'Daily Meter'!J21)&lt;0,"0",'Daily Meter'!J22-'Daily Meter'!J21)*480</f>
        <v>1968.0000000001746</v>
      </c>
      <c r="H18" s="18">
        <f>IF(('Daily Meter'!K22-'Daily Meter'!K21)&lt;0,"0",'Daily Meter'!K22-'Daily Meter'!K21)*480</f>
        <v>1392.0000000000437</v>
      </c>
      <c r="I18" s="18">
        <f>IF(('Daily Meter'!L22-'Daily Meter'!L21)&lt;0,"0",'Daily Meter'!L22-'Daily Meter'!L21)*480</f>
        <v>2160</v>
      </c>
      <c r="J18" s="18">
        <f>IF(('Daily Meter'!M22-'Daily Meter'!M21)&lt;0,"0",'Daily Meter'!M22-'Daily Meter'!M21)*480</f>
        <v>4320</v>
      </c>
      <c r="K18" s="18">
        <f>IF(('Daily Meter'!B22-'Daily Meter'!B21)&lt;0,"0",'Daily Meter'!B22-'Daily Meter'!B21)*284.34</f>
        <v>6482.952000000827</v>
      </c>
      <c r="L18" s="18">
        <f>IF(('Daily Meter'!C22-'Daily Meter'!C21)&lt;0,"0",'Daily Meter'!C22-'Daily Meter'!C21)*219.969</f>
        <v>43993.799999999996</v>
      </c>
      <c r="M18" s="18">
        <f>IF(('Daily Meter'!N22-'Daily Meter'!N21)&lt;0,"0",'Daily Meter'!N22-'Daily Meter'!N21)*3.7</f>
        <v>548.33999999998923</v>
      </c>
      <c r="N18" s="18">
        <f>Total!M18</f>
        <v>430</v>
      </c>
      <c r="O18" s="14" t="s">
        <v>12</v>
      </c>
    </row>
    <row r="19" spans="1:15">
      <c r="A19" s="14" t="s">
        <v>11</v>
      </c>
      <c r="B19" s="14">
        <f t="shared" si="0"/>
        <v>18</v>
      </c>
      <c r="C19" s="15">
        <v>1</v>
      </c>
      <c r="D19" s="14">
        <v>2024</v>
      </c>
      <c r="E19" s="18">
        <f>IF(('Daily Meter'!H23-'Daily Meter'!H22)&lt;0,"0",'Daily Meter'!H23-'Daily Meter'!H22)*480</f>
        <v>3311.9999999998254</v>
      </c>
      <c r="F19" s="18">
        <f>IF(('Daily Meter'!I23-'Daily Meter'!I22)&lt;0,"0",'Daily Meter'!I23-'Daily Meter'!I22)*480</f>
        <v>1871.9999999998254</v>
      </c>
      <c r="G19" s="18">
        <f>IF(('Daily Meter'!J23-'Daily Meter'!J22)&lt;0,"0",'Daily Meter'!J23-'Daily Meter'!J22)*480</f>
        <v>2207.9999999997381</v>
      </c>
      <c r="H19" s="18">
        <f>IF(('Daily Meter'!K23-'Daily Meter'!K22)&lt;0,"0",'Daily Meter'!K23-'Daily Meter'!K22)*480</f>
        <v>1344.0000000000873</v>
      </c>
      <c r="I19" s="18">
        <f>IF(('Daily Meter'!L23-'Daily Meter'!L22)&lt;0,"0",'Daily Meter'!L23-'Daily Meter'!L22)*480</f>
        <v>2160</v>
      </c>
      <c r="J19" s="18">
        <f>IF(('Daily Meter'!M23-'Daily Meter'!M22)&lt;0,"0",'Daily Meter'!M23-'Daily Meter'!M22)*480</f>
        <v>4511.9999999998254</v>
      </c>
      <c r="K19" s="18">
        <f>IF(('Daily Meter'!B23-'Daily Meter'!B22)&lt;0,"0",'Daily Meter'!B23-'Daily Meter'!B22)*284.34</f>
        <v>6141.7439999995859</v>
      </c>
      <c r="L19" s="18">
        <f>IF(('Daily Meter'!C23-'Daily Meter'!C22)&lt;0,"0",'Daily Meter'!C23-'Daily Meter'!C22)*219.969</f>
        <v>45313.614000000001</v>
      </c>
      <c r="M19" s="18">
        <f>IF(('Daily Meter'!N23-'Daily Meter'!N22)&lt;0,"0",'Daily Meter'!N23-'Daily Meter'!N22)*3.7</f>
        <v>545.01000000001079</v>
      </c>
      <c r="N19" s="18">
        <f>Total!M19</f>
        <v>376</v>
      </c>
      <c r="O19" s="14" t="s">
        <v>12</v>
      </c>
    </row>
    <row r="20" spans="1:15">
      <c r="A20" s="14" t="s">
        <v>11</v>
      </c>
      <c r="B20" s="14">
        <f t="shared" si="0"/>
        <v>19</v>
      </c>
      <c r="C20" s="15">
        <v>1</v>
      </c>
      <c r="D20" s="14">
        <v>2024</v>
      </c>
      <c r="E20" s="18">
        <f>IF(('Daily Meter'!H24-'Daily Meter'!H23)&lt;0,"0",'Daily Meter'!H24-'Daily Meter'!H23)*480</f>
        <v>3264.0000000000873</v>
      </c>
      <c r="F20" s="18">
        <f>IF(('Daily Meter'!I24-'Daily Meter'!I23)&lt;0,"0",'Daily Meter'!I24-'Daily Meter'!I23)*480</f>
        <v>1920</v>
      </c>
      <c r="G20" s="18">
        <f>IF(('Daily Meter'!J24-'Daily Meter'!J23)&lt;0,"0",'Daily Meter'!J24-'Daily Meter'!J23)*480</f>
        <v>2160</v>
      </c>
      <c r="H20" s="18">
        <f>IF(('Daily Meter'!K24-'Daily Meter'!K23)&lt;0,"0",'Daily Meter'!K24-'Daily Meter'!K23)*480</f>
        <v>1440</v>
      </c>
      <c r="I20" s="18">
        <f>IF(('Daily Meter'!L24-'Daily Meter'!L23)&lt;0,"0",'Daily Meter'!L24-'Daily Meter'!L23)*480</f>
        <v>2160</v>
      </c>
      <c r="J20" s="18">
        <f>IF(('Daily Meter'!M24-'Daily Meter'!M23)&lt;0,"0",'Daily Meter'!M24-'Daily Meter'!M23)*480</f>
        <v>4800</v>
      </c>
      <c r="K20" s="18">
        <f>IF(('Daily Meter'!B24-'Daily Meter'!B23)&lt;0,"0",'Daily Meter'!B24-'Daily Meter'!B23)*284.34</f>
        <v>5772.1020000008266</v>
      </c>
      <c r="L20" s="18">
        <f>IF(('Daily Meter'!C24-'Daily Meter'!C23)&lt;0,"0",'Daily Meter'!C24-'Daily Meter'!C23)*219.969</f>
        <v>42234.047999999995</v>
      </c>
      <c r="M20" s="18">
        <f>IF(('Daily Meter'!N24-'Daily Meter'!N23)&lt;0,"0",'Daily Meter'!N24-'Daily Meter'!N23)*3.7</f>
        <v>535.02000000002158</v>
      </c>
      <c r="N20" s="18">
        <f>Total!M20</f>
        <v>312</v>
      </c>
      <c r="O20" s="14" t="s">
        <v>12</v>
      </c>
    </row>
    <row r="21" spans="1:15">
      <c r="A21" s="14" t="s">
        <v>11</v>
      </c>
      <c r="B21" s="14">
        <f t="shared" si="0"/>
        <v>20</v>
      </c>
      <c r="C21" s="15">
        <v>1</v>
      </c>
      <c r="D21" s="14">
        <v>2024</v>
      </c>
      <c r="E21" s="18">
        <f>IF(('Daily Meter'!H25-'Daily Meter'!H24)&lt;0,"0",'Daily Meter'!H25-'Daily Meter'!H24)*480</f>
        <v>3504.0000000000873</v>
      </c>
      <c r="F21" s="18">
        <f>IF(('Daily Meter'!I25-'Daily Meter'!I24)&lt;0,"0",'Daily Meter'!I25-'Daily Meter'!I24)*480</f>
        <v>1920</v>
      </c>
      <c r="G21" s="18">
        <f>IF(('Daily Meter'!J25-'Daily Meter'!J24)&lt;0,"0",'Daily Meter'!J25-'Daily Meter'!J24)*480</f>
        <v>2112.0000000002619</v>
      </c>
      <c r="H21" s="18">
        <f>IF(('Daily Meter'!K25-'Daily Meter'!K24)&lt;0,"0",'Daily Meter'!K25-'Daily Meter'!K24)*480</f>
        <v>1343.999999999869</v>
      </c>
      <c r="I21" s="18">
        <f>IF(('Daily Meter'!L25-'Daily Meter'!L24)&lt;0,"0",'Daily Meter'!L25-'Daily Meter'!L24)*480</f>
        <v>2160</v>
      </c>
      <c r="J21" s="18">
        <f>IF(('Daily Meter'!M25-'Daily Meter'!M24)&lt;0,"0",'Daily Meter'!M25-'Daily Meter'!M24)*480</f>
        <v>5520</v>
      </c>
      <c r="K21" s="18">
        <f>IF(('Daily Meter'!B25-'Daily Meter'!B24)&lt;0,"0",'Daily Meter'!B25-'Daily Meter'!B24)*284.34</f>
        <v>5942.706000000413</v>
      </c>
      <c r="L21" s="18">
        <f>IF(('Daily Meter'!C25-'Daily Meter'!C24)&lt;0,"0",'Daily Meter'!C25-'Daily Meter'!C24)*219.969</f>
        <v>39814.388999999996</v>
      </c>
      <c r="M21" s="18">
        <f>IF(('Daily Meter'!N25-'Daily Meter'!N24)&lt;0,"0",'Daily Meter'!N25-'Daily Meter'!N24)*3.7</f>
        <v>515.40999999995699</v>
      </c>
      <c r="N21" s="18">
        <f>Total!M21</f>
        <v>284</v>
      </c>
      <c r="O21" s="14" t="s">
        <v>12</v>
      </c>
    </row>
    <row r="22" spans="1:15">
      <c r="A22" s="14" t="s">
        <v>11</v>
      </c>
      <c r="B22" s="14">
        <f t="shared" si="0"/>
        <v>21</v>
      </c>
      <c r="C22" s="15">
        <v>1</v>
      </c>
      <c r="D22" s="14">
        <v>2024</v>
      </c>
      <c r="E22" s="18">
        <f>IF(('Daily Meter'!H26-'Daily Meter'!H25)&lt;0,"0",'Daily Meter'!H26-'Daily Meter'!H25)*480</f>
        <v>3407.9999999997381</v>
      </c>
      <c r="F22" s="18">
        <f>IF(('Daily Meter'!I26-'Daily Meter'!I25)&lt;0,"0",'Daily Meter'!I26-'Daily Meter'!I25)*480</f>
        <v>1824.0000000000873</v>
      </c>
      <c r="G22" s="18">
        <f>IF(('Daily Meter'!J26-'Daily Meter'!J25)&lt;0,"0",'Daily Meter'!J26-'Daily Meter'!J25)*480</f>
        <v>2111.9999999998254</v>
      </c>
      <c r="H22" s="18">
        <f>IF(('Daily Meter'!K26-'Daily Meter'!K25)&lt;0,"0",'Daily Meter'!K26-'Daily Meter'!K25)*480</f>
        <v>1392.0000000000437</v>
      </c>
      <c r="I22" s="18">
        <f>IF(('Daily Meter'!L26-'Daily Meter'!L25)&lt;0,"0",'Daily Meter'!L26-'Daily Meter'!L25)*480</f>
        <v>2208.0000000001746</v>
      </c>
      <c r="J22" s="18">
        <f>IF(('Daily Meter'!M26-'Daily Meter'!M25)&lt;0,"0",'Daily Meter'!M26-'Daily Meter'!M25)*480</f>
        <v>5711.9999999998254</v>
      </c>
      <c r="K22" s="18">
        <f>IF(('Daily Meter'!B26-'Daily Meter'!B25)&lt;0,"0",'Daily Meter'!B26-'Daily Meter'!B25)*284.34</f>
        <v>6028.0079999991722</v>
      </c>
      <c r="L22" s="18">
        <f>IF(('Daily Meter'!C26-'Daily Meter'!C25)&lt;0,"0",'Daily Meter'!C26-'Daily Meter'!C25)*219.969</f>
        <v>38494.574999999997</v>
      </c>
      <c r="M22" s="18">
        <f>IF(('Daily Meter'!N26-'Daily Meter'!N25)&lt;0,"0",'Daily Meter'!N26-'Daily Meter'!N25)*3.7</f>
        <v>492.1</v>
      </c>
      <c r="N22" s="18">
        <f>Total!M22</f>
        <v>293</v>
      </c>
      <c r="O22" s="14" t="s">
        <v>12</v>
      </c>
    </row>
    <row r="23" spans="1:15">
      <c r="A23" s="14" t="s">
        <v>11</v>
      </c>
      <c r="B23" s="14">
        <f t="shared" si="0"/>
        <v>22</v>
      </c>
      <c r="C23" s="15">
        <v>1</v>
      </c>
      <c r="D23" s="14">
        <v>2024</v>
      </c>
      <c r="E23" s="18">
        <f>IF(('Daily Meter'!H27-'Daily Meter'!H26)&lt;0,"0",'Daily Meter'!H27-'Daily Meter'!H26)*480</f>
        <v>3264.0000000000873</v>
      </c>
      <c r="F23" s="18">
        <f>IF(('Daily Meter'!I27-'Daily Meter'!I26)&lt;0,"0",'Daily Meter'!I27-'Daily Meter'!I26)*480</f>
        <v>1824.0000000000873</v>
      </c>
      <c r="G23" s="18">
        <f>IF(('Daily Meter'!J27-'Daily Meter'!J26)&lt;0,"0",'Daily Meter'!J27-'Daily Meter'!J26)*480</f>
        <v>2112.0000000002619</v>
      </c>
      <c r="H23" s="18">
        <f>IF(('Daily Meter'!K27-'Daily Meter'!K26)&lt;0,"0",'Daily Meter'!K27-'Daily Meter'!K26)*480</f>
        <v>1296.000000000131</v>
      </c>
      <c r="I23" s="18">
        <f>IF(('Daily Meter'!L27-'Daily Meter'!L26)&lt;0,"0",'Daily Meter'!L27-'Daily Meter'!L26)*480</f>
        <v>2111.9999999998254</v>
      </c>
      <c r="J23" s="18">
        <f>IF(('Daily Meter'!M27-'Daily Meter'!M26)&lt;0,"0",'Daily Meter'!M27-'Daily Meter'!M26)*480</f>
        <v>5520</v>
      </c>
      <c r="K23" s="18">
        <f>IF(('Daily Meter'!B27-'Daily Meter'!B26)&lt;0,"0",'Daily Meter'!B27-'Daily Meter'!B26)*284.34</f>
        <v>5658.3660000004129</v>
      </c>
      <c r="L23" s="18">
        <f>IF(('Daily Meter'!C27-'Daily Meter'!C26)&lt;0,"0",'Daily Meter'!C27-'Daily Meter'!C26)*219.969</f>
        <v>26616.249</v>
      </c>
      <c r="M23" s="18">
        <f>IF(('Daily Meter'!N27-'Daily Meter'!N26)&lt;0,"0",'Daily Meter'!N27-'Daily Meter'!N26)*3.7</f>
        <v>455.47000000002157</v>
      </c>
      <c r="N23" s="18">
        <f>Total!M23</f>
        <v>347</v>
      </c>
      <c r="O23" s="14" t="s">
        <v>12</v>
      </c>
    </row>
    <row r="24" spans="1:15">
      <c r="A24" s="14" t="s">
        <v>11</v>
      </c>
      <c r="B24" s="14">
        <f t="shared" si="0"/>
        <v>23</v>
      </c>
      <c r="C24" s="15">
        <v>1</v>
      </c>
      <c r="D24" s="14">
        <v>2024</v>
      </c>
      <c r="E24" s="18">
        <f>IF(('Daily Meter'!H28-'Daily Meter'!H27)&lt;0,"0",'Daily Meter'!H28-'Daily Meter'!H27)*480</f>
        <v>3360</v>
      </c>
      <c r="F24" s="18">
        <f>IF(('Daily Meter'!I28-'Daily Meter'!I27)&lt;0,"0",'Daily Meter'!I28-'Daily Meter'!I27)*480</f>
        <v>1920</v>
      </c>
      <c r="G24" s="18">
        <f>IF(('Daily Meter'!J28-'Daily Meter'!J27)&lt;0,"0",'Daily Meter'!J28-'Daily Meter'!J27)*480</f>
        <v>2063.9999999996508</v>
      </c>
      <c r="H24" s="18">
        <f>IF(('Daily Meter'!K28-'Daily Meter'!K27)&lt;0,"0",'Daily Meter'!K28-'Daily Meter'!K27)*480</f>
        <v>1343.999999999869</v>
      </c>
      <c r="I24" s="18">
        <f>IF(('Daily Meter'!L28-'Daily Meter'!L27)&lt;0,"0",'Daily Meter'!L28-'Daily Meter'!L27)*480</f>
        <v>2160</v>
      </c>
      <c r="J24" s="18">
        <f>IF(('Daily Meter'!M28-'Daily Meter'!M27)&lt;0,"0",'Daily Meter'!M28-'Daily Meter'!M27)*480</f>
        <v>5711.9999999998254</v>
      </c>
      <c r="K24" s="18">
        <f>IF(('Daily Meter'!B28-'Daily Meter'!B27)&lt;0,"0",'Daily Meter'!B28-'Daily Meter'!B27)*284.34</f>
        <v>5885.8379999991721</v>
      </c>
      <c r="L24" s="18">
        <f>IF(('Daily Meter'!C28-'Daily Meter'!C27)&lt;0,"0",'Daily Meter'!C28-'Daily Meter'!C27)*219.969</f>
        <v>44433.737999999998</v>
      </c>
      <c r="M24" s="18">
        <f>IF(('Daily Meter'!N28-'Daily Meter'!N27)&lt;0,"0",'Daily Meter'!N28-'Daily Meter'!N27)*3.7</f>
        <v>493.21000000001078</v>
      </c>
      <c r="N24" s="18">
        <f>Total!M24</f>
        <v>357</v>
      </c>
      <c r="O24" s="14" t="s">
        <v>12</v>
      </c>
    </row>
    <row r="25" spans="1:15">
      <c r="A25" s="14" t="s">
        <v>11</v>
      </c>
      <c r="B25" s="14">
        <f t="shared" si="0"/>
        <v>24</v>
      </c>
      <c r="C25" s="15">
        <v>1</v>
      </c>
      <c r="D25" s="14">
        <v>2024</v>
      </c>
      <c r="E25" s="18">
        <f>IF(('Daily Meter'!H29-'Daily Meter'!H28)&lt;0,"0",'Daily Meter'!H29-'Daily Meter'!H28)*480</f>
        <v>3360</v>
      </c>
      <c r="F25" s="18">
        <f>IF(('Daily Meter'!I29-'Daily Meter'!I28)&lt;0,"0",'Daily Meter'!I29-'Daily Meter'!I28)*480</f>
        <v>2015.9999999999127</v>
      </c>
      <c r="G25" s="18">
        <f>IF(('Daily Meter'!J29-'Daily Meter'!J28)&lt;0,"0",'Daily Meter'!J29-'Daily Meter'!J28)*480</f>
        <v>2160</v>
      </c>
      <c r="H25" s="18">
        <f>IF(('Daily Meter'!K29-'Daily Meter'!K28)&lt;0,"0",'Daily Meter'!K29-'Daily Meter'!K28)*480</f>
        <v>1536.000000000131</v>
      </c>
      <c r="I25" s="18">
        <f>IF(('Daily Meter'!L29-'Daily Meter'!L28)&lt;0,"0",'Daily Meter'!L29-'Daily Meter'!L28)*480</f>
        <v>2208.0000000001746</v>
      </c>
      <c r="J25" s="18">
        <f>IF(('Daily Meter'!M29-'Daily Meter'!M28)&lt;0,"0",'Daily Meter'!M29-'Daily Meter'!M28)*480</f>
        <v>5808.0000000001746</v>
      </c>
      <c r="K25" s="18">
        <f>IF(('Daily Meter'!B29-'Daily Meter'!B28)&lt;0,"0",'Daily Meter'!B29-'Daily Meter'!B28)*284.34</f>
        <v>6141.7439999995859</v>
      </c>
      <c r="L25" s="18">
        <f>IF(('Daily Meter'!C29-'Daily Meter'!C28)&lt;0,"0",'Daily Meter'!C29-'Daily Meter'!C28)*219.969</f>
        <v>40034.358</v>
      </c>
      <c r="M25" s="18">
        <f>IF(('Daily Meter'!N29-'Daily Meter'!N28)&lt;0,"0",'Daily Meter'!N29-'Daily Meter'!N28)*3.7</f>
        <v>504.3100000000108</v>
      </c>
      <c r="N25" s="18">
        <f>Total!M25</f>
        <v>366</v>
      </c>
      <c r="O25" s="14" t="s">
        <v>12</v>
      </c>
    </row>
    <row r="26" spans="1:15">
      <c r="A26" s="14" t="s">
        <v>11</v>
      </c>
      <c r="B26" s="14">
        <f t="shared" si="0"/>
        <v>25</v>
      </c>
      <c r="C26" s="15">
        <v>1</v>
      </c>
      <c r="D26" s="14">
        <v>2024</v>
      </c>
      <c r="E26" s="18">
        <f>IF(('Daily Meter'!H30-'Daily Meter'!H29)&lt;0,"0",'Daily Meter'!H30-'Daily Meter'!H29)*480</f>
        <v>3360</v>
      </c>
      <c r="F26" s="18">
        <f>IF(('Daily Meter'!I30-'Daily Meter'!I29)&lt;0,"0",'Daily Meter'!I30-'Daily Meter'!I29)*480</f>
        <v>2015.9999999999127</v>
      </c>
      <c r="G26" s="18">
        <f>IF(('Daily Meter'!J30-'Daily Meter'!J29)&lt;0,"0",'Daily Meter'!J30-'Daily Meter'!J29)*480</f>
        <v>2160</v>
      </c>
      <c r="H26" s="18">
        <f>IF(('Daily Meter'!K30-'Daily Meter'!K29)&lt;0,"0",'Daily Meter'!K30-'Daily Meter'!K29)*480</f>
        <v>1440</v>
      </c>
      <c r="I26" s="18">
        <f>IF(('Daily Meter'!L30-'Daily Meter'!L29)&lt;0,"0",'Daily Meter'!L30-'Daily Meter'!L29)*480</f>
        <v>2160</v>
      </c>
      <c r="J26" s="18">
        <f>IF(('Daily Meter'!M30-'Daily Meter'!M29)&lt;0,"0",'Daily Meter'!M30-'Daily Meter'!M29)*480</f>
        <v>5664.0000000005239</v>
      </c>
      <c r="K26" s="18">
        <f>IF(('Daily Meter'!B30-'Daily Meter'!B29)&lt;0,"0",'Daily Meter'!B30-'Daily Meter'!B29)*284.34</f>
        <v>5430.8940000016546</v>
      </c>
      <c r="L26" s="18">
        <f>IF(('Daily Meter'!C30-'Daily Meter'!C29)&lt;0,"0",'Daily Meter'!C30-'Daily Meter'!C29)*219.969</f>
        <v>37834.667999999998</v>
      </c>
      <c r="M26" s="18">
        <f>IF(('Daily Meter'!N30-'Daily Meter'!N29)&lt;0,"0",'Daily Meter'!N30-'Daily Meter'!N29)*3.7</f>
        <v>472.11999999996772</v>
      </c>
      <c r="N26" s="18">
        <f>Total!M26</f>
        <v>407</v>
      </c>
      <c r="O26" s="14" t="s">
        <v>12</v>
      </c>
    </row>
    <row r="27" spans="1:15">
      <c r="A27" s="14" t="s">
        <v>11</v>
      </c>
      <c r="B27" s="14">
        <f t="shared" si="0"/>
        <v>26</v>
      </c>
      <c r="C27" s="15">
        <v>1</v>
      </c>
      <c r="D27" s="14">
        <v>2024</v>
      </c>
      <c r="E27" s="18">
        <f>IF(('Daily Meter'!H31-'Daily Meter'!H30)&lt;0,"0",'Daily Meter'!H31-'Daily Meter'!H30)*480</f>
        <v>3311.9999999998254</v>
      </c>
      <c r="F27" s="18">
        <f>IF(('Daily Meter'!I31-'Daily Meter'!I30)&lt;0,"0",'Daily Meter'!I31-'Daily Meter'!I30)*480</f>
        <v>1968.0000000001746</v>
      </c>
      <c r="G27" s="18">
        <f>IF(('Daily Meter'!J31-'Daily Meter'!J30)&lt;0,"0",'Daily Meter'!J31-'Daily Meter'!J30)*480</f>
        <v>2112.0000000002619</v>
      </c>
      <c r="H27" s="18">
        <f>IF(('Daily Meter'!K31-'Daily Meter'!K30)&lt;0,"0",'Daily Meter'!K31-'Daily Meter'!K30)*480</f>
        <v>1487.9999999999563</v>
      </c>
      <c r="I27" s="18">
        <f>IF(('Daily Meter'!L31-'Daily Meter'!L30)&lt;0,"0",'Daily Meter'!L31-'Daily Meter'!L30)*480</f>
        <v>2160</v>
      </c>
      <c r="J27" s="18">
        <f>IF(('Daily Meter'!M31-'Daily Meter'!M30)&lt;0,"0",'Daily Meter'!M31-'Daily Meter'!M30)*480</f>
        <v>5663.9999999996508</v>
      </c>
      <c r="K27" s="18">
        <f>IF(('Daily Meter'!B31-'Daily Meter'!B30)&lt;0,"0",'Daily Meter'!B31-'Daily Meter'!B30)*284.34</f>
        <v>5772.1019999987584</v>
      </c>
      <c r="L27" s="18">
        <f>IF(('Daily Meter'!C31-'Daily Meter'!C30)&lt;0,"0",'Daily Meter'!C31-'Daily Meter'!C30)*219.969</f>
        <v>37174.760999999999</v>
      </c>
      <c r="M27" s="18">
        <f>IF(('Daily Meter'!N31-'Daily Meter'!N30)&lt;0,"0",'Daily Meter'!N31-'Daily Meter'!N30)*3.7</f>
        <v>494.32000000002154</v>
      </c>
      <c r="N27" s="18">
        <f>Total!M27</f>
        <v>0</v>
      </c>
      <c r="O27" s="14" t="s">
        <v>12</v>
      </c>
    </row>
    <row r="28" spans="1:15">
      <c r="A28" s="14" t="s">
        <v>11</v>
      </c>
      <c r="B28" s="14">
        <f t="shared" si="0"/>
        <v>27</v>
      </c>
      <c r="C28" s="15">
        <v>1</v>
      </c>
      <c r="D28" s="14">
        <v>2024</v>
      </c>
      <c r="E28" s="18">
        <f>IF(('Daily Meter'!H32-'Daily Meter'!H31)&lt;0,"0",'Daily Meter'!H32-'Daily Meter'!H31)*480</f>
        <v>0</v>
      </c>
      <c r="F28" s="18">
        <f>IF(('Daily Meter'!I32-'Daily Meter'!I31)&lt;0,"0",'Daily Meter'!I32-'Daily Meter'!I31)*480</f>
        <v>0</v>
      </c>
      <c r="G28" s="18">
        <f>IF(('Daily Meter'!J32-'Daily Meter'!J31)&lt;0,"0",'Daily Meter'!J32-'Daily Meter'!J31)*480</f>
        <v>0</v>
      </c>
      <c r="H28" s="18">
        <f>IF(('Daily Meter'!K32-'Daily Meter'!K31)&lt;0,"0",'Daily Meter'!K32-'Daily Meter'!K31)*480</f>
        <v>0</v>
      </c>
      <c r="I28" s="18">
        <f>IF(('Daily Meter'!L32-'Daily Meter'!L31)&lt;0,"0",'Daily Meter'!L32-'Daily Meter'!L31)*480</f>
        <v>0</v>
      </c>
      <c r="J28" s="18">
        <f>IF(('Daily Meter'!M32-'Daily Meter'!M31)&lt;0,"0",'Daily Meter'!M32-'Daily Meter'!M31)*480</f>
        <v>0</v>
      </c>
      <c r="K28" s="18">
        <f>IF(('Daily Meter'!B32-'Daily Meter'!B31)&lt;0,"0",'Daily Meter'!B32-'Daily Meter'!B31)*284.34</f>
        <v>0</v>
      </c>
      <c r="L28" s="18">
        <f>IF(('Daily Meter'!C32-'Daily Meter'!C31)&lt;0,"0",'Daily Meter'!C32-'Daily Meter'!C31)*219.969</f>
        <v>0</v>
      </c>
      <c r="M28" s="18">
        <f>IF(('Daily Meter'!N32-'Daily Meter'!N31)&lt;0,"0",'Daily Meter'!N32-'Daily Meter'!N31)*3.7</f>
        <v>0</v>
      </c>
      <c r="N28" s="18">
        <f>Total!M28</f>
        <v>0</v>
      </c>
      <c r="O28" s="14" t="s">
        <v>12</v>
      </c>
    </row>
    <row r="29" spans="1:15">
      <c r="A29" s="14" t="s">
        <v>11</v>
      </c>
      <c r="B29" s="14">
        <f t="shared" si="0"/>
        <v>28</v>
      </c>
      <c r="C29" s="15">
        <v>1</v>
      </c>
      <c r="D29" s="14">
        <v>2024</v>
      </c>
      <c r="E29" s="18">
        <f>IF(('Daily Meter'!H33-'Daily Meter'!H32)&lt;0,"0",'Daily Meter'!H33-'Daily Meter'!H32)*480</f>
        <v>0</v>
      </c>
      <c r="F29" s="18">
        <f>IF(('Daily Meter'!I33-'Daily Meter'!I32)&lt;0,"0",'Daily Meter'!I33-'Daily Meter'!I32)*480</f>
        <v>0</v>
      </c>
      <c r="G29" s="18">
        <f>IF(('Daily Meter'!J33-'Daily Meter'!J32)&lt;0,"0",'Daily Meter'!J33-'Daily Meter'!J32)*480</f>
        <v>0</v>
      </c>
      <c r="H29" s="18">
        <f>IF(('Daily Meter'!K33-'Daily Meter'!K32)&lt;0,"0",'Daily Meter'!K33-'Daily Meter'!K32)*480</f>
        <v>0</v>
      </c>
      <c r="I29" s="18">
        <f>IF(('Daily Meter'!L33-'Daily Meter'!L32)&lt;0,"0",'Daily Meter'!L33-'Daily Meter'!L32)*480</f>
        <v>0</v>
      </c>
      <c r="J29" s="18">
        <f>IF(('Daily Meter'!M33-'Daily Meter'!M32)&lt;0,"0",'Daily Meter'!M33-'Daily Meter'!M32)*480</f>
        <v>0</v>
      </c>
      <c r="K29" s="18">
        <f>IF(('Daily Meter'!B33-'Daily Meter'!B32)&lt;0,"0",'Daily Meter'!B33-'Daily Meter'!B32)*284.34</f>
        <v>0</v>
      </c>
      <c r="L29" s="18">
        <f>IF(('Daily Meter'!C33-'Daily Meter'!C32)&lt;0,"0",'Daily Meter'!C33-'Daily Meter'!C32)*219.969</f>
        <v>0</v>
      </c>
      <c r="M29" s="18">
        <f>IF(('Daily Meter'!N33-'Daily Meter'!N32)&lt;0,"0",'Daily Meter'!N33-'Daily Meter'!N32)*3.7</f>
        <v>0</v>
      </c>
      <c r="N29" s="18">
        <f>Total!M29</f>
        <v>0</v>
      </c>
      <c r="O29" s="14" t="s">
        <v>12</v>
      </c>
    </row>
    <row r="30" spans="1:15">
      <c r="A30" s="14" t="s">
        <v>11</v>
      </c>
      <c r="B30" s="14">
        <f t="shared" si="0"/>
        <v>29</v>
      </c>
      <c r="C30" s="15">
        <v>1</v>
      </c>
      <c r="D30" s="14">
        <v>2024</v>
      </c>
      <c r="E30" s="18">
        <f>IF(('Daily Meter'!H34-'Daily Meter'!H33)&lt;0,"0",'Daily Meter'!H34-'Daily Meter'!H33)*480</f>
        <v>0</v>
      </c>
      <c r="F30" s="18">
        <f>IF(('Daily Meter'!I34-'Daily Meter'!I33)&lt;0,"0",'Daily Meter'!I34-'Daily Meter'!I33)*480</f>
        <v>0</v>
      </c>
      <c r="G30" s="18">
        <f>IF(('Daily Meter'!J34-'Daily Meter'!J33)&lt;0,"0",'Daily Meter'!J34-'Daily Meter'!J33)*480</f>
        <v>0</v>
      </c>
      <c r="H30" s="18">
        <f>IF(('Daily Meter'!K34-'Daily Meter'!K33)&lt;0,"0",'Daily Meter'!K34-'Daily Meter'!K33)*480</f>
        <v>0</v>
      </c>
      <c r="I30" s="18">
        <f>IF(('Daily Meter'!L34-'Daily Meter'!L33)&lt;0,"0",'Daily Meter'!L34-'Daily Meter'!L33)*480</f>
        <v>0</v>
      </c>
      <c r="J30" s="18">
        <f>IF(('Daily Meter'!M34-'Daily Meter'!M33)&lt;0,"0",'Daily Meter'!M34-'Daily Meter'!M33)*480</f>
        <v>0</v>
      </c>
      <c r="K30" s="18">
        <f>IF(('Daily Meter'!B34-'Daily Meter'!B33)&lt;0,"0",'Daily Meter'!B34-'Daily Meter'!B33)*284.34</f>
        <v>0</v>
      </c>
      <c r="L30" s="18">
        <f>IF(('Daily Meter'!C34-'Daily Meter'!C33)&lt;0,"0",'Daily Meter'!C34-'Daily Meter'!C33)*219.969</f>
        <v>0</v>
      </c>
      <c r="M30" s="18">
        <f>IF(('Daily Meter'!N34-'Daily Meter'!N33)&lt;0,"0",'Daily Meter'!N34-'Daily Meter'!N33)*3.7</f>
        <v>0</v>
      </c>
      <c r="N30" s="18">
        <f>Total!M30</f>
        <v>0</v>
      </c>
      <c r="O30" s="14" t="s">
        <v>12</v>
      </c>
    </row>
    <row r="31" spans="1:15">
      <c r="A31" s="14" t="s">
        <v>11</v>
      </c>
      <c r="B31" s="14">
        <f t="shared" si="0"/>
        <v>30</v>
      </c>
      <c r="C31" s="15">
        <v>1</v>
      </c>
      <c r="D31" s="14">
        <v>2024</v>
      </c>
      <c r="E31" s="18">
        <f>IF(('Daily Meter'!H35-'Daily Meter'!H34)&lt;0,"0",'Daily Meter'!H35-'Daily Meter'!H34)*480</f>
        <v>0</v>
      </c>
      <c r="F31" s="18">
        <f>IF(('Daily Meter'!I35-'Daily Meter'!I34)&lt;0,"0",'Daily Meter'!I35-'Daily Meter'!I34)*480</f>
        <v>0</v>
      </c>
      <c r="G31" s="18">
        <f>IF(('Daily Meter'!J35-'Daily Meter'!J34)&lt;0,"0",'Daily Meter'!J35-'Daily Meter'!J34)*480</f>
        <v>0</v>
      </c>
      <c r="H31" s="18">
        <f>IF(('Daily Meter'!K35-'Daily Meter'!K34)&lt;0,"0",'Daily Meter'!K35-'Daily Meter'!K34)*480</f>
        <v>0</v>
      </c>
      <c r="I31" s="18">
        <f>IF(('Daily Meter'!L35-'Daily Meter'!L34)&lt;0,"0",'Daily Meter'!L35-'Daily Meter'!L34)*480</f>
        <v>0</v>
      </c>
      <c r="J31" s="18">
        <f>IF(('Daily Meter'!M35-'Daily Meter'!M34)&lt;0,"0",'Daily Meter'!M35-'Daily Meter'!M34)*480</f>
        <v>0</v>
      </c>
      <c r="K31" s="18">
        <f>IF(('Daily Meter'!B35-'Daily Meter'!B34)&lt;0,"0",'Daily Meter'!B35-'Daily Meter'!B34)*284.34</f>
        <v>0</v>
      </c>
      <c r="L31" s="18">
        <f>IF(('Daily Meter'!C35-'Daily Meter'!C34)&lt;0,"0",'Daily Meter'!C35-'Daily Meter'!C34)*219.969</f>
        <v>0</v>
      </c>
      <c r="M31" s="18">
        <f>IF(('Daily Meter'!N35-'Daily Meter'!N34)&lt;0,"0",'Daily Meter'!N35-'Daily Meter'!N34)*3.7</f>
        <v>0</v>
      </c>
      <c r="N31" s="18">
        <f>Total!M31</f>
        <v>0</v>
      </c>
      <c r="O31" s="14" t="s">
        <v>12</v>
      </c>
    </row>
    <row r="32" spans="1:15">
      <c r="A32" s="14" t="s">
        <v>11</v>
      </c>
      <c r="B32" s="14">
        <f t="shared" si="0"/>
        <v>31</v>
      </c>
      <c r="C32" s="15">
        <v>1</v>
      </c>
      <c r="D32" s="14">
        <v>2024</v>
      </c>
      <c r="E32" s="18">
        <f>IF(('Daily Meter'!H36-'Daily Meter'!H35)&lt;0,"0",'Daily Meter'!H36-'Daily Meter'!H35)*480</f>
        <v>0</v>
      </c>
      <c r="F32" s="18">
        <f>IF(('Daily Meter'!I36-'Daily Meter'!I35)&lt;0,"0",'Daily Meter'!I36-'Daily Meter'!I35)*480</f>
        <v>0</v>
      </c>
      <c r="G32" s="18">
        <f>IF(('Daily Meter'!J36-'Daily Meter'!J35)&lt;0,"0",'Daily Meter'!J36-'Daily Meter'!J35)*480</f>
        <v>0</v>
      </c>
      <c r="H32" s="18">
        <f>IF(('Daily Meter'!K36-'Daily Meter'!K35)&lt;0,"0",'Daily Meter'!K36-'Daily Meter'!K35)*480</f>
        <v>0</v>
      </c>
      <c r="I32" s="18">
        <f>IF(('Daily Meter'!L36-'Daily Meter'!L35)&lt;0,"0",'Daily Meter'!L36-'Daily Meter'!L35)*480</f>
        <v>0</v>
      </c>
      <c r="J32" s="18">
        <f>IF(('Daily Meter'!M36-'Daily Meter'!M35)&lt;0,"0",'Daily Meter'!M36-'Daily Meter'!M35)*480</f>
        <v>0</v>
      </c>
      <c r="K32" s="18">
        <f>IF(('Daily Meter'!B36-'Daily Meter'!B35)&lt;0,"0",'Daily Meter'!B36-'Daily Meter'!B35)*284.34</f>
        <v>0</v>
      </c>
      <c r="L32" s="18">
        <f>IF(('Daily Meter'!C36-'Daily Meter'!C35)&lt;0,"0",'Daily Meter'!C36-'Daily Meter'!C35)*219.969</f>
        <v>0</v>
      </c>
      <c r="M32" s="18">
        <f>IF(('Daily Meter'!N36-'Daily Meter'!N35)&lt;0,"0",'Daily Meter'!N36-'Daily Meter'!N35)*3.7</f>
        <v>0</v>
      </c>
      <c r="N32" s="18">
        <f>Total!M32</f>
        <v>0</v>
      </c>
      <c r="O32" s="14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16" sqref="J16"/>
    </sheetView>
  </sheetViews>
  <sheetFormatPr defaultColWidth="8.5234375" defaultRowHeight="14.4"/>
  <cols>
    <col min="1" max="1" width="9.15625" style="27" customWidth="1"/>
    <col min="2" max="2" width="17.26171875" style="27" customWidth="1"/>
    <col min="3" max="3" width="14.68359375" style="28" customWidth="1"/>
    <col min="4" max="4" width="8.68359375" style="27" hidden="1" customWidth="1"/>
    <col min="5" max="5" width="5.41796875" style="27" hidden="1" customWidth="1"/>
    <col min="6" max="6" width="6.578125" style="27" hidden="1" customWidth="1"/>
    <col min="7" max="7" width="6.83984375" style="27" hidden="1" customWidth="1"/>
    <col min="8" max="13" width="12.68359375" customWidth="1"/>
    <col min="14" max="14" width="17.15625" style="14" customWidth="1"/>
    <col min="15" max="15" width="10.83984375" style="14" customWidth="1"/>
  </cols>
  <sheetData>
    <row r="1" spans="1:17" ht="25.5" customHeight="1">
      <c r="A1" s="13" t="s">
        <v>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Q1" s="29" t="s">
        <v>23</v>
      </c>
    </row>
    <row r="2" spans="1:17" s="26" customFormat="1">
      <c r="A2" s="30"/>
      <c r="B2" s="31" t="s">
        <v>24</v>
      </c>
      <c r="C2" s="12" t="s">
        <v>25</v>
      </c>
      <c r="D2" s="12"/>
      <c r="E2" s="12"/>
      <c r="F2" s="12"/>
      <c r="G2" s="12"/>
      <c r="H2" s="11" t="s">
        <v>26</v>
      </c>
      <c r="I2" s="11"/>
      <c r="J2" s="11"/>
      <c r="K2" s="11"/>
      <c r="L2" s="11"/>
      <c r="M2" s="11"/>
      <c r="N2" s="10" t="s">
        <v>27</v>
      </c>
      <c r="O2" s="9" t="s">
        <v>28</v>
      </c>
    </row>
    <row r="3" spans="1:17" s="26" customFormat="1">
      <c r="A3" s="8" t="s">
        <v>29</v>
      </c>
      <c r="B3" s="32" t="s">
        <v>30</v>
      </c>
      <c r="C3" s="33" t="s">
        <v>31</v>
      </c>
      <c r="D3" s="7" t="s">
        <v>32</v>
      </c>
      <c r="E3" s="7"/>
      <c r="F3" s="6" t="s">
        <v>33</v>
      </c>
      <c r="G3" s="6"/>
      <c r="H3" s="34" t="s">
        <v>31</v>
      </c>
      <c r="I3" s="34" t="s">
        <v>32</v>
      </c>
      <c r="J3" s="34" t="s">
        <v>33</v>
      </c>
      <c r="K3" s="34" t="s">
        <v>34</v>
      </c>
      <c r="L3" s="34" t="s">
        <v>35</v>
      </c>
      <c r="M3" s="34" t="s">
        <v>36</v>
      </c>
      <c r="N3" s="10"/>
      <c r="O3" s="9"/>
    </row>
    <row r="4" spans="1:17" s="26" customFormat="1">
      <c r="A4" s="8"/>
      <c r="B4" s="32" t="s">
        <v>37</v>
      </c>
      <c r="C4" s="35" t="s">
        <v>38</v>
      </c>
      <c r="D4" s="5" t="s">
        <v>39</v>
      </c>
      <c r="E4" s="5"/>
      <c r="F4" s="4" t="s">
        <v>40</v>
      </c>
      <c r="G4" s="4"/>
      <c r="H4" s="33">
        <v>6065253</v>
      </c>
      <c r="I4" s="33">
        <v>6065255</v>
      </c>
      <c r="J4" s="33">
        <v>6065259</v>
      </c>
      <c r="K4" s="33">
        <v>6065262</v>
      </c>
      <c r="L4" s="33">
        <v>6065269</v>
      </c>
      <c r="M4" s="33">
        <v>6065283</v>
      </c>
      <c r="N4" s="33" t="s">
        <v>41</v>
      </c>
      <c r="O4" s="36" t="s">
        <v>42</v>
      </c>
    </row>
    <row r="5" spans="1:17" s="26" customFormat="1">
      <c r="A5" s="8"/>
      <c r="B5" s="37" t="s">
        <v>43</v>
      </c>
      <c r="C5" s="37" t="s">
        <v>43</v>
      </c>
      <c r="D5" s="37" t="s">
        <v>43</v>
      </c>
      <c r="E5" s="37" t="s">
        <v>43</v>
      </c>
      <c r="F5" s="37" t="s">
        <v>43</v>
      </c>
      <c r="G5" s="37" t="s">
        <v>43</v>
      </c>
      <c r="H5" s="37" t="s">
        <v>43</v>
      </c>
      <c r="I5" s="37" t="s">
        <v>43</v>
      </c>
      <c r="J5" s="37" t="s">
        <v>43</v>
      </c>
      <c r="K5" s="37" t="s">
        <v>43</v>
      </c>
      <c r="L5" s="37" t="s">
        <v>43</v>
      </c>
      <c r="M5" s="37" t="s">
        <v>43</v>
      </c>
      <c r="N5" s="37" t="s">
        <v>43</v>
      </c>
      <c r="O5" s="38" t="s">
        <v>44</v>
      </c>
    </row>
    <row r="6" spans="1:17">
      <c r="A6" s="39">
        <v>1</v>
      </c>
      <c r="B6" s="40">
        <v>53476.800000000003</v>
      </c>
      <c r="C6" s="41">
        <v>203658</v>
      </c>
      <c r="D6" s="42"/>
      <c r="E6" s="42"/>
      <c r="F6" s="42"/>
      <c r="G6" s="43"/>
      <c r="H6" s="40">
        <v>6566.3</v>
      </c>
      <c r="I6" s="40">
        <v>3970.2</v>
      </c>
      <c r="J6" s="44">
        <v>4233.6000000000004</v>
      </c>
      <c r="K6" s="40">
        <v>2361.9</v>
      </c>
      <c r="L6" s="40">
        <v>5573.8</v>
      </c>
      <c r="M6" s="40">
        <v>15022.4</v>
      </c>
      <c r="N6" s="40">
        <v>90136.2</v>
      </c>
      <c r="O6" s="45">
        <v>60.83</v>
      </c>
    </row>
    <row r="7" spans="1:17">
      <c r="A7" s="46">
        <v>2</v>
      </c>
      <c r="B7" s="44">
        <v>53504.7</v>
      </c>
      <c r="C7" s="47">
        <v>203854</v>
      </c>
      <c r="D7" s="48"/>
      <c r="E7" s="48"/>
      <c r="F7" s="48"/>
      <c r="G7" s="49"/>
      <c r="H7" s="44">
        <v>6573.5</v>
      </c>
      <c r="I7" s="44">
        <v>3973.9</v>
      </c>
      <c r="J7" s="44">
        <v>4237.8999999999996</v>
      </c>
      <c r="K7" s="44">
        <v>2364.5</v>
      </c>
      <c r="L7" s="44">
        <v>5578.2</v>
      </c>
      <c r="M7" s="44">
        <v>15034</v>
      </c>
      <c r="N7" s="44">
        <v>90266</v>
      </c>
      <c r="O7" s="50">
        <v>55.07</v>
      </c>
    </row>
    <row r="8" spans="1:17">
      <c r="A8" s="46">
        <v>3</v>
      </c>
      <c r="B8" s="44">
        <v>53528.800000000003</v>
      </c>
      <c r="C8" s="47">
        <v>204020</v>
      </c>
      <c r="D8" s="48"/>
      <c r="E8" s="48"/>
      <c r="F8" s="48"/>
      <c r="G8" s="49"/>
      <c r="H8" s="44">
        <v>6580.4</v>
      </c>
      <c r="I8" s="44">
        <v>3977.7</v>
      </c>
      <c r="J8" s="44">
        <v>4242.1000000000004</v>
      </c>
      <c r="K8" s="44">
        <v>2367.1</v>
      </c>
      <c r="L8" s="44">
        <v>5582.6</v>
      </c>
      <c r="M8" s="44">
        <v>15045.3</v>
      </c>
      <c r="N8" s="44">
        <v>90385.8</v>
      </c>
      <c r="O8" s="50">
        <v>53.46</v>
      </c>
    </row>
    <row r="9" spans="1:17">
      <c r="A9" s="46">
        <v>4</v>
      </c>
      <c r="B9" s="44">
        <v>53551.3</v>
      </c>
      <c r="C9" s="47">
        <v>204191</v>
      </c>
      <c r="D9" s="48"/>
      <c r="E9" s="48"/>
      <c r="F9" s="48"/>
      <c r="G9" s="49"/>
      <c r="H9" s="44">
        <v>6587</v>
      </c>
      <c r="I9" s="44">
        <v>3981.4</v>
      </c>
      <c r="J9" s="44">
        <v>4246.5</v>
      </c>
      <c r="K9" s="44">
        <v>2369.6999999999998</v>
      </c>
      <c r="L9" s="44">
        <v>5587.1</v>
      </c>
      <c r="M9" s="44">
        <v>15055.6</v>
      </c>
      <c r="N9" s="44">
        <v>90508.7</v>
      </c>
      <c r="O9" s="50">
        <v>53.69</v>
      </c>
    </row>
    <row r="10" spans="1:17">
      <c r="A10" s="46">
        <v>5</v>
      </c>
      <c r="B10" s="44">
        <v>53573.8</v>
      </c>
      <c r="C10" s="47">
        <v>204310</v>
      </c>
      <c r="D10" s="48"/>
      <c r="E10" s="48"/>
      <c r="F10" s="48"/>
      <c r="G10" s="49"/>
      <c r="H10" s="44">
        <v>6593.6</v>
      </c>
      <c r="I10" s="44">
        <v>3985.1</v>
      </c>
      <c r="J10" s="44">
        <v>4251</v>
      </c>
      <c r="K10" s="44">
        <v>2372.3000000000002</v>
      </c>
      <c r="L10" s="44">
        <v>5591.5</v>
      </c>
      <c r="M10" s="44">
        <v>15066.2</v>
      </c>
      <c r="N10" s="44">
        <v>90630.9</v>
      </c>
      <c r="O10" s="50">
        <v>52.53</v>
      </c>
    </row>
    <row r="11" spans="1:17">
      <c r="A11" s="46">
        <v>6</v>
      </c>
      <c r="B11" s="44">
        <v>53595</v>
      </c>
      <c r="C11" s="47">
        <v>204530</v>
      </c>
      <c r="D11" s="48"/>
      <c r="E11" s="48"/>
      <c r="F11" s="48"/>
      <c r="G11" s="49"/>
      <c r="H11" s="44">
        <v>6600.3</v>
      </c>
      <c r="I11" s="44">
        <v>3988.8</v>
      </c>
      <c r="J11" s="44">
        <v>4255.5</v>
      </c>
      <c r="K11" s="44">
        <v>2374.9</v>
      </c>
      <c r="L11" s="44">
        <v>5595.9</v>
      </c>
      <c r="M11" s="44">
        <v>15077.2</v>
      </c>
      <c r="N11" s="44">
        <v>90753.1</v>
      </c>
      <c r="O11" s="50">
        <v>49.31</v>
      </c>
    </row>
    <row r="12" spans="1:17">
      <c r="A12" s="46">
        <v>7</v>
      </c>
      <c r="B12" s="44">
        <v>53616.2</v>
      </c>
      <c r="C12" s="47">
        <v>204766</v>
      </c>
      <c r="D12" s="48"/>
      <c r="E12" s="48"/>
      <c r="F12" s="48"/>
      <c r="G12" s="49"/>
      <c r="H12" s="44">
        <v>6607</v>
      </c>
      <c r="I12" s="44">
        <v>3992.4</v>
      </c>
      <c r="J12" s="44">
        <v>4260.2</v>
      </c>
      <c r="K12" s="44">
        <v>2377.9</v>
      </c>
      <c r="L12" s="44">
        <v>5600.4</v>
      </c>
      <c r="M12" s="44">
        <v>15089</v>
      </c>
      <c r="N12" s="44">
        <v>90872.5</v>
      </c>
      <c r="O12" s="50">
        <v>39.630000000000003</v>
      </c>
    </row>
    <row r="13" spans="1:17">
      <c r="A13" s="46">
        <v>8</v>
      </c>
      <c r="B13" s="44">
        <v>53635.199999999997</v>
      </c>
      <c r="C13" s="47">
        <v>204928</v>
      </c>
      <c r="D13" s="48"/>
      <c r="E13" s="48"/>
      <c r="F13" s="48"/>
      <c r="G13" s="49"/>
      <c r="H13" s="44">
        <v>6613.7</v>
      </c>
      <c r="I13" s="44">
        <v>3995.9</v>
      </c>
      <c r="J13" s="44">
        <v>4264.8</v>
      </c>
      <c r="K13" s="44">
        <v>2380.4</v>
      </c>
      <c r="L13" s="44">
        <v>5604.7</v>
      </c>
      <c r="M13" s="44">
        <v>15100.2</v>
      </c>
      <c r="N13" s="44">
        <v>90985.8</v>
      </c>
      <c r="O13" s="50">
        <v>70.97</v>
      </c>
    </row>
    <row r="14" spans="1:17">
      <c r="A14" s="46">
        <v>9</v>
      </c>
      <c r="B14" s="44">
        <v>53656</v>
      </c>
      <c r="C14" s="47">
        <v>205059</v>
      </c>
      <c r="D14" s="48"/>
      <c r="E14" s="48"/>
      <c r="F14" s="48"/>
      <c r="G14" s="49"/>
      <c r="H14" s="44">
        <v>6620.5</v>
      </c>
      <c r="I14" s="44">
        <v>3999.6</v>
      </c>
      <c r="J14" s="44">
        <v>4269.3999999999996</v>
      </c>
      <c r="K14" s="44">
        <v>2383.1</v>
      </c>
      <c r="L14" s="44">
        <v>5609.1</v>
      </c>
      <c r="M14" s="44">
        <v>15111.3</v>
      </c>
      <c r="N14" s="44">
        <v>91106</v>
      </c>
      <c r="O14" s="50">
        <v>79.260000000000005</v>
      </c>
    </row>
    <row r="15" spans="1:17">
      <c r="A15" s="46">
        <v>10</v>
      </c>
      <c r="B15" s="44">
        <v>53676.9</v>
      </c>
      <c r="C15" s="47">
        <v>205282</v>
      </c>
      <c r="D15" s="48"/>
      <c r="E15" s="48"/>
      <c r="F15" s="48"/>
      <c r="G15" s="49"/>
      <c r="H15" s="44">
        <v>6627.3</v>
      </c>
      <c r="I15" s="44">
        <v>4003.7</v>
      </c>
      <c r="J15" s="44">
        <v>4274.1000000000004</v>
      </c>
      <c r="K15" s="44">
        <v>2385.9</v>
      </c>
      <c r="L15" s="44">
        <v>5613.5</v>
      </c>
      <c r="M15" s="44">
        <v>15122.2</v>
      </c>
      <c r="N15" s="44">
        <v>91234</v>
      </c>
      <c r="O15" s="50">
        <v>86.67</v>
      </c>
    </row>
    <row r="16" spans="1:17">
      <c r="A16" s="46">
        <v>11</v>
      </c>
      <c r="B16" s="44">
        <v>53697.4</v>
      </c>
      <c r="C16" s="47">
        <v>205368</v>
      </c>
      <c r="D16" s="48"/>
      <c r="E16" s="48"/>
      <c r="F16" s="48"/>
      <c r="G16" s="49"/>
      <c r="H16" s="44">
        <v>6634.1</v>
      </c>
      <c r="I16" s="44">
        <v>4007.7</v>
      </c>
      <c r="J16" s="44">
        <v>4278.7</v>
      </c>
      <c r="K16" s="44">
        <v>2388.6</v>
      </c>
      <c r="L16" s="44">
        <v>5618</v>
      </c>
      <c r="M16" s="44">
        <v>15133.3</v>
      </c>
      <c r="N16" s="44">
        <v>91341.5</v>
      </c>
      <c r="O16" s="50">
        <v>69.819999999999993</v>
      </c>
    </row>
    <row r="17" spans="1:17">
      <c r="A17" s="46">
        <v>12</v>
      </c>
      <c r="B17" s="44">
        <v>53716.2</v>
      </c>
      <c r="C17" s="47">
        <v>205672</v>
      </c>
      <c r="D17" s="48"/>
      <c r="E17" s="48"/>
      <c r="F17" s="48"/>
      <c r="G17" s="49"/>
      <c r="H17" s="44">
        <v>6641.2</v>
      </c>
      <c r="I17" s="44">
        <v>4011.6</v>
      </c>
      <c r="J17" s="44">
        <v>4283.5</v>
      </c>
      <c r="K17" s="44">
        <v>2391.4</v>
      </c>
      <c r="L17" s="44">
        <v>5622.5</v>
      </c>
      <c r="M17" s="44">
        <v>15144.6</v>
      </c>
      <c r="N17" s="44">
        <v>91517.7</v>
      </c>
      <c r="O17" s="50">
        <v>55.99</v>
      </c>
    </row>
    <row r="18" spans="1:17">
      <c r="A18" s="46">
        <v>13</v>
      </c>
      <c r="B18" s="44">
        <v>53734.8</v>
      </c>
      <c r="C18" s="47">
        <v>205925</v>
      </c>
      <c r="D18" s="48"/>
      <c r="E18" s="48"/>
      <c r="F18" s="48"/>
      <c r="G18" s="49"/>
      <c r="H18" s="44">
        <v>6648.4</v>
      </c>
      <c r="I18" s="44">
        <v>4015.4</v>
      </c>
      <c r="J18" s="44">
        <v>4288.3999999999996</v>
      </c>
      <c r="K18" s="44">
        <v>2394.1999999999998</v>
      </c>
      <c r="L18" s="44">
        <v>5627.1</v>
      </c>
      <c r="M18" s="44">
        <v>15156</v>
      </c>
      <c r="N18" s="44">
        <v>91677.1</v>
      </c>
      <c r="O18" s="50">
        <v>44.24</v>
      </c>
    </row>
    <row r="19" spans="1:17">
      <c r="A19" s="46">
        <v>14</v>
      </c>
      <c r="B19" s="44">
        <v>53753.3</v>
      </c>
      <c r="C19" s="47">
        <v>206117</v>
      </c>
      <c r="D19" s="48"/>
      <c r="E19" s="48"/>
      <c r="F19" s="48"/>
      <c r="G19" s="49"/>
      <c r="H19" s="44">
        <v>6655.3</v>
      </c>
      <c r="I19" s="44">
        <v>4018.9</v>
      </c>
      <c r="J19" s="44">
        <v>4293</v>
      </c>
      <c r="K19" s="44">
        <v>2396.9</v>
      </c>
      <c r="L19" s="44">
        <v>5631.5</v>
      </c>
      <c r="M19" s="44">
        <v>15166.7</v>
      </c>
      <c r="N19" s="44">
        <v>91814.2</v>
      </c>
      <c r="O19" s="50">
        <v>52.07</v>
      </c>
    </row>
    <row r="20" spans="1:17">
      <c r="A20" s="46">
        <v>15</v>
      </c>
      <c r="B20" s="44">
        <v>53772.3</v>
      </c>
      <c r="C20" s="47">
        <v>206290</v>
      </c>
      <c r="D20" s="48"/>
      <c r="E20" s="48"/>
      <c r="F20" s="48"/>
      <c r="G20" s="49"/>
      <c r="H20" s="44">
        <v>6662</v>
      </c>
      <c r="I20" s="44">
        <v>4022.85</v>
      </c>
      <c r="J20" s="44">
        <v>4297.3</v>
      </c>
      <c r="K20" s="44">
        <v>2399.5</v>
      </c>
      <c r="L20" s="44">
        <v>5635.9</v>
      </c>
      <c r="M20" s="44">
        <v>15176.3</v>
      </c>
      <c r="N20" s="44">
        <v>91928.7</v>
      </c>
      <c r="O20" s="50">
        <v>82.72</v>
      </c>
    </row>
    <row r="21" spans="1:17">
      <c r="A21" s="46">
        <v>16</v>
      </c>
      <c r="B21" s="44">
        <v>53791.7</v>
      </c>
      <c r="C21" s="47">
        <v>206462</v>
      </c>
      <c r="D21" s="48"/>
      <c r="E21" s="48"/>
      <c r="F21" s="48"/>
      <c r="G21" s="49"/>
      <c r="H21" s="44">
        <v>6668.7</v>
      </c>
      <c r="I21" s="44">
        <v>4026.3</v>
      </c>
      <c r="J21" s="44">
        <v>4301.7</v>
      </c>
      <c r="K21" s="44">
        <v>2402.1999999999998</v>
      </c>
      <c r="L21" s="44">
        <v>5640.4</v>
      </c>
      <c r="M21" s="44">
        <v>15185.6</v>
      </c>
      <c r="N21" s="44">
        <v>92046</v>
      </c>
      <c r="O21" s="50">
        <v>98.16</v>
      </c>
    </row>
    <row r="22" spans="1:17">
      <c r="A22" s="46">
        <v>17</v>
      </c>
      <c r="B22" s="44">
        <v>53814.5</v>
      </c>
      <c r="C22" s="47">
        <v>206662</v>
      </c>
      <c r="D22" s="48"/>
      <c r="E22" s="48"/>
      <c r="F22" s="48"/>
      <c r="G22" s="49"/>
      <c r="H22" s="44">
        <v>6675.6</v>
      </c>
      <c r="I22" s="44">
        <v>4030.3</v>
      </c>
      <c r="J22" s="44">
        <v>4305.8</v>
      </c>
      <c r="K22" s="44">
        <v>2405.1</v>
      </c>
      <c r="L22" s="44">
        <v>5644.9</v>
      </c>
      <c r="M22" s="44">
        <v>15194.6</v>
      </c>
      <c r="N22" s="44">
        <v>92194.2</v>
      </c>
      <c r="O22" s="50">
        <v>99.08</v>
      </c>
    </row>
    <row r="23" spans="1:17">
      <c r="A23" s="46">
        <v>18</v>
      </c>
      <c r="B23" s="44">
        <v>53836.1</v>
      </c>
      <c r="C23" s="47">
        <v>206868</v>
      </c>
      <c r="D23" s="48"/>
      <c r="E23" s="48"/>
      <c r="F23" s="48"/>
      <c r="G23" s="49"/>
      <c r="H23" s="44">
        <v>6682.5</v>
      </c>
      <c r="I23" s="44">
        <v>4034.2</v>
      </c>
      <c r="J23" s="44">
        <v>4310.3999999999996</v>
      </c>
      <c r="K23" s="44">
        <v>2407.9</v>
      </c>
      <c r="L23" s="44">
        <v>5649.4</v>
      </c>
      <c r="M23" s="44">
        <v>15204</v>
      </c>
      <c r="N23" s="44">
        <v>92341.5</v>
      </c>
      <c r="O23" s="50">
        <v>86.64</v>
      </c>
      <c r="P23" s="51"/>
      <c r="Q23" s="51"/>
    </row>
    <row r="24" spans="1:17">
      <c r="A24" s="46">
        <v>19</v>
      </c>
      <c r="B24" s="44">
        <v>53856.4</v>
      </c>
      <c r="C24" s="47">
        <v>207060</v>
      </c>
      <c r="D24" s="48"/>
      <c r="E24" s="48"/>
      <c r="F24" s="48"/>
      <c r="G24" s="49"/>
      <c r="H24" s="44">
        <v>6689.3</v>
      </c>
      <c r="I24" s="44">
        <v>4038.2</v>
      </c>
      <c r="J24" s="44">
        <v>4314.8999999999996</v>
      </c>
      <c r="K24" s="44">
        <v>2410.9</v>
      </c>
      <c r="L24" s="44">
        <v>5653.9</v>
      </c>
      <c r="M24" s="44">
        <v>15214</v>
      </c>
      <c r="N24" s="44">
        <v>92486.1</v>
      </c>
      <c r="O24" s="50">
        <v>71.89</v>
      </c>
    </row>
    <row r="25" spans="1:17">
      <c r="A25" s="46">
        <v>20</v>
      </c>
      <c r="B25" s="44">
        <v>53877.3</v>
      </c>
      <c r="C25" s="47">
        <v>207241</v>
      </c>
      <c r="D25" s="48"/>
      <c r="E25" s="48"/>
      <c r="F25" s="48"/>
      <c r="G25" s="49"/>
      <c r="H25" s="44">
        <v>6696.6</v>
      </c>
      <c r="I25" s="44">
        <v>4042.2</v>
      </c>
      <c r="J25" s="44">
        <v>4319.3</v>
      </c>
      <c r="K25" s="44">
        <v>2413.6999999999998</v>
      </c>
      <c r="L25" s="44">
        <v>5658.4</v>
      </c>
      <c r="M25" s="44">
        <v>15225.5</v>
      </c>
      <c r="N25" s="44">
        <v>92625.4</v>
      </c>
      <c r="O25" s="50">
        <v>65.44</v>
      </c>
    </row>
    <row r="26" spans="1:17">
      <c r="A26" s="46">
        <v>21</v>
      </c>
      <c r="B26" s="44">
        <v>53898.5</v>
      </c>
      <c r="C26" s="47">
        <v>207416</v>
      </c>
      <c r="D26" s="48"/>
      <c r="E26" s="48"/>
      <c r="F26" s="48"/>
      <c r="G26" s="49"/>
      <c r="H26" s="44">
        <v>6703.7</v>
      </c>
      <c r="I26" s="44">
        <v>4046</v>
      </c>
      <c r="J26" s="44">
        <v>4323.7</v>
      </c>
      <c r="K26" s="44">
        <v>2416.6</v>
      </c>
      <c r="L26" s="44">
        <v>5663</v>
      </c>
      <c r="M26" s="44">
        <v>15237.4</v>
      </c>
      <c r="N26" s="44">
        <v>92758.399999999994</v>
      </c>
      <c r="O26" s="50">
        <v>67.739999999999995</v>
      </c>
    </row>
    <row r="27" spans="1:17">
      <c r="A27" s="46">
        <v>22</v>
      </c>
      <c r="B27" s="44">
        <v>53918.400000000001</v>
      </c>
      <c r="C27" s="47">
        <v>207537</v>
      </c>
      <c r="D27" s="48"/>
      <c r="E27" s="48"/>
      <c r="F27" s="48"/>
      <c r="G27" s="49"/>
      <c r="H27" s="44">
        <v>6710.5</v>
      </c>
      <c r="I27" s="44">
        <v>4049.8</v>
      </c>
      <c r="J27" s="44">
        <v>4328.1000000000004</v>
      </c>
      <c r="K27" s="44">
        <v>2419.3000000000002</v>
      </c>
      <c r="L27" s="44">
        <v>5667.4</v>
      </c>
      <c r="M27" s="44">
        <v>15248.9</v>
      </c>
      <c r="N27" s="44">
        <v>92881.5</v>
      </c>
      <c r="O27" s="50">
        <v>80.180000000000007</v>
      </c>
    </row>
    <row r="28" spans="1:17">
      <c r="A28" s="46">
        <v>23</v>
      </c>
      <c r="B28" s="44">
        <v>53939.1</v>
      </c>
      <c r="C28" s="47">
        <v>207739</v>
      </c>
      <c r="D28" s="48"/>
      <c r="E28" s="48"/>
      <c r="F28" s="48"/>
      <c r="G28" s="49"/>
      <c r="H28" s="44">
        <v>6717.5</v>
      </c>
      <c r="I28" s="44">
        <v>4053.8</v>
      </c>
      <c r="J28" s="44">
        <v>4332.3999999999996</v>
      </c>
      <c r="K28" s="44">
        <v>2422.1</v>
      </c>
      <c r="L28" s="44">
        <v>5671.9</v>
      </c>
      <c r="M28" s="44">
        <v>15260.8</v>
      </c>
      <c r="N28" s="44">
        <v>93014.8</v>
      </c>
      <c r="O28" s="50">
        <v>82.26</v>
      </c>
    </row>
    <row r="29" spans="1:17">
      <c r="A29" s="46">
        <v>24</v>
      </c>
      <c r="B29" s="44">
        <v>53960.7</v>
      </c>
      <c r="C29" s="47">
        <v>207921</v>
      </c>
      <c r="D29" s="48"/>
      <c r="E29" s="48"/>
      <c r="F29" s="48"/>
      <c r="G29" s="49"/>
      <c r="H29" s="44">
        <v>6724.5</v>
      </c>
      <c r="I29" s="44">
        <v>4058</v>
      </c>
      <c r="J29" s="44">
        <v>4336.8999999999996</v>
      </c>
      <c r="K29" s="44">
        <v>2425.3000000000002</v>
      </c>
      <c r="L29" s="44">
        <v>5676.5</v>
      </c>
      <c r="M29" s="44">
        <v>15272.9</v>
      </c>
      <c r="N29" s="44">
        <v>93151.1</v>
      </c>
      <c r="O29" s="50">
        <v>84.56</v>
      </c>
      <c r="P29" s="52"/>
    </row>
    <row r="30" spans="1:17">
      <c r="A30" s="46">
        <v>25</v>
      </c>
      <c r="B30" s="44">
        <v>53979.8</v>
      </c>
      <c r="C30" s="47">
        <v>208093</v>
      </c>
      <c r="D30" s="44"/>
      <c r="E30" s="44"/>
      <c r="F30" s="44"/>
      <c r="G30" s="44"/>
      <c r="H30" s="44">
        <v>6731.5</v>
      </c>
      <c r="I30" s="44">
        <v>4062.2</v>
      </c>
      <c r="J30" s="44">
        <v>4341.3999999999996</v>
      </c>
      <c r="K30" s="44">
        <v>2428.3000000000002</v>
      </c>
      <c r="L30" s="44">
        <v>5681</v>
      </c>
      <c r="M30" s="44">
        <v>15284.7</v>
      </c>
      <c r="N30" s="44">
        <v>93278.7</v>
      </c>
      <c r="O30" s="50">
        <v>93.78</v>
      </c>
      <c r="P30" s="53"/>
      <c r="Q30" s="53"/>
    </row>
    <row r="31" spans="1:17">
      <c r="A31" s="46">
        <v>26</v>
      </c>
      <c r="B31" s="44">
        <v>54000.1</v>
      </c>
      <c r="C31" s="47">
        <v>208262</v>
      </c>
      <c r="D31" s="44"/>
      <c r="E31" s="44"/>
      <c r="F31" s="44"/>
      <c r="G31" s="44"/>
      <c r="H31" s="44">
        <v>6738.4</v>
      </c>
      <c r="I31" s="44">
        <v>4066.3</v>
      </c>
      <c r="J31" s="44">
        <v>4345.8</v>
      </c>
      <c r="K31" s="44">
        <v>2431.4</v>
      </c>
      <c r="L31" s="44">
        <v>5685.5</v>
      </c>
      <c r="M31" s="44">
        <v>15296.5</v>
      </c>
      <c r="N31" s="44">
        <v>93412.3</v>
      </c>
      <c r="O31" s="50"/>
    </row>
    <row r="32" spans="1:17">
      <c r="A32" s="46">
        <v>27</v>
      </c>
      <c r="B32" s="44"/>
      <c r="C32" s="47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50"/>
    </row>
    <row r="33" spans="1:17">
      <c r="A33" s="46">
        <v>28</v>
      </c>
      <c r="B33" s="44"/>
      <c r="C33" s="47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50"/>
    </row>
    <row r="34" spans="1:17">
      <c r="A34" s="46">
        <v>29</v>
      </c>
      <c r="B34" s="44"/>
      <c r="C34" s="47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50"/>
    </row>
    <row r="35" spans="1:17">
      <c r="A35" s="46">
        <v>30</v>
      </c>
      <c r="B35" s="44"/>
      <c r="C35" s="47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50"/>
    </row>
    <row r="36" spans="1:17">
      <c r="A36" s="54">
        <v>31</v>
      </c>
      <c r="B36" s="55"/>
      <c r="C36" s="56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7"/>
    </row>
    <row r="37" spans="1:17" ht="15.75" customHeight="1">
      <c r="A37" s="58"/>
      <c r="B37" s="59"/>
      <c r="C37" s="60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61">
        <f>AVERAGE(O6:O34)</f>
        <v>69.439600000000013</v>
      </c>
    </row>
    <row r="38" spans="1:17">
      <c r="Q38" t="s">
        <v>45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activeCell="F12" sqref="F12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">
        <v>49</v>
      </c>
      <c r="C3" s="62">
        <v>1</v>
      </c>
      <c r="D3" s="64" t="s">
        <v>50</v>
      </c>
      <c r="E3" s="65">
        <f>'Daily Meter'!O6</f>
        <v>60.83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 t="s">
        <v>57</v>
      </c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v>53446.3</v>
      </c>
      <c r="E7" s="83">
        <f>'Daily Meter'!B6</f>
        <v>53476.800000000003</v>
      </c>
      <c r="F7" s="84">
        <f>E7-D7</f>
        <v>30.5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8672.369999999999</v>
      </c>
      <c r="G8" s="88">
        <f>F8*0.63</f>
        <v>5463.5930999999991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v>203437</v>
      </c>
      <c r="E10" s="83">
        <f>'Daily Meter'!C6</f>
        <v>203658</v>
      </c>
      <c r="F10" s="84">
        <f>E10-D10</f>
        <v>221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48613.148999999998</v>
      </c>
      <c r="G11" s="96">
        <f>F11*0.06</f>
        <v>2916.7889399999999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v>6559.3</v>
      </c>
      <c r="E13" s="83">
        <f>'Daily Meter'!H6</f>
        <v>6566.3</v>
      </c>
      <c r="F13" s="84">
        <f t="shared" ref="F13:F18" si="0">(E13-D13)*480</f>
        <v>3360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v>3966.1</v>
      </c>
      <c r="E14" s="83">
        <f>'Daily Meter'!I6</f>
        <v>3970.2</v>
      </c>
      <c r="F14" s="84">
        <f t="shared" si="0"/>
        <v>1967.9999999999563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v>4228.8999999999996</v>
      </c>
      <c r="E15" s="83">
        <f>'Daily Meter'!J6</f>
        <v>4233.6000000000004</v>
      </c>
      <c r="F15" s="84">
        <f t="shared" si="0"/>
        <v>2256.0000000003492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v>2358.9</v>
      </c>
      <c r="E16" s="83">
        <f>'Daily Meter'!K6</f>
        <v>2361.9</v>
      </c>
      <c r="F16" s="84">
        <f t="shared" si="0"/>
        <v>1440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v>5569.2</v>
      </c>
      <c r="E17" s="83">
        <f>'Daily Meter'!L6</f>
        <v>5573.8</v>
      </c>
      <c r="F17" s="84">
        <f t="shared" si="0"/>
        <v>2208.0000000001746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v>15010.6</v>
      </c>
      <c r="E18" s="83">
        <f>'Daily Meter'!M6</f>
        <v>15022.4</v>
      </c>
      <c r="F18" s="84">
        <f t="shared" si="0"/>
        <v>5663.9999999996508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16896.000000000131</v>
      </c>
      <c r="G19" s="88">
        <f>F19*0.43</f>
        <v>7265.2800000000561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v>89987.4</v>
      </c>
      <c r="E22" s="83">
        <f>'Daily Meter'!N6</f>
        <v>90136.2</v>
      </c>
      <c r="F22" s="107">
        <f>E22-D22</f>
        <v>148.80000000000291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550.56000000001075</v>
      </c>
      <c r="G23" s="111">
        <f>F23*2.5</f>
        <v>1376.4000000000269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8672.369999999999</v>
      </c>
      <c r="G28" s="122">
        <f>G8</f>
        <v>5463.5930999999991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48613.148999999998</v>
      </c>
      <c r="G29" s="122">
        <f>G11</f>
        <v>2916.7889399999999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16896.000000000131</v>
      </c>
      <c r="G30" s="122">
        <f>G19</f>
        <v>7265.2800000000561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148.80000000000291</v>
      </c>
      <c r="G31" s="122">
        <f>G23</f>
        <v>1376.4000000000269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17022.062040000081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4" zoomScaleNormal="100" workbookViewId="0">
      <selection activeCell="F14" sqref="F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2</v>
      </c>
      <c r="D3" s="64" t="s">
        <v>50</v>
      </c>
      <c r="E3" s="65">
        <f>'Daily Meter'!O6</f>
        <v>60.83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'1'!E7</f>
        <v>53476.800000000003</v>
      </c>
      <c r="E7" s="83">
        <f>'Daily Meter'!B7</f>
        <v>53504.7</v>
      </c>
      <c r="F7" s="84">
        <f>E7-D7</f>
        <v>27.899999999994179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7933.0859999983441</v>
      </c>
      <c r="G8" s="88">
        <f>F8*0.63</f>
        <v>4997.8441799989569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'1'!E10</f>
        <v>203658</v>
      </c>
      <c r="E10" s="83">
        <f>'Daily Meter'!C7</f>
        <v>203854</v>
      </c>
      <c r="F10" s="84">
        <f>E10-D10</f>
        <v>196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43113.923999999999</v>
      </c>
      <c r="G11" s="96">
        <f>F11*0.06</f>
        <v>2586.8354399999998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'1'!E13</f>
        <v>6566.3</v>
      </c>
      <c r="E13" s="83">
        <f>'Daily Meter'!H7</f>
        <v>6573.5</v>
      </c>
      <c r="F13" s="84">
        <f t="shared" ref="F13:F18" si="0">(E13-D13)*480</f>
        <v>3455.9999999999127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'1'!E14</f>
        <v>3970.2</v>
      </c>
      <c r="E14" s="83">
        <f>'Daily Meter'!I7</f>
        <v>3973.9</v>
      </c>
      <c r="F14" s="84">
        <f t="shared" si="0"/>
        <v>1776.000000000131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'1'!E15</f>
        <v>4233.6000000000004</v>
      </c>
      <c r="E15" s="83">
        <f>'Daily Meter'!J7</f>
        <v>4237.8999999999996</v>
      </c>
      <c r="F15" s="84">
        <f t="shared" si="0"/>
        <v>2063.9999999996508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'1'!E16</f>
        <v>2361.9</v>
      </c>
      <c r="E16" s="83">
        <f>'Daily Meter'!K7</f>
        <v>2364.5</v>
      </c>
      <c r="F16" s="84">
        <f t="shared" si="0"/>
        <v>1247.9999999999563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'1'!E17</f>
        <v>5573.8</v>
      </c>
      <c r="E17" s="83">
        <f>'Daily Meter'!L7</f>
        <v>5578.2</v>
      </c>
      <c r="F17" s="84">
        <f t="shared" si="0"/>
        <v>2111.9999999998254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'1'!E18</f>
        <v>15022.4</v>
      </c>
      <c r="E18" s="83">
        <f>'Daily Meter'!M7</f>
        <v>15034</v>
      </c>
      <c r="F18" s="84">
        <f t="shared" si="0"/>
        <v>5568.0000000001746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16223.999999999651</v>
      </c>
      <c r="G19" s="88">
        <f>F19*0.43</f>
        <v>6976.3199999998496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'1'!E22</f>
        <v>90136.2</v>
      </c>
      <c r="E22" s="83">
        <f>'Daily Meter'!N7</f>
        <v>90266</v>
      </c>
      <c r="F22" s="107">
        <f>E22-D22</f>
        <v>129.80000000000291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480.26000000001079</v>
      </c>
      <c r="G23" s="111">
        <f>F23*2.5</f>
        <v>1200.6500000000269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7933.0859999983441</v>
      </c>
      <c r="G28" s="122">
        <f>G8</f>
        <v>4997.8441799989569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43113.923999999999</v>
      </c>
      <c r="G29" s="122">
        <f>G11</f>
        <v>2586.8354399999998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16223.999999999651</v>
      </c>
      <c r="G30" s="122">
        <f>G19</f>
        <v>6976.3199999998496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129.80000000000291</v>
      </c>
      <c r="G31" s="122">
        <f>G23</f>
        <v>1200.6500000000269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15761.649619998832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A7" zoomScaleNormal="100" workbookViewId="0">
      <selection activeCell="H11" sqref="H11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3</v>
      </c>
      <c r="D3" s="64" t="s">
        <v>50</v>
      </c>
      <c r="E3" s="65">
        <f>'Daily Meter'!O8</f>
        <v>53.46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'2'!E7</f>
        <v>53504.7</v>
      </c>
      <c r="E7" s="83">
        <f>'Daily Meter'!B8</f>
        <v>53528.800000000003</v>
      </c>
      <c r="F7" s="84">
        <f>E7-D7</f>
        <v>24.100000000005821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6852.5940000016544</v>
      </c>
      <c r="G8" s="88">
        <f>F8*0.63</f>
        <v>4317.1342200010422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'2'!E10</f>
        <v>203854</v>
      </c>
      <c r="E10" s="83">
        <f>'Daily Meter'!C8</f>
        <v>204020</v>
      </c>
      <c r="F10" s="84">
        <f>E10-D10</f>
        <v>166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36514.853999999999</v>
      </c>
      <c r="G11" s="96">
        <f>F11*0.06</f>
        <v>2190.8912399999999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'2'!E13</f>
        <v>6573.5</v>
      </c>
      <c r="E13" s="83">
        <f>'Daily Meter'!H8</f>
        <v>6580.4</v>
      </c>
      <c r="F13" s="84">
        <f t="shared" ref="F13:F18" si="0">(E13-D13)*480</f>
        <v>3311.9999999998254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'2'!E14</f>
        <v>3973.9</v>
      </c>
      <c r="E14" s="83">
        <f>'Daily Meter'!I8</f>
        <v>3977.7</v>
      </c>
      <c r="F14" s="84">
        <f t="shared" si="0"/>
        <v>1823.999999999869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'2'!E15</f>
        <v>4237.8999999999996</v>
      </c>
      <c r="E15" s="83">
        <f>'Daily Meter'!J8</f>
        <v>4242.1000000000004</v>
      </c>
      <c r="F15" s="84">
        <f t="shared" si="0"/>
        <v>2016.0000000003492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'2'!E16</f>
        <v>2364.5</v>
      </c>
      <c r="E16" s="83">
        <f>'Daily Meter'!K8</f>
        <v>2367.1</v>
      </c>
      <c r="F16" s="84">
        <f t="shared" si="0"/>
        <v>1247.9999999999563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'2'!E17</f>
        <v>5578.2</v>
      </c>
      <c r="E17" s="83">
        <f>'Daily Meter'!L8</f>
        <v>5582.6</v>
      </c>
      <c r="F17" s="84">
        <f t="shared" si="0"/>
        <v>2112.0000000002619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'2'!E18</f>
        <v>15034</v>
      </c>
      <c r="E18" s="83">
        <f>'Daily Meter'!M8</f>
        <v>15045.3</v>
      </c>
      <c r="F18" s="84">
        <f t="shared" si="0"/>
        <v>5423.9999999996508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15935.999999999913</v>
      </c>
      <c r="G19" s="88">
        <f>F19*0.43</f>
        <v>6852.4799999999623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'2'!E22</f>
        <v>90266</v>
      </c>
      <c r="E22" s="83">
        <f>'Daily Meter'!N8</f>
        <v>90385.8</v>
      </c>
      <c r="F22" s="107">
        <f>E22-D22</f>
        <v>119.80000000000291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443.26000000001079</v>
      </c>
      <c r="G23" s="111">
        <f>F23*2.5</f>
        <v>1108.1500000000269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6852.5940000016544</v>
      </c>
      <c r="G28" s="122">
        <f>G8</f>
        <v>4317.1342200010422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36514.853999999999</v>
      </c>
      <c r="G29" s="122">
        <f>G11</f>
        <v>2190.8912399999999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15935.999999999913</v>
      </c>
      <c r="G30" s="122">
        <f>G19</f>
        <v>6852.4799999999623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119.80000000000291</v>
      </c>
      <c r="G31" s="122">
        <f>G23</f>
        <v>1108.1500000000269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14468.655460001031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4</v>
      </c>
      <c r="D3" s="64" t="s">
        <v>50</v>
      </c>
      <c r="E3" s="65">
        <f>'Daily Meter'!O9</f>
        <v>53.69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'3'!E7</f>
        <v>53528.800000000003</v>
      </c>
      <c r="E7" s="83">
        <f>'Daily Meter'!B9</f>
        <v>53551.3</v>
      </c>
      <c r="F7" s="84">
        <f>E7-D7</f>
        <v>22.5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6397.65</v>
      </c>
      <c r="G8" s="88">
        <f>F8*0.63</f>
        <v>4030.5194999999999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'3'!E10</f>
        <v>204020</v>
      </c>
      <c r="E10" s="83">
        <f>'Daily Meter'!C9</f>
        <v>204191</v>
      </c>
      <c r="F10" s="84">
        <f>E10-D10</f>
        <v>171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37614.699000000001</v>
      </c>
      <c r="G11" s="96">
        <f>F11*0.06</f>
        <v>2256.8819399999998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'3'!E13</f>
        <v>6580.4</v>
      </c>
      <c r="E13" s="83">
        <f>'Daily Meter'!H9</f>
        <v>6587</v>
      </c>
      <c r="F13" s="84">
        <f t="shared" ref="F13:F18" si="0">(E13-D13)*480</f>
        <v>3168.0000000001746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'3'!E14</f>
        <v>3977.7</v>
      </c>
      <c r="E14" s="83">
        <f>'Daily Meter'!I9</f>
        <v>3981.4</v>
      </c>
      <c r="F14" s="84">
        <f t="shared" si="0"/>
        <v>1776.000000000131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'3'!E15</f>
        <v>4242.1000000000004</v>
      </c>
      <c r="E15" s="83">
        <f>'Daily Meter'!J9</f>
        <v>4246.5</v>
      </c>
      <c r="F15" s="84">
        <f t="shared" si="0"/>
        <v>2111.9999999998254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'3'!E16</f>
        <v>2367.1</v>
      </c>
      <c r="E16" s="83">
        <f>'Daily Meter'!K9</f>
        <v>2369.6999999999998</v>
      </c>
      <c r="F16" s="84">
        <f t="shared" si="0"/>
        <v>1247.9999999999563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'3'!E17</f>
        <v>5582.6</v>
      </c>
      <c r="E17" s="83">
        <f>'Daily Meter'!L9</f>
        <v>5587.1</v>
      </c>
      <c r="F17" s="84">
        <f t="shared" si="0"/>
        <v>2160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'3'!E18</f>
        <v>15045.3</v>
      </c>
      <c r="E18" s="83">
        <f>'Daily Meter'!M9</f>
        <v>15055.6</v>
      </c>
      <c r="F18" s="84">
        <f t="shared" si="0"/>
        <v>4944.0000000005239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15408.000000000611</v>
      </c>
      <c r="G19" s="88">
        <f>F19*0.43</f>
        <v>6625.4400000002624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'3'!E22</f>
        <v>90385.8</v>
      </c>
      <c r="E22" s="83">
        <f>'Daily Meter'!N9</f>
        <v>90508.7</v>
      </c>
      <c r="F22" s="107">
        <f>E22-D22</f>
        <v>122.89999999999418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454.72999999997847</v>
      </c>
      <c r="G23" s="111">
        <f>F23*2.5</f>
        <v>1136.8249999999462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6397.65</v>
      </c>
      <c r="G28" s="122">
        <f>G8</f>
        <v>4030.5194999999999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37614.699000000001</v>
      </c>
      <c r="G29" s="122">
        <f>G11</f>
        <v>2256.8819399999998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15408.000000000611</v>
      </c>
      <c r="G30" s="122">
        <f>G19</f>
        <v>6625.4400000002624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122.89999999999418</v>
      </c>
      <c r="G31" s="122">
        <f>G23</f>
        <v>1136.8249999999462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14049.666440000208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5</v>
      </c>
      <c r="D3" s="64" t="s">
        <v>50</v>
      </c>
      <c r="E3" s="65">
        <f>'Daily Meter'!O10</f>
        <v>52.53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'4'!E7</f>
        <v>53551.3</v>
      </c>
      <c r="E7" s="83">
        <f>'Daily Meter'!B10</f>
        <v>53573.8</v>
      </c>
      <c r="F7" s="84">
        <f>E7-D7</f>
        <v>22.5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6397.65</v>
      </c>
      <c r="G8" s="88">
        <f>F8*0.63</f>
        <v>4030.5194999999999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'4'!E10</f>
        <v>204191</v>
      </c>
      <c r="E10" s="83">
        <f>'Daily Meter'!C10</f>
        <v>204310</v>
      </c>
      <c r="F10" s="84">
        <f>E10-D10</f>
        <v>119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26176.310999999998</v>
      </c>
      <c r="G11" s="96">
        <f>F11*0.06</f>
        <v>1570.5786599999999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'4'!E13</f>
        <v>6587</v>
      </c>
      <c r="E13" s="83">
        <f>'Daily Meter'!H10</f>
        <v>6593.6</v>
      </c>
      <c r="F13" s="84">
        <f t="shared" ref="F13:F18" si="0">(E13-D13)*480</f>
        <v>3168.0000000001746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'4'!E14</f>
        <v>3981.4</v>
      </c>
      <c r="E14" s="83">
        <f>'Daily Meter'!I10</f>
        <v>3985.1</v>
      </c>
      <c r="F14" s="84">
        <f t="shared" si="0"/>
        <v>1775.9999999999127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'4'!E15</f>
        <v>4246.5</v>
      </c>
      <c r="E15" s="83">
        <f>'Daily Meter'!J10</f>
        <v>4251</v>
      </c>
      <c r="F15" s="84">
        <f t="shared" si="0"/>
        <v>2160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'4'!E16</f>
        <v>2369.6999999999998</v>
      </c>
      <c r="E16" s="83">
        <f>'Daily Meter'!K10</f>
        <v>2372.3000000000002</v>
      </c>
      <c r="F16" s="84">
        <f t="shared" si="0"/>
        <v>1248.0000000001746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'4'!E17</f>
        <v>5587.1</v>
      </c>
      <c r="E17" s="83">
        <f>'Daily Meter'!L10</f>
        <v>5591.5</v>
      </c>
      <c r="F17" s="84">
        <f t="shared" si="0"/>
        <v>2111.9999999998254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'4'!E18</f>
        <v>15055.6</v>
      </c>
      <c r="E18" s="83">
        <f>'Daily Meter'!M10</f>
        <v>15066.2</v>
      </c>
      <c r="F18" s="84">
        <f t="shared" si="0"/>
        <v>5088.0000000001746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15552.000000000262</v>
      </c>
      <c r="G19" s="88">
        <f>F19*0.43</f>
        <v>6687.3600000001124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'4'!E22</f>
        <v>90508.7</v>
      </c>
      <c r="E22" s="83">
        <f>'Daily Meter'!N10</f>
        <v>90630.9</v>
      </c>
      <c r="F22" s="107">
        <f>E22-D22</f>
        <v>122.19999999999709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452.13999999998924</v>
      </c>
      <c r="G23" s="111">
        <f>F23*2.5</f>
        <v>1130.3499999999731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6397.65</v>
      </c>
      <c r="G28" s="122">
        <f>G8</f>
        <v>4030.5194999999999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26176.310999999998</v>
      </c>
      <c r="G29" s="122">
        <f>G11</f>
        <v>1570.5786599999999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15552.000000000262</v>
      </c>
      <c r="G30" s="122">
        <f>G19</f>
        <v>6687.3600000001124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122.19999999999709</v>
      </c>
      <c r="G31" s="122">
        <f>G23</f>
        <v>1130.3499999999731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13418.808160000084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6</v>
      </c>
      <c r="D3" s="64" t="s">
        <v>50</v>
      </c>
      <c r="E3" s="65">
        <f>'Daily Meter'!O11</f>
        <v>49.31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'5'!E7</f>
        <v>53573.8</v>
      </c>
      <c r="E7" s="83">
        <f>'Daily Meter'!B11</f>
        <v>53595</v>
      </c>
      <c r="F7" s="84">
        <f>E7-D7</f>
        <v>21.19999999999709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6028.0079999991722</v>
      </c>
      <c r="G8" s="88">
        <f>F8*0.63</f>
        <v>3797.6450399994783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'5'!E10</f>
        <v>204310</v>
      </c>
      <c r="E10" s="83">
        <f>'Daily Meter'!C11</f>
        <v>204530</v>
      </c>
      <c r="F10" s="84">
        <f>E10-D10</f>
        <v>220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48393.18</v>
      </c>
      <c r="G11" s="96">
        <f>F11*0.06</f>
        <v>2903.5907999999999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'5'!E13</f>
        <v>6593.6</v>
      </c>
      <c r="E13" s="83">
        <f>'Daily Meter'!H11</f>
        <v>6600.3</v>
      </c>
      <c r="F13" s="84">
        <f t="shared" ref="F13:F18" si="0">(E13-D13)*480</f>
        <v>3215.9999999999127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'5'!E14</f>
        <v>3985.1</v>
      </c>
      <c r="E14" s="83">
        <f>'Daily Meter'!I11</f>
        <v>3988.8</v>
      </c>
      <c r="F14" s="84">
        <f t="shared" si="0"/>
        <v>1776.000000000131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'5'!E15</f>
        <v>4251</v>
      </c>
      <c r="E15" s="83">
        <f>'Daily Meter'!J11</f>
        <v>4255.5</v>
      </c>
      <c r="F15" s="84">
        <f t="shared" si="0"/>
        <v>2160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'5'!E16</f>
        <v>2372.3000000000002</v>
      </c>
      <c r="E16" s="83">
        <f>'Daily Meter'!K11</f>
        <v>2374.9</v>
      </c>
      <c r="F16" s="84">
        <f t="shared" si="0"/>
        <v>1247.9999999999563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'5'!E17</f>
        <v>5591.5</v>
      </c>
      <c r="E17" s="83">
        <f>'Daily Meter'!L11</f>
        <v>5595.9</v>
      </c>
      <c r="F17" s="84">
        <f t="shared" si="0"/>
        <v>2111.9999999998254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'5'!E18</f>
        <v>15066.2</v>
      </c>
      <c r="E18" s="83">
        <f>'Daily Meter'!M11</f>
        <v>15077.2</v>
      </c>
      <c r="F18" s="84">
        <f t="shared" si="0"/>
        <v>5280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15791.999999999825</v>
      </c>
      <c r="G19" s="88">
        <f>F19*0.43</f>
        <v>6790.5599999999249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'5'!E22</f>
        <v>90630.9</v>
      </c>
      <c r="E22" s="83">
        <f>'Daily Meter'!N11</f>
        <v>90753.1</v>
      </c>
      <c r="F22" s="107">
        <f>E22-D22</f>
        <v>122.20000000001164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452.14000000004307</v>
      </c>
      <c r="G23" s="111">
        <f>F23*2.5</f>
        <v>1130.3500000001077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6028.0079999991722</v>
      </c>
      <c r="G28" s="122">
        <f>G8</f>
        <v>3797.6450399994783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48393.18</v>
      </c>
      <c r="G29" s="122">
        <f>G11</f>
        <v>2903.5907999999999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15791.999999999825</v>
      </c>
      <c r="G30" s="122">
        <f>G19</f>
        <v>6790.5599999999249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122.20000000001164</v>
      </c>
      <c r="G31" s="122">
        <f>G23</f>
        <v>1130.3500000001077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14622.14583999951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7</v>
      </c>
      <c r="D3" s="64" t="s">
        <v>50</v>
      </c>
      <c r="E3" s="65">
        <f>'Daily Meter'!O12</f>
        <v>39.630000000000003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'6'!E7</f>
        <v>53595</v>
      </c>
      <c r="E7" s="83">
        <f>'Daily Meter'!B12</f>
        <v>53616.2</v>
      </c>
      <c r="F7" s="84">
        <f>E7-D7</f>
        <v>21.19999999999709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6028.0079999991722</v>
      </c>
      <c r="G8" s="88">
        <f>F8*0.63</f>
        <v>3797.6450399994783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'6'!E10</f>
        <v>204530</v>
      </c>
      <c r="E10" s="83">
        <f>'Daily Meter'!C12</f>
        <v>204766</v>
      </c>
      <c r="F10" s="84">
        <f>E10-D10</f>
        <v>236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51912.684000000001</v>
      </c>
      <c r="G11" s="96">
        <f>F11*0.06</f>
        <v>3114.7610399999999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'6'!E13</f>
        <v>6600.3</v>
      </c>
      <c r="E13" s="83">
        <f>'Daily Meter'!H12</f>
        <v>6607</v>
      </c>
      <c r="F13" s="84">
        <f t="shared" ref="F13:F18" si="0">(E13-D13)*480</f>
        <v>3215.9999999999127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'6'!E14</f>
        <v>3988.8</v>
      </c>
      <c r="E14" s="83">
        <f>'Daily Meter'!I12</f>
        <v>3992.4</v>
      </c>
      <c r="F14" s="84">
        <f t="shared" si="0"/>
        <v>1727.9999999999563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'6'!E15</f>
        <v>4255.5</v>
      </c>
      <c r="E15" s="83">
        <f>'Daily Meter'!J12</f>
        <v>4260.2</v>
      </c>
      <c r="F15" s="84">
        <f t="shared" si="0"/>
        <v>2255.9999999999127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'6'!E16</f>
        <v>2374.9</v>
      </c>
      <c r="E16" s="83">
        <f>'Daily Meter'!K12</f>
        <v>2377.9</v>
      </c>
      <c r="F16" s="84">
        <f t="shared" si="0"/>
        <v>1440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'6'!E17</f>
        <v>5595.9</v>
      </c>
      <c r="E17" s="83">
        <f>'Daily Meter'!L12</f>
        <v>5600.4</v>
      </c>
      <c r="F17" s="84">
        <f t="shared" si="0"/>
        <v>2160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'6'!E18</f>
        <v>15077.2</v>
      </c>
      <c r="E18" s="83">
        <f>'Daily Meter'!M12</f>
        <v>15089</v>
      </c>
      <c r="F18" s="84">
        <f t="shared" si="0"/>
        <v>5663.9999999996508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16463.999999999432</v>
      </c>
      <c r="G19" s="88">
        <f>F19*0.43</f>
        <v>7079.5199999997558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'6'!E22</f>
        <v>90753.1</v>
      </c>
      <c r="E22" s="83">
        <f>'Daily Meter'!N12</f>
        <v>90872.5</v>
      </c>
      <c r="F22" s="107">
        <f>E22-D22</f>
        <v>119.39999999999418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441.77999999997849</v>
      </c>
      <c r="G23" s="111">
        <f>F23*2.5</f>
        <v>1104.4499999999462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6028.0079999991722</v>
      </c>
      <c r="G28" s="122">
        <f>G8</f>
        <v>3797.6450399994783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51912.684000000001</v>
      </c>
      <c r="G29" s="122">
        <f>G11</f>
        <v>3114.7610399999999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16463.999999999432</v>
      </c>
      <c r="G30" s="122">
        <f>G19</f>
        <v>7079.5199999997558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119.39999999999418</v>
      </c>
      <c r="G31" s="122">
        <f>G23</f>
        <v>1104.4499999999462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15096.37607999918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8</v>
      </c>
      <c r="D3" s="64" t="s">
        <v>50</v>
      </c>
      <c r="E3" s="65">
        <f>'Daily Meter'!O13</f>
        <v>70.97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'7'!E7</f>
        <v>53616.2</v>
      </c>
      <c r="E7" s="83">
        <f>'Daily Meter'!B13</f>
        <v>53635.199999999997</v>
      </c>
      <c r="F7" s="84">
        <f>E7-D7</f>
        <v>19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5402.4599999999991</v>
      </c>
      <c r="G8" s="88">
        <f>F8*0.63</f>
        <v>3403.5497999999993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'7'!E10</f>
        <v>204766</v>
      </c>
      <c r="E10" s="83">
        <f>'Daily Meter'!C13</f>
        <v>204928</v>
      </c>
      <c r="F10" s="84">
        <f>E10-D10</f>
        <v>162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35634.977999999996</v>
      </c>
      <c r="G11" s="96">
        <f>F11*0.06</f>
        <v>2138.0986799999996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'7'!E13</f>
        <v>6607</v>
      </c>
      <c r="E13" s="83">
        <f>'Daily Meter'!H13</f>
        <v>6613.7</v>
      </c>
      <c r="F13" s="84">
        <f t="shared" ref="F13:F18" si="0">(E13-D13)*480</f>
        <v>3215.9999999999127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'7'!E14</f>
        <v>3992.4</v>
      </c>
      <c r="E14" s="83">
        <f>'Daily Meter'!I13</f>
        <v>3995.9</v>
      </c>
      <c r="F14" s="84">
        <f t="shared" si="0"/>
        <v>1680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'7'!E15</f>
        <v>4260.2</v>
      </c>
      <c r="E15" s="83">
        <f>'Daily Meter'!J13</f>
        <v>4264.8</v>
      </c>
      <c r="F15" s="84">
        <f t="shared" si="0"/>
        <v>2208.0000000001746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'7'!E16</f>
        <v>2377.9</v>
      </c>
      <c r="E16" s="83">
        <f>'Daily Meter'!K13</f>
        <v>2380.4</v>
      </c>
      <c r="F16" s="84">
        <f t="shared" si="0"/>
        <v>1200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'7'!E17</f>
        <v>5600.4</v>
      </c>
      <c r="E17" s="83">
        <f>'Daily Meter'!L13</f>
        <v>5604.7</v>
      </c>
      <c r="F17" s="84">
        <f t="shared" si="0"/>
        <v>2064.0000000000873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'7'!E18</f>
        <v>15089</v>
      </c>
      <c r="E18" s="83">
        <f>'Daily Meter'!M13</f>
        <v>15100.2</v>
      </c>
      <c r="F18" s="84">
        <f t="shared" si="0"/>
        <v>5376.0000000003492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15744.000000000524</v>
      </c>
      <c r="G19" s="88">
        <f>F19*0.43</f>
        <v>6769.9200000002247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'7'!E22</f>
        <v>90872.5</v>
      </c>
      <c r="E22" s="83">
        <f>'Daily Meter'!N13</f>
        <v>90985.8</v>
      </c>
      <c r="F22" s="107">
        <f>E22-D22</f>
        <v>113.30000000000291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419.21000000001078</v>
      </c>
      <c r="G23" s="111">
        <f>F23*2.5</f>
        <v>1048.0250000000269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5402.4599999999991</v>
      </c>
      <c r="G28" s="122">
        <f>G8</f>
        <v>3403.5497999999993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35634.977999999996</v>
      </c>
      <c r="G29" s="122">
        <f>G11</f>
        <v>2138.0986799999996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15744.000000000524</v>
      </c>
      <c r="G30" s="122">
        <f>G19</f>
        <v>6769.9200000002247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113.30000000000291</v>
      </c>
      <c r="G31" s="122">
        <f>G23</f>
        <v>1048.0250000000269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13359.593480000251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9</v>
      </c>
      <c r="D3" s="64" t="s">
        <v>50</v>
      </c>
      <c r="E3" s="65">
        <f>'Daily Meter'!O14</f>
        <v>79.260000000000005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'8'!E7</f>
        <v>53635.199999999997</v>
      </c>
      <c r="E7" s="83">
        <f>'Daily Meter'!B14</f>
        <v>53656</v>
      </c>
      <c r="F7" s="84">
        <f>E7-D7</f>
        <v>20.80000000000291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5914.2720000008267</v>
      </c>
      <c r="G8" s="88">
        <f>F8*0.63</f>
        <v>3725.9913600005207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'8'!E10</f>
        <v>204928</v>
      </c>
      <c r="E10" s="83">
        <f>'Daily Meter'!C14</f>
        <v>205059</v>
      </c>
      <c r="F10" s="84">
        <f>E10-D10</f>
        <v>131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28815.938999999998</v>
      </c>
      <c r="G11" s="96">
        <f>F11*0.06</f>
        <v>1728.95634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'8'!E13</f>
        <v>6613.7</v>
      </c>
      <c r="E13" s="83">
        <f>'Daily Meter'!H14</f>
        <v>6620.5</v>
      </c>
      <c r="F13" s="84">
        <f t="shared" ref="F13:F18" si="0">(E13-D13)*480</f>
        <v>3264.0000000000873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'8'!E14</f>
        <v>3995.9</v>
      </c>
      <c r="E14" s="83">
        <f>'Daily Meter'!I14</f>
        <v>3999.6</v>
      </c>
      <c r="F14" s="84">
        <f t="shared" si="0"/>
        <v>1775.9999999999127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'8'!E15</f>
        <v>4264.8</v>
      </c>
      <c r="E15" s="83">
        <f>'Daily Meter'!J14</f>
        <v>4269.3999999999996</v>
      </c>
      <c r="F15" s="84">
        <f t="shared" si="0"/>
        <v>2207.9999999997381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'8'!E16</f>
        <v>2380.4</v>
      </c>
      <c r="E16" s="83">
        <f>'Daily Meter'!K14</f>
        <v>2383.1</v>
      </c>
      <c r="F16" s="84">
        <f t="shared" si="0"/>
        <v>1295.9999999999127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'8'!E17</f>
        <v>5604.7</v>
      </c>
      <c r="E17" s="83">
        <f>'Daily Meter'!L14</f>
        <v>5609.1</v>
      </c>
      <c r="F17" s="84">
        <f t="shared" si="0"/>
        <v>2112.0000000002619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'8'!E18</f>
        <v>15100.2</v>
      </c>
      <c r="E18" s="83">
        <f>'Daily Meter'!M14</f>
        <v>15111.3</v>
      </c>
      <c r="F18" s="84">
        <f t="shared" si="0"/>
        <v>5327.9999999993015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15983.999999999214</v>
      </c>
      <c r="G19" s="88">
        <f>F19*0.43</f>
        <v>6873.1199999996616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'8'!E22</f>
        <v>90985.8</v>
      </c>
      <c r="E22" s="83">
        <f>'Daily Meter'!N14</f>
        <v>91106</v>
      </c>
      <c r="F22" s="107">
        <f>E22-D22</f>
        <v>120.19999999999709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444.73999999998927</v>
      </c>
      <c r="G23" s="111">
        <f>F23*2.5</f>
        <v>1111.8499999999731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5914.2720000008267</v>
      </c>
      <c r="G28" s="122">
        <f>G8</f>
        <v>3725.9913600005207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28815.938999999998</v>
      </c>
      <c r="G29" s="122">
        <f>G11</f>
        <v>1728.95634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15983.999999999214</v>
      </c>
      <c r="G30" s="122">
        <f>G19</f>
        <v>6873.1199999996616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120.19999999999709</v>
      </c>
      <c r="G31" s="122">
        <f>G23</f>
        <v>1111.8499999999731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13439.917700000155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10</v>
      </c>
      <c r="D3" s="64" t="s">
        <v>50</v>
      </c>
      <c r="E3" s="65">
        <f>'Daily Meter'!O15</f>
        <v>86.67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'9'!E7</f>
        <v>53656</v>
      </c>
      <c r="E7" s="83">
        <f>'Daily Meter'!B15</f>
        <v>53676.9</v>
      </c>
      <c r="F7" s="84">
        <f>E7-D7</f>
        <v>20.900000000001455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5942.706000000413</v>
      </c>
      <c r="G8" s="88">
        <f>F8*0.63</f>
        <v>3743.9047800002604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'9'!E10</f>
        <v>205059</v>
      </c>
      <c r="E10" s="83">
        <f>'Daily Meter'!C15</f>
        <v>205282</v>
      </c>
      <c r="F10" s="84">
        <f>E10-D10</f>
        <v>223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49053.087</v>
      </c>
      <c r="G11" s="96">
        <f>F11*0.06</f>
        <v>2943.1852199999998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'9'!E13</f>
        <v>6620.5</v>
      </c>
      <c r="E13" s="83">
        <f>'Daily Meter'!H15</f>
        <v>6627.3</v>
      </c>
      <c r="F13" s="84">
        <f t="shared" ref="F13:F18" si="0">(E13-D13)*480</f>
        <v>3264.0000000000873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'9'!E14</f>
        <v>3999.6</v>
      </c>
      <c r="E14" s="83">
        <f>'Daily Meter'!I15</f>
        <v>4003.7</v>
      </c>
      <c r="F14" s="84">
        <f t="shared" si="0"/>
        <v>1967.9999999999563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'9'!E15</f>
        <v>4269.3999999999996</v>
      </c>
      <c r="E15" s="83">
        <f>'Daily Meter'!J15</f>
        <v>4274.1000000000004</v>
      </c>
      <c r="F15" s="84">
        <f t="shared" si="0"/>
        <v>2256.0000000003492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'9'!E16</f>
        <v>2383.1</v>
      </c>
      <c r="E16" s="83">
        <f>'Daily Meter'!K15</f>
        <v>2385.9</v>
      </c>
      <c r="F16" s="84">
        <f t="shared" si="0"/>
        <v>1344.0000000000873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'9'!E17</f>
        <v>5609.1</v>
      </c>
      <c r="E17" s="83">
        <f>'Daily Meter'!L15</f>
        <v>5613.5</v>
      </c>
      <c r="F17" s="84">
        <f t="shared" si="0"/>
        <v>2111.9999999998254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'9'!E18</f>
        <v>15111.3</v>
      </c>
      <c r="E18" s="83">
        <f>'Daily Meter'!M15</f>
        <v>15122.2</v>
      </c>
      <c r="F18" s="84">
        <f t="shared" si="0"/>
        <v>5232.0000000006985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16176.000000001004</v>
      </c>
      <c r="G19" s="88">
        <f>F19*0.43</f>
        <v>6955.6800000004314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'9'!E22</f>
        <v>91106</v>
      </c>
      <c r="E22" s="83">
        <f>'Daily Meter'!N15</f>
        <v>91234</v>
      </c>
      <c r="F22" s="107">
        <f>E22-D22</f>
        <v>128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473.6</v>
      </c>
      <c r="G23" s="111">
        <f>F23*2.5</f>
        <v>1184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5942.706000000413</v>
      </c>
      <c r="G28" s="122">
        <f>G8</f>
        <v>3743.9047800002604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49053.087</v>
      </c>
      <c r="G29" s="122">
        <f>G11</f>
        <v>2943.1852199999998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16176.000000001004</v>
      </c>
      <c r="G30" s="122">
        <f>G19</f>
        <v>6955.6800000004314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128</v>
      </c>
      <c r="G31" s="122">
        <f>G23</f>
        <v>1184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14826.770000000692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11</v>
      </c>
      <c r="D3" s="64" t="s">
        <v>50</v>
      </c>
      <c r="E3" s="65">
        <f>'Daily Meter'!O16</f>
        <v>69.819999999999993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'10'!E7</f>
        <v>53676.9</v>
      </c>
      <c r="E7" s="83">
        <f>'Daily Meter'!B16</f>
        <v>53697.4</v>
      </c>
      <c r="F7" s="84">
        <f>E7-D7</f>
        <v>20.5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5828.9699999999993</v>
      </c>
      <c r="G8" s="88">
        <f>F8*0.63</f>
        <v>3672.2510999999995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'10'!E10</f>
        <v>205282</v>
      </c>
      <c r="E10" s="83">
        <f>'Daily Meter'!C16</f>
        <v>205368</v>
      </c>
      <c r="F10" s="84">
        <f>E10-D10</f>
        <v>86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18917.333999999999</v>
      </c>
      <c r="G11" s="96">
        <f>F11*0.06</f>
        <v>1135.0400399999999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'10'!E13</f>
        <v>6627.3</v>
      </c>
      <c r="E13" s="83">
        <f>'Daily Meter'!H16</f>
        <v>6634.1</v>
      </c>
      <c r="F13" s="84">
        <f t="shared" ref="F13:F18" si="0">(E13-D13)*480</f>
        <v>3264.0000000000873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'10'!E14</f>
        <v>4003.7</v>
      </c>
      <c r="E14" s="83">
        <f>'Daily Meter'!I16</f>
        <v>4007.7</v>
      </c>
      <c r="F14" s="84">
        <f t="shared" si="0"/>
        <v>1920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'10'!E15</f>
        <v>4274.1000000000004</v>
      </c>
      <c r="E15" s="83">
        <f>'Daily Meter'!J16</f>
        <v>4278.7</v>
      </c>
      <c r="F15" s="84">
        <f t="shared" si="0"/>
        <v>2207.9999999997381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'10'!E16</f>
        <v>2385.9</v>
      </c>
      <c r="E16" s="83">
        <f>'Daily Meter'!K16</f>
        <v>2388.6</v>
      </c>
      <c r="F16" s="84">
        <f t="shared" si="0"/>
        <v>1295.9999999999127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'10'!E17</f>
        <v>5613.5</v>
      </c>
      <c r="E17" s="83">
        <f>'Daily Meter'!L16</f>
        <v>5618</v>
      </c>
      <c r="F17" s="84">
        <f t="shared" si="0"/>
        <v>2160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'10'!E18</f>
        <v>15122.2</v>
      </c>
      <c r="E18" s="83">
        <f>'Daily Meter'!M16</f>
        <v>15133.3</v>
      </c>
      <c r="F18" s="84">
        <f t="shared" si="0"/>
        <v>5327.9999999993015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16175.99999999904</v>
      </c>
      <c r="G19" s="88">
        <f>F19*0.43</f>
        <v>6955.6799999995865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'10'!E22</f>
        <v>91234</v>
      </c>
      <c r="E22" s="83">
        <f>'Daily Meter'!N16</f>
        <v>91341.5</v>
      </c>
      <c r="F22" s="107">
        <f>E22-D22</f>
        <v>107.5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397.75</v>
      </c>
      <c r="G23" s="111">
        <f>F23*2.5</f>
        <v>994.375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5828.9699999999993</v>
      </c>
      <c r="G28" s="122">
        <f>G8</f>
        <v>3672.2510999999995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18917.333999999999</v>
      </c>
      <c r="G29" s="122">
        <f>G11</f>
        <v>1135.0400399999999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16175.99999999904</v>
      </c>
      <c r="G30" s="122">
        <f>G19</f>
        <v>6955.6799999995865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107.5</v>
      </c>
      <c r="G31" s="122">
        <f>G23</f>
        <v>994.375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12757.346139999587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12</v>
      </c>
      <c r="D3" s="64" t="s">
        <v>50</v>
      </c>
      <c r="E3" s="65">
        <f>'Daily Meter'!O17</f>
        <v>55.99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'11'!E7</f>
        <v>53697.4</v>
      </c>
      <c r="E7" s="83">
        <f>'Daily Meter'!B17</f>
        <v>53716.2</v>
      </c>
      <c r="F7" s="84">
        <f>E7-D7</f>
        <v>18.799999999995634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5345.5919999987582</v>
      </c>
      <c r="G8" s="88">
        <f>F8*0.63</f>
        <v>3367.7229599992179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'11'!E10</f>
        <v>205368</v>
      </c>
      <c r="E10" s="83">
        <f>'Daily Meter'!C17</f>
        <v>205672</v>
      </c>
      <c r="F10" s="84">
        <f>E10-D10</f>
        <v>304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66870.576000000001</v>
      </c>
      <c r="G11" s="96">
        <f>F11*0.06</f>
        <v>4012.2345599999999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'11'!E13</f>
        <v>6634.1</v>
      </c>
      <c r="E13" s="83">
        <f>'Daily Meter'!H17</f>
        <v>6641.2</v>
      </c>
      <c r="F13" s="84">
        <f t="shared" ref="F13:F18" si="0">(E13-D13)*480</f>
        <v>3407.9999999997381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'11'!E14</f>
        <v>4007.7</v>
      </c>
      <c r="E14" s="83">
        <f>'Daily Meter'!I17</f>
        <v>4011.6</v>
      </c>
      <c r="F14" s="84">
        <f t="shared" si="0"/>
        <v>1872.0000000000437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'11'!E15</f>
        <v>4278.7</v>
      </c>
      <c r="E15" s="83">
        <f>'Daily Meter'!J17</f>
        <v>4283.5</v>
      </c>
      <c r="F15" s="84">
        <f t="shared" si="0"/>
        <v>2304.0000000000873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'11'!E16</f>
        <v>2388.6</v>
      </c>
      <c r="E16" s="83">
        <f>'Daily Meter'!K17</f>
        <v>2391.4</v>
      </c>
      <c r="F16" s="84">
        <f t="shared" si="0"/>
        <v>1344.0000000000873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'11'!E17</f>
        <v>5618</v>
      </c>
      <c r="E17" s="83">
        <f>'Daily Meter'!L17</f>
        <v>5622.5</v>
      </c>
      <c r="F17" s="84">
        <f t="shared" si="0"/>
        <v>2160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'11'!E18</f>
        <v>15133.3</v>
      </c>
      <c r="E18" s="83">
        <f>'Daily Meter'!M17</f>
        <v>15144.6</v>
      </c>
      <c r="F18" s="84">
        <f t="shared" si="0"/>
        <v>5424.0000000005239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16512.00000000048</v>
      </c>
      <c r="G19" s="88">
        <f>F19*0.43</f>
        <v>7100.1600000002063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'11'!E22</f>
        <v>91341.5</v>
      </c>
      <c r="E22" s="83">
        <f>'Daily Meter'!N17</f>
        <v>91517.7</v>
      </c>
      <c r="F22" s="107">
        <f>E22-D22</f>
        <v>176.19999999999709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651.93999999998925</v>
      </c>
      <c r="G23" s="111">
        <f>F23*2.5</f>
        <v>1629.8499999999731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5345.5919999987582</v>
      </c>
      <c r="G28" s="122">
        <f>G8</f>
        <v>3367.7229599992179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66870.576000000001</v>
      </c>
      <c r="G29" s="122">
        <f>G11</f>
        <v>4012.2345599999999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16512.00000000048</v>
      </c>
      <c r="G30" s="122">
        <f>G19</f>
        <v>7100.1600000002063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176.19999999999709</v>
      </c>
      <c r="G31" s="122">
        <f>G23</f>
        <v>1629.8499999999731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16109.967519999398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13</v>
      </c>
      <c r="D3" s="64" t="s">
        <v>50</v>
      </c>
      <c r="E3" s="65">
        <f>'Daily Meter'!O18</f>
        <v>44.24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'12'!E7</f>
        <v>53716.2</v>
      </c>
      <c r="E7" s="83">
        <f>'Daily Meter'!B18</f>
        <v>53734.8</v>
      </c>
      <c r="F7" s="84">
        <f>E7-D7</f>
        <v>18.600000000005821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5288.7240000016545</v>
      </c>
      <c r="G8" s="88">
        <f>F8*0.63</f>
        <v>3331.8961200010422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'12'!E10</f>
        <v>205672</v>
      </c>
      <c r="E10" s="83">
        <f>'Daily Meter'!C18</f>
        <v>205925</v>
      </c>
      <c r="F10" s="84">
        <f>E10-D10</f>
        <v>253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55652.156999999999</v>
      </c>
      <c r="G11" s="96">
        <f>F11*0.06</f>
        <v>3339.1294199999998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'12'!E13</f>
        <v>6641.2</v>
      </c>
      <c r="E13" s="83">
        <f>'Daily Meter'!H18</f>
        <v>6648.4</v>
      </c>
      <c r="F13" s="84">
        <f t="shared" ref="F13:F18" si="0">(E13-D13)*480</f>
        <v>3455.9999999999127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'12'!E14</f>
        <v>4011.6</v>
      </c>
      <c r="E14" s="83">
        <f>'Daily Meter'!I18</f>
        <v>4015.4</v>
      </c>
      <c r="F14" s="84">
        <f t="shared" si="0"/>
        <v>1824.0000000000873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'12'!E15</f>
        <v>4283.5</v>
      </c>
      <c r="E15" s="83">
        <f>'Daily Meter'!J18</f>
        <v>4288.3999999999996</v>
      </c>
      <c r="F15" s="84">
        <f t="shared" si="0"/>
        <v>2351.9999999998254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'12'!E16</f>
        <v>2391.4</v>
      </c>
      <c r="E16" s="83">
        <f>'Daily Meter'!K18</f>
        <v>2394.1999999999998</v>
      </c>
      <c r="F16" s="84">
        <f t="shared" si="0"/>
        <v>1343.999999999869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'12'!E17</f>
        <v>5622.5</v>
      </c>
      <c r="E17" s="83">
        <f>'Daily Meter'!L18</f>
        <v>5627.1</v>
      </c>
      <c r="F17" s="84">
        <f t="shared" si="0"/>
        <v>2208.0000000001746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'12'!E18</f>
        <v>15144.6</v>
      </c>
      <c r="E18" s="83">
        <f>'Daily Meter'!M18</f>
        <v>15156</v>
      </c>
      <c r="F18" s="84">
        <f t="shared" si="0"/>
        <v>5471.9999999998254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16655.999999999694</v>
      </c>
      <c r="G19" s="88">
        <f>F19*0.43</f>
        <v>7162.0799999998681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'12'!E22</f>
        <v>91517.7</v>
      </c>
      <c r="E22" s="83">
        <f>'Daily Meter'!N18</f>
        <v>91677.1</v>
      </c>
      <c r="F22" s="107">
        <f>E22-D22</f>
        <v>159.40000000000873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589.78000000003237</v>
      </c>
      <c r="G23" s="111">
        <f>F23*2.5</f>
        <v>1474.450000000081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5288.7240000016545</v>
      </c>
      <c r="G28" s="122">
        <f>G8</f>
        <v>3331.8961200010422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55652.156999999999</v>
      </c>
      <c r="G29" s="122">
        <f>G11</f>
        <v>3339.1294199999998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16655.999999999694</v>
      </c>
      <c r="G30" s="122">
        <f>G19</f>
        <v>7162.0799999998681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159.40000000000873</v>
      </c>
      <c r="G31" s="122">
        <f>G23</f>
        <v>1474.450000000081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15307.555540000991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14</v>
      </c>
      <c r="D3" s="64" t="s">
        <v>50</v>
      </c>
      <c r="E3" s="65">
        <f>'Daily Meter'!O19</f>
        <v>52.07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'13'!E7</f>
        <v>53734.8</v>
      </c>
      <c r="E7" s="83">
        <f>'Daily Meter'!B19</f>
        <v>53753.3</v>
      </c>
      <c r="F7" s="84">
        <f>E7-D7</f>
        <v>18.5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5260.29</v>
      </c>
      <c r="G8" s="88">
        <f>F8*0.63</f>
        <v>3313.9827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'13'!E10</f>
        <v>205925</v>
      </c>
      <c r="E10" s="83">
        <f>'Daily Meter'!C19</f>
        <v>206117</v>
      </c>
      <c r="F10" s="84">
        <f>E10-D10</f>
        <v>192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42234.047999999995</v>
      </c>
      <c r="G11" s="96">
        <f>F11*0.06</f>
        <v>2534.0428799999995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'13'!E13</f>
        <v>6648.4</v>
      </c>
      <c r="E13" s="83">
        <f>'Daily Meter'!H19</f>
        <v>6655.3</v>
      </c>
      <c r="F13" s="84">
        <f t="shared" ref="F13:F18" si="0">(E13-D13)*480</f>
        <v>3312.0000000002619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'13'!E14</f>
        <v>4015.4</v>
      </c>
      <c r="E14" s="83">
        <f>'Daily Meter'!I19</f>
        <v>4018.9</v>
      </c>
      <c r="F14" s="84">
        <f t="shared" si="0"/>
        <v>1680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'13'!E15</f>
        <v>4288.3999999999996</v>
      </c>
      <c r="E15" s="83">
        <f>'Daily Meter'!J19</f>
        <v>4293</v>
      </c>
      <c r="F15" s="84">
        <f t="shared" si="0"/>
        <v>2208.0000000001746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'13'!E16</f>
        <v>2394.1999999999998</v>
      </c>
      <c r="E16" s="83">
        <f>'Daily Meter'!K19</f>
        <v>2396.9</v>
      </c>
      <c r="F16" s="84">
        <f t="shared" si="0"/>
        <v>1296.000000000131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'13'!E17</f>
        <v>5627.1</v>
      </c>
      <c r="E17" s="83">
        <f>'Daily Meter'!L19</f>
        <v>5631.5</v>
      </c>
      <c r="F17" s="84">
        <f t="shared" si="0"/>
        <v>2111.9999999998254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'13'!E18</f>
        <v>15156</v>
      </c>
      <c r="E18" s="83">
        <f>'Daily Meter'!M19</f>
        <v>15166.7</v>
      </c>
      <c r="F18" s="84">
        <f t="shared" si="0"/>
        <v>5136.0000000003492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15744.000000000742</v>
      </c>
      <c r="G19" s="88">
        <f>F19*0.43</f>
        <v>6769.9200000003193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'13'!E22</f>
        <v>91677.1</v>
      </c>
      <c r="E22" s="83">
        <f>'Daily Meter'!N19</f>
        <v>91814.2</v>
      </c>
      <c r="F22" s="107">
        <f>E22-D22</f>
        <v>137.09999999999127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507.26999999996769</v>
      </c>
      <c r="G23" s="111">
        <f>F23*2.5</f>
        <v>1268.1749999999192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5260.29</v>
      </c>
      <c r="G28" s="122">
        <f>G8</f>
        <v>3313.9827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42234.047999999995</v>
      </c>
      <c r="G29" s="122">
        <f>G11</f>
        <v>2534.0428799999995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15744.000000000742</v>
      </c>
      <c r="G30" s="122">
        <f>G19</f>
        <v>6769.9200000003193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137.09999999999127</v>
      </c>
      <c r="G31" s="122">
        <f>G23</f>
        <v>1268.1749999999192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13886.120580000239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15</v>
      </c>
      <c r="D3" s="64" t="s">
        <v>50</v>
      </c>
      <c r="E3" s="65">
        <f>'Daily Meter'!O20</f>
        <v>82.72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'14'!E7</f>
        <v>53753.3</v>
      </c>
      <c r="E7" s="83">
        <f>'Daily Meter'!B20</f>
        <v>53772.3</v>
      </c>
      <c r="F7" s="84">
        <f>E7-D7</f>
        <v>19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5402.4599999999991</v>
      </c>
      <c r="G8" s="88">
        <f>F8*0.63</f>
        <v>3403.5497999999993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'14'!E10</f>
        <v>206117</v>
      </c>
      <c r="E10" s="83">
        <f>'Daily Meter'!C20</f>
        <v>206290</v>
      </c>
      <c r="F10" s="84">
        <f>E10-D10</f>
        <v>173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38054.637000000002</v>
      </c>
      <c r="G11" s="96">
        <f>F11*0.06</f>
        <v>2283.2782200000001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'14'!E13</f>
        <v>6655.3</v>
      </c>
      <c r="E13" s="83">
        <f>'Daily Meter'!H20</f>
        <v>6662</v>
      </c>
      <c r="F13" s="84">
        <f t="shared" ref="F13:F18" si="0">(E13-D13)*480</f>
        <v>3215.9999999999127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'14'!E14</f>
        <v>4018.9</v>
      </c>
      <c r="E14" s="83">
        <f>'Daily Meter'!I20</f>
        <v>4022.85</v>
      </c>
      <c r="F14" s="84">
        <f t="shared" si="0"/>
        <v>1895.9999999999127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'14'!E15</f>
        <v>4293</v>
      </c>
      <c r="E15" s="83">
        <f>'Daily Meter'!J20</f>
        <v>4297.3</v>
      </c>
      <c r="F15" s="84">
        <f t="shared" si="0"/>
        <v>2064.0000000000873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'14'!E16</f>
        <v>2396.9</v>
      </c>
      <c r="E16" s="83">
        <f>'Daily Meter'!K20</f>
        <v>2399.5</v>
      </c>
      <c r="F16" s="84">
        <f t="shared" si="0"/>
        <v>1247.9999999999563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'14'!E17</f>
        <v>5631.5</v>
      </c>
      <c r="E17" s="83">
        <f>'Daily Meter'!L20</f>
        <v>5635.9</v>
      </c>
      <c r="F17" s="84">
        <f t="shared" si="0"/>
        <v>2111.9999999998254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'14'!E18</f>
        <v>15166.7</v>
      </c>
      <c r="E18" s="83">
        <f>'Daily Meter'!M20</f>
        <v>15176.3</v>
      </c>
      <c r="F18" s="84">
        <f t="shared" si="0"/>
        <v>4607.9999999993015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15143.999999998996</v>
      </c>
      <c r="G19" s="88">
        <f>F19*0.43</f>
        <v>6511.9199999995681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'14'!E22</f>
        <v>91814.2</v>
      </c>
      <c r="E22" s="83">
        <f>'Daily Meter'!N20</f>
        <v>91928.7</v>
      </c>
      <c r="F22" s="107">
        <f>E22-D22</f>
        <v>114.5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423.65000000000003</v>
      </c>
      <c r="G23" s="111">
        <f>F23*2.5</f>
        <v>1059.125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5402.4599999999991</v>
      </c>
      <c r="G28" s="122">
        <f>G8</f>
        <v>3403.5497999999993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38054.637000000002</v>
      </c>
      <c r="G29" s="122">
        <f>G11</f>
        <v>2283.2782200000001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15143.999999998996</v>
      </c>
      <c r="G30" s="122">
        <f>G19</f>
        <v>6511.9199999995681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114.5</v>
      </c>
      <c r="G31" s="122">
        <f>G23</f>
        <v>1059.125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13257.873019999566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16</v>
      </c>
      <c r="D3" s="64" t="s">
        <v>50</v>
      </c>
      <c r="E3" s="65">
        <f>'Daily Meter'!O21</f>
        <v>98.16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'15'!E7</f>
        <v>53772.3</v>
      </c>
      <c r="E7" s="83">
        <f>'Daily Meter'!B21</f>
        <v>53791.7</v>
      </c>
      <c r="F7" s="84">
        <f>E7-D7</f>
        <v>19.399999999994179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5516.1959999983446</v>
      </c>
      <c r="G8" s="88">
        <f>F8*0.63</f>
        <v>3475.2034799989569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'15'!E10</f>
        <v>206290</v>
      </c>
      <c r="E10" s="83">
        <f>'Daily Meter'!C21</f>
        <v>206462</v>
      </c>
      <c r="F10" s="84">
        <f>E10-D10</f>
        <v>172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37834.667999999998</v>
      </c>
      <c r="G11" s="96">
        <f>F11*0.06</f>
        <v>2270.0800799999997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'15'!E13</f>
        <v>6662</v>
      </c>
      <c r="E13" s="83">
        <f>'Daily Meter'!H21</f>
        <v>6668.7</v>
      </c>
      <c r="F13" s="84">
        <f t="shared" ref="F13:F18" si="0">(E13-D13)*480</f>
        <v>3215.9999999999127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'15'!E14</f>
        <v>4022.85</v>
      </c>
      <c r="E14" s="83">
        <f>'Daily Meter'!I21</f>
        <v>4026.3</v>
      </c>
      <c r="F14" s="84">
        <f t="shared" si="0"/>
        <v>1656.000000000131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'15'!E15</f>
        <v>4297.3</v>
      </c>
      <c r="E15" s="83">
        <f>'Daily Meter'!J21</f>
        <v>4301.7</v>
      </c>
      <c r="F15" s="84">
        <f t="shared" si="0"/>
        <v>2111.9999999998254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'15'!E16</f>
        <v>2399.5</v>
      </c>
      <c r="E16" s="83">
        <f>'Daily Meter'!K21</f>
        <v>2402.1999999999998</v>
      </c>
      <c r="F16" s="84">
        <f t="shared" si="0"/>
        <v>1295.9999999999127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'15'!E17</f>
        <v>5635.9</v>
      </c>
      <c r="E17" s="83">
        <f>'Daily Meter'!L21</f>
        <v>5640.4</v>
      </c>
      <c r="F17" s="84">
        <f t="shared" si="0"/>
        <v>2160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'15'!E18</f>
        <v>15176.3</v>
      </c>
      <c r="E18" s="83">
        <f>'Daily Meter'!M21</f>
        <v>15185.6</v>
      </c>
      <c r="F18" s="84">
        <f t="shared" si="0"/>
        <v>4464.0000000005239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14904.000000000306</v>
      </c>
      <c r="G19" s="88">
        <f>F19*0.43</f>
        <v>6408.7200000001312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'15'!E22</f>
        <v>91928.7</v>
      </c>
      <c r="E22" s="83">
        <f>'Daily Meter'!N21</f>
        <v>92046</v>
      </c>
      <c r="F22" s="107">
        <f>E22-D22</f>
        <v>117.30000000000291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434.01000000001079</v>
      </c>
      <c r="G23" s="111">
        <f>F23*2.5</f>
        <v>1085.0250000000269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5516.1959999983446</v>
      </c>
      <c r="G28" s="122">
        <f>G8</f>
        <v>3475.2034799989569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37834.667999999998</v>
      </c>
      <c r="G29" s="122">
        <f>G11</f>
        <v>2270.0800799999997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14904.000000000306</v>
      </c>
      <c r="G30" s="122">
        <f>G19</f>
        <v>6408.7200000001312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117.30000000000291</v>
      </c>
      <c r="G31" s="122">
        <f>G23</f>
        <v>1085.0250000000269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13239.028559999115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17</v>
      </c>
      <c r="D3" s="64" t="s">
        <v>50</v>
      </c>
      <c r="E3" s="65">
        <f>'Daily Meter'!O22</f>
        <v>99.08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'16'!E7</f>
        <v>53791.7</v>
      </c>
      <c r="E7" s="83">
        <f>'Daily Meter'!B22</f>
        <v>53814.5</v>
      </c>
      <c r="F7" s="84">
        <f>E7-D7</f>
        <v>22.80000000000291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6482.952000000827</v>
      </c>
      <c r="G8" s="88">
        <f>F8*0.63</f>
        <v>4084.2597600005211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'16'!E10</f>
        <v>206462</v>
      </c>
      <c r="E10" s="83">
        <f>'Daily Meter'!C22</f>
        <v>206662</v>
      </c>
      <c r="F10" s="84">
        <f>E10-D10</f>
        <v>200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43993.799999999996</v>
      </c>
      <c r="G11" s="96">
        <f>F11*0.06</f>
        <v>2639.6279999999997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'16'!E13</f>
        <v>6668.7</v>
      </c>
      <c r="E13" s="83">
        <f>'Daily Meter'!H22</f>
        <v>6675.6</v>
      </c>
      <c r="F13" s="84">
        <f t="shared" ref="F13:F18" si="0">(E13-D13)*480</f>
        <v>3312.0000000002619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'16'!E14</f>
        <v>4026.3</v>
      </c>
      <c r="E14" s="83">
        <f>'Daily Meter'!I22</f>
        <v>4030.3</v>
      </c>
      <c r="F14" s="84">
        <f t="shared" si="0"/>
        <v>1920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'16'!E15</f>
        <v>4301.7</v>
      </c>
      <c r="E15" s="83">
        <f>'Daily Meter'!J22</f>
        <v>4305.8</v>
      </c>
      <c r="F15" s="84">
        <f t="shared" si="0"/>
        <v>1968.0000000001746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'16'!E16</f>
        <v>2402.1999999999998</v>
      </c>
      <c r="E16" s="83">
        <f>'Daily Meter'!K22</f>
        <v>2405.1</v>
      </c>
      <c r="F16" s="84">
        <f t="shared" si="0"/>
        <v>1392.0000000000437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'16'!E17</f>
        <v>5640.4</v>
      </c>
      <c r="E17" s="83">
        <f>'Daily Meter'!L22</f>
        <v>5644.9</v>
      </c>
      <c r="F17" s="84">
        <f t="shared" si="0"/>
        <v>2160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'16'!E18</f>
        <v>15185.6</v>
      </c>
      <c r="E18" s="83">
        <f>'Daily Meter'!M22</f>
        <v>15194.6</v>
      </c>
      <c r="F18" s="84">
        <f t="shared" si="0"/>
        <v>4320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15072.00000000048</v>
      </c>
      <c r="G19" s="88">
        <f>F19*0.43</f>
        <v>6480.9600000002065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'16'!E22</f>
        <v>92046</v>
      </c>
      <c r="E22" s="83">
        <f>'Daily Meter'!N22</f>
        <v>92194.2</v>
      </c>
      <c r="F22" s="107">
        <f>E22-D22</f>
        <v>148.19999999999709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548.33999999998923</v>
      </c>
      <c r="G23" s="111">
        <f>F23*2.5</f>
        <v>1370.8499999999731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6482.952000000827</v>
      </c>
      <c r="G28" s="122">
        <f>G8</f>
        <v>4084.2597600005211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43993.799999999996</v>
      </c>
      <c r="G29" s="122">
        <f>G11</f>
        <v>2639.6279999999997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15072.00000000048</v>
      </c>
      <c r="G30" s="122">
        <f>G19</f>
        <v>6480.9600000002065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148.19999999999709</v>
      </c>
      <c r="G31" s="122">
        <f>G23</f>
        <v>1370.8499999999731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14575.697760000701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18</v>
      </c>
      <c r="D3" s="64" t="s">
        <v>50</v>
      </c>
      <c r="E3" s="65">
        <f>'Daily Meter'!O23</f>
        <v>86.64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'17'!E7</f>
        <v>53814.5</v>
      </c>
      <c r="E7" s="83">
        <f>'Daily Meter'!B23</f>
        <v>53836.1</v>
      </c>
      <c r="F7" s="84">
        <f>E7-D7</f>
        <v>21.599999999998545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6141.7439999995859</v>
      </c>
      <c r="G8" s="88">
        <f>F8*0.63</f>
        <v>3869.2987199997392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'17'!E10</f>
        <v>206662</v>
      </c>
      <c r="E10" s="83">
        <f>'Daily Meter'!C23</f>
        <v>206868</v>
      </c>
      <c r="F10" s="84">
        <f>E10-D10</f>
        <v>206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45313.614000000001</v>
      </c>
      <c r="G11" s="96">
        <f>F11*0.06</f>
        <v>2718.81684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'17'!E13</f>
        <v>6675.6</v>
      </c>
      <c r="E13" s="83">
        <f>'Daily Meter'!H23</f>
        <v>6682.5</v>
      </c>
      <c r="F13" s="84">
        <f t="shared" ref="F13:F18" si="0">(E13-D13)*480</f>
        <v>3311.9999999998254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'17'!E14</f>
        <v>4030.3</v>
      </c>
      <c r="E14" s="83">
        <f>'Daily Meter'!I23</f>
        <v>4034.2</v>
      </c>
      <c r="F14" s="84">
        <f t="shared" si="0"/>
        <v>1871.9999999998254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'17'!E15</f>
        <v>4305.8</v>
      </c>
      <c r="E15" s="83">
        <f>'Daily Meter'!J23</f>
        <v>4310.3999999999996</v>
      </c>
      <c r="F15" s="84">
        <f t="shared" si="0"/>
        <v>2207.9999999997381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'17'!E16</f>
        <v>2405.1</v>
      </c>
      <c r="E16" s="83">
        <f>'Daily Meter'!K23</f>
        <v>2407.9</v>
      </c>
      <c r="F16" s="84">
        <f t="shared" si="0"/>
        <v>1344.0000000000873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'17'!E17</f>
        <v>5644.9</v>
      </c>
      <c r="E17" s="83">
        <f>'Daily Meter'!L23</f>
        <v>5649.4</v>
      </c>
      <c r="F17" s="84">
        <f t="shared" si="0"/>
        <v>2160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'17'!E18</f>
        <v>15194.6</v>
      </c>
      <c r="E18" s="83">
        <f>'Daily Meter'!M23</f>
        <v>15204</v>
      </c>
      <c r="F18" s="84">
        <f t="shared" si="0"/>
        <v>4511.9999999998254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15407.999999999302</v>
      </c>
      <c r="G19" s="88">
        <f>F19*0.43</f>
        <v>6625.4399999996995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'17'!E22</f>
        <v>92194.2</v>
      </c>
      <c r="E22" s="83">
        <f>'Daily Meter'!N23</f>
        <v>92341.5</v>
      </c>
      <c r="F22" s="107">
        <f>E22-D22</f>
        <v>147.30000000000291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545.01000000001079</v>
      </c>
      <c r="G23" s="111">
        <f>F23*2.5</f>
        <v>1362.5250000000269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6141.7439999995859</v>
      </c>
      <c r="G28" s="122">
        <f>G8</f>
        <v>3869.2987199997392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45313.614000000001</v>
      </c>
      <c r="G29" s="122">
        <f>G11</f>
        <v>2718.81684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15407.999999999302</v>
      </c>
      <c r="G30" s="122">
        <f>G19</f>
        <v>6625.4399999996995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147.30000000000291</v>
      </c>
      <c r="G31" s="122">
        <f>G23</f>
        <v>1362.5250000000269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14576.080559999466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19</v>
      </c>
      <c r="D3" s="64" t="s">
        <v>50</v>
      </c>
      <c r="E3" s="65">
        <f>'Daily Meter'!O24</f>
        <v>71.89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'18'!E7</f>
        <v>53836.1</v>
      </c>
      <c r="E7" s="83">
        <f>'Daily Meter'!B24</f>
        <v>53856.4</v>
      </c>
      <c r="F7" s="84">
        <f>E7-D7</f>
        <v>20.30000000000291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5772.1020000008266</v>
      </c>
      <c r="G8" s="88">
        <f>F8*0.63</f>
        <v>3636.4242600005209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'18'!E10</f>
        <v>206868</v>
      </c>
      <c r="E10" s="83">
        <f>'Daily Meter'!C24</f>
        <v>207060</v>
      </c>
      <c r="F10" s="84">
        <f>E10-D10</f>
        <v>192</v>
      </c>
      <c r="G10" s="93"/>
      <c r="H10" s="52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42234.047999999995</v>
      </c>
      <c r="G11" s="96">
        <f>F11*0.06</f>
        <v>2534.0428799999995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'18'!E13</f>
        <v>6682.5</v>
      </c>
      <c r="E13" s="83">
        <f>'Daily Meter'!H24</f>
        <v>6689.3</v>
      </c>
      <c r="F13" s="84">
        <f t="shared" ref="F13:F18" si="0">(E13-D13)*480</f>
        <v>3264.0000000000873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'18'!E14</f>
        <v>4034.2</v>
      </c>
      <c r="E14" s="83">
        <f>'Daily Meter'!I24</f>
        <v>4038.2</v>
      </c>
      <c r="F14" s="84">
        <f t="shared" si="0"/>
        <v>1920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'18'!E15</f>
        <v>4310.3999999999996</v>
      </c>
      <c r="E15" s="83">
        <f>'Daily Meter'!J24</f>
        <v>4314.8999999999996</v>
      </c>
      <c r="F15" s="84">
        <f t="shared" si="0"/>
        <v>2160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'18'!E16</f>
        <v>2407.9</v>
      </c>
      <c r="E16" s="83">
        <f>'Daily Meter'!K24</f>
        <v>2410.9</v>
      </c>
      <c r="F16" s="84">
        <f t="shared" si="0"/>
        <v>1440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'18'!E17</f>
        <v>5649.4</v>
      </c>
      <c r="E17" s="83">
        <f>'Daily Meter'!L24</f>
        <v>5653.9</v>
      </c>
      <c r="F17" s="84">
        <f t="shared" si="0"/>
        <v>2160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'18'!E18</f>
        <v>15204</v>
      </c>
      <c r="E18" s="83">
        <f>'Daily Meter'!M24</f>
        <v>15214</v>
      </c>
      <c r="F18" s="84">
        <f t="shared" si="0"/>
        <v>4800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15744.000000000087</v>
      </c>
      <c r="G19" s="88">
        <f>F19*0.43</f>
        <v>6769.9200000000374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'18'!E22</f>
        <v>92341.5</v>
      </c>
      <c r="E22" s="83">
        <f>'Daily Meter'!N24</f>
        <v>92486.1</v>
      </c>
      <c r="F22" s="107">
        <f>E22-D22</f>
        <v>144.60000000000582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535.02000000002158</v>
      </c>
      <c r="G23" s="111">
        <f>F23*2.5</f>
        <v>1337.5500000000538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5772.1020000008266</v>
      </c>
      <c r="G28" s="122">
        <f>G8</f>
        <v>3636.4242600005209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42234.047999999995</v>
      </c>
      <c r="G29" s="122">
        <f>G11</f>
        <v>2534.0428799999995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15744.000000000087</v>
      </c>
      <c r="G30" s="122">
        <f>G19</f>
        <v>6769.9200000000374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144.60000000000582</v>
      </c>
      <c r="G31" s="122">
        <f>G23</f>
        <v>1337.5500000000538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14277.937140000613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20</v>
      </c>
      <c r="D3" s="64" t="s">
        <v>50</v>
      </c>
      <c r="E3" s="65">
        <f>'Daily Meter'!O25</f>
        <v>65.44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'19'!E7</f>
        <v>53856.4</v>
      </c>
      <c r="E7" s="83">
        <f>'Daily Meter'!B25</f>
        <v>53877.3</v>
      </c>
      <c r="F7" s="84">
        <f>E7-D7</f>
        <v>20.900000000001455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5942.706000000413</v>
      </c>
      <c r="G8" s="88">
        <f>F8*0.63</f>
        <v>3743.9047800002604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'19'!E10</f>
        <v>207060</v>
      </c>
      <c r="E10" s="83">
        <f>'Daily Meter'!C25</f>
        <v>207241</v>
      </c>
      <c r="F10" s="84">
        <f>E10-D10</f>
        <v>181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39814.388999999996</v>
      </c>
      <c r="G11" s="96">
        <f>F11*0.06</f>
        <v>2388.8633399999994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'19'!E13</f>
        <v>6689.3</v>
      </c>
      <c r="E13" s="83">
        <f>'Daily Meter'!H25</f>
        <v>6696.6</v>
      </c>
      <c r="F13" s="84">
        <f t="shared" ref="F13:F18" si="0">(E13-D13)*480</f>
        <v>3504.0000000000873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'19'!E14</f>
        <v>4038.2</v>
      </c>
      <c r="E14" s="83">
        <f>'Daily Meter'!I25</f>
        <v>4042.2</v>
      </c>
      <c r="F14" s="84">
        <f t="shared" si="0"/>
        <v>1920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'19'!E15</f>
        <v>4314.8999999999996</v>
      </c>
      <c r="E15" s="83">
        <f>'Daily Meter'!J25</f>
        <v>4319.3</v>
      </c>
      <c r="F15" s="84">
        <f t="shared" si="0"/>
        <v>2112.0000000002619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'19'!E16</f>
        <v>2410.9</v>
      </c>
      <c r="E16" s="83">
        <f>'Daily Meter'!K25</f>
        <v>2413.6999999999998</v>
      </c>
      <c r="F16" s="84">
        <f t="shared" si="0"/>
        <v>1343.999999999869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'19'!E17</f>
        <v>5653.9</v>
      </c>
      <c r="E17" s="83">
        <f>'Daily Meter'!L25</f>
        <v>5658.4</v>
      </c>
      <c r="F17" s="84">
        <f t="shared" si="0"/>
        <v>2160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'19'!E18</f>
        <v>15214</v>
      </c>
      <c r="E18" s="83">
        <f>'Daily Meter'!M25</f>
        <v>15225.5</v>
      </c>
      <c r="F18" s="84">
        <f t="shared" si="0"/>
        <v>5520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16560.000000000218</v>
      </c>
      <c r="G19" s="88">
        <f>F19*0.43</f>
        <v>7120.8000000000939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'19'!E22</f>
        <v>92486.1</v>
      </c>
      <c r="E22" s="83">
        <f>'Daily Meter'!N25</f>
        <v>92625.4</v>
      </c>
      <c r="F22" s="107">
        <f>E22-D22</f>
        <v>139.29999999998836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515.40999999995699</v>
      </c>
      <c r="G23" s="111">
        <f>F23*2.5</f>
        <v>1288.5249999998925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5942.706000000413</v>
      </c>
      <c r="G28" s="122">
        <f>G8</f>
        <v>3743.9047800002604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39814.388999999996</v>
      </c>
      <c r="G29" s="122">
        <f>G11</f>
        <v>2388.8633399999994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16560.000000000218</v>
      </c>
      <c r="G30" s="122">
        <f>G19</f>
        <v>7120.8000000000939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139.29999999998836</v>
      </c>
      <c r="G31" s="122">
        <f>G23</f>
        <v>1288.5249999998925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14542.093120000245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21</v>
      </c>
      <c r="D3" s="64" t="s">
        <v>50</v>
      </c>
      <c r="E3" s="65">
        <f>'Daily Meter'!O26</f>
        <v>67.739999999999995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'20'!E7</f>
        <v>53877.3</v>
      </c>
      <c r="E7" s="83">
        <f>'Daily Meter'!B26</f>
        <v>53898.5</v>
      </c>
      <c r="F7" s="84">
        <f>E7-D7</f>
        <v>21.19999999999709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6028.0079999991722</v>
      </c>
      <c r="G8" s="88">
        <f>F8*0.63</f>
        <v>3797.6450399994783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'20'!E10</f>
        <v>207241</v>
      </c>
      <c r="E10" s="83">
        <f>'Daily Meter'!C26</f>
        <v>207416</v>
      </c>
      <c r="F10" s="84">
        <f>E10-D10</f>
        <v>175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38494.574999999997</v>
      </c>
      <c r="G11" s="96">
        <f>F11*0.06</f>
        <v>2309.6744999999996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'20'!E13</f>
        <v>6696.6</v>
      </c>
      <c r="E13" s="83">
        <f>'Daily Meter'!H26</f>
        <v>6703.7</v>
      </c>
      <c r="F13" s="84">
        <f t="shared" ref="F13:F18" si="0">(E13-D13)*480</f>
        <v>3407.9999999997381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'20'!E14</f>
        <v>4042.2</v>
      </c>
      <c r="E14" s="83">
        <f>'Daily Meter'!I26</f>
        <v>4046</v>
      </c>
      <c r="F14" s="84">
        <f t="shared" si="0"/>
        <v>1824.0000000000873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'20'!E15</f>
        <v>4319.3</v>
      </c>
      <c r="E15" s="83">
        <f>'Daily Meter'!J26</f>
        <v>4323.7</v>
      </c>
      <c r="F15" s="84">
        <f t="shared" si="0"/>
        <v>2111.9999999998254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'20'!E16</f>
        <v>2413.6999999999998</v>
      </c>
      <c r="E16" s="83">
        <f>'Daily Meter'!K26</f>
        <v>2416.6</v>
      </c>
      <c r="F16" s="84">
        <f t="shared" si="0"/>
        <v>1392.0000000000437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'20'!E17</f>
        <v>5658.4</v>
      </c>
      <c r="E17" s="83">
        <f>'Daily Meter'!L26</f>
        <v>5663</v>
      </c>
      <c r="F17" s="84">
        <f t="shared" si="0"/>
        <v>2208.0000000001746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'20'!E18</f>
        <v>15225.5</v>
      </c>
      <c r="E18" s="83">
        <f>'Daily Meter'!M26</f>
        <v>15237.4</v>
      </c>
      <c r="F18" s="84">
        <f t="shared" si="0"/>
        <v>5711.9999999998254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16655.999999999694</v>
      </c>
      <c r="G19" s="88">
        <f>F19*0.43</f>
        <v>7162.0799999998681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'20'!E22</f>
        <v>92625.4</v>
      </c>
      <c r="E22" s="83">
        <f>'Daily Meter'!N26</f>
        <v>92758.399999999994</v>
      </c>
      <c r="F22" s="107">
        <f>E22-D22</f>
        <v>133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492.1</v>
      </c>
      <c r="G23" s="111">
        <f>F23*2.5</f>
        <v>1230.25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6028.0079999991722</v>
      </c>
      <c r="G28" s="122">
        <f>G8</f>
        <v>3797.6450399994783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38494.574999999997</v>
      </c>
      <c r="G29" s="122">
        <f>G11</f>
        <v>2309.6744999999996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16655.999999999694</v>
      </c>
      <c r="G30" s="122">
        <f>G19</f>
        <v>7162.0799999998681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133</v>
      </c>
      <c r="G31" s="122">
        <f>G23</f>
        <v>1230.25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14499.649539999347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22</v>
      </c>
      <c r="D3" s="64" t="s">
        <v>50</v>
      </c>
      <c r="E3" s="65">
        <f>'Daily Meter'!O27</f>
        <v>80.180000000000007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'21'!E7</f>
        <v>53898.5</v>
      </c>
      <c r="E7" s="83">
        <f>'Daily Meter'!B27</f>
        <v>53918.400000000001</v>
      </c>
      <c r="F7" s="84">
        <f>E7-D7</f>
        <v>19.900000000001455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5658.3660000004129</v>
      </c>
      <c r="G8" s="88">
        <f>F8*0.63</f>
        <v>3564.77058000026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'21'!E10</f>
        <v>207416</v>
      </c>
      <c r="E10" s="83">
        <f>'Daily Meter'!C27</f>
        <v>207537</v>
      </c>
      <c r="F10" s="84">
        <f>E10-D10</f>
        <v>121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26616.249</v>
      </c>
      <c r="G11" s="96">
        <f>F11*0.06</f>
        <v>1596.9749399999998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'21'!E13</f>
        <v>6703.7</v>
      </c>
      <c r="E13" s="83">
        <f>'Daily Meter'!H27</f>
        <v>6710.5</v>
      </c>
      <c r="F13" s="84">
        <f t="shared" ref="F13:F18" si="0">(E13-D13)*480</f>
        <v>3264.0000000000873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'21'!E14</f>
        <v>4046</v>
      </c>
      <c r="E14" s="83">
        <f>'Daily Meter'!I27</f>
        <v>4049.8</v>
      </c>
      <c r="F14" s="84">
        <f t="shared" si="0"/>
        <v>1824.0000000000873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'21'!E15</f>
        <v>4323.7</v>
      </c>
      <c r="E15" s="83">
        <f>'Daily Meter'!J27</f>
        <v>4328.1000000000004</v>
      </c>
      <c r="F15" s="84">
        <f t="shared" si="0"/>
        <v>2112.0000000002619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'21'!E16</f>
        <v>2416.6</v>
      </c>
      <c r="E16" s="83">
        <f>'Daily Meter'!K27</f>
        <v>2419.3000000000002</v>
      </c>
      <c r="F16" s="84">
        <f t="shared" si="0"/>
        <v>1296.000000000131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'21'!E17</f>
        <v>5663</v>
      </c>
      <c r="E17" s="83">
        <f>'Daily Meter'!L27</f>
        <v>5667.4</v>
      </c>
      <c r="F17" s="84">
        <f t="shared" si="0"/>
        <v>2111.9999999998254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'21'!E18</f>
        <v>15237.4</v>
      </c>
      <c r="E18" s="83">
        <f>'Daily Meter'!M27</f>
        <v>15248.9</v>
      </c>
      <c r="F18" s="84">
        <f t="shared" si="0"/>
        <v>5520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16128.000000000393</v>
      </c>
      <c r="G19" s="88">
        <f>F19*0.43</f>
        <v>6935.0400000001691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'21'!E22</f>
        <v>92758.399999999994</v>
      </c>
      <c r="E22" s="83">
        <f>'Daily Meter'!N27</f>
        <v>92881.5</v>
      </c>
      <c r="F22" s="107">
        <f>E22-D22</f>
        <v>123.10000000000582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455.47000000002157</v>
      </c>
      <c r="G23" s="111">
        <f>F23*2.5</f>
        <v>1138.6750000000538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5658.3660000004129</v>
      </c>
      <c r="G28" s="122">
        <f>G8</f>
        <v>3564.77058000026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26616.249</v>
      </c>
      <c r="G29" s="122">
        <f>G11</f>
        <v>1596.9749399999998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16128.000000000393</v>
      </c>
      <c r="G30" s="122">
        <f>G19</f>
        <v>6935.0400000001691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123.10000000000582</v>
      </c>
      <c r="G31" s="122">
        <f>G23</f>
        <v>1138.6750000000538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13235.460520000483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23</v>
      </c>
      <c r="D3" s="64" t="s">
        <v>50</v>
      </c>
      <c r="E3" s="65">
        <f>'Daily Meter'!O28</f>
        <v>82.26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'22'!E7</f>
        <v>53918.400000000001</v>
      </c>
      <c r="E7" s="83">
        <f>'Daily Meter'!B28</f>
        <v>53939.1</v>
      </c>
      <c r="F7" s="84">
        <f>E7-D7</f>
        <v>20.69999999999709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5885.8379999991721</v>
      </c>
      <c r="G8" s="88">
        <f>F8*0.63</f>
        <v>3708.0779399994785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'22'!E10</f>
        <v>207537</v>
      </c>
      <c r="E10" s="83">
        <f>'Daily Meter'!C28</f>
        <v>207739</v>
      </c>
      <c r="F10" s="84">
        <f>E10-D10</f>
        <v>202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44433.737999999998</v>
      </c>
      <c r="G11" s="96">
        <f>F11*0.06</f>
        <v>2666.0242799999996</v>
      </c>
      <c r="H11" s="52"/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'22'!E13</f>
        <v>6710.5</v>
      </c>
      <c r="E13" s="83">
        <f>'Daily Meter'!H28</f>
        <v>6717.5</v>
      </c>
      <c r="F13" s="84">
        <f t="shared" ref="F13:F18" si="0">(E13-D13)*480</f>
        <v>3360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'22'!E14</f>
        <v>4049.8</v>
      </c>
      <c r="E14" s="83">
        <f>'Daily Meter'!I28</f>
        <v>4053.8</v>
      </c>
      <c r="F14" s="84">
        <f t="shared" si="0"/>
        <v>1920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'22'!E15</f>
        <v>4328.1000000000004</v>
      </c>
      <c r="E15" s="83">
        <f>'Daily Meter'!J28</f>
        <v>4332.3999999999996</v>
      </c>
      <c r="F15" s="84">
        <f t="shared" si="0"/>
        <v>2063.9999999996508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'22'!E16</f>
        <v>2419.3000000000002</v>
      </c>
      <c r="E16" s="83">
        <f>'Daily Meter'!K28</f>
        <v>2422.1</v>
      </c>
      <c r="F16" s="84">
        <f t="shared" si="0"/>
        <v>1343.999999999869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'22'!E17</f>
        <v>5667.4</v>
      </c>
      <c r="E17" s="83">
        <f>'Daily Meter'!L28</f>
        <v>5671.9</v>
      </c>
      <c r="F17" s="84">
        <f t="shared" si="0"/>
        <v>2160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'22'!E18</f>
        <v>15248.9</v>
      </c>
      <c r="E18" s="83">
        <f>'Daily Meter'!M28</f>
        <v>15260.8</v>
      </c>
      <c r="F18" s="84">
        <f t="shared" si="0"/>
        <v>5711.9999999998254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16559.999999999345</v>
      </c>
      <c r="G19" s="88">
        <f>F19*0.43</f>
        <v>7120.7999999997182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'22'!E22</f>
        <v>92881.5</v>
      </c>
      <c r="E22" s="83">
        <f>'Daily Meter'!N28</f>
        <v>93014.8</v>
      </c>
      <c r="F22" s="107">
        <f>E22-D22</f>
        <v>133.30000000000291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493.21000000001078</v>
      </c>
      <c r="G23" s="111">
        <f>F23*2.5</f>
        <v>1233.0250000000269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5885.8379999991721</v>
      </c>
      <c r="G28" s="122">
        <f>G8</f>
        <v>3708.0779399994785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44433.737999999998</v>
      </c>
      <c r="G29" s="122">
        <f>G11</f>
        <v>2666.0242799999996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16559.999999999345</v>
      </c>
      <c r="G30" s="122">
        <f>G19</f>
        <v>7120.7999999997182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133.30000000000291</v>
      </c>
      <c r="G31" s="122">
        <f>G23</f>
        <v>1233.0250000000269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14727.927219999223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24</v>
      </c>
      <c r="D3" s="64" t="s">
        <v>50</v>
      </c>
      <c r="E3" s="65">
        <f>'Daily Meter'!O29</f>
        <v>84.56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58</v>
      </c>
      <c r="C6" s="77"/>
      <c r="D6" s="78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2">
        <f>'23'!E7</f>
        <v>53939.1</v>
      </c>
      <c r="E7" s="83">
        <f>'Daily Meter'!B29</f>
        <v>53960.7</v>
      </c>
      <c r="F7" s="84">
        <f>E7-D7</f>
        <v>21.599999999998545</v>
      </c>
      <c r="G7" s="84"/>
    </row>
    <row r="8" spans="1:8" ht="15">
      <c r="A8" s="77"/>
      <c r="B8" s="79"/>
      <c r="C8" s="85" t="s">
        <v>61</v>
      </c>
      <c r="D8" s="86"/>
      <c r="E8" s="87"/>
      <c r="F8" s="84">
        <f>F7*284.34</f>
        <v>6141.7439999995859</v>
      </c>
      <c r="G8" s="88">
        <f>F8*0.63</f>
        <v>3869.2987199997392</v>
      </c>
    </row>
    <row r="9" spans="1:8">
      <c r="A9" s="75" t="s">
        <v>62</v>
      </c>
      <c r="B9" s="76" t="s">
        <v>63</v>
      </c>
      <c r="C9" s="77"/>
      <c r="D9" s="82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2">
        <f>'23'!E10</f>
        <v>207739</v>
      </c>
      <c r="E10" s="83">
        <f>'Daily Meter'!C29</f>
        <v>207921</v>
      </c>
      <c r="F10" s="84">
        <f>E10-D10</f>
        <v>182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40034.358</v>
      </c>
      <c r="G11" s="96">
        <f>F11*0.06</f>
        <v>2402.0614799999998</v>
      </c>
    </row>
    <row r="12" spans="1:8">
      <c r="A12" s="75" t="s">
        <v>68</v>
      </c>
      <c r="B12" s="76" t="s">
        <v>69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2">
        <f>'23'!E13</f>
        <v>6717.5</v>
      </c>
      <c r="E13" s="83">
        <f>'Daily Meter'!H29</f>
        <v>6724.5</v>
      </c>
      <c r="F13" s="84">
        <f t="shared" ref="F13:F18" si="0">(E13-D13)*480</f>
        <v>3360</v>
      </c>
      <c r="G13" s="84"/>
    </row>
    <row r="14" spans="1:8">
      <c r="A14" s="77">
        <v>2</v>
      </c>
      <c r="B14" s="79" t="s">
        <v>14</v>
      </c>
      <c r="C14" s="77" t="s">
        <v>70</v>
      </c>
      <c r="D14" s="82">
        <f>'23'!E14</f>
        <v>4053.8</v>
      </c>
      <c r="E14" s="83">
        <f>'Daily Meter'!I29</f>
        <v>4058</v>
      </c>
      <c r="F14" s="84">
        <f t="shared" si="0"/>
        <v>2015.9999999999127</v>
      </c>
      <c r="G14" s="84"/>
    </row>
    <row r="15" spans="1:8">
      <c r="A15" s="77">
        <v>3</v>
      </c>
      <c r="B15" s="79" t="s">
        <v>15</v>
      </c>
      <c r="C15" s="77" t="s">
        <v>70</v>
      </c>
      <c r="D15" s="82">
        <f>'23'!E15</f>
        <v>4332.3999999999996</v>
      </c>
      <c r="E15" s="83">
        <f>'Daily Meter'!J29</f>
        <v>4336.8999999999996</v>
      </c>
      <c r="F15" s="84">
        <f t="shared" si="0"/>
        <v>2160</v>
      </c>
      <c r="G15" s="84"/>
    </row>
    <row r="16" spans="1:8">
      <c r="A16" s="77">
        <v>4</v>
      </c>
      <c r="B16" s="79" t="s">
        <v>16</v>
      </c>
      <c r="C16" s="77" t="s">
        <v>70</v>
      </c>
      <c r="D16" s="82">
        <f>'23'!E16</f>
        <v>2422.1</v>
      </c>
      <c r="E16" s="83">
        <f>'Daily Meter'!K29</f>
        <v>2425.3000000000002</v>
      </c>
      <c r="F16" s="84">
        <f t="shared" si="0"/>
        <v>1536.000000000131</v>
      </c>
      <c r="G16" s="84"/>
    </row>
    <row r="17" spans="1:11">
      <c r="A17" s="77">
        <v>5</v>
      </c>
      <c r="B17" s="79" t="s">
        <v>17</v>
      </c>
      <c r="C17" s="77" t="s">
        <v>70</v>
      </c>
      <c r="D17" s="82">
        <f>'23'!E17</f>
        <v>5671.9</v>
      </c>
      <c r="E17" s="83">
        <f>'Daily Meter'!L29</f>
        <v>5676.5</v>
      </c>
      <c r="F17" s="84">
        <f t="shared" si="0"/>
        <v>2208.0000000001746</v>
      </c>
      <c r="G17" s="84"/>
    </row>
    <row r="18" spans="1:11">
      <c r="A18" s="77">
        <v>6</v>
      </c>
      <c r="B18" s="79" t="s">
        <v>18</v>
      </c>
      <c r="C18" s="77" t="s">
        <v>70</v>
      </c>
      <c r="D18" s="82">
        <f>'23'!E18</f>
        <v>15260.8</v>
      </c>
      <c r="E18" s="83">
        <f>'Daily Meter'!M29</f>
        <v>15272.9</v>
      </c>
      <c r="F18" s="84">
        <f t="shared" si="0"/>
        <v>5808.0000000001746</v>
      </c>
      <c r="G18" s="84"/>
    </row>
    <row r="19" spans="1:11">
      <c r="A19" s="77"/>
      <c r="B19" s="98" t="s">
        <v>71</v>
      </c>
      <c r="C19" s="77"/>
      <c r="D19" s="82"/>
      <c r="E19" s="83"/>
      <c r="F19" s="99">
        <f>SUM(F13:F18)</f>
        <v>17088.000000000393</v>
      </c>
      <c r="G19" s="88">
        <f>F19*0.43</f>
        <v>7347.8400000001684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2">
        <f>'23'!E22</f>
        <v>93014.8</v>
      </c>
      <c r="E22" s="83">
        <f>'Daily Meter'!N29</f>
        <v>93151.1</v>
      </c>
      <c r="F22" s="107">
        <f>E22-D22</f>
        <v>136.30000000000291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504.3100000000108</v>
      </c>
      <c r="G23" s="111">
        <f>F23*2.5</f>
        <v>1260.7750000000269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6141.7439999995859</v>
      </c>
      <c r="G28" s="122">
        <f>G8</f>
        <v>3869.2987199997392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40034.358</v>
      </c>
      <c r="G29" s="122">
        <f>G11</f>
        <v>2402.0614799999998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17088.000000000393</v>
      </c>
      <c r="G30" s="122">
        <f>G19</f>
        <v>7347.8400000001684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136.30000000000291</v>
      </c>
      <c r="G31" s="122">
        <f>G23</f>
        <v>1260.7750000000269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14879.975199999935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1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125" t="str">
        <f>'1'!B3</f>
        <v>JANUARY 2024</v>
      </c>
      <c r="C3" s="62">
        <v>25</v>
      </c>
      <c r="D3" s="64" t="s">
        <v>50</v>
      </c>
      <c r="E3" s="65">
        <f>'Daily Meter'!O30</f>
        <v>93.78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126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298"/>
      <c r="E5" s="298"/>
      <c r="F5" s="74"/>
      <c r="G5" s="74"/>
    </row>
    <row r="6" spans="1:8">
      <c r="A6" s="75">
        <v>1</v>
      </c>
      <c r="B6" s="76" t="s">
        <v>58</v>
      </c>
      <c r="C6" s="77"/>
      <c r="D6" s="79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3">
        <f>'24'!E7</f>
        <v>53960.7</v>
      </c>
      <c r="E7" s="127">
        <f>'Daily Meter'!B30</f>
        <v>53979.8</v>
      </c>
      <c r="F7" s="84">
        <f>E7-D7</f>
        <v>19.100000000005821</v>
      </c>
      <c r="G7" s="84"/>
    </row>
    <row r="8" spans="1:8" ht="15">
      <c r="A8" s="77"/>
      <c r="B8" s="79"/>
      <c r="C8" s="85" t="s">
        <v>61</v>
      </c>
      <c r="D8" s="87"/>
      <c r="E8" s="87"/>
      <c r="F8" s="84">
        <f>F7*284.34</f>
        <v>5430.8940000016546</v>
      </c>
      <c r="G8" s="88">
        <f>F8*0.63</f>
        <v>3421.4632200010424</v>
      </c>
    </row>
    <row r="9" spans="1:8">
      <c r="A9" s="75" t="s">
        <v>62</v>
      </c>
      <c r="B9" s="76" t="s">
        <v>63</v>
      </c>
      <c r="C9" s="77"/>
      <c r="D9" s="83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3">
        <f>'24'!E10</f>
        <v>207921</v>
      </c>
      <c r="E10" s="127">
        <f>'Daily Meter'!C30</f>
        <v>208093</v>
      </c>
      <c r="F10" s="84">
        <f>E10-D10</f>
        <v>172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37834.667999999998</v>
      </c>
      <c r="G11" s="96">
        <f>F11*0.06</f>
        <v>2270.0800799999997</v>
      </c>
    </row>
    <row r="12" spans="1:8">
      <c r="A12" s="75" t="s">
        <v>68</v>
      </c>
      <c r="B12" s="76" t="s">
        <v>69</v>
      </c>
      <c r="C12" s="77"/>
      <c r="D12" s="83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3">
        <f>'24'!E13</f>
        <v>6724.5</v>
      </c>
      <c r="E13" s="127">
        <f>'Daily Meter'!H30</f>
        <v>6731.5</v>
      </c>
      <c r="F13" s="84">
        <f t="shared" ref="F13:F18" si="0">(E13-D13)*480</f>
        <v>3360</v>
      </c>
      <c r="G13" s="84"/>
    </row>
    <row r="14" spans="1:8">
      <c r="A14" s="77">
        <v>2</v>
      </c>
      <c r="B14" s="79" t="s">
        <v>14</v>
      </c>
      <c r="C14" s="77" t="s">
        <v>70</v>
      </c>
      <c r="D14" s="83">
        <f>'24'!E14</f>
        <v>4058</v>
      </c>
      <c r="E14" s="127">
        <f>'Daily Meter'!I30</f>
        <v>4062.2</v>
      </c>
      <c r="F14" s="84">
        <f t="shared" si="0"/>
        <v>2015.9999999999127</v>
      </c>
      <c r="G14" s="84"/>
    </row>
    <row r="15" spans="1:8">
      <c r="A15" s="77">
        <v>3</v>
      </c>
      <c r="B15" s="79" t="s">
        <v>15</v>
      </c>
      <c r="C15" s="77" t="s">
        <v>70</v>
      </c>
      <c r="D15" s="83">
        <f>'24'!E15</f>
        <v>4336.8999999999996</v>
      </c>
      <c r="E15" s="127">
        <f>'Daily Meter'!J30</f>
        <v>4341.3999999999996</v>
      </c>
      <c r="F15" s="84">
        <f t="shared" si="0"/>
        <v>2160</v>
      </c>
      <c r="G15" s="84"/>
    </row>
    <row r="16" spans="1:8">
      <c r="A16" s="77">
        <v>4</v>
      </c>
      <c r="B16" s="79" t="s">
        <v>16</v>
      </c>
      <c r="C16" s="77" t="s">
        <v>70</v>
      </c>
      <c r="D16" s="83">
        <f>'24'!E16</f>
        <v>2425.3000000000002</v>
      </c>
      <c r="E16" s="127">
        <f>'Daily Meter'!K30</f>
        <v>2428.3000000000002</v>
      </c>
      <c r="F16" s="84">
        <f t="shared" si="0"/>
        <v>1440</v>
      </c>
      <c r="G16" s="84"/>
    </row>
    <row r="17" spans="1:11">
      <c r="A17" s="77">
        <v>5</v>
      </c>
      <c r="B17" s="79" t="s">
        <v>17</v>
      </c>
      <c r="C17" s="77" t="s">
        <v>70</v>
      </c>
      <c r="D17" s="83">
        <f>'24'!E17</f>
        <v>5676.5</v>
      </c>
      <c r="E17" s="127">
        <f>'Daily Meter'!L30</f>
        <v>5681</v>
      </c>
      <c r="F17" s="84">
        <f t="shared" si="0"/>
        <v>2160</v>
      </c>
      <c r="G17" s="84"/>
    </row>
    <row r="18" spans="1:11">
      <c r="A18" s="77">
        <v>6</v>
      </c>
      <c r="B18" s="79" t="s">
        <v>18</v>
      </c>
      <c r="C18" s="77" t="s">
        <v>70</v>
      </c>
      <c r="D18" s="83">
        <f>'24'!E18</f>
        <v>15272.9</v>
      </c>
      <c r="E18" s="127">
        <f>'Daily Meter'!M30</f>
        <v>15284.7</v>
      </c>
      <c r="F18" s="84">
        <f t="shared" si="0"/>
        <v>5664.0000000005239</v>
      </c>
      <c r="G18" s="84"/>
    </row>
    <row r="19" spans="1:11">
      <c r="A19" s="77"/>
      <c r="B19" s="98" t="s">
        <v>71</v>
      </c>
      <c r="C19" s="77"/>
      <c r="D19" s="83"/>
      <c r="E19" s="83"/>
      <c r="F19" s="99">
        <f>SUM(F13:F18)</f>
        <v>16800.000000000437</v>
      </c>
      <c r="G19" s="88">
        <f>F19*0.43</f>
        <v>7224.0000000001874</v>
      </c>
    </row>
    <row r="20" spans="1:11">
      <c r="A20" s="79"/>
      <c r="B20" s="79"/>
      <c r="C20" s="77"/>
      <c r="D20" s="101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104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3">
        <f>'24'!E22</f>
        <v>93151.1</v>
      </c>
      <c r="E22" s="127">
        <f>'Daily Meter'!N30</f>
        <v>93278.7</v>
      </c>
      <c r="F22" s="107">
        <f>E22-D22</f>
        <v>127.59999999999127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472.11999999996772</v>
      </c>
      <c r="G23" s="111">
        <f>F23*2.5</f>
        <v>1180.2999999999192</v>
      </c>
    </row>
    <row r="24" spans="1:11">
      <c r="A24" s="77"/>
      <c r="B24" s="105"/>
      <c r="C24" s="106"/>
      <c r="D24" s="83"/>
      <c r="E24" s="83"/>
      <c r="F24" s="73"/>
      <c r="G24" s="111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28"/>
      <c r="D26" s="1" t="s">
        <v>78</v>
      </c>
      <c r="E26" s="1"/>
      <c r="F26" s="1"/>
      <c r="G26" s="1"/>
      <c r="H26" s="119"/>
    </row>
    <row r="27" spans="1:11" ht="20.399999999999999">
      <c r="A27" s="113"/>
      <c r="B27" s="113"/>
      <c r="C27" s="114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>
      <c r="A28" s="113"/>
      <c r="B28" s="113"/>
      <c r="C28" s="114"/>
      <c r="D28" s="120" t="s">
        <v>83</v>
      </c>
      <c r="E28" s="120" t="s">
        <v>61</v>
      </c>
      <c r="F28" s="121">
        <f>F8</f>
        <v>5430.8940000016546</v>
      </c>
      <c r="G28" s="122">
        <f>G8</f>
        <v>3421.4632200010424</v>
      </c>
      <c r="H28" s="119"/>
    </row>
    <row r="29" spans="1:11">
      <c r="A29" s="113"/>
      <c r="B29" s="113"/>
      <c r="C29" s="114"/>
      <c r="D29" s="120" t="s">
        <v>84</v>
      </c>
      <c r="E29" s="120" t="s">
        <v>85</v>
      </c>
      <c r="F29" s="121">
        <f>F11</f>
        <v>37834.667999999998</v>
      </c>
      <c r="G29" s="122">
        <f>G11</f>
        <v>2270.0800799999997</v>
      </c>
      <c r="H29" s="119"/>
    </row>
    <row r="30" spans="1:11">
      <c r="A30" s="113"/>
      <c r="B30" s="113"/>
      <c r="C30" s="114"/>
      <c r="D30" s="120" t="s">
        <v>86</v>
      </c>
      <c r="E30" s="120" t="s">
        <v>87</v>
      </c>
      <c r="F30" s="121">
        <f>F19</f>
        <v>16800.000000000437</v>
      </c>
      <c r="G30" s="122">
        <f>G19</f>
        <v>7224.0000000001874</v>
      </c>
      <c r="H30" s="119"/>
    </row>
    <row r="31" spans="1:11">
      <c r="A31" s="113"/>
      <c r="B31" s="113"/>
      <c r="C31" s="114"/>
      <c r="D31" s="120" t="s">
        <v>88</v>
      </c>
      <c r="E31" s="120" t="s">
        <v>65</v>
      </c>
      <c r="F31" s="121">
        <f>F22</f>
        <v>127.59999999999127</v>
      </c>
      <c r="G31" s="122">
        <f>G23</f>
        <v>1180.2999999999192</v>
      </c>
      <c r="H31" s="113"/>
    </row>
    <row r="32" spans="1:11">
      <c r="D32" s="113"/>
      <c r="E32" s="113"/>
      <c r="F32" s="123" t="s">
        <v>89</v>
      </c>
      <c r="G32" s="124">
        <f>SUM(G28:G31)</f>
        <v>14095.843300001148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125" t="str">
        <f>'1'!B3</f>
        <v>JANUARY 2024</v>
      </c>
      <c r="C3" s="62">
        <v>26</v>
      </c>
      <c r="D3" s="64" t="s">
        <v>50</v>
      </c>
      <c r="E3" s="65">
        <f>'Daily Meter'!O31</f>
        <v>0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298"/>
      <c r="E5" s="298"/>
      <c r="F5" s="74"/>
      <c r="G5" s="74"/>
    </row>
    <row r="6" spans="1:8">
      <c r="A6" s="75">
        <v>1</v>
      </c>
      <c r="B6" s="76" t="s">
        <v>58</v>
      </c>
      <c r="C6" s="77"/>
      <c r="D6" s="79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3">
        <f>'25'!E7:E7</f>
        <v>53979.8</v>
      </c>
      <c r="E7" s="83">
        <f>'Daily Meter'!B31</f>
        <v>54000.1</v>
      </c>
      <c r="F7" s="129">
        <f>E7-D7</f>
        <v>20.299999999995634</v>
      </c>
      <c r="G7" s="84"/>
    </row>
    <row r="8" spans="1:8" ht="15">
      <c r="A8" s="77"/>
      <c r="B8" s="79"/>
      <c r="C8" s="85" t="s">
        <v>61</v>
      </c>
      <c r="D8" s="87"/>
      <c r="E8" s="87"/>
      <c r="F8" s="84">
        <f>F7*284.34</f>
        <v>5772.1019999987584</v>
      </c>
      <c r="G8" s="88">
        <f>F8*0.63</f>
        <v>3636.4242599992176</v>
      </c>
    </row>
    <row r="9" spans="1:8">
      <c r="A9" s="75" t="s">
        <v>62</v>
      </c>
      <c r="B9" s="76" t="s">
        <v>63</v>
      </c>
      <c r="C9" s="77"/>
      <c r="D9" s="83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3">
        <f>'25'!E10</f>
        <v>208093</v>
      </c>
      <c r="E10" s="83">
        <f>'Daily Meter'!C31</f>
        <v>208262</v>
      </c>
      <c r="F10" s="84">
        <f>E10-D10</f>
        <v>169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37174.760999999999</v>
      </c>
      <c r="G11" s="96">
        <f>F11*0.06</f>
        <v>2230.4856599999998</v>
      </c>
    </row>
    <row r="12" spans="1:8">
      <c r="A12" s="75" t="s">
        <v>68</v>
      </c>
      <c r="B12" s="76" t="s">
        <v>69</v>
      </c>
      <c r="C12" s="77"/>
      <c r="D12" s="83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3">
        <f>'25'!E13</f>
        <v>6731.5</v>
      </c>
      <c r="E13" s="83">
        <f>'Daily Meter'!H31</f>
        <v>6738.4</v>
      </c>
      <c r="F13" s="84">
        <f t="shared" ref="F13:F18" si="0">(E13-D13)*480</f>
        <v>3311.9999999998254</v>
      </c>
      <c r="G13" s="84"/>
    </row>
    <row r="14" spans="1:8">
      <c r="A14" s="77">
        <v>2</v>
      </c>
      <c r="B14" s="79" t="s">
        <v>14</v>
      </c>
      <c r="C14" s="77" t="s">
        <v>70</v>
      </c>
      <c r="D14" s="83">
        <f>'25'!E14</f>
        <v>4062.2</v>
      </c>
      <c r="E14" s="83">
        <f>'Daily Meter'!I31</f>
        <v>4066.3</v>
      </c>
      <c r="F14" s="84">
        <f t="shared" si="0"/>
        <v>1968.0000000001746</v>
      </c>
      <c r="G14" s="84"/>
    </row>
    <row r="15" spans="1:8">
      <c r="A15" s="77">
        <v>3</v>
      </c>
      <c r="B15" s="79" t="s">
        <v>15</v>
      </c>
      <c r="C15" s="77" t="s">
        <v>70</v>
      </c>
      <c r="D15" s="83">
        <f>'25'!E15</f>
        <v>4341.3999999999996</v>
      </c>
      <c r="E15" s="83">
        <f>'Daily Meter'!J31</f>
        <v>4345.8</v>
      </c>
      <c r="F15" s="84">
        <f t="shared" si="0"/>
        <v>2112.0000000002619</v>
      </c>
      <c r="G15" s="84"/>
    </row>
    <row r="16" spans="1:8">
      <c r="A16" s="77">
        <v>4</v>
      </c>
      <c r="B16" s="79" t="s">
        <v>16</v>
      </c>
      <c r="C16" s="77" t="s">
        <v>70</v>
      </c>
      <c r="D16" s="83">
        <f>'25'!E16</f>
        <v>2428.3000000000002</v>
      </c>
      <c r="E16" s="83">
        <f>'Daily Meter'!K31</f>
        <v>2431.4</v>
      </c>
      <c r="F16" s="84">
        <f t="shared" si="0"/>
        <v>1487.9999999999563</v>
      </c>
      <c r="G16" s="84"/>
    </row>
    <row r="17" spans="1:11">
      <c r="A17" s="77">
        <v>5</v>
      </c>
      <c r="B17" s="79" t="s">
        <v>17</v>
      </c>
      <c r="C17" s="77" t="s">
        <v>70</v>
      </c>
      <c r="D17" s="83">
        <f>'25'!E17</f>
        <v>5681</v>
      </c>
      <c r="E17" s="83">
        <f>'Daily Meter'!L31</f>
        <v>5685.5</v>
      </c>
      <c r="F17" s="84">
        <f t="shared" si="0"/>
        <v>2160</v>
      </c>
      <c r="G17" s="84"/>
    </row>
    <row r="18" spans="1:11">
      <c r="A18" s="77">
        <v>6</v>
      </c>
      <c r="B18" s="79" t="s">
        <v>18</v>
      </c>
      <c r="C18" s="77" t="s">
        <v>70</v>
      </c>
      <c r="D18" s="83">
        <f>'25'!E18</f>
        <v>15284.7</v>
      </c>
      <c r="E18" s="83">
        <f>'Daily Meter'!M31</f>
        <v>15296.5</v>
      </c>
      <c r="F18" s="84">
        <f t="shared" si="0"/>
        <v>5663.9999999996508</v>
      </c>
      <c r="G18" s="84"/>
    </row>
    <row r="19" spans="1:11">
      <c r="A19" s="77"/>
      <c r="B19" s="98" t="s">
        <v>71</v>
      </c>
      <c r="C19" s="77"/>
      <c r="D19" s="83"/>
      <c r="E19" s="83"/>
      <c r="F19" s="99">
        <f>SUM(F13:F18)</f>
        <v>16703.999999999869</v>
      </c>
      <c r="G19" s="88">
        <f>F19*0.43</f>
        <v>7182.7199999999439</v>
      </c>
    </row>
    <row r="20" spans="1:11">
      <c r="A20" s="79"/>
      <c r="B20" s="79"/>
      <c r="C20" s="77"/>
      <c r="D20" s="101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104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3">
        <f>'25'!E22</f>
        <v>93278.7</v>
      </c>
      <c r="E22" s="83">
        <f>'Daily Meter'!N31</f>
        <v>93412.3</v>
      </c>
      <c r="F22" s="107">
        <f>E22-D22</f>
        <v>133.60000000000582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494.32000000002154</v>
      </c>
      <c r="G23" s="111">
        <f>F23*2.5</f>
        <v>1235.8000000000538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5772.1019999987584</v>
      </c>
      <c r="G28" s="122">
        <f>G8</f>
        <v>3636.4242599992176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37174.760999999999</v>
      </c>
      <c r="G29" s="122">
        <f>G11</f>
        <v>2230.4856599999998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16703.999999999869</v>
      </c>
      <c r="G30" s="122">
        <f>G19</f>
        <v>7182.7199999999439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133.60000000000582</v>
      </c>
      <c r="G31" s="122">
        <f>G23</f>
        <v>1235.8000000000538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14285.429919999217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125" t="str">
        <f>'1'!B3</f>
        <v>JANUARY 2024</v>
      </c>
      <c r="C3" s="62">
        <v>27</v>
      </c>
      <c r="D3" s="64" t="s">
        <v>50</v>
      </c>
      <c r="E3" s="65">
        <f>'Daily Meter'!O32</f>
        <v>0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298"/>
      <c r="E5" s="298"/>
      <c r="F5" s="74"/>
      <c r="G5" s="74"/>
    </row>
    <row r="6" spans="1:8">
      <c r="A6" s="75">
        <v>1</v>
      </c>
      <c r="B6" s="76" t="s">
        <v>58</v>
      </c>
      <c r="C6" s="77"/>
      <c r="D6" s="79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3">
        <f>'26'!E7</f>
        <v>54000.1</v>
      </c>
      <c r="E7" s="83">
        <f>'Daily Meter'!B32</f>
        <v>0</v>
      </c>
      <c r="F7" s="84">
        <f>E7-D7</f>
        <v>-54000.1</v>
      </c>
      <c r="G7" s="84"/>
    </row>
    <row r="8" spans="1:8" ht="15">
      <c r="A8" s="77"/>
      <c r="B8" s="79"/>
      <c r="C8" s="85" t="s">
        <v>61</v>
      </c>
      <c r="D8" s="87"/>
      <c r="E8" s="87"/>
      <c r="F8" s="84">
        <f>F7*284.34</f>
        <v>-15354388.433999998</v>
      </c>
      <c r="G8" s="88">
        <f>F8*0.63</f>
        <v>-9673264.7134199999</v>
      </c>
    </row>
    <row r="9" spans="1:8">
      <c r="A9" s="75" t="s">
        <v>62</v>
      </c>
      <c r="B9" s="76" t="s">
        <v>63</v>
      </c>
      <c r="C9" s="77"/>
      <c r="D9" s="83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3">
        <f>'26'!E10</f>
        <v>208262</v>
      </c>
      <c r="E10" s="83">
        <f>'Daily Meter'!C32</f>
        <v>0</v>
      </c>
      <c r="F10" s="84">
        <f>E10-D10</f>
        <v>-208262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-45811183.877999999</v>
      </c>
      <c r="G11" s="96">
        <f>F11*0.06</f>
        <v>-2748671.0326799997</v>
      </c>
    </row>
    <row r="12" spans="1:8">
      <c r="A12" s="75" t="s">
        <v>68</v>
      </c>
      <c r="B12" s="76" t="s">
        <v>69</v>
      </c>
      <c r="C12" s="77"/>
      <c r="D12" s="83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3">
        <f>'26'!E13</f>
        <v>6738.4</v>
      </c>
      <c r="E13" s="83">
        <f>'Daily Meter'!H32</f>
        <v>0</v>
      </c>
      <c r="F13" s="84">
        <f t="shared" ref="F13:F18" si="0">(E13-D13)*480</f>
        <v>-3234432</v>
      </c>
      <c r="G13" s="84"/>
    </row>
    <row r="14" spans="1:8">
      <c r="A14" s="77">
        <v>2</v>
      </c>
      <c r="B14" s="79" t="s">
        <v>14</v>
      </c>
      <c r="C14" s="77" t="s">
        <v>70</v>
      </c>
      <c r="D14" s="83">
        <f>'26'!E14</f>
        <v>4066.3</v>
      </c>
      <c r="E14" s="83">
        <f>'Daily Meter'!I32</f>
        <v>0</v>
      </c>
      <c r="F14" s="84">
        <f t="shared" si="0"/>
        <v>-1951824</v>
      </c>
      <c r="G14" s="84"/>
    </row>
    <row r="15" spans="1:8">
      <c r="A15" s="77">
        <v>3</v>
      </c>
      <c r="B15" s="79" t="s">
        <v>15</v>
      </c>
      <c r="C15" s="77" t="s">
        <v>70</v>
      </c>
      <c r="D15" s="83">
        <f>'26'!E15</f>
        <v>4345.8</v>
      </c>
      <c r="E15" s="83">
        <f>'Daily Meter'!J32</f>
        <v>0</v>
      </c>
      <c r="F15" s="84">
        <f t="shared" si="0"/>
        <v>-2085984</v>
      </c>
      <c r="G15" s="84"/>
    </row>
    <row r="16" spans="1:8">
      <c r="A16" s="77">
        <v>4</v>
      </c>
      <c r="B16" s="79" t="s">
        <v>16</v>
      </c>
      <c r="C16" s="77" t="s">
        <v>70</v>
      </c>
      <c r="D16" s="83">
        <f>'26'!E16</f>
        <v>2431.4</v>
      </c>
      <c r="E16" s="83">
        <f>'Daily Meter'!K32</f>
        <v>0</v>
      </c>
      <c r="F16" s="84">
        <f t="shared" si="0"/>
        <v>-1167072</v>
      </c>
      <c r="G16" s="84"/>
    </row>
    <row r="17" spans="1:11">
      <c r="A17" s="77">
        <v>5</v>
      </c>
      <c r="B17" s="79" t="s">
        <v>17</v>
      </c>
      <c r="C17" s="77" t="s">
        <v>70</v>
      </c>
      <c r="D17" s="83">
        <f>'26'!E17</f>
        <v>5685.5</v>
      </c>
      <c r="E17" s="83">
        <f>'Daily Meter'!L32</f>
        <v>0</v>
      </c>
      <c r="F17" s="84">
        <f t="shared" si="0"/>
        <v>-2729040</v>
      </c>
      <c r="G17" s="84"/>
    </row>
    <row r="18" spans="1:11">
      <c r="A18" s="77">
        <v>6</v>
      </c>
      <c r="B18" s="79" t="s">
        <v>18</v>
      </c>
      <c r="C18" s="77" t="s">
        <v>70</v>
      </c>
      <c r="D18" s="83">
        <f>'26'!E18</f>
        <v>15296.5</v>
      </c>
      <c r="E18" s="83">
        <f>'Daily Meter'!M32</f>
        <v>0</v>
      </c>
      <c r="F18" s="84">
        <f t="shared" si="0"/>
        <v>-7342320</v>
      </c>
      <c r="G18" s="84"/>
    </row>
    <row r="19" spans="1:11">
      <c r="A19" s="77"/>
      <c r="B19" s="98" t="s">
        <v>71</v>
      </c>
      <c r="C19" s="77"/>
      <c r="D19" s="83"/>
      <c r="E19" s="83"/>
      <c r="F19" s="99">
        <f>SUM(F13:F18)</f>
        <v>-18510672</v>
      </c>
      <c r="G19" s="88">
        <f>F19*0.43</f>
        <v>-7959588.96</v>
      </c>
    </row>
    <row r="20" spans="1:11">
      <c r="A20" s="79"/>
      <c r="B20" s="79"/>
      <c r="C20" s="77"/>
      <c r="D20" s="101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104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3">
        <f>'26'!E22</f>
        <v>93412.3</v>
      </c>
      <c r="E22" s="83">
        <f>'Daily Meter'!N32</f>
        <v>0</v>
      </c>
      <c r="F22" s="107">
        <f>E22-D22</f>
        <v>-93412.3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-345625.51</v>
      </c>
      <c r="G23" s="111">
        <f>F23*2.5</f>
        <v>-864063.77500000002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-15354388.433999998</v>
      </c>
      <c r="G28" s="122">
        <f>G8</f>
        <v>-9673264.7134199999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-45811183.877999999</v>
      </c>
      <c r="G29" s="122">
        <f>G11</f>
        <v>-2748671.0326799997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-18510672</v>
      </c>
      <c r="G30" s="122">
        <f>G19</f>
        <v>-7959588.96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-93412.3</v>
      </c>
      <c r="G31" s="122">
        <f>G23</f>
        <v>-864063.77500000002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-21245588.481099997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125" t="str">
        <f>'1'!B3</f>
        <v>JANUARY 2024</v>
      </c>
      <c r="C3" s="62">
        <v>28</v>
      </c>
      <c r="D3" s="64" t="s">
        <v>50</v>
      </c>
      <c r="E3" s="65">
        <f>'Daily Meter'!O33</f>
        <v>0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298"/>
      <c r="E5" s="298"/>
      <c r="F5" s="74"/>
      <c r="G5" s="74"/>
    </row>
    <row r="6" spans="1:8">
      <c r="A6" s="75">
        <v>1</v>
      </c>
      <c r="B6" s="76" t="s">
        <v>58</v>
      </c>
      <c r="C6" s="77"/>
      <c r="D6" s="79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3">
        <f>'27'!E7</f>
        <v>0</v>
      </c>
      <c r="E7" s="83">
        <f>'Daily Meter'!B33</f>
        <v>0</v>
      </c>
      <c r="F7" s="84">
        <f>E7-D7</f>
        <v>0</v>
      </c>
      <c r="G7" s="84"/>
    </row>
    <row r="8" spans="1:8" ht="15">
      <c r="A8" s="77"/>
      <c r="B8" s="79"/>
      <c r="C8" s="85" t="s">
        <v>61</v>
      </c>
      <c r="D8" s="87"/>
      <c r="E8" s="87"/>
      <c r="F8" s="84">
        <f>F7*284.34</f>
        <v>0</v>
      </c>
      <c r="G8" s="88">
        <f>F8*0.63</f>
        <v>0</v>
      </c>
    </row>
    <row r="9" spans="1:8">
      <c r="A9" s="75" t="s">
        <v>62</v>
      </c>
      <c r="B9" s="76" t="s">
        <v>63</v>
      </c>
      <c r="C9" s="77"/>
      <c r="D9" s="83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3">
        <f>'27'!E10</f>
        <v>0</v>
      </c>
      <c r="E10" s="83">
        <f>'Daily Meter'!C33</f>
        <v>0</v>
      </c>
      <c r="F10" s="84">
        <f>E10-D10</f>
        <v>0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0</v>
      </c>
      <c r="G11" s="96">
        <f>F11*0.06</f>
        <v>0</v>
      </c>
    </row>
    <row r="12" spans="1:8">
      <c r="A12" s="75" t="s">
        <v>68</v>
      </c>
      <c r="B12" s="76" t="s">
        <v>69</v>
      </c>
      <c r="C12" s="77"/>
      <c r="D12" s="83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3">
        <f>'27'!E13</f>
        <v>0</v>
      </c>
      <c r="E13" s="83">
        <f>'Daily Meter'!H33</f>
        <v>0</v>
      </c>
      <c r="F13" s="84">
        <f t="shared" ref="F13:F18" si="0">(E13-D13)*480</f>
        <v>0</v>
      </c>
      <c r="G13" s="84"/>
    </row>
    <row r="14" spans="1:8">
      <c r="A14" s="77">
        <v>2</v>
      </c>
      <c r="B14" s="79" t="s">
        <v>14</v>
      </c>
      <c r="C14" s="77" t="s">
        <v>70</v>
      </c>
      <c r="D14" s="83">
        <f>'27'!E14</f>
        <v>0</v>
      </c>
      <c r="E14" s="83">
        <f>'Daily Meter'!I33</f>
        <v>0</v>
      </c>
      <c r="F14" s="84">
        <f t="shared" si="0"/>
        <v>0</v>
      </c>
      <c r="G14" s="84"/>
    </row>
    <row r="15" spans="1:8">
      <c r="A15" s="77">
        <v>3</v>
      </c>
      <c r="B15" s="79" t="s">
        <v>15</v>
      </c>
      <c r="C15" s="77" t="s">
        <v>70</v>
      </c>
      <c r="D15" s="83">
        <f>'27'!E15</f>
        <v>0</v>
      </c>
      <c r="E15" s="83">
        <f>'Daily Meter'!J33</f>
        <v>0</v>
      </c>
      <c r="F15" s="84">
        <f t="shared" si="0"/>
        <v>0</v>
      </c>
      <c r="G15" s="84"/>
    </row>
    <row r="16" spans="1:8">
      <c r="A16" s="77">
        <v>4</v>
      </c>
      <c r="B16" s="79" t="s">
        <v>16</v>
      </c>
      <c r="C16" s="77" t="s">
        <v>70</v>
      </c>
      <c r="D16" s="83">
        <f>'27'!E16</f>
        <v>0</v>
      </c>
      <c r="E16" s="83">
        <f>'Daily Meter'!K33</f>
        <v>0</v>
      </c>
      <c r="F16" s="84">
        <f t="shared" si="0"/>
        <v>0</v>
      </c>
      <c r="G16" s="84"/>
    </row>
    <row r="17" spans="1:11">
      <c r="A17" s="77">
        <v>5</v>
      </c>
      <c r="B17" s="79" t="s">
        <v>17</v>
      </c>
      <c r="C17" s="77" t="s">
        <v>70</v>
      </c>
      <c r="D17" s="83">
        <f>'27'!E17</f>
        <v>0</v>
      </c>
      <c r="E17" s="83">
        <f>'Daily Meter'!L33</f>
        <v>0</v>
      </c>
      <c r="F17" s="84">
        <f t="shared" si="0"/>
        <v>0</v>
      </c>
      <c r="G17" s="84"/>
    </row>
    <row r="18" spans="1:11">
      <c r="A18" s="77">
        <v>6</v>
      </c>
      <c r="B18" s="79" t="s">
        <v>18</v>
      </c>
      <c r="C18" s="77" t="s">
        <v>70</v>
      </c>
      <c r="D18" s="83">
        <f>'27'!E18</f>
        <v>0</v>
      </c>
      <c r="E18" s="83">
        <f>'Daily Meter'!M33</f>
        <v>0</v>
      </c>
      <c r="F18" s="84">
        <f t="shared" si="0"/>
        <v>0</v>
      </c>
      <c r="G18" s="84"/>
    </row>
    <row r="19" spans="1:11">
      <c r="A19" s="77"/>
      <c r="B19" s="98" t="s">
        <v>71</v>
      </c>
      <c r="C19" s="77"/>
      <c r="D19" s="83"/>
      <c r="E19" s="83"/>
      <c r="F19" s="99">
        <f>SUM(F13:F18)</f>
        <v>0</v>
      </c>
      <c r="G19" s="88">
        <f>F19*0.43</f>
        <v>0</v>
      </c>
    </row>
    <row r="20" spans="1:11">
      <c r="A20" s="79"/>
      <c r="B20" s="79"/>
      <c r="C20" s="77"/>
      <c r="D20" s="101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104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3">
        <f>'27'!E22</f>
        <v>0</v>
      </c>
      <c r="E22" s="83">
        <f>'Daily Meter'!N33</f>
        <v>0</v>
      </c>
      <c r="F22" s="107">
        <f>E22-D22</f>
        <v>0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0</v>
      </c>
      <c r="G23" s="111">
        <f>F23*2.5</f>
        <v>0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0</v>
      </c>
      <c r="G28" s="122">
        <f>G8</f>
        <v>0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0</v>
      </c>
      <c r="G29" s="122">
        <f>G11</f>
        <v>0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0</v>
      </c>
      <c r="G30" s="122">
        <f>G19</f>
        <v>0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0</v>
      </c>
      <c r="G31" s="122">
        <f>G23</f>
        <v>0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0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125" t="str">
        <f>'1'!B3</f>
        <v>JANUARY 2024</v>
      </c>
      <c r="C3" s="62">
        <v>29</v>
      </c>
      <c r="D3" s="64" t="s">
        <v>50</v>
      </c>
      <c r="E3" s="65">
        <f>'Daily Meter'!O34</f>
        <v>0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298"/>
      <c r="E5" s="298"/>
      <c r="F5" s="74"/>
      <c r="G5" s="74"/>
    </row>
    <row r="6" spans="1:8">
      <c r="A6" s="75">
        <v>1</v>
      </c>
      <c r="B6" s="76" t="s">
        <v>58</v>
      </c>
      <c r="C6" s="77"/>
      <c r="D6" s="79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3">
        <f>'28'!E7</f>
        <v>0</v>
      </c>
      <c r="E7" s="83">
        <f>'Daily Meter'!B34</f>
        <v>0</v>
      </c>
      <c r="F7" s="84">
        <f>E7-D7</f>
        <v>0</v>
      </c>
      <c r="G7" s="84"/>
    </row>
    <row r="8" spans="1:8" ht="15">
      <c r="A8" s="77"/>
      <c r="B8" s="79"/>
      <c r="C8" s="85" t="s">
        <v>61</v>
      </c>
      <c r="D8" s="87"/>
      <c r="E8" s="87"/>
      <c r="F8" s="84">
        <f>F7*284.34</f>
        <v>0</v>
      </c>
      <c r="G8" s="88">
        <f>F8*0.63</f>
        <v>0</v>
      </c>
    </row>
    <row r="9" spans="1:8">
      <c r="A9" s="75" t="s">
        <v>62</v>
      </c>
      <c r="B9" s="76" t="s">
        <v>63</v>
      </c>
      <c r="C9" s="77"/>
      <c r="D9" s="83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3">
        <f>'28'!E10</f>
        <v>0</v>
      </c>
      <c r="E10" s="83">
        <f>'Daily Meter'!C34</f>
        <v>0</v>
      </c>
      <c r="F10" s="84">
        <f>E10-D10</f>
        <v>0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0</v>
      </c>
      <c r="G11" s="96">
        <f>F11*0.06</f>
        <v>0</v>
      </c>
    </row>
    <row r="12" spans="1:8">
      <c r="A12" s="75" t="s">
        <v>68</v>
      </c>
      <c r="B12" s="76" t="s">
        <v>69</v>
      </c>
      <c r="C12" s="77"/>
      <c r="D12" s="83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3">
        <f>'28'!E13</f>
        <v>0</v>
      </c>
      <c r="E13" s="83">
        <f>'Daily Meter'!H34</f>
        <v>0</v>
      </c>
      <c r="F13" s="84">
        <f t="shared" ref="F13:F18" si="0">(E13-D13)*480</f>
        <v>0</v>
      </c>
      <c r="G13" s="84"/>
    </row>
    <row r="14" spans="1:8">
      <c r="A14" s="77">
        <v>2</v>
      </c>
      <c r="B14" s="79" t="s">
        <v>14</v>
      </c>
      <c r="C14" s="77" t="s">
        <v>70</v>
      </c>
      <c r="D14" s="83">
        <f>'28'!E14</f>
        <v>0</v>
      </c>
      <c r="E14" s="83">
        <f>'Daily Meter'!I34</f>
        <v>0</v>
      </c>
      <c r="F14" s="84">
        <f t="shared" si="0"/>
        <v>0</v>
      </c>
      <c r="G14" s="84"/>
    </row>
    <row r="15" spans="1:8">
      <c r="A15" s="77">
        <v>3</v>
      </c>
      <c r="B15" s="79" t="s">
        <v>15</v>
      </c>
      <c r="C15" s="77" t="s">
        <v>70</v>
      </c>
      <c r="D15" s="83">
        <f>'28'!E15</f>
        <v>0</v>
      </c>
      <c r="E15" s="83">
        <f>'Daily Meter'!J34</f>
        <v>0</v>
      </c>
      <c r="F15" s="84">
        <f t="shared" si="0"/>
        <v>0</v>
      </c>
      <c r="G15" s="84"/>
    </row>
    <row r="16" spans="1:8">
      <c r="A16" s="77">
        <v>4</v>
      </c>
      <c r="B16" s="79" t="s">
        <v>16</v>
      </c>
      <c r="C16" s="77" t="s">
        <v>70</v>
      </c>
      <c r="D16" s="83">
        <f>'28'!E16</f>
        <v>0</v>
      </c>
      <c r="E16" s="83">
        <f>'Daily Meter'!K34</f>
        <v>0</v>
      </c>
      <c r="F16" s="84">
        <f t="shared" si="0"/>
        <v>0</v>
      </c>
      <c r="G16" s="84"/>
    </row>
    <row r="17" spans="1:11">
      <c r="A17" s="77">
        <v>5</v>
      </c>
      <c r="B17" s="79" t="s">
        <v>17</v>
      </c>
      <c r="C17" s="77" t="s">
        <v>70</v>
      </c>
      <c r="D17" s="83">
        <f>'28'!E17</f>
        <v>0</v>
      </c>
      <c r="E17" s="83">
        <f>'Daily Meter'!L34</f>
        <v>0</v>
      </c>
      <c r="F17" s="84">
        <f t="shared" si="0"/>
        <v>0</v>
      </c>
      <c r="G17" s="84"/>
    </row>
    <row r="18" spans="1:11">
      <c r="A18" s="77">
        <v>6</v>
      </c>
      <c r="B18" s="79" t="s">
        <v>18</v>
      </c>
      <c r="C18" s="77" t="s">
        <v>70</v>
      </c>
      <c r="D18" s="83">
        <f>'28'!E18</f>
        <v>0</v>
      </c>
      <c r="E18" s="83">
        <f>'Daily Meter'!M34</f>
        <v>0</v>
      </c>
      <c r="F18" s="84">
        <f t="shared" si="0"/>
        <v>0</v>
      </c>
      <c r="G18" s="84"/>
    </row>
    <row r="19" spans="1:11">
      <c r="A19" s="77"/>
      <c r="B19" s="98" t="s">
        <v>71</v>
      </c>
      <c r="C19" s="77"/>
      <c r="D19" s="83"/>
      <c r="E19" s="83"/>
      <c r="F19" s="99">
        <f>SUM(F13:F18)</f>
        <v>0</v>
      </c>
      <c r="G19" s="88">
        <f>F19*0.43</f>
        <v>0</v>
      </c>
    </row>
    <row r="20" spans="1:11">
      <c r="A20" s="79"/>
      <c r="B20" s="79"/>
      <c r="C20" s="77"/>
      <c r="D20" s="101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104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3">
        <f>'28'!E22</f>
        <v>0</v>
      </c>
      <c r="E22" s="83">
        <f>'Daily Meter'!N34</f>
        <v>0</v>
      </c>
      <c r="F22" s="107">
        <f>E22-D22</f>
        <v>0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0</v>
      </c>
      <c r="G23" s="111">
        <f>F23*2.5</f>
        <v>0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0</v>
      </c>
      <c r="G28" s="122">
        <f>G8</f>
        <v>0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0</v>
      </c>
      <c r="G29" s="122">
        <f>G11</f>
        <v>0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0</v>
      </c>
      <c r="G30" s="122">
        <f>G19</f>
        <v>0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0</v>
      </c>
      <c r="G31" s="122">
        <f>G23</f>
        <v>0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0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125" t="str">
        <f>'1'!B3</f>
        <v>JANUARY 2024</v>
      </c>
      <c r="C3" s="62">
        <v>30</v>
      </c>
      <c r="D3" s="64" t="s">
        <v>50</v>
      </c>
      <c r="E3" s="65">
        <f>'Daily Meter'!O35</f>
        <v>0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298"/>
      <c r="E5" s="298"/>
      <c r="F5" s="74"/>
      <c r="G5" s="74"/>
    </row>
    <row r="6" spans="1:8">
      <c r="A6" s="75">
        <v>1</v>
      </c>
      <c r="B6" s="76" t="s">
        <v>58</v>
      </c>
      <c r="C6" s="77"/>
      <c r="D6" s="79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3">
        <f>'29'!E7</f>
        <v>0</v>
      </c>
      <c r="E7" s="83">
        <f>'Daily Meter'!B35</f>
        <v>0</v>
      </c>
      <c r="F7" s="84">
        <f>E7-D7</f>
        <v>0</v>
      </c>
      <c r="G7" s="84"/>
    </row>
    <row r="8" spans="1:8" ht="15">
      <c r="A8" s="77"/>
      <c r="B8" s="79"/>
      <c r="C8" s="85" t="s">
        <v>61</v>
      </c>
      <c r="D8" s="87"/>
      <c r="E8" s="87"/>
      <c r="F8" s="84">
        <f>F7*284.34</f>
        <v>0</v>
      </c>
      <c r="G8" s="88">
        <f>F8*0.63</f>
        <v>0</v>
      </c>
    </row>
    <row r="9" spans="1:8">
      <c r="A9" s="75" t="s">
        <v>62</v>
      </c>
      <c r="B9" s="76" t="s">
        <v>63</v>
      </c>
      <c r="C9" s="77"/>
      <c r="D9" s="83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3">
        <f>'29'!E10</f>
        <v>0</v>
      </c>
      <c r="E10" s="83">
        <f>'Daily Meter'!C35</f>
        <v>0</v>
      </c>
      <c r="F10" s="84">
        <f>E10-D10</f>
        <v>0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0</v>
      </c>
      <c r="G11" s="96">
        <f>F11*0.06</f>
        <v>0</v>
      </c>
    </row>
    <row r="12" spans="1:8">
      <c r="A12" s="75" t="s">
        <v>68</v>
      </c>
      <c r="B12" s="76" t="s">
        <v>69</v>
      </c>
      <c r="C12" s="77"/>
      <c r="D12" s="83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3">
        <f>'29'!E13</f>
        <v>0</v>
      </c>
      <c r="E13" s="83">
        <f>'Daily Meter'!H35</f>
        <v>0</v>
      </c>
      <c r="F13" s="84">
        <f t="shared" ref="F13:F18" si="0">(E13-D13)*480</f>
        <v>0</v>
      </c>
      <c r="G13" s="84"/>
    </row>
    <row r="14" spans="1:8">
      <c r="A14" s="77">
        <v>2</v>
      </c>
      <c r="B14" s="79" t="s">
        <v>14</v>
      </c>
      <c r="C14" s="77" t="s">
        <v>70</v>
      </c>
      <c r="D14" s="83">
        <f>'29'!E14</f>
        <v>0</v>
      </c>
      <c r="E14" s="83">
        <f>'Daily Meter'!I35</f>
        <v>0</v>
      </c>
      <c r="F14" s="84">
        <f t="shared" si="0"/>
        <v>0</v>
      </c>
      <c r="G14" s="84"/>
    </row>
    <row r="15" spans="1:8">
      <c r="A15" s="77">
        <v>3</v>
      </c>
      <c r="B15" s="79" t="s">
        <v>15</v>
      </c>
      <c r="C15" s="77" t="s">
        <v>70</v>
      </c>
      <c r="D15" s="83">
        <f>'29'!E15</f>
        <v>0</v>
      </c>
      <c r="E15" s="83">
        <f>'Daily Meter'!J35</f>
        <v>0</v>
      </c>
      <c r="F15" s="84">
        <f t="shared" si="0"/>
        <v>0</v>
      </c>
      <c r="G15" s="84"/>
    </row>
    <row r="16" spans="1:8">
      <c r="A16" s="77">
        <v>4</v>
      </c>
      <c r="B16" s="79" t="s">
        <v>16</v>
      </c>
      <c r="C16" s="77" t="s">
        <v>70</v>
      </c>
      <c r="D16" s="83">
        <f>'29'!E16</f>
        <v>0</v>
      </c>
      <c r="E16" s="83">
        <f>'Daily Meter'!K35</f>
        <v>0</v>
      </c>
      <c r="F16" s="84">
        <f t="shared" si="0"/>
        <v>0</v>
      </c>
      <c r="G16" s="84"/>
    </row>
    <row r="17" spans="1:11">
      <c r="A17" s="77">
        <v>5</v>
      </c>
      <c r="B17" s="79" t="s">
        <v>17</v>
      </c>
      <c r="C17" s="77" t="s">
        <v>70</v>
      </c>
      <c r="D17" s="83">
        <f>'29'!E17</f>
        <v>0</v>
      </c>
      <c r="E17" s="83">
        <f>'Daily Meter'!L35</f>
        <v>0</v>
      </c>
      <c r="F17" s="84">
        <f t="shared" si="0"/>
        <v>0</v>
      </c>
      <c r="G17" s="84"/>
    </row>
    <row r="18" spans="1:11">
      <c r="A18" s="77">
        <v>6</v>
      </c>
      <c r="B18" s="79" t="s">
        <v>18</v>
      </c>
      <c r="C18" s="77" t="s">
        <v>70</v>
      </c>
      <c r="D18" s="83">
        <f>'29'!E18</f>
        <v>0</v>
      </c>
      <c r="E18" s="83">
        <f>'Daily Meter'!M35</f>
        <v>0</v>
      </c>
      <c r="F18" s="84">
        <f t="shared" si="0"/>
        <v>0</v>
      </c>
      <c r="G18" s="84"/>
    </row>
    <row r="19" spans="1:11">
      <c r="A19" s="77"/>
      <c r="B19" s="98" t="s">
        <v>71</v>
      </c>
      <c r="C19" s="77"/>
      <c r="D19" s="83"/>
      <c r="E19" s="83"/>
      <c r="F19" s="99">
        <f>SUM(F13:F18)</f>
        <v>0</v>
      </c>
      <c r="G19" s="88">
        <f>F19*0.43</f>
        <v>0</v>
      </c>
    </row>
    <row r="20" spans="1:11">
      <c r="A20" s="79"/>
      <c r="B20" s="79"/>
      <c r="C20" s="77"/>
      <c r="D20" s="101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104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3">
        <f>'29'!E22</f>
        <v>0</v>
      </c>
      <c r="E22" s="83">
        <f>'Daily Meter'!N35</f>
        <v>0</v>
      </c>
      <c r="F22" s="107">
        <f>E22-D22</f>
        <v>0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0</v>
      </c>
      <c r="G23" s="111">
        <f>F23*2.5</f>
        <v>0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0</v>
      </c>
      <c r="G28" s="122">
        <f>G8</f>
        <v>0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0</v>
      </c>
      <c r="G29" s="122">
        <f>G11</f>
        <v>0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0</v>
      </c>
      <c r="G30" s="122">
        <f>G19</f>
        <v>0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0</v>
      </c>
      <c r="G31" s="122">
        <f>G23</f>
        <v>0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0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46</v>
      </c>
      <c r="B1" s="3"/>
      <c r="C1" s="3"/>
      <c r="D1" s="3"/>
      <c r="E1" s="3"/>
      <c r="F1" s="3"/>
      <c r="G1" s="3"/>
      <c r="H1" s="29" t="s">
        <v>47</v>
      </c>
    </row>
    <row r="2" spans="1:8" ht="17.7">
      <c r="A2" s="2" t="s">
        <v>48</v>
      </c>
      <c r="B2" s="2"/>
      <c r="C2" s="2"/>
      <c r="D2" s="2"/>
      <c r="E2" s="2"/>
      <c r="F2" s="2"/>
      <c r="G2" s="2"/>
    </row>
    <row r="3" spans="1:8" s="66" customFormat="1" ht="17.7">
      <c r="A3" s="62"/>
      <c r="B3" s="125" t="str">
        <f>'1'!B3</f>
        <v>JANUARY 2024</v>
      </c>
      <c r="C3" s="62">
        <v>31</v>
      </c>
      <c r="D3" s="64" t="s">
        <v>50</v>
      </c>
      <c r="E3" s="65">
        <f>'Daily Meter'!O37</f>
        <v>69.439600000000013</v>
      </c>
      <c r="F3" s="62"/>
      <c r="G3" s="62"/>
    </row>
    <row r="4" spans="1:8" ht="30" customHeight="1">
      <c r="A4" s="67" t="s">
        <v>51</v>
      </c>
      <c r="B4" s="68" t="s">
        <v>52</v>
      </c>
      <c r="C4" s="69"/>
      <c r="D4" s="70" t="s">
        <v>53</v>
      </c>
      <c r="E4" s="70" t="s">
        <v>54</v>
      </c>
      <c r="F4" s="71" t="s">
        <v>55</v>
      </c>
      <c r="G4" s="70" t="s">
        <v>56</v>
      </c>
    </row>
    <row r="5" spans="1:8" ht="15.75" customHeight="1">
      <c r="A5" s="67"/>
      <c r="B5" s="67"/>
      <c r="C5" s="69"/>
      <c r="D5" s="298"/>
      <c r="E5" s="298"/>
      <c r="F5" s="74"/>
      <c r="G5" s="74"/>
    </row>
    <row r="6" spans="1:8">
      <c r="A6" s="75">
        <v>1</v>
      </c>
      <c r="B6" s="76" t="s">
        <v>58</v>
      </c>
      <c r="C6" s="77"/>
      <c r="D6" s="79"/>
      <c r="E6" s="79"/>
      <c r="F6" s="80"/>
      <c r="G6" s="81"/>
    </row>
    <row r="7" spans="1:8">
      <c r="A7" s="77"/>
      <c r="B7" s="79" t="s">
        <v>59</v>
      </c>
      <c r="C7" s="77" t="s">
        <v>60</v>
      </c>
      <c r="D7" s="83">
        <f>'30'!E7</f>
        <v>0</v>
      </c>
      <c r="E7" s="83">
        <f>'Daily Meter'!B36</f>
        <v>0</v>
      </c>
      <c r="F7" s="84">
        <f>E7-D7</f>
        <v>0</v>
      </c>
      <c r="G7" s="84"/>
    </row>
    <row r="8" spans="1:8" ht="15">
      <c r="A8" s="77"/>
      <c r="B8" s="79"/>
      <c r="C8" s="85" t="s">
        <v>61</v>
      </c>
      <c r="D8" s="87"/>
      <c r="E8" s="87"/>
      <c r="F8" s="84">
        <f>F7*284.34</f>
        <v>0</v>
      </c>
      <c r="G8" s="88">
        <f>F8*0.63</f>
        <v>0</v>
      </c>
    </row>
    <row r="9" spans="1:8">
      <c r="A9" s="75" t="s">
        <v>62</v>
      </c>
      <c r="B9" s="76" t="s">
        <v>63</v>
      </c>
      <c r="C9" s="77"/>
      <c r="D9" s="83"/>
      <c r="E9" s="83"/>
      <c r="F9" s="89"/>
      <c r="G9" s="81"/>
    </row>
    <row r="10" spans="1:8">
      <c r="A10" s="90"/>
      <c r="B10" s="91" t="s">
        <v>64</v>
      </c>
      <c r="C10" s="92" t="s">
        <v>65</v>
      </c>
      <c r="D10" s="83">
        <f>'30'!E10</f>
        <v>0</v>
      </c>
      <c r="E10" s="83">
        <f>'Daily Meter'!C36</f>
        <v>0</v>
      </c>
      <c r="F10" s="84">
        <f>E10-D10</f>
        <v>0</v>
      </c>
      <c r="G10" s="93"/>
    </row>
    <row r="11" spans="1:8">
      <c r="A11" s="90"/>
      <c r="B11" s="94" t="s">
        <v>66</v>
      </c>
      <c r="C11" s="92" t="s">
        <v>67</v>
      </c>
      <c r="D11" s="82"/>
      <c r="E11" s="82"/>
      <c r="F11" s="95">
        <f>F10*219.969</f>
        <v>0</v>
      </c>
      <c r="G11" s="96">
        <f>F11*0.06</f>
        <v>0</v>
      </c>
    </row>
    <row r="12" spans="1:8">
      <c r="A12" s="75" t="s">
        <v>68</v>
      </c>
      <c r="B12" s="76" t="s">
        <v>69</v>
      </c>
      <c r="C12" s="77"/>
      <c r="D12" s="83"/>
      <c r="E12" s="83"/>
      <c r="F12" s="97"/>
      <c r="G12" s="81"/>
    </row>
    <row r="13" spans="1:8">
      <c r="A13" s="77">
        <v>1</v>
      </c>
      <c r="B13" s="79" t="s">
        <v>13</v>
      </c>
      <c r="C13" s="77" t="s">
        <v>70</v>
      </c>
      <c r="D13" s="83">
        <f>'30'!E13</f>
        <v>0</v>
      </c>
      <c r="E13" s="83">
        <f>'Daily Meter'!H36</f>
        <v>0</v>
      </c>
      <c r="F13" s="84">
        <f t="shared" ref="F13:F18" si="0">(E13-D13)*480</f>
        <v>0</v>
      </c>
      <c r="G13" s="84"/>
    </row>
    <row r="14" spans="1:8">
      <c r="A14" s="77">
        <v>2</v>
      </c>
      <c r="B14" s="79" t="s">
        <v>14</v>
      </c>
      <c r="C14" s="77" t="s">
        <v>70</v>
      </c>
      <c r="D14" s="83">
        <f>'30'!E14</f>
        <v>0</v>
      </c>
      <c r="E14" s="83">
        <f>'Daily Meter'!I36</f>
        <v>0</v>
      </c>
      <c r="F14" s="84">
        <f t="shared" si="0"/>
        <v>0</v>
      </c>
      <c r="G14" s="84"/>
    </row>
    <row r="15" spans="1:8">
      <c r="A15" s="77">
        <v>3</v>
      </c>
      <c r="B15" s="79" t="s">
        <v>15</v>
      </c>
      <c r="C15" s="77" t="s">
        <v>70</v>
      </c>
      <c r="D15" s="83">
        <f>'30'!E15</f>
        <v>0</v>
      </c>
      <c r="E15" s="83">
        <f>'Daily Meter'!J36</f>
        <v>0</v>
      </c>
      <c r="F15" s="84">
        <f t="shared" si="0"/>
        <v>0</v>
      </c>
      <c r="G15" s="84"/>
    </row>
    <row r="16" spans="1:8">
      <c r="A16" s="77">
        <v>4</v>
      </c>
      <c r="B16" s="79" t="s">
        <v>16</v>
      </c>
      <c r="C16" s="77" t="s">
        <v>70</v>
      </c>
      <c r="D16" s="83">
        <f>'30'!E16</f>
        <v>0</v>
      </c>
      <c r="E16" s="83">
        <f>'Daily Meter'!K36</f>
        <v>0</v>
      </c>
      <c r="F16" s="84">
        <f t="shared" si="0"/>
        <v>0</v>
      </c>
      <c r="G16" s="84"/>
    </row>
    <row r="17" spans="1:11">
      <c r="A17" s="77">
        <v>5</v>
      </c>
      <c r="B17" s="79" t="s">
        <v>17</v>
      </c>
      <c r="C17" s="77" t="s">
        <v>70</v>
      </c>
      <c r="D17" s="83">
        <f>'30'!E17</f>
        <v>0</v>
      </c>
      <c r="E17" s="83">
        <f>'Daily Meter'!L36</f>
        <v>0</v>
      </c>
      <c r="F17" s="84">
        <f t="shared" si="0"/>
        <v>0</v>
      </c>
      <c r="G17" s="84"/>
    </row>
    <row r="18" spans="1:11">
      <c r="A18" s="77">
        <v>6</v>
      </c>
      <c r="B18" s="79" t="s">
        <v>18</v>
      </c>
      <c r="C18" s="77" t="s">
        <v>70</v>
      </c>
      <c r="D18" s="83">
        <f>'30'!E18</f>
        <v>0</v>
      </c>
      <c r="E18" s="83">
        <f>'Daily Meter'!M36</f>
        <v>0</v>
      </c>
      <c r="F18" s="84">
        <f t="shared" si="0"/>
        <v>0</v>
      </c>
      <c r="G18" s="84"/>
    </row>
    <row r="19" spans="1:11">
      <c r="A19" s="77"/>
      <c r="B19" s="98" t="s">
        <v>71</v>
      </c>
      <c r="C19" s="77"/>
      <c r="D19" s="83"/>
      <c r="E19" s="83"/>
      <c r="F19" s="99">
        <f>SUM(F13:F18)</f>
        <v>0</v>
      </c>
      <c r="G19" s="88">
        <f>F19*0.43</f>
        <v>0</v>
      </c>
    </row>
    <row r="20" spans="1:11">
      <c r="A20" s="79"/>
      <c r="B20" s="79"/>
      <c r="C20" s="77"/>
      <c r="D20" s="101"/>
      <c r="E20" s="101"/>
      <c r="F20" s="102"/>
      <c r="G20" s="103"/>
    </row>
    <row r="21" spans="1:11">
      <c r="A21" s="75" t="s">
        <v>72</v>
      </c>
      <c r="B21" s="76" t="s">
        <v>73</v>
      </c>
      <c r="C21" s="77"/>
      <c r="D21" s="104"/>
      <c r="E21" s="104"/>
      <c r="F21" s="97"/>
      <c r="G21" s="81"/>
    </row>
    <row r="22" spans="1:11">
      <c r="A22" s="77">
        <v>1</v>
      </c>
      <c r="B22" s="105" t="s">
        <v>74</v>
      </c>
      <c r="C22" s="106" t="s">
        <v>75</v>
      </c>
      <c r="D22" s="83">
        <f>'30'!E22</f>
        <v>0</v>
      </c>
      <c r="E22" s="83">
        <f>'Daily Meter'!N36</f>
        <v>0</v>
      </c>
      <c r="F22" s="107">
        <f>E22-D22</f>
        <v>0</v>
      </c>
      <c r="G22" s="108"/>
    </row>
    <row r="23" spans="1:11">
      <c r="A23" s="77"/>
      <c r="B23" s="109" t="s">
        <v>76</v>
      </c>
      <c r="C23" s="110" t="s">
        <v>77</v>
      </c>
      <c r="D23" s="83"/>
      <c r="E23" s="83"/>
      <c r="F23" s="73">
        <f>F22*3.7</f>
        <v>0</v>
      </c>
      <c r="G23" s="111">
        <f>F23*2.5</f>
        <v>0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12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78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79</v>
      </c>
      <c r="E27" s="117" t="s">
        <v>80</v>
      </c>
      <c r="F27" s="117" t="s">
        <v>81</v>
      </c>
      <c r="G27" s="117" t="s">
        <v>82</v>
      </c>
      <c r="H27" s="119"/>
    </row>
    <row r="28" spans="1:11" ht="15" customHeight="1">
      <c r="A28" s="116"/>
      <c r="B28" s="116"/>
      <c r="C28" s="116"/>
      <c r="D28" s="120" t="s">
        <v>83</v>
      </c>
      <c r="E28" s="120" t="s">
        <v>61</v>
      </c>
      <c r="F28" s="121">
        <f>F8</f>
        <v>0</v>
      </c>
      <c r="G28" s="122">
        <f>G8</f>
        <v>0</v>
      </c>
      <c r="H28" s="119"/>
    </row>
    <row r="29" spans="1:11" ht="15" customHeight="1">
      <c r="A29" s="116"/>
      <c r="B29" s="116"/>
      <c r="C29" s="116"/>
      <c r="D29" s="120" t="s">
        <v>84</v>
      </c>
      <c r="E29" s="120" t="s">
        <v>85</v>
      </c>
      <c r="F29" s="121">
        <f>F11</f>
        <v>0</v>
      </c>
      <c r="G29" s="122">
        <f>G11</f>
        <v>0</v>
      </c>
      <c r="H29" s="119"/>
    </row>
    <row r="30" spans="1:11" ht="15" customHeight="1">
      <c r="A30" s="116"/>
      <c r="B30" s="116"/>
      <c r="C30" s="116"/>
      <c r="D30" s="120" t="s">
        <v>86</v>
      </c>
      <c r="E30" s="120" t="s">
        <v>87</v>
      </c>
      <c r="F30" s="121">
        <f>F19</f>
        <v>0</v>
      </c>
      <c r="G30" s="122">
        <f>G19</f>
        <v>0</v>
      </c>
      <c r="H30" s="119"/>
    </row>
    <row r="31" spans="1:11" ht="15" customHeight="1">
      <c r="A31" s="116"/>
      <c r="B31" s="116"/>
      <c r="C31" s="116"/>
      <c r="D31" s="120" t="s">
        <v>88</v>
      </c>
      <c r="E31" s="120" t="s">
        <v>65</v>
      </c>
      <c r="F31" s="121">
        <f>F22</f>
        <v>0</v>
      </c>
      <c r="G31" s="122">
        <f>G23</f>
        <v>0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89</v>
      </c>
      <c r="G32" s="124">
        <f>SUM(G28:G31)</f>
        <v>0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"/>
    </sheetView>
  </sheetViews>
  <sheetFormatPr defaultColWidth="9.15625" defaultRowHeight="14.4"/>
  <cols>
    <col min="1" max="1" width="5.578125" style="66" customWidth="1"/>
    <col min="2" max="2" width="37.578125" style="66" customWidth="1"/>
    <col min="3" max="3" width="21.578125" style="66" customWidth="1"/>
    <col min="4" max="4" width="21.15625" style="66" customWidth="1"/>
    <col min="5" max="5" width="21.578125" style="66" customWidth="1"/>
    <col min="6" max="6" width="20.83984375" style="130" customWidth="1"/>
    <col min="7" max="8" width="20" style="130" customWidth="1"/>
    <col min="9" max="16384" width="9.15625" style="66"/>
  </cols>
  <sheetData>
    <row r="1" spans="1:16" ht="15" customHeight="1">
      <c r="A1" s="299" t="s">
        <v>46</v>
      </c>
      <c r="B1" s="299"/>
      <c r="C1" s="299"/>
      <c r="D1" s="299"/>
      <c r="E1" s="299"/>
      <c r="F1" s="299"/>
      <c r="G1" s="299"/>
      <c r="H1" s="131"/>
      <c r="P1" s="29" t="s">
        <v>23</v>
      </c>
    </row>
    <row r="2" spans="1:16" ht="12" customHeight="1">
      <c r="A2" s="299"/>
      <c r="B2" s="299"/>
      <c r="C2" s="299"/>
      <c r="D2" s="299"/>
      <c r="E2" s="299"/>
      <c r="F2" s="299"/>
      <c r="G2" s="299"/>
      <c r="H2" s="131"/>
    </row>
    <row r="3" spans="1:16" ht="17.7">
      <c r="A3" s="300" t="s">
        <v>48</v>
      </c>
      <c r="B3" s="300"/>
      <c r="C3" s="300"/>
      <c r="D3" s="300"/>
      <c r="E3" s="300"/>
      <c r="F3" s="300"/>
      <c r="G3" s="300"/>
      <c r="H3" s="131"/>
      <c r="P3" s="29" t="s">
        <v>47</v>
      </c>
    </row>
    <row r="4" spans="1:16" ht="17.7">
      <c r="A4" s="301" t="s">
        <v>90</v>
      </c>
      <c r="B4" s="301"/>
      <c r="C4" s="301"/>
      <c r="D4" s="132" t="s">
        <v>91</v>
      </c>
      <c r="E4" s="133"/>
      <c r="F4" s="134" t="s">
        <v>92</v>
      </c>
      <c r="G4" s="302"/>
      <c r="H4" s="302"/>
    </row>
    <row r="5" spans="1:16" ht="27.75" customHeight="1">
      <c r="A5" s="303" t="s">
        <v>51</v>
      </c>
      <c r="B5" s="304" t="s">
        <v>52</v>
      </c>
      <c r="C5" s="136"/>
      <c r="D5" s="138" t="s">
        <v>93</v>
      </c>
      <c r="E5" s="138" t="s">
        <v>94</v>
      </c>
      <c r="F5" s="305" t="s">
        <v>95</v>
      </c>
      <c r="G5" s="305" t="s">
        <v>96</v>
      </c>
      <c r="H5" s="305" t="s">
        <v>97</v>
      </c>
    </row>
    <row r="6" spans="1:16" ht="24" customHeight="1">
      <c r="A6" s="303"/>
      <c r="B6" s="304"/>
      <c r="C6" s="139"/>
      <c r="D6" s="140" t="s">
        <v>98</v>
      </c>
      <c r="E6" s="140" t="s">
        <v>99</v>
      </c>
      <c r="F6" s="305"/>
      <c r="G6" s="305"/>
      <c r="H6" s="305"/>
    </row>
    <row r="7" spans="1:16">
      <c r="A7" s="141">
        <v>1</v>
      </c>
      <c r="B7" s="142" t="s">
        <v>58</v>
      </c>
      <c r="C7" s="143"/>
      <c r="D7" s="78"/>
      <c r="E7" s="78"/>
      <c r="F7" s="144"/>
      <c r="G7" s="144"/>
      <c r="H7" s="144"/>
    </row>
    <row r="8" spans="1:16">
      <c r="A8" s="143"/>
      <c r="B8" s="78" t="s">
        <v>59</v>
      </c>
      <c r="C8" s="143" t="s">
        <v>60</v>
      </c>
      <c r="D8" s="83">
        <v>53103.1</v>
      </c>
      <c r="E8" s="83">
        <v>53103.1</v>
      </c>
      <c r="F8" s="145">
        <f>E8-D8</f>
        <v>0</v>
      </c>
      <c r="G8" s="145"/>
      <c r="H8" s="145"/>
    </row>
    <row r="9" spans="1:16" ht="15">
      <c r="A9" s="143"/>
      <c r="B9" s="78"/>
      <c r="C9" s="90" t="s">
        <v>100</v>
      </c>
      <c r="D9" s="146"/>
      <c r="E9" s="146"/>
      <c r="F9" s="147">
        <f>F8*284.35</f>
        <v>0</v>
      </c>
      <c r="G9" s="147"/>
      <c r="H9" s="148"/>
    </row>
    <row r="10" spans="1:16" ht="15.75" customHeight="1">
      <c r="A10" s="143"/>
      <c r="B10" s="149" t="s">
        <v>101</v>
      </c>
      <c r="C10" s="306"/>
      <c r="D10" s="306"/>
      <c r="E10" s="306"/>
      <c r="F10" s="151">
        <f>F9*0.568</f>
        <v>0</v>
      </c>
      <c r="G10" s="152"/>
      <c r="H10" s="152"/>
    </row>
    <row r="11" spans="1:16">
      <c r="A11" s="143"/>
      <c r="B11" s="149" t="s">
        <v>102</v>
      </c>
      <c r="C11" s="306"/>
      <c r="D11" s="306"/>
      <c r="E11" s="306"/>
      <c r="F11" s="151">
        <f>F9*0.075</f>
        <v>0</v>
      </c>
      <c r="G11" s="152"/>
      <c r="H11" s="152"/>
    </row>
    <row r="12" spans="1:16" ht="15.75" customHeight="1">
      <c r="A12" s="143"/>
      <c r="B12" s="153" t="s">
        <v>103</v>
      </c>
      <c r="C12" s="307"/>
      <c r="D12" s="307"/>
      <c r="E12" s="307"/>
      <c r="F12" s="155">
        <f>F10+F11</f>
        <v>0</v>
      </c>
      <c r="G12" s="156">
        <f>'dec. 1 to 31'!G12</f>
        <v>250000</v>
      </c>
      <c r="H12" s="157"/>
    </row>
    <row r="13" spans="1:16" ht="15.75" customHeight="1">
      <c r="A13" s="143"/>
      <c r="B13" s="153" t="s">
        <v>104</v>
      </c>
      <c r="C13" s="307"/>
      <c r="D13" s="307"/>
      <c r="E13" s="307"/>
      <c r="F13" s="155">
        <f>(3082.2*30)</f>
        <v>92466</v>
      </c>
      <c r="G13" s="156">
        <f>'dec. 1 to 31'!G13</f>
        <v>95548.2</v>
      </c>
      <c r="H13" s="157">
        <f>F13</f>
        <v>92466</v>
      </c>
    </row>
    <row r="14" spans="1:16" ht="15.75" customHeight="1">
      <c r="A14" s="143"/>
      <c r="B14" s="308"/>
      <c r="C14" s="308"/>
      <c r="D14" s="308"/>
      <c r="E14" s="308"/>
      <c r="F14" s="158">
        <f>SUM(F12+F13)</f>
        <v>92466</v>
      </c>
      <c r="G14" s="159">
        <f>SUM(G12:G13)</f>
        <v>345548.2</v>
      </c>
      <c r="H14" s="152">
        <f>SUM(H12:H13)</f>
        <v>92466</v>
      </c>
    </row>
    <row r="15" spans="1:16">
      <c r="A15" s="141" t="s">
        <v>62</v>
      </c>
      <c r="B15" s="142" t="s">
        <v>63</v>
      </c>
      <c r="C15" s="309"/>
      <c r="D15" s="309"/>
      <c r="E15" s="309"/>
      <c r="F15" s="160"/>
      <c r="G15" s="161" t="s">
        <v>105</v>
      </c>
      <c r="H15" s="162">
        <f>(F14-H14)</f>
        <v>0</v>
      </c>
    </row>
    <row r="16" spans="1:16" ht="14.25" customHeight="1">
      <c r="A16" s="90"/>
      <c r="B16" s="91" t="s">
        <v>64</v>
      </c>
      <c r="C16" s="92" t="s">
        <v>65</v>
      </c>
      <c r="D16" s="83"/>
      <c r="E16" s="83"/>
      <c r="F16" s="145">
        <f>E16-D16</f>
        <v>0</v>
      </c>
      <c r="G16" s="310" t="s">
        <v>106</v>
      </c>
      <c r="H16" s="310"/>
    </row>
    <row r="17" spans="1:8" ht="27.6">
      <c r="A17" s="90"/>
      <c r="B17" s="91"/>
      <c r="C17" s="92" t="s">
        <v>107</v>
      </c>
      <c r="D17" s="83"/>
      <c r="E17" s="83"/>
      <c r="F17" s="163">
        <f>F16*219.969</f>
        <v>0</v>
      </c>
      <c r="G17" s="164"/>
      <c r="H17" s="160"/>
    </row>
    <row r="18" spans="1:8">
      <c r="A18" s="90"/>
      <c r="B18" s="149" t="s">
        <v>108</v>
      </c>
      <c r="C18" s="306"/>
      <c r="D18" s="306"/>
      <c r="E18" s="306"/>
      <c r="F18" s="165">
        <v>350</v>
      </c>
      <c r="G18" s="166"/>
      <c r="H18" s="160"/>
    </row>
    <row r="19" spans="1:8">
      <c r="A19" s="90"/>
      <c r="B19" s="149" t="s">
        <v>109</v>
      </c>
      <c r="C19" s="306"/>
      <c r="D19" s="306"/>
      <c r="E19" s="306"/>
      <c r="F19" s="165">
        <v>400</v>
      </c>
      <c r="G19" s="166"/>
      <c r="H19" s="160"/>
    </row>
    <row r="20" spans="1:8">
      <c r="A20" s="90"/>
      <c r="B20" s="149" t="s">
        <v>110</v>
      </c>
      <c r="C20" s="306"/>
      <c r="D20" s="306"/>
      <c r="E20" s="306"/>
      <c r="F20" s="165">
        <f>SUM(F17-20000)*0.046</f>
        <v>-920</v>
      </c>
      <c r="G20" s="166"/>
      <c r="H20" s="160"/>
    </row>
    <row r="21" spans="1:8">
      <c r="A21" s="90"/>
      <c r="B21" s="149" t="s">
        <v>111</v>
      </c>
      <c r="C21" s="306"/>
      <c r="D21" s="306"/>
      <c r="E21" s="306"/>
      <c r="F21" s="167">
        <f>F17*0.005</f>
        <v>0</v>
      </c>
      <c r="G21" s="166"/>
      <c r="H21" s="160"/>
    </row>
    <row r="22" spans="1:8">
      <c r="A22" s="90"/>
      <c r="B22" s="149" t="s">
        <v>112</v>
      </c>
      <c r="C22" s="306"/>
      <c r="D22" s="306"/>
      <c r="E22" s="306"/>
      <c r="F22" s="167">
        <f>F17*0.01</f>
        <v>0</v>
      </c>
      <c r="G22" s="166"/>
      <c r="H22" s="160"/>
    </row>
    <row r="23" spans="1:8">
      <c r="A23" s="90"/>
      <c r="B23" s="153" t="s">
        <v>103</v>
      </c>
      <c r="C23" s="311"/>
      <c r="D23" s="311"/>
      <c r="E23" s="311"/>
      <c r="F23" s="169">
        <f>SUM(F18:F22)</f>
        <v>-170</v>
      </c>
      <c r="G23" s="170">
        <f>'dec. 1 to 31'!G23</f>
        <v>59385</v>
      </c>
      <c r="H23" s="160"/>
    </row>
    <row r="24" spans="1:8">
      <c r="A24" s="141" t="s">
        <v>68</v>
      </c>
      <c r="B24" s="142" t="s">
        <v>69</v>
      </c>
      <c r="C24" s="309"/>
      <c r="D24" s="309"/>
      <c r="E24" s="309"/>
      <c r="F24" s="171"/>
      <c r="G24" s="172"/>
      <c r="H24" s="160"/>
    </row>
    <row r="25" spans="1:8">
      <c r="A25" s="143">
        <v>1</v>
      </c>
      <c r="B25" s="78" t="s">
        <v>13</v>
      </c>
      <c r="C25" s="143" t="s">
        <v>70</v>
      </c>
      <c r="D25" s="83"/>
      <c r="E25" s="83"/>
      <c r="F25" s="145">
        <f t="shared" ref="F25:F30" si="0">(E25-D25)*480</f>
        <v>0</v>
      </c>
      <c r="G25" s="127"/>
      <c r="H25" s="160"/>
    </row>
    <row r="26" spans="1:8">
      <c r="A26" s="143">
        <v>2</v>
      </c>
      <c r="B26" s="78" t="s">
        <v>14</v>
      </c>
      <c r="C26" s="143" t="s">
        <v>70</v>
      </c>
      <c r="D26" s="83"/>
      <c r="E26" s="83"/>
      <c r="F26" s="145">
        <f t="shared" si="0"/>
        <v>0</v>
      </c>
      <c r="G26" s="127"/>
      <c r="H26" s="160"/>
    </row>
    <row r="27" spans="1:8">
      <c r="A27" s="143">
        <v>3</v>
      </c>
      <c r="B27" s="78" t="s">
        <v>15</v>
      </c>
      <c r="C27" s="143" t="s">
        <v>70</v>
      </c>
      <c r="D27" s="83"/>
      <c r="E27" s="83"/>
      <c r="F27" s="145">
        <f t="shared" si="0"/>
        <v>0</v>
      </c>
      <c r="G27" s="127"/>
      <c r="H27" s="160"/>
    </row>
    <row r="28" spans="1:8">
      <c r="A28" s="143">
        <v>4</v>
      </c>
      <c r="B28" s="78" t="s">
        <v>16</v>
      </c>
      <c r="C28" s="143" t="s">
        <v>70</v>
      </c>
      <c r="D28" s="83"/>
      <c r="E28" s="83"/>
      <c r="F28" s="145">
        <f t="shared" si="0"/>
        <v>0</v>
      </c>
      <c r="G28" s="127"/>
      <c r="H28" s="160"/>
    </row>
    <row r="29" spans="1:8">
      <c r="A29" s="143">
        <v>5</v>
      </c>
      <c r="B29" s="78" t="s">
        <v>17</v>
      </c>
      <c r="C29" s="143" t="s">
        <v>70</v>
      </c>
      <c r="D29" s="83"/>
      <c r="E29" s="83"/>
      <c r="F29" s="145">
        <f t="shared" si="0"/>
        <v>0</v>
      </c>
      <c r="G29" s="127"/>
      <c r="H29" s="160"/>
    </row>
    <row r="30" spans="1:8">
      <c r="A30" s="143">
        <v>6</v>
      </c>
      <c r="B30" s="78" t="s">
        <v>18</v>
      </c>
      <c r="C30" s="143" t="s">
        <v>70</v>
      </c>
      <c r="D30" s="83"/>
      <c r="E30" s="83"/>
      <c r="F30" s="145">
        <f t="shared" si="0"/>
        <v>0</v>
      </c>
      <c r="G30" s="127"/>
      <c r="H30" s="160"/>
    </row>
    <row r="31" spans="1:8">
      <c r="A31" s="143"/>
      <c r="B31" s="173" t="s">
        <v>113</v>
      </c>
      <c r="C31" s="309"/>
      <c r="D31" s="309"/>
      <c r="E31" s="309"/>
      <c r="F31" s="174">
        <f>SUM(F25:F30)</f>
        <v>0</v>
      </c>
      <c r="G31" s="175"/>
      <c r="H31" s="160"/>
    </row>
    <row r="32" spans="1:8">
      <c r="A32" s="78"/>
      <c r="B32" s="149" t="s">
        <v>114</v>
      </c>
      <c r="C32" s="306"/>
      <c r="D32" s="306"/>
      <c r="E32" s="306"/>
      <c r="F32" s="151">
        <v>460</v>
      </c>
      <c r="G32" s="176"/>
      <c r="H32" s="160"/>
    </row>
    <row r="33" spans="1:8">
      <c r="A33" s="78"/>
      <c r="B33" s="149" t="s">
        <v>115</v>
      </c>
      <c r="C33" s="306"/>
      <c r="D33" s="306"/>
      <c r="E33" s="306"/>
      <c r="F33" s="151">
        <v>560</v>
      </c>
      <c r="G33" s="176"/>
      <c r="H33" s="160"/>
    </row>
    <row r="34" spans="1:8">
      <c r="A34" s="78"/>
      <c r="B34" s="149" t="s">
        <v>116</v>
      </c>
      <c r="C34" s="306"/>
      <c r="D34" s="306"/>
      <c r="E34" s="306"/>
      <c r="F34" s="151">
        <v>640</v>
      </c>
      <c r="G34" s="176"/>
      <c r="H34" s="160"/>
    </row>
    <row r="35" spans="1:8">
      <c r="A35" s="78"/>
      <c r="B35" s="149" t="s">
        <v>117</v>
      </c>
      <c r="C35" s="306"/>
      <c r="D35" s="306"/>
      <c r="E35" s="306"/>
      <c r="F35" s="151">
        <f>SUM(F31-6000)*0.38</f>
        <v>-2280</v>
      </c>
      <c r="G35" s="176"/>
      <c r="H35" s="160"/>
    </row>
    <row r="36" spans="1:8">
      <c r="A36" s="78"/>
      <c r="B36" s="149" t="s">
        <v>118</v>
      </c>
      <c r="C36" s="306"/>
      <c r="D36" s="306"/>
      <c r="E36" s="306"/>
      <c r="F36" s="151">
        <f>F31*0.065</f>
        <v>0</v>
      </c>
      <c r="G36" s="176"/>
      <c r="H36" s="160"/>
    </row>
    <row r="37" spans="1:8">
      <c r="A37" s="78"/>
      <c r="B37" s="153" t="s">
        <v>103</v>
      </c>
      <c r="C37" s="312"/>
      <c r="D37" s="312"/>
      <c r="E37" s="312"/>
      <c r="F37" s="155">
        <f>SUM(F32:F36)</f>
        <v>-620</v>
      </c>
      <c r="G37" s="178">
        <f>'dec. 1 to 31'!G37</f>
        <v>281577</v>
      </c>
      <c r="H37" s="160"/>
    </row>
    <row r="38" spans="1:8">
      <c r="A38" s="141" t="s">
        <v>72</v>
      </c>
      <c r="B38" s="142" t="s">
        <v>73</v>
      </c>
      <c r="C38" s="179"/>
      <c r="D38" s="179"/>
      <c r="E38" s="179"/>
      <c r="F38" s="171"/>
      <c r="G38" s="172"/>
      <c r="H38" s="160"/>
    </row>
    <row r="39" spans="1:8">
      <c r="A39" s="143">
        <v>1</v>
      </c>
      <c r="B39" s="179" t="s">
        <v>74</v>
      </c>
      <c r="C39" s="313"/>
      <c r="D39" s="313"/>
      <c r="E39" s="313"/>
      <c r="F39" s="174"/>
      <c r="G39" s="175"/>
      <c r="H39" s="160"/>
    </row>
    <row r="40" spans="1:8">
      <c r="A40" s="143"/>
      <c r="B40" s="179"/>
      <c r="C40" s="180" t="s">
        <v>119</v>
      </c>
      <c r="D40" s="83"/>
      <c r="E40" s="83"/>
      <c r="F40" s="147">
        <f>E40-D40</f>
        <v>0</v>
      </c>
      <c r="G40" s="175"/>
      <c r="H40" s="160"/>
    </row>
    <row r="41" spans="1:8">
      <c r="A41" s="143"/>
      <c r="B41" s="179"/>
      <c r="C41" s="181" t="s">
        <v>120</v>
      </c>
      <c r="D41" s="83"/>
      <c r="E41" s="83"/>
      <c r="F41" s="174">
        <f>F40*3.7</f>
        <v>0</v>
      </c>
      <c r="G41" s="175"/>
      <c r="H41" s="160"/>
    </row>
    <row r="42" spans="1:8">
      <c r="A42" s="143"/>
      <c r="B42" s="153" t="s">
        <v>121</v>
      </c>
      <c r="C42" s="312"/>
      <c r="D42" s="312"/>
      <c r="E42" s="312"/>
      <c r="F42" s="155">
        <f>F41*2.5</f>
        <v>0</v>
      </c>
      <c r="G42" s="182">
        <f>'dec. 1 to 31'!G42</f>
        <v>13040</v>
      </c>
      <c r="H42" s="160"/>
    </row>
    <row r="43" spans="1:8">
      <c r="A43" s="183"/>
      <c r="B43" s="183"/>
      <c r="C43" s="184"/>
      <c r="D43" s="183"/>
      <c r="E43" s="183"/>
      <c r="F43" s="185"/>
      <c r="G43" s="185"/>
      <c r="H43" s="185"/>
    </row>
    <row r="44" spans="1:8" ht="20.399999999999999">
      <c r="A44" s="116"/>
      <c r="B44" s="314" t="s">
        <v>78</v>
      </c>
      <c r="C44" s="314"/>
      <c r="D44" s="314"/>
      <c r="E44" s="314"/>
      <c r="F44" s="128"/>
      <c r="G44" s="128"/>
      <c r="H44" s="128"/>
    </row>
    <row r="45" spans="1:8" ht="20.399999999999999">
      <c r="A45" s="116"/>
      <c r="B45" s="186" t="s">
        <v>79</v>
      </c>
      <c r="C45" s="186" t="s">
        <v>80</v>
      </c>
      <c r="D45" s="186" t="s">
        <v>81</v>
      </c>
      <c r="E45" s="186" t="s">
        <v>122</v>
      </c>
      <c r="F45" s="128"/>
      <c r="G45" s="128"/>
      <c r="H45" s="128"/>
    </row>
    <row r="46" spans="1:8">
      <c r="A46" s="183"/>
      <c r="B46" s="120" t="s">
        <v>83</v>
      </c>
      <c r="C46" s="120" t="s">
        <v>61</v>
      </c>
      <c r="D46" s="121">
        <f>F9</f>
        <v>0</v>
      </c>
      <c r="E46" s="122">
        <f>F12</f>
        <v>0</v>
      </c>
      <c r="F46" s="187"/>
      <c r="G46" s="187"/>
      <c r="H46" s="187"/>
    </row>
    <row r="47" spans="1:8">
      <c r="A47" s="183"/>
      <c r="B47" s="120" t="s">
        <v>84</v>
      </c>
      <c r="C47" s="120" t="s">
        <v>123</v>
      </c>
      <c r="D47" s="121">
        <f>F17</f>
        <v>0</v>
      </c>
      <c r="E47" s="122">
        <f>F23</f>
        <v>-170</v>
      </c>
      <c r="F47" s="187"/>
      <c r="G47" s="187"/>
      <c r="H47" s="187"/>
    </row>
    <row r="48" spans="1:8">
      <c r="A48" s="183"/>
      <c r="B48" s="120" t="s">
        <v>86</v>
      </c>
      <c r="C48" s="120" t="s">
        <v>124</v>
      </c>
      <c r="D48" s="121">
        <f>F31</f>
        <v>0</v>
      </c>
      <c r="E48" s="122">
        <f>F37</f>
        <v>-620</v>
      </c>
      <c r="F48" s="187"/>
      <c r="G48" s="187"/>
      <c r="H48" s="187"/>
    </row>
    <row r="49" spans="1:8">
      <c r="A49" s="183"/>
      <c r="B49" s="120" t="s">
        <v>88</v>
      </c>
      <c r="C49" s="180" t="s">
        <v>119</v>
      </c>
      <c r="D49" s="121">
        <f>F40</f>
        <v>0</v>
      </c>
      <c r="E49" s="122">
        <f>F42</f>
        <v>0</v>
      </c>
      <c r="F49" s="187"/>
      <c r="G49" s="187"/>
      <c r="H49" s="187"/>
    </row>
    <row r="50" spans="1:8" ht="15.6">
      <c r="A50" s="183"/>
      <c r="B50" s="113"/>
      <c r="C50" s="113"/>
      <c r="D50" s="188" t="s">
        <v>125</v>
      </c>
      <c r="E50" s="189">
        <f>SUM(E46:E49)</f>
        <v>-790</v>
      </c>
      <c r="F50" s="190"/>
      <c r="G50" s="190"/>
      <c r="H50" s="190"/>
    </row>
  </sheetData>
  <mergeCells count="33"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  <mergeCell ref="C21:E21"/>
    <mergeCell ref="C22:E22"/>
    <mergeCell ref="C23:E23"/>
    <mergeCell ref="C24:E24"/>
    <mergeCell ref="C31:E31"/>
    <mergeCell ref="C15:E15"/>
    <mergeCell ref="G16:H16"/>
    <mergeCell ref="C18:E18"/>
    <mergeCell ref="C19:E19"/>
    <mergeCell ref="C20:E20"/>
    <mergeCell ref="C10:E10"/>
    <mergeCell ref="C11:E11"/>
    <mergeCell ref="C12:E12"/>
    <mergeCell ref="C13:E13"/>
    <mergeCell ref="B14:E14"/>
    <mergeCell ref="A1:G2"/>
    <mergeCell ref="A3:G3"/>
    <mergeCell ref="A4:C4"/>
    <mergeCell ref="G4:H4"/>
    <mergeCell ref="A5:A6"/>
    <mergeCell ref="B5:B6"/>
    <mergeCell ref="F5:F6"/>
    <mergeCell ref="G5:G6"/>
    <mergeCell ref="H5:H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5625" defaultRowHeight="14.4"/>
  <cols>
    <col min="1" max="1" width="5.578125" style="66" customWidth="1"/>
    <col min="2" max="2" width="38.26171875" style="66" customWidth="1"/>
    <col min="3" max="3" width="21.578125" style="66" customWidth="1"/>
    <col min="4" max="4" width="20.15625" style="66" customWidth="1"/>
    <col min="5" max="5" width="20.26171875" style="66" customWidth="1"/>
    <col min="6" max="6" width="21.26171875" style="130" customWidth="1"/>
    <col min="7" max="7" width="20" style="130" customWidth="1"/>
    <col min="8" max="10" width="9.15625" style="66"/>
    <col min="11" max="16" width="10.578125" style="66" customWidth="1"/>
    <col min="17" max="16384" width="9.15625" style="66"/>
  </cols>
  <sheetData>
    <row r="1" spans="1:14" ht="15" customHeight="1">
      <c r="A1" s="315" t="s">
        <v>46</v>
      </c>
      <c r="B1" s="315"/>
      <c r="C1" s="315"/>
      <c r="D1" s="315"/>
      <c r="E1" s="315"/>
      <c r="F1" s="315"/>
      <c r="G1" s="315"/>
    </row>
    <row r="2" spans="1:14" ht="10.5" customHeight="1">
      <c r="A2" s="315"/>
      <c r="B2" s="315"/>
      <c r="C2" s="315"/>
      <c r="D2" s="315"/>
      <c r="E2" s="315"/>
      <c r="F2" s="315"/>
      <c r="G2" s="315"/>
    </row>
    <row r="3" spans="1:14" ht="21.75" customHeight="1">
      <c r="A3" s="316" t="s">
        <v>48</v>
      </c>
      <c r="B3" s="316"/>
      <c r="C3" s="316"/>
      <c r="D3" s="316"/>
      <c r="E3" s="316"/>
      <c r="F3" s="316"/>
      <c r="G3" s="316"/>
    </row>
    <row r="4" spans="1:14" ht="35.4">
      <c r="A4" s="317" t="s">
        <v>126</v>
      </c>
      <c r="B4" s="317"/>
      <c r="C4" s="191" t="s">
        <v>127</v>
      </c>
      <c r="D4" s="135"/>
      <c r="E4" s="192" t="s">
        <v>91</v>
      </c>
      <c r="F4" s="318"/>
      <c r="G4" s="318"/>
    </row>
    <row r="5" spans="1:14" ht="27.75" customHeight="1">
      <c r="A5" s="193" t="s">
        <v>51</v>
      </c>
      <c r="B5" s="137" t="s">
        <v>52</v>
      </c>
      <c r="C5" s="136"/>
      <c r="D5" s="138" t="s">
        <v>93</v>
      </c>
      <c r="E5" s="138" t="s">
        <v>94</v>
      </c>
      <c r="F5" s="319" t="s">
        <v>128</v>
      </c>
      <c r="G5" s="320" t="s">
        <v>96</v>
      </c>
      <c r="N5" s="29"/>
    </row>
    <row r="6" spans="1:14" ht="21.75" customHeight="1">
      <c r="A6" s="194"/>
      <c r="B6" s="195"/>
      <c r="C6" s="139"/>
      <c r="D6" s="140" t="s">
        <v>129</v>
      </c>
      <c r="E6" s="140" t="s">
        <v>130</v>
      </c>
      <c r="F6" s="319"/>
      <c r="G6" s="320"/>
    </row>
    <row r="7" spans="1:14">
      <c r="A7" s="196">
        <v>1</v>
      </c>
      <c r="B7" s="142" t="s">
        <v>58</v>
      </c>
      <c r="C7" s="143"/>
      <c r="D7" s="78"/>
      <c r="E7" s="78"/>
      <c r="F7" s="197"/>
      <c r="G7" s="198"/>
      <c r="N7" s="29" t="s">
        <v>23</v>
      </c>
    </row>
    <row r="8" spans="1:14">
      <c r="A8" s="199"/>
      <c r="B8" s="78" t="s">
        <v>59</v>
      </c>
      <c r="C8" s="143" t="s">
        <v>60</v>
      </c>
      <c r="D8" s="83">
        <v>53446.3</v>
      </c>
      <c r="E8" s="83">
        <v>53446.3</v>
      </c>
      <c r="F8" s="200">
        <f>E8-D8</f>
        <v>0</v>
      </c>
      <c r="G8" s="201"/>
    </row>
    <row r="9" spans="1:14" ht="15">
      <c r="A9" s="199"/>
      <c r="B9" s="78"/>
      <c r="C9" s="90" t="s">
        <v>100</v>
      </c>
      <c r="D9" s="146"/>
      <c r="E9" s="146"/>
      <c r="F9" s="202">
        <f>F8*284.35</f>
        <v>0</v>
      </c>
      <c r="G9" s="203"/>
    </row>
    <row r="10" spans="1:14" ht="15">
      <c r="A10" s="199"/>
      <c r="B10" s="149" t="s">
        <v>101</v>
      </c>
      <c r="C10" s="150"/>
      <c r="D10" s="204"/>
      <c r="E10" s="204"/>
      <c r="F10" s="205">
        <f>F9*0.568</f>
        <v>0</v>
      </c>
      <c r="G10" s="206"/>
    </row>
    <row r="11" spans="1:14" ht="15">
      <c r="A11" s="199"/>
      <c r="B11" s="149" t="s">
        <v>102</v>
      </c>
      <c r="C11" s="150"/>
      <c r="D11" s="204"/>
      <c r="E11" s="204"/>
      <c r="F11" s="205">
        <f>F9*0.075</f>
        <v>0</v>
      </c>
      <c r="G11" s="206"/>
    </row>
    <row r="12" spans="1:14" ht="15">
      <c r="A12" s="199"/>
      <c r="B12" s="153" t="s">
        <v>103</v>
      </c>
      <c r="C12" s="154"/>
      <c r="D12" s="207"/>
      <c r="E12" s="207"/>
      <c r="F12" s="208">
        <f>F10+F11</f>
        <v>0</v>
      </c>
      <c r="G12" s="156">
        <v>250000</v>
      </c>
    </row>
    <row r="13" spans="1:14" ht="15">
      <c r="A13" s="199"/>
      <c r="B13" s="153" t="s">
        <v>131</v>
      </c>
      <c r="C13" s="154"/>
      <c r="D13" s="207"/>
      <c r="E13" s="207"/>
      <c r="F13" s="208">
        <f>(3082.2*30)</f>
        <v>92466</v>
      </c>
      <c r="G13" s="156">
        <v>95548.2</v>
      </c>
    </row>
    <row r="14" spans="1:14" ht="15">
      <c r="A14" s="199"/>
      <c r="B14" s="209"/>
      <c r="C14" s="90"/>
      <c r="D14" s="146"/>
      <c r="E14" s="146"/>
      <c r="F14" s="210">
        <f>(F12+F13)</f>
        <v>92466</v>
      </c>
      <c r="G14" s="159">
        <f>SUM(G12:G13)</f>
        <v>345548.2</v>
      </c>
    </row>
    <row r="15" spans="1:14">
      <c r="A15" s="196" t="s">
        <v>62</v>
      </c>
      <c r="B15" s="142" t="s">
        <v>63</v>
      </c>
      <c r="C15" s="143"/>
      <c r="D15" s="83"/>
      <c r="E15" s="83"/>
      <c r="F15" s="211"/>
      <c r="G15" s="212"/>
    </row>
    <row r="16" spans="1:14">
      <c r="A16" s="213"/>
      <c r="B16" s="91" t="s">
        <v>64</v>
      </c>
      <c r="C16" s="92" t="s">
        <v>65</v>
      </c>
      <c r="D16" s="83">
        <v>203437</v>
      </c>
      <c r="E16" s="83">
        <v>203437</v>
      </c>
      <c r="F16" s="200">
        <f>E16-D16</f>
        <v>0</v>
      </c>
      <c r="G16" s="201"/>
    </row>
    <row r="17" spans="1:16" ht="27.6">
      <c r="A17" s="213"/>
      <c r="B17" s="91"/>
      <c r="C17" s="92" t="s">
        <v>132</v>
      </c>
      <c r="D17" s="83"/>
      <c r="E17" s="83"/>
      <c r="F17" s="214">
        <f>F16*219.969</f>
        <v>0</v>
      </c>
      <c r="G17" s="215"/>
    </row>
    <row r="18" spans="1:16">
      <c r="A18" s="213"/>
      <c r="B18" s="149" t="s">
        <v>108</v>
      </c>
      <c r="C18" s="216"/>
      <c r="D18" s="217"/>
      <c r="E18" s="217"/>
      <c r="F18" s="167">
        <v>350</v>
      </c>
      <c r="G18" s="218"/>
    </row>
    <row r="19" spans="1:16">
      <c r="A19" s="213"/>
      <c r="B19" s="149" t="s">
        <v>109</v>
      </c>
      <c r="C19" s="216"/>
      <c r="D19" s="217"/>
      <c r="E19" s="217"/>
      <c r="F19" s="167">
        <v>400</v>
      </c>
      <c r="G19" s="218"/>
    </row>
    <row r="20" spans="1:16">
      <c r="A20" s="213"/>
      <c r="B20" s="149" t="s">
        <v>110</v>
      </c>
      <c r="C20" s="216"/>
      <c r="D20" s="217"/>
      <c r="E20" s="217"/>
      <c r="F20" s="167">
        <f>SUM(F17-20000)*0.046</f>
        <v>-920</v>
      </c>
      <c r="G20" s="218"/>
    </row>
    <row r="21" spans="1:16">
      <c r="A21" s="213"/>
      <c r="B21" s="149" t="s">
        <v>111</v>
      </c>
      <c r="C21" s="216"/>
      <c r="D21" s="217"/>
      <c r="E21" s="217"/>
      <c r="F21" s="167">
        <f>F17*0.005</f>
        <v>0</v>
      </c>
      <c r="G21" s="218"/>
    </row>
    <row r="22" spans="1:16">
      <c r="A22" s="213"/>
      <c r="B22" s="149" t="s">
        <v>112</v>
      </c>
      <c r="C22" s="216"/>
      <c r="D22" s="217"/>
      <c r="E22" s="217"/>
      <c r="F22" s="167">
        <f>F17*0.01</f>
        <v>0</v>
      </c>
      <c r="G22" s="218"/>
    </row>
    <row r="23" spans="1:16">
      <c r="A23" s="213"/>
      <c r="B23" s="153" t="s">
        <v>103</v>
      </c>
      <c r="C23" s="168"/>
      <c r="D23" s="219"/>
      <c r="E23" s="219"/>
      <c r="F23" s="220">
        <f>SUM(F18:F22)</f>
        <v>-170</v>
      </c>
      <c r="G23" s="221">
        <v>59385</v>
      </c>
    </row>
    <row r="24" spans="1:16">
      <c r="A24" s="196" t="s">
        <v>68</v>
      </c>
      <c r="B24" s="142" t="s">
        <v>69</v>
      </c>
      <c r="C24" s="143"/>
      <c r="D24" s="83"/>
      <c r="E24" s="83"/>
      <c r="F24" s="222"/>
      <c r="G24" s="223"/>
      <c r="K24" s="224">
        <v>1</v>
      </c>
      <c r="L24" s="224">
        <v>2</v>
      </c>
      <c r="M24" s="224">
        <v>3</v>
      </c>
      <c r="N24" s="224">
        <v>4</v>
      </c>
      <c r="O24" s="224">
        <v>6</v>
      </c>
      <c r="P24" s="224">
        <v>7</v>
      </c>
    </row>
    <row r="25" spans="1:16">
      <c r="A25" s="199">
        <v>1</v>
      </c>
      <c r="B25" s="78" t="s">
        <v>133</v>
      </c>
      <c r="C25" s="143" t="s">
        <v>70</v>
      </c>
      <c r="D25" s="83">
        <v>6559.3</v>
      </c>
      <c r="E25" s="83">
        <v>6559.3</v>
      </c>
      <c r="F25" s="200">
        <f t="shared" ref="F25:F30" si="0">(E25-D25)*480</f>
        <v>0</v>
      </c>
      <c r="G25" s="201"/>
      <c r="H25" s="66">
        <f t="shared" ref="H25:H30" si="1">(F25*0.065)</f>
        <v>0</v>
      </c>
      <c r="K25" s="66">
        <f>H25</f>
        <v>0</v>
      </c>
      <c r="L25" s="66">
        <f>H26</f>
        <v>0</v>
      </c>
      <c r="M25" s="66">
        <f>H27</f>
        <v>0</v>
      </c>
      <c r="N25" s="66">
        <f>H28</f>
        <v>0</v>
      </c>
      <c r="O25" s="66">
        <f>H29</f>
        <v>0</v>
      </c>
      <c r="P25" s="66">
        <f>H30</f>
        <v>0</v>
      </c>
    </row>
    <row r="26" spans="1:16">
      <c r="A26" s="199">
        <v>2</v>
      </c>
      <c r="B26" s="78" t="s">
        <v>134</v>
      </c>
      <c r="C26" s="143" t="s">
        <v>70</v>
      </c>
      <c r="D26" s="83">
        <v>3966.1</v>
      </c>
      <c r="E26" s="83">
        <v>3966.1</v>
      </c>
      <c r="F26" s="200">
        <f t="shared" si="0"/>
        <v>0</v>
      </c>
      <c r="G26" s="201"/>
      <c r="H26" s="66">
        <f t="shared" si="1"/>
        <v>0</v>
      </c>
      <c r="K26" s="66">
        <v>1660</v>
      </c>
      <c r="L26" s="66">
        <v>1660</v>
      </c>
      <c r="M26" s="66">
        <v>1660</v>
      </c>
      <c r="N26" s="66">
        <v>1660</v>
      </c>
      <c r="O26" s="66">
        <v>1660</v>
      </c>
      <c r="P26" s="66">
        <v>1660</v>
      </c>
    </row>
    <row r="27" spans="1:16">
      <c r="A27" s="199">
        <v>3</v>
      </c>
      <c r="B27" s="78" t="s">
        <v>135</v>
      </c>
      <c r="C27" s="143" t="s">
        <v>70</v>
      </c>
      <c r="D27" s="83">
        <v>4228.8999999999996</v>
      </c>
      <c r="E27" s="83">
        <v>4228.8999999999996</v>
      </c>
      <c r="F27" s="200">
        <f t="shared" si="0"/>
        <v>0</v>
      </c>
      <c r="G27" s="201"/>
      <c r="H27" s="66">
        <f t="shared" si="1"/>
        <v>0</v>
      </c>
      <c r="K27" s="225">
        <f>SUM(F25-6000)*0.38</f>
        <v>-2280</v>
      </c>
      <c r="L27" s="225">
        <f>SUM(F26-6000)*0.38</f>
        <v>-2280</v>
      </c>
      <c r="M27" s="225">
        <f>SUM(F27-6000)*0.38</f>
        <v>-2280</v>
      </c>
      <c r="N27" s="225">
        <f>SUM(F28-6000)*0.38</f>
        <v>-2280</v>
      </c>
      <c r="O27" s="225">
        <f>SUM(F29-6000)*0.38</f>
        <v>-2280</v>
      </c>
      <c r="P27" s="225">
        <f>SUM(F30-6000)*0.38</f>
        <v>-2280</v>
      </c>
    </row>
    <row r="28" spans="1:16">
      <c r="A28" s="199">
        <v>4</v>
      </c>
      <c r="B28" s="78" t="s">
        <v>136</v>
      </c>
      <c r="C28" s="143" t="s">
        <v>70</v>
      </c>
      <c r="D28" s="83">
        <v>2358.9</v>
      </c>
      <c r="E28" s="83">
        <v>2358.9</v>
      </c>
      <c r="F28" s="200">
        <f t="shared" si="0"/>
        <v>0</v>
      </c>
      <c r="G28" s="201"/>
      <c r="H28" s="66">
        <f t="shared" si="1"/>
        <v>0</v>
      </c>
      <c r="K28" s="226">
        <f t="shared" ref="K28:P28" si="2">SUM(K25:K27)</f>
        <v>-620</v>
      </c>
      <c r="L28" s="226">
        <f t="shared" si="2"/>
        <v>-620</v>
      </c>
      <c r="M28" s="226">
        <f t="shared" si="2"/>
        <v>-620</v>
      </c>
      <c r="N28" s="226">
        <f t="shared" si="2"/>
        <v>-620</v>
      </c>
      <c r="O28" s="226">
        <f t="shared" si="2"/>
        <v>-620</v>
      </c>
      <c r="P28" s="226">
        <f t="shared" si="2"/>
        <v>-620</v>
      </c>
    </row>
    <row r="29" spans="1:16">
      <c r="A29" s="199">
        <v>5</v>
      </c>
      <c r="B29" s="78" t="s">
        <v>137</v>
      </c>
      <c r="C29" s="143" t="s">
        <v>70</v>
      </c>
      <c r="D29" s="83">
        <v>5569.2</v>
      </c>
      <c r="E29" s="83">
        <v>5569.2</v>
      </c>
      <c r="F29" s="200">
        <f t="shared" si="0"/>
        <v>0</v>
      </c>
      <c r="G29" s="201"/>
      <c r="H29" s="66">
        <f t="shared" si="1"/>
        <v>0</v>
      </c>
    </row>
    <row r="30" spans="1:16">
      <c r="A30" s="199">
        <v>6</v>
      </c>
      <c r="B30" s="78" t="s">
        <v>138</v>
      </c>
      <c r="C30" s="143" t="s">
        <v>70</v>
      </c>
      <c r="D30" s="83">
        <v>15010.6</v>
      </c>
      <c r="E30" s="83">
        <v>15010.6</v>
      </c>
      <c r="F30" s="200">
        <f t="shared" si="0"/>
        <v>0</v>
      </c>
      <c r="G30" s="201"/>
      <c r="H30" s="66">
        <f t="shared" si="1"/>
        <v>0</v>
      </c>
    </row>
    <row r="31" spans="1:16">
      <c r="A31" s="199"/>
      <c r="B31" s="173" t="s">
        <v>113</v>
      </c>
      <c r="C31" s="143"/>
      <c r="D31" s="83"/>
      <c r="E31" s="83"/>
      <c r="F31" s="227">
        <f>SUM(F25:F30)</f>
        <v>0</v>
      </c>
      <c r="G31" s="228"/>
    </row>
    <row r="32" spans="1:16">
      <c r="A32" s="229"/>
      <c r="B32" s="149" t="s">
        <v>114</v>
      </c>
      <c r="C32" s="230"/>
      <c r="D32" s="231"/>
      <c r="E32" s="231"/>
      <c r="F32" s="205">
        <v>460</v>
      </c>
      <c r="G32" s="206"/>
    </row>
    <row r="33" spans="1:7">
      <c r="A33" s="229"/>
      <c r="B33" s="149" t="s">
        <v>115</v>
      </c>
      <c r="C33" s="230"/>
      <c r="D33" s="231"/>
      <c r="E33" s="231"/>
      <c r="F33" s="205">
        <v>560</v>
      </c>
      <c r="G33" s="206"/>
    </row>
    <row r="34" spans="1:7">
      <c r="A34" s="229"/>
      <c r="B34" s="149" t="s">
        <v>116</v>
      </c>
      <c r="C34" s="230"/>
      <c r="D34" s="231"/>
      <c r="E34" s="231"/>
      <c r="F34" s="205">
        <v>640</v>
      </c>
      <c r="G34" s="206"/>
    </row>
    <row r="35" spans="1:7">
      <c r="A35" s="229"/>
      <c r="B35" s="149" t="s">
        <v>117</v>
      </c>
      <c r="C35" s="230"/>
      <c r="D35" s="231"/>
      <c r="E35" s="231"/>
      <c r="F35" s="205">
        <f>SUM(F31-6000)*0.38</f>
        <v>-2280</v>
      </c>
      <c r="G35" s="206"/>
    </row>
    <row r="36" spans="1:7">
      <c r="A36" s="229"/>
      <c r="B36" s="149" t="s">
        <v>118</v>
      </c>
      <c r="C36" s="230"/>
      <c r="D36" s="231"/>
      <c r="E36" s="231"/>
      <c r="F36" s="205">
        <f>F31*0.065</f>
        <v>0</v>
      </c>
      <c r="G36" s="206"/>
    </row>
    <row r="37" spans="1:7">
      <c r="A37" s="229"/>
      <c r="B37" s="153" t="s">
        <v>103</v>
      </c>
      <c r="C37" s="177"/>
      <c r="D37" s="232"/>
      <c r="E37" s="232"/>
      <c r="F37" s="208">
        <f>SUM(F32:F36)</f>
        <v>-620</v>
      </c>
      <c r="G37" s="156">
        <v>281577</v>
      </c>
    </row>
    <row r="38" spans="1:7">
      <c r="A38" s="196" t="s">
        <v>72</v>
      </c>
      <c r="B38" s="142" t="s">
        <v>73</v>
      </c>
      <c r="C38" s="143"/>
      <c r="D38" s="104"/>
      <c r="E38" s="104"/>
      <c r="F38" s="222"/>
      <c r="G38" s="223"/>
    </row>
    <row r="39" spans="1:7">
      <c r="A39" s="199">
        <v>1</v>
      </c>
      <c r="B39" s="179" t="s">
        <v>74</v>
      </c>
      <c r="C39" s="181"/>
      <c r="D39" s="83"/>
      <c r="E39" s="83"/>
      <c r="F39" s="227"/>
      <c r="G39" s="228"/>
    </row>
    <row r="40" spans="1:7">
      <c r="A40" s="199"/>
      <c r="B40" s="179"/>
      <c r="C40" s="180" t="s">
        <v>119</v>
      </c>
      <c r="D40" s="83">
        <v>89987.4</v>
      </c>
      <c r="E40" s="83">
        <v>89987.4</v>
      </c>
      <c r="F40" s="202">
        <f>E40-D40</f>
        <v>0</v>
      </c>
      <c r="G40" s="228"/>
    </row>
    <row r="41" spans="1:7">
      <c r="A41" s="199"/>
      <c r="B41" s="179"/>
      <c r="C41" s="181" t="s">
        <v>120</v>
      </c>
      <c r="D41" s="83"/>
      <c r="E41" s="83"/>
      <c r="F41" s="174">
        <f>F40*3.7</f>
        <v>0</v>
      </c>
      <c r="G41" s="228"/>
    </row>
    <row r="42" spans="1:7">
      <c r="A42" s="233"/>
      <c r="B42" s="234" t="s">
        <v>121</v>
      </c>
      <c r="C42" s="235"/>
      <c r="D42" s="236"/>
      <c r="E42" s="236"/>
      <c r="F42" s="237">
        <f>F41*2.5</f>
        <v>0</v>
      </c>
      <c r="G42" s="238">
        <v>13040</v>
      </c>
    </row>
    <row r="43" spans="1:7" ht="11.25" customHeight="1">
      <c r="A43" s="183"/>
      <c r="B43" s="183"/>
      <c r="C43" s="184"/>
      <c r="D43" s="183"/>
      <c r="E43" s="183"/>
      <c r="F43" s="185"/>
      <c r="G43" s="185"/>
    </row>
    <row r="44" spans="1:7" ht="18.75" customHeight="1">
      <c r="A44" s="116"/>
      <c r="B44" s="321" t="s">
        <v>78</v>
      </c>
      <c r="C44" s="321"/>
      <c r="D44" s="321"/>
      <c r="E44" s="321"/>
      <c r="F44" s="128"/>
      <c r="G44" s="128"/>
    </row>
    <row r="45" spans="1:7" ht="18.75" customHeight="1">
      <c r="A45" s="116"/>
      <c r="B45" s="239" t="s">
        <v>79</v>
      </c>
      <c r="C45" s="239" t="s">
        <v>80</v>
      </c>
      <c r="D45" s="239" t="s">
        <v>81</v>
      </c>
      <c r="E45" s="239" t="s">
        <v>122</v>
      </c>
      <c r="F45" s="128"/>
      <c r="G45" s="128"/>
    </row>
    <row r="46" spans="1:7">
      <c r="A46" s="183"/>
      <c r="B46" s="120" t="s">
        <v>83</v>
      </c>
      <c r="C46" s="120" t="s">
        <v>61</v>
      </c>
      <c r="D46" s="121">
        <f>F9</f>
        <v>0</v>
      </c>
      <c r="E46" s="122">
        <f>F12</f>
        <v>0</v>
      </c>
      <c r="F46" s="187"/>
      <c r="G46" s="187"/>
    </row>
    <row r="47" spans="1:7">
      <c r="A47" s="183"/>
      <c r="B47" s="120" t="s">
        <v>84</v>
      </c>
      <c r="C47" s="120" t="s">
        <v>123</v>
      </c>
      <c r="D47" s="121">
        <f>F17</f>
        <v>0</v>
      </c>
      <c r="E47" s="122">
        <f>F23</f>
        <v>-170</v>
      </c>
      <c r="F47" s="187"/>
      <c r="G47" s="187"/>
    </row>
    <row r="48" spans="1:7">
      <c r="A48" s="183"/>
      <c r="B48" s="120" t="s">
        <v>86</v>
      </c>
      <c r="C48" s="120" t="s">
        <v>124</v>
      </c>
      <c r="D48" s="121">
        <f>F31</f>
        <v>0</v>
      </c>
      <c r="E48" s="122">
        <f>F37</f>
        <v>-620</v>
      </c>
      <c r="F48" s="187"/>
      <c r="G48" s="187"/>
    </row>
    <row r="49" spans="1:7">
      <c r="A49" s="183"/>
      <c r="B49" s="120" t="s">
        <v>88</v>
      </c>
      <c r="C49" s="180" t="s">
        <v>119</v>
      </c>
      <c r="D49" s="121">
        <f>F40</f>
        <v>0</v>
      </c>
      <c r="E49" s="122">
        <f>F42</f>
        <v>0</v>
      </c>
      <c r="F49" s="187"/>
      <c r="G49" s="187"/>
    </row>
    <row r="50" spans="1:7" ht="15.6">
      <c r="A50" s="183"/>
      <c r="B50" s="113"/>
      <c r="C50" s="113"/>
      <c r="D50" s="188" t="s">
        <v>125</v>
      </c>
      <c r="E50" s="189">
        <f>SUM(E46:E49)</f>
        <v>-790</v>
      </c>
      <c r="F50" s="190"/>
      <c r="G50" s="190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5625" defaultRowHeight="26.4"/>
  <cols>
    <col min="1" max="1" width="39.41796875" style="240" customWidth="1"/>
    <col min="2" max="32" width="16.68359375" style="241" customWidth="1"/>
    <col min="33" max="35" width="9.15625" style="241"/>
    <col min="36" max="36" width="24.68359375" style="241" customWidth="1"/>
    <col min="37" max="16384" width="9.15625" style="241"/>
  </cols>
  <sheetData>
    <row r="1" spans="1:43">
      <c r="A1" s="242" t="s">
        <v>23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</row>
    <row r="2" spans="1:43">
      <c r="A2" s="244" t="s">
        <v>139</v>
      </c>
      <c r="B2" s="245">
        <v>1</v>
      </c>
      <c r="C2" s="245">
        <v>2</v>
      </c>
      <c r="D2" s="245">
        <v>3</v>
      </c>
      <c r="E2" s="245">
        <v>4</v>
      </c>
      <c r="F2" s="245">
        <v>5</v>
      </c>
      <c r="G2" s="245">
        <v>6</v>
      </c>
      <c r="H2" s="245">
        <v>7</v>
      </c>
      <c r="I2" s="245">
        <v>8</v>
      </c>
      <c r="J2" s="245">
        <v>9</v>
      </c>
      <c r="K2" s="245">
        <v>10</v>
      </c>
      <c r="L2" s="245">
        <v>11</v>
      </c>
      <c r="M2" s="245">
        <v>12</v>
      </c>
      <c r="N2" s="245">
        <v>13</v>
      </c>
      <c r="O2" s="245">
        <v>14</v>
      </c>
      <c r="P2" s="245">
        <v>15</v>
      </c>
      <c r="Q2" s="245">
        <v>16</v>
      </c>
      <c r="R2" s="245">
        <v>17</v>
      </c>
      <c r="S2" s="245">
        <v>18</v>
      </c>
      <c r="T2" s="245">
        <v>19</v>
      </c>
      <c r="U2" s="245">
        <v>20</v>
      </c>
      <c r="V2" s="245">
        <v>21</v>
      </c>
      <c r="W2" s="245">
        <v>22</v>
      </c>
      <c r="X2" s="245">
        <v>23</v>
      </c>
      <c r="Y2" s="245">
        <v>24</v>
      </c>
      <c r="Z2" s="245">
        <v>25</v>
      </c>
      <c r="AA2" s="245">
        <v>26</v>
      </c>
      <c r="AB2" s="245">
        <v>27</v>
      </c>
      <c r="AC2" s="245">
        <v>28</v>
      </c>
      <c r="AD2" s="245">
        <v>29</v>
      </c>
      <c r="AE2" s="245">
        <v>30</v>
      </c>
      <c r="AF2" s="245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spans="1:43">
      <c r="A3" s="246" t="s">
        <v>140</v>
      </c>
      <c r="B3" s="247">
        <v>0.91469999999999996</v>
      </c>
      <c r="C3" s="247">
        <v>0.871</v>
      </c>
      <c r="D3" s="247">
        <v>0.94010000000000005</v>
      </c>
      <c r="E3" s="247">
        <v>0.63590000000000002</v>
      </c>
      <c r="F3" s="247">
        <v>0.65669999999999995</v>
      </c>
      <c r="G3" s="247">
        <v>0.67049999999999998</v>
      </c>
      <c r="H3" s="247">
        <v>0.5968</v>
      </c>
      <c r="I3" s="247">
        <v>0.65439999999999998</v>
      </c>
      <c r="J3" s="247">
        <v>0.71889999999999998</v>
      </c>
      <c r="K3" s="247">
        <v>0.76500000000000001</v>
      </c>
      <c r="L3" s="247">
        <v>0.55069999999999997</v>
      </c>
      <c r="M3" s="247">
        <v>0.65669999999999995</v>
      </c>
      <c r="N3" s="247">
        <v>0.77190000000000003</v>
      </c>
      <c r="O3" s="247">
        <v>0.85019999999999996</v>
      </c>
      <c r="P3" s="247">
        <v>0.7903</v>
      </c>
      <c r="Q3" s="247">
        <v>0.61750000000000005</v>
      </c>
      <c r="R3" s="247">
        <v>0.52759999999999996</v>
      </c>
      <c r="S3" s="247">
        <v>0.46539999999999998</v>
      </c>
      <c r="T3" s="247">
        <v>0.44700000000000001</v>
      </c>
      <c r="U3" s="247">
        <v>0.5161</v>
      </c>
      <c r="V3" s="247">
        <v>0.59909999999999997</v>
      </c>
      <c r="W3" s="247">
        <v>0.74650000000000005</v>
      </c>
      <c r="X3" s="247"/>
      <c r="Y3" s="247"/>
      <c r="Z3" s="247"/>
      <c r="AA3" s="247"/>
      <c r="AB3" s="247"/>
      <c r="AC3" s="247"/>
      <c r="AD3" s="247"/>
      <c r="AE3" s="247"/>
      <c r="AF3" s="247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spans="1:43">
      <c r="A4" s="322"/>
      <c r="B4" s="322"/>
      <c r="C4" s="322"/>
      <c r="D4" s="322"/>
      <c r="E4" s="322"/>
      <c r="F4" s="322"/>
      <c r="G4" s="322"/>
      <c r="H4" s="322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spans="1:43">
      <c r="A5" s="249" t="s">
        <v>26</v>
      </c>
      <c r="B5" s="245" t="s">
        <v>124</v>
      </c>
      <c r="C5" s="245" t="s">
        <v>124</v>
      </c>
      <c r="D5" s="245" t="s">
        <v>124</v>
      </c>
      <c r="E5" s="245" t="s">
        <v>124</v>
      </c>
      <c r="F5" s="245" t="s">
        <v>124</v>
      </c>
      <c r="G5" s="245" t="s">
        <v>124</v>
      </c>
      <c r="H5" s="245" t="s">
        <v>124</v>
      </c>
      <c r="I5" s="245" t="s">
        <v>124</v>
      </c>
      <c r="J5" s="245" t="s">
        <v>124</v>
      </c>
      <c r="K5" s="245" t="s">
        <v>124</v>
      </c>
      <c r="L5" s="245" t="s">
        <v>124</v>
      </c>
      <c r="M5" s="245" t="s">
        <v>124</v>
      </c>
      <c r="N5" s="245" t="s">
        <v>124</v>
      </c>
      <c r="O5" s="245" t="s">
        <v>124</v>
      </c>
      <c r="P5" s="245" t="s">
        <v>124</v>
      </c>
      <c r="Q5" s="245" t="s">
        <v>124</v>
      </c>
      <c r="R5" s="245" t="s">
        <v>124</v>
      </c>
      <c r="S5" s="245" t="s">
        <v>124</v>
      </c>
      <c r="T5" s="245" t="s">
        <v>124</v>
      </c>
      <c r="U5" s="245" t="s">
        <v>124</v>
      </c>
      <c r="V5" s="245" t="s">
        <v>124</v>
      </c>
      <c r="W5" s="245" t="s">
        <v>124</v>
      </c>
      <c r="X5" s="245" t="s">
        <v>124</v>
      </c>
      <c r="Y5" s="245" t="s">
        <v>124</v>
      </c>
      <c r="Z5" s="245" t="s">
        <v>124</v>
      </c>
      <c r="AA5" s="245" t="s">
        <v>124</v>
      </c>
      <c r="AB5" s="245" t="s">
        <v>124</v>
      </c>
      <c r="AC5" s="245" t="s">
        <v>124</v>
      </c>
      <c r="AD5" s="245" t="s">
        <v>124</v>
      </c>
      <c r="AE5" s="245" t="s">
        <v>124</v>
      </c>
      <c r="AF5" s="245" t="s">
        <v>124</v>
      </c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</row>
    <row r="6" spans="1:43">
      <c r="A6" s="250" t="s">
        <v>141</v>
      </c>
      <c r="B6" s="251">
        <v>3552</v>
      </c>
      <c r="C6" s="251">
        <v>3600</v>
      </c>
      <c r="D6" s="251">
        <v>3456</v>
      </c>
      <c r="E6" s="251">
        <v>3312</v>
      </c>
      <c r="F6" s="251">
        <v>3408</v>
      </c>
      <c r="G6" s="251">
        <v>3408</v>
      </c>
      <c r="H6" s="251">
        <v>3264</v>
      </c>
      <c r="I6" s="251">
        <v>3360</v>
      </c>
      <c r="J6" s="251">
        <v>3360</v>
      </c>
      <c r="K6" s="251">
        <v>3408</v>
      </c>
      <c r="L6" s="251">
        <v>3504</v>
      </c>
      <c r="M6" s="251">
        <v>3264</v>
      </c>
      <c r="N6" s="251">
        <v>3312</v>
      </c>
      <c r="O6" s="251">
        <v>3216</v>
      </c>
      <c r="P6" s="251">
        <v>3360</v>
      </c>
      <c r="Q6" s="251">
        <v>3360</v>
      </c>
      <c r="R6" s="251">
        <v>3360</v>
      </c>
      <c r="S6" s="251">
        <v>3168</v>
      </c>
      <c r="T6" s="251">
        <v>3360</v>
      </c>
      <c r="U6" s="251">
        <v>3120</v>
      </c>
      <c r="V6" s="251">
        <v>3168</v>
      </c>
      <c r="W6" s="251">
        <v>3168</v>
      </c>
      <c r="X6" s="251"/>
      <c r="Y6" s="251"/>
      <c r="Z6" s="251"/>
      <c r="AA6" s="251"/>
      <c r="AB6" s="251"/>
      <c r="AC6" s="251"/>
      <c r="AD6" s="251"/>
      <c r="AE6" s="251"/>
      <c r="AF6" s="251"/>
      <c r="AG6" s="252"/>
      <c r="AH6" s="243"/>
    </row>
    <row r="7" spans="1:43">
      <c r="A7" s="250" t="s">
        <v>142</v>
      </c>
      <c r="B7" s="251">
        <v>2208</v>
      </c>
      <c r="C7" s="251">
        <v>2256</v>
      </c>
      <c r="D7" s="251">
        <v>2208</v>
      </c>
      <c r="E7" s="251">
        <v>2160</v>
      </c>
      <c r="F7" s="251">
        <v>2160</v>
      </c>
      <c r="G7" s="251">
        <v>2256</v>
      </c>
      <c r="H7" s="251">
        <v>2160</v>
      </c>
      <c r="I7" s="251">
        <v>2160</v>
      </c>
      <c r="J7" s="251">
        <v>2160</v>
      </c>
      <c r="K7" s="251">
        <v>2160</v>
      </c>
      <c r="L7" s="251">
        <v>2112</v>
      </c>
      <c r="M7" s="251">
        <v>2160</v>
      </c>
      <c r="N7" s="251">
        <v>2208</v>
      </c>
      <c r="O7" s="251">
        <v>2112</v>
      </c>
      <c r="P7" s="251">
        <v>2160</v>
      </c>
      <c r="Q7" s="251">
        <v>2112</v>
      </c>
      <c r="R7" s="251">
        <v>2064</v>
      </c>
      <c r="S7" s="251">
        <v>1968</v>
      </c>
      <c r="T7" s="251">
        <v>2064</v>
      </c>
      <c r="U7" s="251">
        <v>2064</v>
      </c>
      <c r="V7" s="251">
        <v>2112</v>
      </c>
      <c r="W7" s="251">
        <v>1920</v>
      </c>
      <c r="X7" s="251"/>
      <c r="Y7" s="251"/>
      <c r="Z7" s="251"/>
      <c r="AA7" s="251"/>
      <c r="AB7" s="251"/>
      <c r="AC7" s="251"/>
      <c r="AD7" s="251"/>
      <c r="AE7" s="251"/>
      <c r="AF7" s="251"/>
      <c r="AG7" s="252"/>
      <c r="AH7" s="243"/>
    </row>
    <row r="8" spans="1:43">
      <c r="A8" s="250" t="s">
        <v>143</v>
      </c>
      <c r="B8" s="251">
        <v>2112</v>
      </c>
      <c r="C8" s="251">
        <v>2112</v>
      </c>
      <c r="D8" s="251">
        <v>2112</v>
      </c>
      <c r="E8" s="251">
        <v>2112</v>
      </c>
      <c r="F8" s="251">
        <v>2112</v>
      </c>
      <c r="G8" s="251">
        <v>2016</v>
      </c>
      <c r="H8" s="251">
        <v>2112</v>
      </c>
      <c r="I8" s="251">
        <v>2112</v>
      </c>
      <c r="J8" s="251">
        <v>2160</v>
      </c>
      <c r="K8" s="251">
        <v>2112</v>
      </c>
      <c r="L8" s="251">
        <v>2208</v>
      </c>
      <c r="M8" s="251">
        <v>2112</v>
      </c>
      <c r="N8" s="251">
        <v>2064</v>
      </c>
      <c r="O8" s="251">
        <v>2064</v>
      </c>
      <c r="P8" s="251">
        <v>2256</v>
      </c>
      <c r="Q8" s="251">
        <v>2256</v>
      </c>
      <c r="R8" s="251">
        <v>2160</v>
      </c>
      <c r="S8" s="251">
        <v>2208</v>
      </c>
      <c r="T8" s="251">
        <v>2256</v>
      </c>
      <c r="U8" s="251">
        <v>2064</v>
      </c>
      <c r="V8" s="251">
        <v>2064</v>
      </c>
      <c r="W8" s="251">
        <v>2160</v>
      </c>
      <c r="X8" s="251"/>
      <c r="Y8" s="251"/>
      <c r="Z8" s="251"/>
      <c r="AA8" s="251"/>
      <c r="AB8" s="251"/>
      <c r="AC8" s="251"/>
      <c r="AD8" s="251"/>
      <c r="AE8" s="251"/>
      <c r="AF8" s="251"/>
      <c r="AG8" s="252"/>
      <c r="AH8" s="243"/>
    </row>
    <row r="9" spans="1:43">
      <c r="A9" s="250" t="s">
        <v>144</v>
      </c>
      <c r="B9" s="251">
        <v>1632</v>
      </c>
      <c r="C9" s="251">
        <v>1440</v>
      </c>
      <c r="D9" s="251">
        <v>1680</v>
      </c>
      <c r="E9" s="251">
        <v>1488</v>
      </c>
      <c r="F9" s="251">
        <v>1296</v>
      </c>
      <c r="G9" s="251">
        <v>1363.2</v>
      </c>
      <c r="H9" s="251">
        <v>1324.8</v>
      </c>
      <c r="I9" s="251">
        <v>1536</v>
      </c>
      <c r="J9" s="251">
        <v>1440</v>
      </c>
      <c r="K9" s="251">
        <v>1440</v>
      </c>
      <c r="L9" s="251">
        <v>1392</v>
      </c>
      <c r="M9" s="251">
        <v>1344</v>
      </c>
      <c r="N9" s="251">
        <v>1344</v>
      </c>
      <c r="O9" s="251">
        <v>1200</v>
      </c>
      <c r="P9" s="251">
        <v>1536</v>
      </c>
      <c r="Q9" s="251">
        <v>1344</v>
      </c>
      <c r="R9" s="251">
        <v>1536</v>
      </c>
      <c r="S9" s="251">
        <v>1248</v>
      </c>
      <c r="T9" s="251">
        <v>1344</v>
      </c>
      <c r="U9" s="251">
        <v>1296</v>
      </c>
      <c r="V9" s="251">
        <v>1296</v>
      </c>
      <c r="W9" s="251">
        <v>1296</v>
      </c>
      <c r="X9" s="251"/>
      <c r="Y9" s="251"/>
      <c r="Z9" s="251"/>
      <c r="AA9" s="251"/>
      <c r="AB9" s="251"/>
      <c r="AC9" s="251"/>
      <c r="AD9" s="251"/>
      <c r="AE9" s="251"/>
      <c r="AF9" s="251"/>
      <c r="AG9" s="252"/>
      <c r="AH9" s="243"/>
    </row>
    <row r="10" spans="1:43">
      <c r="A10" s="250" t="s">
        <v>145</v>
      </c>
      <c r="B10" s="251">
        <v>2208</v>
      </c>
      <c r="C10" s="251">
        <v>2256</v>
      </c>
      <c r="D10" s="251">
        <v>2256</v>
      </c>
      <c r="E10" s="251">
        <v>2208</v>
      </c>
      <c r="F10" s="251">
        <v>2160</v>
      </c>
      <c r="G10" s="251">
        <v>2160</v>
      </c>
      <c r="H10" s="251">
        <v>2160</v>
      </c>
      <c r="I10" s="251">
        <v>2160</v>
      </c>
      <c r="J10" s="251">
        <v>2208</v>
      </c>
      <c r="K10" s="251">
        <v>2208</v>
      </c>
      <c r="L10" s="251">
        <v>2208</v>
      </c>
      <c r="M10" s="251">
        <v>2160</v>
      </c>
      <c r="N10" s="251">
        <v>2112</v>
      </c>
      <c r="O10" s="251">
        <v>2160</v>
      </c>
      <c r="P10" s="251">
        <v>2160</v>
      </c>
      <c r="Q10" s="251">
        <v>2160</v>
      </c>
      <c r="R10" s="251">
        <v>2160</v>
      </c>
      <c r="S10" s="251">
        <v>2160</v>
      </c>
      <c r="T10" s="251">
        <v>2160</v>
      </c>
      <c r="U10" s="251">
        <v>2064</v>
      </c>
      <c r="V10" s="251">
        <v>2160</v>
      </c>
      <c r="W10" s="251">
        <v>2160</v>
      </c>
      <c r="X10" s="251"/>
      <c r="Y10" s="251"/>
      <c r="Z10" s="251"/>
      <c r="AA10" s="251"/>
      <c r="AB10" s="251"/>
      <c r="AC10" s="251"/>
      <c r="AD10" s="251"/>
      <c r="AE10" s="251"/>
      <c r="AF10" s="251"/>
      <c r="AG10" s="252"/>
      <c r="AH10" s="243"/>
    </row>
    <row r="11" spans="1:43">
      <c r="A11" s="250" t="s">
        <v>146</v>
      </c>
      <c r="B11" s="251">
        <v>5280</v>
      </c>
      <c r="C11" s="251">
        <v>5568</v>
      </c>
      <c r="D11" s="251">
        <v>5616</v>
      </c>
      <c r="E11" s="251">
        <v>5712</v>
      </c>
      <c r="F11" s="251">
        <v>5472</v>
      </c>
      <c r="G11" s="251">
        <v>5712</v>
      </c>
      <c r="H11" s="251">
        <v>5616</v>
      </c>
      <c r="I11" s="251">
        <v>5424</v>
      </c>
      <c r="J11" s="251">
        <v>5184</v>
      </c>
      <c r="K11" s="251">
        <v>5376</v>
      </c>
      <c r="L11" s="251">
        <v>5280</v>
      </c>
      <c r="M11" s="251">
        <v>5520</v>
      </c>
      <c r="N11" s="251">
        <v>5424</v>
      </c>
      <c r="O11" s="251">
        <v>5136</v>
      </c>
      <c r="P11" s="251">
        <v>5376</v>
      </c>
      <c r="Q11" s="251">
        <v>5568</v>
      </c>
      <c r="R11" s="251">
        <v>5712</v>
      </c>
      <c r="S11" s="251">
        <v>5424</v>
      </c>
      <c r="T11" s="251">
        <v>5376</v>
      </c>
      <c r="U11" s="251">
        <v>5280</v>
      </c>
      <c r="V11" s="251">
        <v>5280</v>
      </c>
      <c r="W11" s="251">
        <v>5280</v>
      </c>
      <c r="X11" s="251"/>
      <c r="Y11" s="251"/>
      <c r="Z11" s="251"/>
      <c r="AA11" s="251"/>
      <c r="AB11" s="251"/>
      <c r="AC11" s="251"/>
      <c r="AD11" s="251"/>
      <c r="AE11" s="251"/>
      <c r="AF11" s="251"/>
      <c r="AG11" s="252"/>
      <c r="AH11" s="243"/>
    </row>
    <row r="12" spans="1:43" s="255" customFormat="1">
      <c r="A12" s="253" t="s">
        <v>147</v>
      </c>
      <c r="B12" s="254">
        <f t="shared" ref="B12:AF12" si="0">SUM(B6:B11)</f>
        <v>16992</v>
      </c>
      <c r="C12" s="254">
        <f t="shared" si="0"/>
        <v>17232</v>
      </c>
      <c r="D12" s="254">
        <f t="shared" si="0"/>
        <v>17328</v>
      </c>
      <c r="E12" s="254">
        <f t="shared" si="0"/>
        <v>16992</v>
      </c>
      <c r="F12" s="254">
        <f t="shared" si="0"/>
        <v>16608</v>
      </c>
      <c r="G12" s="254">
        <f t="shared" si="0"/>
        <v>16915.2</v>
      </c>
      <c r="H12" s="254">
        <f t="shared" si="0"/>
        <v>16636.8</v>
      </c>
      <c r="I12" s="254">
        <f t="shared" si="0"/>
        <v>16752</v>
      </c>
      <c r="J12" s="254">
        <f t="shared" si="0"/>
        <v>16512</v>
      </c>
      <c r="K12" s="254">
        <f t="shared" si="0"/>
        <v>16704</v>
      </c>
      <c r="L12" s="254">
        <f t="shared" si="0"/>
        <v>16704</v>
      </c>
      <c r="M12" s="254">
        <f t="shared" si="0"/>
        <v>16560</v>
      </c>
      <c r="N12" s="254">
        <f t="shared" si="0"/>
        <v>16464</v>
      </c>
      <c r="O12" s="254">
        <f t="shared" si="0"/>
        <v>15888</v>
      </c>
      <c r="P12" s="254">
        <f t="shared" si="0"/>
        <v>16848</v>
      </c>
      <c r="Q12" s="254">
        <f t="shared" si="0"/>
        <v>16800</v>
      </c>
      <c r="R12" s="254">
        <f t="shared" si="0"/>
        <v>16992</v>
      </c>
      <c r="S12" s="254">
        <f t="shared" si="0"/>
        <v>16176</v>
      </c>
      <c r="T12" s="254">
        <f t="shared" si="0"/>
        <v>16560</v>
      </c>
      <c r="U12" s="254">
        <f t="shared" si="0"/>
        <v>15888</v>
      </c>
      <c r="V12" s="254">
        <f t="shared" si="0"/>
        <v>16080</v>
      </c>
      <c r="W12" s="254">
        <f t="shared" si="0"/>
        <v>15984</v>
      </c>
      <c r="X12" s="254">
        <f t="shared" si="0"/>
        <v>0</v>
      </c>
      <c r="Y12" s="254">
        <f t="shared" si="0"/>
        <v>0</v>
      </c>
      <c r="Z12" s="254">
        <f t="shared" si="0"/>
        <v>0</v>
      </c>
      <c r="AA12" s="254">
        <f t="shared" si="0"/>
        <v>0</v>
      </c>
      <c r="AB12" s="254">
        <f t="shared" si="0"/>
        <v>0</v>
      </c>
      <c r="AC12" s="254">
        <f t="shared" si="0"/>
        <v>0</v>
      </c>
      <c r="AD12" s="254">
        <f t="shared" si="0"/>
        <v>0</v>
      </c>
      <c r="AE12" s="254">
        <f t="shared" si="0"/>
        <v>0</v>
      </c>
      <c r="AF12" s="254">
        <f t="shared" si="0"/>
        <v>0</v>
      </c>
    </row>
    <row r="13" spans="1:43">
      <c r="A13" s="249" t="s">
        <v>25</v>
      </c>
      <c r="B13" s="245" t="s">
        <v>67</v>
      </c>
      <c r="C13" s="245" t="s">
        <v>67</v>
      </c>
      <c r="D13" s="245" t="s">
        <v>67</v>
      </c>
      <c r="E13" s="245" t="s">
        <v>67</v>
      </c>
      <c r="F13" s="245" t="s">
        <v>67</v>
      </c>
      <c r="G13" s="245" t="s">
        <v>67</v>
      </c>
      <c r="H13" s="245" t="s">
        <v>67</v>
      </c>
      <c r="I13" s="245" t="s">
        <v>67</v>
      </c>
      <c r="J13" s="245" t="s">
        <v>67</v>
      </c>
      <c r="K13" s="245" t="s">
        <v>67</v>
      </c>
      <c r="L13" s="245" t="s">
        <v>67</v>
      </c>
      <c r="M13" s="245" t="s">
        <v>67</v>
      </c>
      <c r="N13" s="245" t="s">
        <v>67</v>
      </c>
      <c r="O13" s="245" t="s">
        <v>67</v>
      </c>
      <c r="P13" s="245" t="s">
        <v>67</v>
      </c>
      <c r="Q13" s="245" t="s">
        <v>67</v>
      </c>
      <c r="R13" s="245" t="s">
        <v>67</v>
      </c>
      <c r="S13" s="245" t="s">
        <v>67</v>
      </c>
      <c r="T13" s="245" t="s">
        <v>67</v>
      </c>
      <c r="U13" s="245" t="s">
        <v>67</v>
      </c>
      <c r="V13" s="245" t="s">
        <v>67</v>
      </c>
      <c r="W13" s="245" t="s">
        <v>67</v>
      </c>
      <c r="X13" s="245" t="s">
        <v>67</v>
      </c>
      <c r="Y13" s="245" t="s">
        <v>67</v>
      </c>
      <c r="Z13" s="245" t="s">
        <v>67</v>
      </c>
      <c r="AA13" s="245" t="s">
        <v>67</v>
      </c>
      <c r="AB13" s="245" t="s">
        <v>67</v>
      </c>
      <c r="AC13" s="245" t="s">
        <v>67</v>
      </c>
      <c r="AD13" s="245" t="s">
        <v>67</v>
      </c>
      <c r="AE13" s="245" t="s">
        <v>67</v>
      </c>
      <c r="AF13" s="245" t="s">
        <v>67</v>
      </c>
    </row>
    <row r="14" spans="1:43">
      <c r="A14" s="250" t="s">
        <v>148</v>
      </c>
      <c r="B14" s="256">
        <v>25736.37</v>
      </c>
      <c r="C14" s="256">
        <v>60271.51</v>
      </c>
      <c r="D14" s="256">
        <v>62471.199999999997</v>
      </c>
      <c r="E14" s="256">
        <v>49493.03</v>
      </c>
      <c r="F14" s="256">
        <v>42673.99</v>
      </c>
      <c r="G14" s="256">
        <v>36954.79</v>
      </c>
      <c r="H14" s="256">
        <v>67750.45</v>
      </c>
      <c r="I14" s="256">
        <v>37614.699999999997</v>
      </c>
      <c r="J14" s="256">
        <v>59391.63</v>
      </c>
      <c r="K14" s="256">
        <v>41134.199999999997</v>
      </c>
      <c r="L14" s="256">
        <v>39374.449999999997</v>
      </c>
      <c r="M14" s="256">
        <v>38494.58</v>
      </c>
      <c r="N14" s="256">
        <v>37394.730000000003</v>
      </c>
      <c r="O14" s="256">
        <v>41134.199999999997</v>
      </c>
      <c r="P14" s="256">
        <v>35195.040000000001</v>
      </c>
      <c r="Q14" s="256">
        <v>38934.51</v>
      </c>
      <c r="R14" s="256">
        <v>40474.300000000003</v>
      </c>
      <c r="S14" s="256">
        <v>41574.14</v>
      </c>
      <c r="T14" s="256">
        <v>40914.230000000003</v>
      </c>
      <c r="U14" s="256">
        <v>33215.32</v>
      </c>
      <c r="V14" s="256">
        <v>36074.92</v>
      </c>
      <c r="W14" s="256">
        <v>36954.79</v>
      </c>
      <c r="X14" s="256"/>
      <c r="Y14" s="256"/>
      <c r="Z14" s="256"/>
      <c r="AA14" s="256"/>
      <c r="AB14" s="256"/>
      <c r="AC14" s="256"/>
      <c r="AD14" s="256"/>
      <c r="AE14" s="256"/>
      <c r="AF14" s="256"/>
    </row>
    <row r="15" spans="1:43">
      <c r="A15" s="322"/>
      <c r="B15" s="322"/>
      <c r="C15" s="322"/>
      <c r="D15" s="322"/>
      <c r="E15" s="322"/>
      <c r="F15" s="322"/>
      <c r="G15" s="322"/>
      <c r="H15" s="322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57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48"/>
      <c r="AF15" s="248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</row>
    <row r="16" spans="1:43">
      <c r="A16" s="249" t="s">
        <v>149</v>
      </c>
      <c r="B16" s="245" t="s">
        <v>150</v>
      </c>
      <c r="C16" s="245" t="s">
        <v>150</v>
      </c>
      <c r="D16" s="245" t="s">
        <v>150</v>
      </c>
      <c r="E16" s="245" t="s">
        <v>150</v>
      </c>
      <c r="F16" s="245" t="s">
        <v>150</v>
      </c>
      <c r="G16" s="245" t="s">
        <v>150</v>
      </c>
      <c r="H16" s="245" t="s">
        <v>150</v>
      </c>
      <c r="I16" s="245" t="s">
        <v>150</v>
      </c>
      <c r="J16" s="245" t="s">
        <v>150</v>
      </c>
      <c r="K16" s="245" t="s">
        <v>150</v>
      </c>
      <c r="L16" s="245" t="s">
        <v>150</v>
      </c>
      <c r="M16" s="245" t="s">
        <v>150</v>
      </c>
      <c r="N16" s="245" t="s">
        <v>150</v>
      </c>
      <c r="O16" s="245" t="s">
        <v>150</v>
      </c>
      <c r="P16" s="245" t="s">
        <v>150</v>
      </c>
      <c r="Q16" s="245" t="s">
        <v>150</v>
      </c>
      <c r="R16" s="245" t="s">
        <v>150</v>
      </c>
      <c r="S16" s="245" t="s">
        <v>150</v>
      </c>
      <c r="T16" s="245" t="s">
        <v>150</v>
      </c>
      <c r="U16" s="245" t="s">
        <v>150</v>
      </c>
      <c r="V16" s="245" t="s">
        <v>150</v>
      </c>
      <c r="W16" s="245" t="s">
        <v>150</v>
      </c>
      <c r="X16" s="245" t="s">
        <v>150</v>
      </c>
      <c r="Y16" s="245" t="s">
        <v>150</v>
      </c>
      <c r="Z16" s="245" t="s">
        <v>150</v>
      </c>
      <c r="AA16" s="245" t="s">
        <v>150</v>
      </c>
      <c r="AB16" s="245" t="s">
        <v>150</v>
      </c>
      <c r="AC16" s="245" t="s">
        <v>150</v>
      </c>
      <c r="AD16" s="245" t="s">
        <v>150</v>
      </c>
      <c r="AE16" s="245" t="s">
        <v>150</v>
      </c>
      <c r="AF16" s="245" t="s">
        <v>150</v>
      </c>
    </row>
    <row r="17" spans="1:43" ht="52.8">
      <c r="A17" s="250" t="s">
        <v>151</v>
      </c>
      <c r="B17" s="258">
        <v>9212.6200000000008</v>
      </c>
      <c r="C17" s="258">
        <v>9468.52</v>
      </c>
      <c r="D17" s="258">
        <v>9553.82</v>
      </c>
      <c r="E17" s="258">
        <v>10236.24</v>
      </c>
      <c r="F17" s="258">
        <v>9269.48</v>
      </c>
      <c r="G17" s="258">
        <v>8501.77</v>
      </c>
      <c r="H17" s="258">
        <v>8388.0300000000007</v>
      </c>
      <c r="I17" s="258">
        <v>8274.2900000000009</v>
      </c>
      <c r="J17" s="258">
        <v>7904.65</v>
      </c>
      <c r="K17" s="258">
        <v>8188.99</v>
      </c>
      <c r="L17" s="258">
        <v>7535.01</v>
      </c>
      <c r="M17" s="258">
        <v>6824.16</v>
      </c>
      <c r="N17" s="258">
        <v>6454.52</v>
      </c>
      <c r="O17" s="258">
        <v>6198.61</v>
      </c>
      <c r="P17" s="258">
        <v>6681.99</v>
      </c>
      <c r="Q17" s="258">
        <v>6824.16</v>
      </c>
      <c r="R17" s="258">
        <v>6511.39</v>
      </c>
      <c r="S17" s="258">
        <v>6141.74</v>
      </c>
      <c r="T17" s="258">
        <v>5914.27</v>
      </c>
      <c r="U17" s="258">
        <v>5601.5</v>
      </c>
      <c r="V17" s="258">
        <v>5800.54</v>
      </c>
      <c r="W17" s="258">
        <v>5942.71</v>
      </c>
      <c r="X17" s="258"/>
      <c r="Y17" s="258"/>
      <c r="Z17" s="258"/>
      <c r="AA17" s="258"/>
      <c r="AB17" s="258"/>
      <c r="AC17" s="258"/>
      <c r="AD17" s="258"/>
      <c r="AE17" s="258"/>
      <c r="AF17" s="258"/>
    </row>
    <row r="18" spans="1:43">
      <c r="A18" s="322"/>
      <c r="B18" s="322"/>
      <c r="C18" s="322"/>
      <c r="D18" s="322"/>
      <c r="E18" s="322"/>
      <c r="F18" s="322"/>
      <c r="G18" s="322"/>
      <c r="H18" s="322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8"/>
      <c r="AF18" s="248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243"/>
    </row>
    <row r="19" spans="1:43">
      <c r="A19" s="249" t="s">
        <v>152</v>
      </c>
      <c r="B19" s="245" t="s">
        <v>153</v>
      </c>
      <c r="C19" s="245" t="s">
        <v>153</v>
      </c>
      <c r="D19" s="245" t="s">
        <v>153</v>
      </c>
      <c r="E19" s="245" t="s">
        <v>153</v>
      </c>
      <c r="F19" s="245" t="s">
        <v>153</v>
      </c>
      <c r="G19" s="245" t="s">
        <v>153</v>
      </c>
      <c r="H19" s="245" t="s">
        <v>153</v>
      </c>
      <c r="I19" s="245" t="s">
        <v>153</v>
      </c>
      <c r="J19" s="245" t="s">
        <v>153</v>
      </c>
      <c r="K19" s="245" t="s">
        <v>153</v>
      </c>
      <c r="L19" s="245" t="s">
        <v>153</v>
      </c>
      <c r="M19" s="245" t="s">
        <v>153</v>
      </c>
      <c r="N19" s="245" t="s">
        <v>153</v>
      </c>
      <c r="O19" s="245" t="s">
        <v>153</v>
      </c>
      <c r="P19" s="245" t="s">
        <v>153</v>
      </c>
      <c r="Q19" s="245" t="s">
        <v>153</v>
      </c>
      <c r="R19" s="245" t="s">
        <v>153</v>
      </c>
      <c r="S19" s="245" t="s">
        <v>153</v>
      </c>
      <c r="T19" s="245" t="s">
        <v>153</v>
      </c>
      <c r="U19" s="245" t="s">
        <v>153</v>
      </c>
      <c r="V19" s="245" t="s">
        <v>153</v>
      </c>
      <c r="W19" s="245" t="s">
        <v>153</v>
      </c>
      <c r="X19" s="245" t="s">
        <v>153</v>
      </c>
      <c r="Y19" s="245" t="s">
        <v>153</v>
      </c>
      <c r="Z19" s="245" t="s">
        <v>153</v>
      </c>
      <c r="AA19" s="245" t="s">
        <v>153</v>
      </c>
      <c r="AB19" s="245" t="s">
        <v>153</v>
      </c>
      <c r="AC19" s="245" t="s">
        <v>153</v>
      </c>
      <c r="AD19" s="245" t="s">
        <v>153</v>
      </c>
      <c r="AE19" s="245" t="s">
        <v>153</v>
      </c>
      <c r="AF19" s="245" t="s">
        <v>153</v>
      </c>
    </row>
    <row r="20" spans="1:43" ht="52.8">
      <c r="A20" s="250" t="s">
        <v>154</v>
      </c>
      <c r="B20" s="258">
        <v>503.94</v>
      </c>
      <c r="C20" s="258">
        <v>560.17999999999995</v>
      </c>
      <c r="D20" s="258">
        <v>508.38</v>
      </c>
      <c r="E20" s="258">
        <v>530.58000000000004</v>
      </c>
      <c r="F20" s="258">
        <v>499.87</v>
      </c>
      <c r="G20" s="258">
        <v>458.43</v>
      </c>
      <c r="H20" s="258">
        <v>464.72</v>
      </c>
      <c r="I20" s="258">
        <v>508.75</v>
      </c>
      <c r="J20" s="258">
        <v>497.65</v>
      </c>
      <c r="K20" s="258">
        <v>482.11</v>
      </c>
      <c r="L20" s="258">
        <v>478.04</v>
      </c>
      <c r="M20" s="258">
        <v>450.29</v>
      </c>
      <c r="N20" s="258">
        <v>479.89</v>
      </c>
      <c r="O20" s="258">
        <v>488.4</v>
      </c>
      <c r="P20" s="258">
        <v>530.21</v>
      </c>
      <c r="Q20" s="258">
        <v>562.4</v>
      </c>
      <c r="R20" s="258">
        <v>488.77</v>
      </c>
      <c r="S20" s="258">
        <v>481.37</v>
      </c>
      <c r="T20" s="258">
        <v>438.45</v>
      </c>
      <c r="U20" s="258">
        <v>433.27</v>
      </c>
      <c r="V20" s="258">
        <v>444</v>
      </c>
      <c r="W20" s="258">
        <v>481.37</v>
      </c>
      <c r="X20" s="258"/>
      <c r="Y20" s="258"/>
      <c r="Z20" s="258"/>
      <c r="AA20" s="258"/>
      <c r="AB20" s="258"/>
      <c r="AC20" s="258"/>
      <c r="AD20" s="258"/>
      <c r="AE20" s="258"/>
      <c r="AF20" s="258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68359375" defaultRowHeight="52.2"/>
  <cols>
    <col min="1" max="1" width="35.83984375" style="259" customWidth="1"/>
    <col min="2" max="16384" width="35.68359375" style="259"/>
  </cols>
  <sheetData>
    <row r="1" spans="1:14" ht="72" customHeight="1">
      <c r="A1" s="260"/>
      <c r="B1" s="261"/>
      <c r="C1" s="262"/>
      <c r="D1" s="263"/>
      <c r="E1" s="264"/>
      <c r="F1" s="264"/>
      <c r="G1" s="264"/>
      <c r="H1" s="264"/>
      <c r="I1" s="264"/>
      <c r="J1" s="264"/>
      <c r="K1" s="264"/>
      <c r="L1" s="264"/>
      <c r="M1" s="264"/>
      <c r="N1" s="264"/>
    </row>
    <row r="2" spans="1:14" ht="72" customHeight="1">
      <c r="A2" s="265"/>
      <c r="B2" s="266"/>
      <c r="C2" s="262"/>
      <c r="D2" s="263"/>
      <c r="E2" s="267"/>
    </row>
    <row r="3" spans="1:14" ht="72" customHeight="1">
      <c r="A3" s="268"/>
      <c r="B3" s="269"/>
      <c r="C3" s="262"/>
      <c r="D3" s="263"/>
      <c r="E3" s="267"/>
    </row>
    <row r="4" spans="1:14" ht="72" customHeight="1">
      <c r="A4" s="268"/>
      <c r="B4" s="269"/>
      <c r="C4" s="262"/>
      <c r="D4" s="263"/>
      <c r="E4" s="267"/>
    </row>
    <row r="5" spans="1:14" ht="72" customHeight="1">
      <c r="A5" s="270"/>
      <c r="B5" s="271"/>
      <c r="C5" s="262"/>
      <c r="D5" s="263"/>
      <c r="E5" s="267"/>
    </row>
    <row r="6" spans="1:14" ht="6.75" customHeight="1">
      <c r="A6" s="272"/>
      <c r="B6" s="272"/>
      <c r="C6" s="273"/>
      <c r="D6" s="273"/>
      <c r="E6" s="267"/>
    </row>
    <row r="7" spans="1:14" ht="72" customHeight="1">
      <c r="A7" s="274"/>
      <c r="B7" s="275"/>
      <c r="C7" s="276"/>
      <c r="D7" s="277"/>
      <c r="E7" s="267"/>
    </row>
    <row r="8" spans="1:14" ht="72" customHeight="1">
      <c r="A8" s="278"/>
      <c r="B8" s="279"/>
      <c r="C8" s="276"/>
      <c r="D8" s="277"/>
      <c r="E8" s="267"/>
    </row>
    <row r="9" spans="1:14" ht="72" customHeight="1">
      <c r="A9" s="278"/>
      <c r="B9" s="279"/>
      <c r="C9" s="276"/>
      <c r="D9" s="277"/>
      <c r="E9" s="267"/>
    </row>
    <row r="10" spans="1:14" ht="72" customHeight="1">
      <c r="A10" s="278"/>
      <c r="B10" s="279"/>
      <c r="C10" s="276"/>
      <c r="D10" s="277"/>
      <c r="E10" s="267"/>
    </row>
    <row r="11" spans="1:14" ht="72" customHeight="1">
      <c r="A11" s="280"/>
      <c r="B11" s="281"/>
      <c r="C11" s="276"/>
      <c r="D11" s="277"/>
      <c r="E11" s="267"/>
    </row>
    <row r="12" spans="1:14" ht="60" customHeight="1">
      <c r="A12" s="269"/>
      <c r="B12" s="261"/>
      <c r="C12" s="273"/>
      <c r="D12" s="273"/>
      <c r="E12" s="267"/>
    </row>
    <row r="13" spans="1:14" ht="60" customHeight="1">
      <c r="A13" s="269"/>
      <c r="B13" s="269"/>
      <c r="C13" s="273"/>
      <c r="D13" s="273"/>
      <c r="E13" s="267"/>
    </row>
    <row r="14" spans="1:14" ht="60" customHeight="1">
      <c r="A14" s="271"/>
      <c r="B14" s="261"/>
    </row>
    <row r="15" spans="1:14" ht="64.5" customHeight="1">
      <c r="A15" s="282" t="s">
        <v>140</v>
      </c>
      <c r="B15" s="282" t="s">
        <v>140</v>
      </c>
      <c r="C15" s="282" t="s">
        <v>140</v>
      </c>
      <c r="D15" s="282" t="s">
        <v>140</v>
      </c>
      <c r="E15" s="282" t="s">
        <v>140</v>
      </c>
      <c r="F15" s="282" t="s">
        <v>140</v>
      </c>
    </row>
    <row r="16" spans="1:14" ht="64.5" customHeight="1">
      <c r="A16" s="283" t="s">
        <v>155</v>
      </c>
      <c r="B16" s="283" t="s">
        <v>155</v>
      </c>
      <c r="C16" s="283" t="s">
        <v>155</v>
      </c>
      <c r="D16" s="283" t="s">
        <v>155</v>
      </c>
      <c r="E16" s="283" t="s">
        <v>155</v>
      </c>
      <c r="F16" s="283" t="s">
        <v>155</v>
      </c>
    </row>
    <row r="17" spans="1:6" ht="64.5" customHeight="1">
      <c r="A17" s="283" t="s">
        <v>156</v>
      </c>
      <c r="B17" s="283" t="s">
        <v>156</v>
      </c>
      <c r="C17" s="283" t="s">
        <v>156</v>
      </c>
      <c r="D17" s="283" t="s">
        <v>156</v>
      </c>
      <c r="E17" s="283" t="s">
        <v>156</v>
      </c>
      <c r="F17" s="283" t="s">
        <v>156</v>
      </c>
    </row>
    <row r="18" spans="1:6" ht="64.5" customHeight="1">
      <c r="A18" s="283" t="s">
        <v>157</v>
      </c>
      <c r="B18" s="283" t="s">
        <v>157</v>
      </c>
      <c r="C18" s="283" t="s">
        <v>157</v>
      </c>
      <c r="D18" s="283" t="s">
        <v>157</v>
      </c>
      <c r="E18" s="283" t="s">
        <v>157</v>
      </c>
      <c r="F18" s="283" t="s">
        <v>157</v>
      </c>
    </row>
    <row r="19" spans="1:6" ht="64.5" customHeight="1">
      <c r="A19" s="283" t="s">
        <v>158</v>
      </c>
      <c r="B19" s="283" t="s">
        <v>158</v>
      </c>
      <c r="C19" s="283" t="s">
        <v>158</v>
      </c>
      <c r="D19" s="283" t="s">
        <v>158</v>
      </c>
      <c r="E19" s="283" t="s">
        <v>158</v>
      </c>
      <c r="F19" s="283" t="s">
        <v>158</v>
      </c>
    </row>
    <row r="21" spans="1:6" ht="75" customHeight="1">
      <c r="A21" s="284" t="s">
        <v>159</v>
      </c>
      <c r="B21" s="285"/>
      <c r="C21" s="284" t="s">
        <v>159</v>
      </c>
      <c r="D21" s="285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68359375" defaultRowHeight="52.2"/>
  <cols>
    <col min="1" max="4" width="35.68359375" style="259"/>
    <col min="5" max="5" width="32.83984375" style="259" customWidth="1"/>
    <col min="6" max="6" width="35.68359375" style="259"/>
    <col min="7" max="7" width="6.68359375" style="259" customWidth="1"/>
    <col min="8" max="16384" width="35.68359375" style="259"/>
  </cols>
  <sheetData>
    <row r="1" spans="1:12" ht="75" customHeight="1">
      <c r="A1" s="286"/>
      <c r="B1" s="272"/>
      <c r="C1" s="264"/>
      <c r="D1" s="264"/>
      <c r="E1" s="287" t="s">
        <v>159</v>
      </c>
      <c r="F1" s="323"/>
      <c r="G1" s="323"/>
      <c r="H1" s="264"/>
      <c r="I1" s="264"/>
      <c r="J1" s="264"/>
      <c r="K1" s="264"/>
      <c r="L1" s="264"/>
    </row>
    <row r="2" spans="1:12" ht="69.75" customHeight="1">
      <c r="A2" s="288"/>
      <c r="B2" s="272"/>
      <c r="C2" s="267"/>
      <c r="E2" s="287" t="s">
        <v>160</v>
      </c>
      <c r="F2" s="324" t="s">
        <v>161</v>
      </c>
      <c r="G2" s="324"/>
      <c r="H2" s="289"/>
    </row>
    <row r="3" spans="1:12" ht="69.75" customHeight="1">
      <c r="A3" s="288"/>
      <c r="B3" s="272"/>
      <c r="C3" s="267"/>
      <c r="E3" s="290" t="s">
        <v>162</v>
      </c>
      <c r="F3" s="325">
        <v>1292977.78</v>
      </c>
      <c r="G3" s="325"/>
      <c r="H3" s="291"/>
    </row>
    <row r="4" spans="1:12" ht="69.75" customHeight="1">
      <c r="A4" s="288"/>
      <c r="B4" s="292"/>
      <c r="C4" s="267"/>
      <c r="E4" s="293" t="s">
        <v>163</v>
      </c>
      <c r="F4" s="326">
        <v>553296</v>
      </c>
      <c r="G4" s="326"/>
      <c r="H4" s="291"/>
    </row>
    <row r="5" spans="1:12" ht="69.75" customHeight="1">
      <c r="A5" s="288"/>
      <c r="B5" s="294"/>
      <c r="C5" s="267"/>
      <c r="E5" s="293" t="s">
        <v>164</v>
      </c>
      <c r="F5" s="326">
        <v>528379</v>
      </c>
      <c r="G5" s="326"/>
      <c r="H5" s="291"/>
    </row>
    <row r="6" spans="1:12" ht="69.75" customHeight="1">
      <c r="A6" s="288"/>
      <c r="B6" s="294"/>
      <c r="C6" s="267"/>
      <c r="E6" s="293" t="s">
        <v>165</v>
      </c>
      <c r="F6" s="326">
        <v>13436.55</v>
      </c>
      <c r="G6" s="326"/>
      <c r="H6" s="295"/>
    </row>
    <row r="7" spans="1:12" ht="60" customHeight="1">
      <c r="A7" s="288"/>
      <c r="B7" s="296"/>
    </row>
    <row r="8" spans="1:12" ht="60" customHeight="1">
      <c r="A8" s="288"/>
      <c r="B8" s="296"/>
    </row>
    <row r="10" spans="1:12" ht="64.5" customHeight="1">
      <c r="A10" s="297" t="s">
        <v>166</v>
      </c>
      <c r="B10" s="297" t="s">
        <v>167</v>
      </c>
      <c r="C10" s="297" t="s">
        <v>166</v>
      </c>
      <c r="D10" s="297" t="s">
        <v>167</v>
      </c>
    </row>
    <row r="11" spans="1:12" ht="64.5" customHeight="1">
      <c r="A11" s="297" t="s">
        <v>168</v>
      </c>
      <c r="B11" s="297" t="s">
        <v>169</v>
      </c>
      <c r="C11" s="297" t="s">
        <v>168</v>
      </c>
      <c r="D11" s="297" t="s">
        <v>169</v>
      </c>
    </row>
    <row r="12" spans="1:12" ht="64.5" customHeight="1">
      <c r="A12" s="297" t="s">
        <v>170</v>
      </c>
      <c r="B12" s="297" t="s">
        <v>171</v>
      </c>
      <c r="C12" s="297" t="s">
        <v>170</v>
      </c>
      <c r="D12" s="297" t="s">
        <v>171</v>
      </c>
    </row>
    <row r="13" spans="1:12" ht="64.5" customHeight="1">
      <c r="A13" s="297" t="s">
        <v>172</v>
      </c>
      <c r="B13" s="297" t="s">
        <v>173</v>
      </c>
      <c r="C13" s="297" t="s">
        <v>172</v>
      </c>
      <c r="D13" s="297" t="s">
        <v>173</v>
      </c>
    </row>
    <row r="14" spans="1:12" ht="64.5" customHeight="1">
      <c r="A14" s="297" t="s">
        <v>174</v>
      </c>
      <c r="B14" s="297" t="s">
        <v>175</v>
      </c>
      <c r="C14" s="297" t="s">
        <v>174</v>
      </c>
      <c r="D14" s="297" t="s">
        <v>175</v>
      </c>
    </row>
    <row r="15" spans="1:12" ht="60" customHeight="1">
      <c r="A15" s="297" t="s">
        <v>176</v>
      </c>
      <c r="B15" s="297" t="s">
        <v>177</v>
      </c>
      <c r="C15" s="297" t="s">
        <v>176</v>
      </c>
      <c r="D15" s="297" t="s">
        <v>177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234375" defaultRowHeight="14.4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Ronald Diab</cp:lastModifiedBy>
  <cp:revision>4</cp:revision>
  <dcterms:created xsi:type="dcterms:W3CDTF">2015-06-05T18:17:20Z</dcterms:created>
  <dcterms:modified xsi:type="dcterms:W3CDTF">2024-01-30T13:25:04Z</dcterms:modified>
  <dc:language>en-IN</dc:language>
</cp:coreProperties>
</file>