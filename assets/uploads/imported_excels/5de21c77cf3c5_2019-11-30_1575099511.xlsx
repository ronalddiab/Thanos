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45" i="6" l="1"/>
  <c r="E45" i="6"/>
  <c r="C45" i="6"/>
  <c r="G44" i="6"/>
  <c r="E44" i="6"/>
  <c r="C44" i="6"/>
  <c r="G40" i="4"/>
  <c r="E40" i="4"/>
  <c r="C40" i="4"/>
  <c r="G39" i="4"/>
  <c r="E39" i="4"/>
  <c r="C39" i="4"/>
  <c r="W11" i="1" l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40" i="1"/>
  <c r="W10" i="1"/>
  <c r="M48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41" i="4"/>
  <c r="P42" i="4"/>
  <c r="P4" i="4"/>
  <c r="G43" i="6" l="1"/>
  <c r="E43" i="6"/>
  <c r="C43" i="6"/>
  <c r="G38" i="4"/>
  <c r="E38" i="4"/>
  <c r="C38" i="4"/>
  <c r="G42" i="6" l="1"/>
  <c r="E42" i="6"/>
  <c r="C42" i="6"/>
  <c r="G37" i="4"/>
  <c r="E37" i="4"/>
  <c r="C37" i="4"/>
  <c r="G41" i="6" l="1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M36" i="4"/>
  <c r="J36" i="4"/>
  <c r="K36" i="4" s="1"/>
  <c r="M35" i="4"/>
  <c r="J35" i="4"/>
  <c r="K35" i="4" s="1"/>
  <c r="M34" i="4"/>
  <c r="K34" i="4"/>
  <c r="J34" i="4"/>
  <c r="M33" i="4"/>
  <c r="J33" i="4"/>
  <c r="K33" i="4" s="1"/>
  <c r="M32" i="4"/>
  <c r="J32" i="4"/>
  <c r="K32" i="4" s="1"/>
  <c r="G36" i="6" l="1"/>
  <c r="E36" i="6"/>
  <c r="J30" i="1" s="1"/>
  <c r="C36" i="6"/>
  <c r="G31" i="4"/>
  <c r="E31" i="4"/>
  <c r="C31" i="4"/>
  <c r="G35" i="6"/>
  <c r="E35" i="6"/>
  <c r="C35" i="6"/>
  <c r="M30" i="4"/>
  <c r="J30" i="4"/>
  <c r="K30" i="4"/>
  <c r="M29" i="4"/>
  <c r="J29" i="4"/>
  <c r="K29" i="4"/>
  <c r="G34" i="6"/>
  <c r="E34" i="6"/>
  <c r="C34" i="6"/>
  <c r="G33" i="6"/>
  <c r="E33" i="6"/>
  <c r="C33" i="6"/>
  <c r="G28" i="4"/>
  <c r="E28" i="4"/>
  <c r="C28" i="4"/>
  <c r="G32" i="6"/>
  <c r="E32" i="6"/>
  <c r="C32" i="6"/>
  <c r="G27" i="4"/>
  <c r="E27" i="4"/>
  <c r="C27" i="4"/>
  <c r="G31" i="6"/>
  <c r="E31" i="6"/>
  <c r="C31" i="6"/>
  <c r="G30" i="6"/>
  <c r="E30" i="6"/>
  <c r="C30" i="6"/>
  <c r="G29" i="6"/>
  <c r="E29" i="6"/>
  <c r="C29" i="6"/>
  <c r="M26" i="4"/>
  <c r="J26" i="4"/>
  <c r="K26" i="4"/>
  <c r="M25" i="4"/>
  <c r="J25" i="4"/>
  <c r="K25" i="4"/>
  <c r="M24" i="4"/>
  <c r="J24" i="4"/>
  <c r="K24" i="4"/>
  <c r="G28" i="6"/>
  <c r="E28" i="6"/>
  <c r="C28" i="6"/>
  <c r="G23" i="4"/>
  <c r="E23" i="4"/>
  <c r="C23" i="4"/>
  <c r="G27" i="6"/>
  <c r="E27" i="6"/>
  <c r="C27" i="6"/>
  <c r="G22" i="4"/>
  <c r="E22" i="4"/>
  <c r="C22" i="4"/>
  <c r="G26" i="6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/>
  <c r="M19" i="4"/>
  <c r="J19" i="4"/>
  <c r="K19" i="4"/>
  <c r="M18" i="4"/>
  <c r="J18" i="4"/>
  <c r="K18" i="4"/>
  <c r="G23" i="6"/>
  <c r="E23" i="6"/>
  <c r="C23" i="6"/>
  <c r="G22" i="6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/>
  <c r="E19" i="6"/>
  <c r="C19" i="6"/>
  <c r="G14" i="4"/>
  <c r="E14" i="4"/>
  <c r="C14" i="4"/>
  <c r="C11" i="4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K30" i="1"/>
  <c r="J31" i="1"/>
  <c r="K31" i="1"/>
  <c r="I37" i="6"/>
  <c r="L31" i="1"/>
  <c r="M31" i="1" s="1"/>
  <c r="J32" i="1"/>
  <c r="K32" i="1"/>
  <c r="J33" i="1"/>
  <c r="K33" i="1"/>
  <c r="J34" i="1"/>
  <c r="K34" i="1"/>
  <c r="J35" i="1"/>
  <c r="K35" i="1"/>
  <c r="L35" i="1"/>
  <c r="J36" i="1"/>
  <c r="K36" i="1"/>
  <c r="J37" i="1"/>
  <c r="K37" i="1"/>
  <c r="J38" i="1"/>
  <c r="K38" i="1"/>
  <c r="J39" i="1"/>
  <c r="K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K23" i="10" s="1"/>
  <c r="D32" i="1"/>
  <c r="D33" i="1"/>
  <c r="K25" i="10" s="1"/>
  <c r="D34" i="1"/>
  <c r="D35" i="1"/>
  <c r="F35" i="1" s="1"/>
  <c r="D36" i="1"/>
  <c r="D37" i="1"/>
  <c r="F37" i="1" s="1"/>
  <c r="D38" i="1"/>
  <c r="K30" i="10" s="1"/>
  <c r="D39" i="1"/>
  <c r="F39" i="1" s="1"/>
  <c r="D40" i="1"/>
  <c r="K10" i="1"/>
  <c r="C48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M41" i="4"/>
  <c r="J41" i="4"/>
  <c r="K41" i="4"/>
  <c r="M40" i="4"/>
  <c r="J40" i="4"/>
  <c r="K40" i="4"/>
  <c r="L39" i="4" s="1"/>
  <c r="N39" i="4" s="1"/>
  <c r="O39" i="4" s="1"/>
  <c r="M14" i="4"/>
  <c r="J14" i="4"/>
  <c r="K14" i="4"/>
  <c r="M13" i="4"/>
  <c r="J13" i="4"/>
  <c r="K13" i="4"/>
  <c r="M12" i="4"/>
  <c r="J12" i="4"/>
  <c r="K12" i="4"/>
  <c r="K24" i="10"/>
  <c r="K21" i="10"/>
  <c r="F27" i="1"/>
  <c r="K7" i="10"/>
  <c r="K6" i="10"/>
  <c r="K3" i="10"/>
  <c r="M11" i="4"/>
  <c r="J11" i="4"/>
  <c r="K11" i="4"/>
  <c r="M10" i="4"/>
  <c r="J10" i="4"/>
  <c r="K10" i="4"/>
  <c r="M9" i="4"/>
  <c r="J9" i="4"/>
  <c r="K9" i="4"/>
  <c r="M8" i="4"/>
  <c r="J8" i="4"/>
  <c r="K8" i="4"/>
  <c r="M7" i="4"/>
  <c r="J7" i="4"/>
  <c r="K7" i="4"/>
  <c r="M6" i="4"/>
  <c r="J6" i="4"/>
  <c r="K6" i="4"/>
  <c r="M5" i="4"/>
  <c r="J5" i="4"/>
  <c r="K5" i="4"/>
  <c r="M4" i="4"/>
  <c r="J4" i="4"/>
  <c r="K4" i="4"/>
  <c r="G47" i="6"/>
  <c r="E47" i="6"/>
  <c r="C47" i="6"/>
  <c r="M39" i="4"/>
  <c r="J39" i="4"/>
  <c r="K39" i="4"/>
  <c r="L38" i="4" s="1"/>
  <c r="N38" i="4" s="1"/>
  <c r="O38" i="4" s="1"/>
  <c r="P38" i="4" s="1"/>
  <c r="M38" i="4"/>
  <c r="J38" i="4"/>
  <c r="K38" i="4" s="1"/>
  <c r="L37" i="4" s="1"/>
  <c r="N37" i="4" s="1"/>
  <c r="O37" i="4" s="1"/>
  <c r="K28" i="10"/>
  <c r="Y35" i="1"/>
  <c r="Z35" i="1"/>
  <c r="Y36" i="1"/>
  <c r="I28" i="10" s="1"/>
  <c r="Z36" i="1"/>
  <c r="K22" i="10"/>
  <c r="M31" i="4"/>
  <c r="J31" i="4"/>
  <c r="K31" i="4"/>
  <c r="F24" i="1"/>
  <c r="K15" i="10"/>
  <c r="K12" i="10"/>
  <c r="F20" i="1"/>
  <c r="F18" i="1"/>
  <c r="K10" i="10"/>
  <c r="F15" i="1"/>
  <c r="F13" i="1"/>
  <c r="K17" i="10"/>
  <c r="M17" i="4"/>
  <c r="J17" i="4"/>
  <c r="K17" i="4"/>
  <c r="M37" i="4"/>
  <c r="J37" i="4"/>
  <c r="K37" i="4" s="1"/>
  <c r="M23" i="4"/>
  <c r="J23" i="4"/>
  <c r="K23" i="4"/>
  <c r="M22" i="4"/>
  <c r="J22" i="4"/>
  <c r="K22" i="4"/>
  <c r="J15" i="4"/>
  <c r="K15" i="4"/>
  <c r="J16" i="4"/>
  <c r="K16" i="4"/>
  <c r="J27" i="4"/>
  <c r="K27" i="4"/>
  <c r="J28" i="4"/>
  <c r="K28" i="4"/>
  <c r="J42" i="4"/>
  <c r="K42" i="4"/>
  <c r="L42" i="4"/>
  <c r="I19" i="6"/>
  <c r="L13" i="1"/>
  <c r="I20" i="6"/>
  <c r="L14" i="1"/>
  <c r="I21" i="6"/>
  <c r="L15" i="1"/>
  <c r="I22" i="6"/>
  <c r="L16" i="1"/>
  <c r="I23" i="6"/>
  <c r="L17" i="1"/>
  <c r="I24" i="6"/>
  <c r="L18" i="1"/>
  <c r="I25" i="6"/>
  <c r="L19" i="1"/>
  <c r="I26" i="6"/>
  <c r="L20" i="1"/>
  <c r="I27" i="6"/>
  <c r="I28" i="6"/>
  <c r="L22" i="1"/>
  <c r="I29" i="6"/>
  <c r="L23" i="1"/>
  <c r="I30" i="6"/>
  <c r="L24" i="1"/>
  <c r="I31" i="6"/>
  <c r="I32" i="6"/>
  <c r="L26" i="1"/>
  <c r="I33" i="6"/>
  <c r="L27" i="1"/>
  <c r="I34" i="6"/>
  <c r="L28" i="1"/>
  <c r="I35" i="6"/>
  <c r="L29" i="1"/>
  <c r="I36" i="6"/>
  <c r="L30" i="1" s="1"/>
  <c r="I38" i="6"/>
  <c r="L32" i="1" s="1"/>
  <c r="M32" i="1" s="1"/>
  <c r="I39" i="6"/>
  <c r="L33" i="1" s="1"/>
  <c r="M33" i="1" s="1"/>
  <c r="I40" i="6"/>
  <c r="L34" i="1" s="1"/>
  <c r="M34" i="1" s="1"/>
  <c r="I41" i="6"/>
  <c r="I42" i="6"/>
  <c r="L36" i="1" s="1"/>
  <c r="I43" i="6"/>
  <c r="L37" i="1" s="1"/>
  <c r="I44" i="6"/>
  <c r="L38" i="1" s="1"/>
  <c r="M38" i="1" s="1"/>
  <c r="E30" i="10" s="1"/>
  <c r="I45" i="6"/>
  <c r="L39" i="1" s="1"/>
  <c r="I46" i="6"/>
  <c r="I47" i="6"/>
  <c r="M30" i="10"/>
  <c r="M31" i="10"/>
  <c r="Y28" i="1"/>
  <c r="Z28" i="1"/>
  <c r="M16" i="4"/>
  <c r="M15" i="4"/>
  <c r="M5" i="10"/>
  <c r="M42" i="4"/>
  <c r="M28" i="4"/>
  <c r="Y13" i="1"/>
  <c r="Z13" i="1"/>
  <c r="Y14" i="1"/>
  <c r="I6" i="10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C43" i="4" s="1"/>
  <c r="K48" i="4" s="1"/>
  <c r="L48" i="4" s="1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/>
  <c r="AE5" i="4"/>
  <c r="AD5" i="4"/>
  <c r="AC5" i="4"/>
  <c r="AE4" i="4"/>
  <c r="AD4" i="4"/>
  <c r="AC4" i="4"/>
  <c r="I4" i="4"/>
  <c r="Y40" i="1"/>
  <c r="Y39" i="1"/>
  <c r="Y38" i="1"/>
  <c r="Z38" i="1"/>
  <c r="I30" i="10"/>
  <c r="Y37" i="1"/>
  <c r="I29" i="10" s="1"/>
  <c r="Y34" i="1"/>
  <c r="Y33" i="1"/>
  <c r="Z33" i="1"/>
  <c r="Y32" i="1"/>
  <c r="Z32" i="1" s="1"/>
  <c r="Y31" i="1"/>
  <c r="Y30" i="1"/>
  <c r="Y29" i="1"/>
  <c r="Z29" i="1"/>
  <c r="Y27" i="1"/>
  <c r="Z27" i="1"/>
  <c r="Y26" i="1"/>
  <c r="Z26" i="1"/>
  <c r="Y25" i="1"/>
  <c r="I17" i="10"/>
  <c r="Y24" i="1"/>
  <c r="Z24" i="1"/>
  <c r="Y23" i="1"/>
  <c r="I15" i="10"/>
  <c r="Y22" i="1"/>
  <c r="Z22" i="1"/>
  <c r="Y21" i="1"/>
  <c r="I13" i="10"/>
  <c r="Y20" i="1"/>
  <c r="I12" i="10"/>
  <c r="Y19" i="1"/>
  <c r="Z19" i="1"/>
  <c r="Y18" i="1"/>
  <c r="Z18" i="1"/>
  <c r="Y17" i="1"/>
  <c r="I9" i="10"/>
  <c r="Y16" i="1"/>
  <c r="I8" i="10"/>
  <c r="Y15" i="1"/>
  <c r="Y12" i="1"/>
  <c r="I4" i="10"/>
  <c r="Y11" i="1"/>
  <c r="I3" i="10"/>
  <c r="Y10" i="1"/>
  <c r="I18" i="6"/>
  <c r="L12" i="1"/>
  <c r="I17" i="6"/>
  <c r="L11" i="1"/>
  <c r="I16" i="6"/>
  <c r="I15" i="6"/>
  <c r="I14" i="6"/>
  <c r="I13" i="6"/>
  <c r="I12" i="6"/>
  <c r="I11" i="6"/>
  <c r="I10" i="6"/>
  <c r="I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G58" i="6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S41" i="1"/>
  <c r="M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F10" i="1"/>
  <c r="L11" i="4"/>
  <c r="N11" i="4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4" i="1"/>
  <c r="K26" i="10"/>
  <c r="L30" i="4"/>
  <c r="N30" i="4"/>
  <c r="O30" i="4"/>
  <c r="G30" i="4"/>
  <c r="E30" i="4"/>
  <c r="C30" i="4"/>
  <c r="I30" i="4"/>
  <c r="E29" i="4"/>
  <c r="C29" i="4"/>
  <c r="I29" i="4"/>
  <c r="L29" i="4"/>
  <c r="N29" i="4"/>
  <c r="O29" i="4"/>
  <c r="G29" i="4"/>
  <c r="M26" i="1"/>
  <c r="L25" i="1"/>
  <c r="C26" i="4"/>
  <c r="I26" i="4"/>
  <c r="L26" i="4"/>
  <c r="N26" i="4"/>
  <c r="O26" i="4"/>
  <c r="G26" i="4"/>
  <c r="E26" i="4"/>
  <c r="L24" i="4"/>
  <c r="N24" i="4"/>
  <c r="O24" i="4"/>
  <c r="E24" i="4"/>
  <c r="C24" i="4"/>
  <c r="I24" i="4"/>
  <c r="G24" i="4"/>
  <c r="I25" i="4"/>
  <c r="L25" i="4"/>
  <c r="N25" i="4"/>
  <c r="O25" i="4"/>
  <c r="G25" i="4"/>
  <c r="E25" i="4"/>
  <c r="C25" i="4"/>
  <c r="M22" i="1"/>
  <c r="E14" i="10"/>
  <c r="L21" i="1"/>
  <c r="E18" i="4"/>
  <c r="C18" i="4"/>
  <c r="I18" i="4"/>
  <c r="L18" i="4"/>
  <c r="N18" i="4"/>
  <c r="O18" i="4"/>
  <c r="G18" i="4"/>
  <c r="L19" i="4"/>
  <c r="N19" i="4"/>
  <c r="O19" i="4"/>
  <c r="G19" i="4"/>
  <c r="E19" i="4"/>
  <c r="C19" i="4"/>
  <c r="I19" i="4"/>
  <c r="I20" i="4"/>
  <c r="L20" i="4"/>
  <c r="N20" i="4"/>
  <c r="O20" i="4"/>
  <c r="G20" i="4"/>
  <c r="E20" i="4"/>
  <c r="C20" i="4"/>
  <c r="C21" i="4"/>
  <c r="I21" i="4"/>
  <c r="L21" i="4"/>
  <c r="N21" i="4"/>
  <c r="O21" i="4"/>
  <c r="G21" i="4"/>
  <c r="E21" i="4"/>
  <c r="Z12" i="1"/>
  <c r="L10" i="1"/>
  <c r="O11" i="4"/>
  <c r="U10" i="1"/>
  <c r="I2" i="10"/>
  <c r="C41" i="4"/>
  <c r="E41" i="4"/>
  <c r="G41" i="4"/>
  <c r="E5" i="4"/>
  <c r="C5" i="4"/>
  <c r="G5" i="4"/>
  <c r="G10" i="4"/>
  <c r="E10" i="4"/>
  <c r="C10" i="4"/>
  <c r="L6" i="4"/>
  <c r="N6" i="4"/>
  <c r="O6" i="4"/>
  <c r="I17" i="4"/>
  <c r="Z21" i="1"/>
  <c r="I19" i="10"/>
  <c r="I40" i="4"/>
  <c r="L40" i="4"/>
  <c r="N40" i="4" s="1"/>
  <c r="O40" i="4" s="1"/>
  <c r="I41" i="4"/>
  <c r="L41" i="4"/>
  <c r="N41" i="4"/>
  <c r="O41" i="4"/>
  <c r="M29" i="1"/>
  <c r="E21" i="10"/>
  <c r="I21" i="10"/>
  <c r="M27" i="1"/>
  <c r="O27" i="1"/>
  <c r="M28" i="1"/>
  <c r="I18" i="10"/>
  <c r="Z25" i="1"/>
  <c r="Z23" i="1"/>
  <c r="M19" i="1"/>
  <c r="E11" i="10"/>
  <c r="M20" i="1"/>
  <c r="Z20" i="1"/>
  <c r="I10" i="10"/>
  <c r="Z17" i="1"/>
  <c r="Z16" i="1"/>
  <c r="Z14" i="1"/>
  <c r="M13" i="1"/>
  <c r="E5" i="10"/>
  <c r="I13" i="4"/>
  <c r="L13" i="4"/>
  <c r="N13" i="4"/>
  <c r="O13" i="4"/>
  <c r="U12" i="1"/>
  <c r="I14" i="4"/>
  <c r="L14" i="4"/>
  <c r="N14" i="4"/>
  <c r="O14" i="4"/>
  <c r="U13" i="1"/>
  <c r="I12" i="4"/>
  <c r="L12" i="4"/>
  <c r="N12" i="4"/>
  <c r="O12" i="4"/>
  <c r="I5" i="10"/>
  <c r="M11" i="1"/>
  <c r="E3" i="10"/>
  <c r="Z11" i="1"/>
  <c r="K2" i="10"/>
  <c r="F40" i="1"/>
  <c r="M24" i="1"/>
  <c r="M18" i="1"/>
  <c r="K19" i="10"/>
  <c r="O22" i="1"/>
  <c r="F11" i="1"/>
  <c r="F23" i="1"/>
  <c r="M16" i="1"/>
  <c r="O16" i="1"/>
  <c r="M21" i="1"/>
  <c r="O21" i="1"/>
  <c r="M25" i="1"/>
  <c r="M23" i="1"/>
  <c r="O23" i="1"/>
  <c r="M12" i="1"/>
  <c r="E4" i="10"/>
  <c r="M15" i="1"/>
  <c r="O15" i="1"/>
  <c r="M17" i="1"/>
  <c r="O17" i="1"/>
  <c r="L23" i="4"/>
  <c r="N23" i="4"/>
  <c r="O23" i="4"/>
  <c r="U22" i="1"/>
  <c r="I8" i="4"/>
  <c r="L27" i="4"/>
  <c r="N27" i="4"/>
  <c r="O27" i="4"/>
  <c r="I16" i="4"/>
  <c r="L22" i="4"/>
  <c r="N22" i="4"/>
  <c r="O22" i="4"/>
  <c r="L28" i="4"/>
  <c r="N28" i="4"/>
  <c r="O28" i="4"/>
  <c r="U27" i="1"/>
  <c r="I7" i="4"/>
  <c r="I31" i="4"/>
  <c r="I27" i="4"/>
  <c r="Q44" i="4"/>
  <c r="L31" i="4"/>
  <c r="N31" i="4"/>
  <c r="O31" i="4" s="1"/>
  <c r="L7" i="4"/>
  <c r="N7" i="4"/>
  <c r="O7" i="4"/>
  <c r="L8" i="4"/>
  <c r="N8" i="4"/>
  <c r="O8" i="4"/>
  <c r="L4" i="4"/>
  <c r="N4" i="4"/>
  <c r="O4" i="4"/>
  <c r="I14" i="10"/>
  <c r="I16" i="10"/>
  <c r="Z40" i="1"/>
  <c r="I25" i="10"/>
  <c r="I20" i="10"/>
  <c r="M40" i="1"/>
  <c r="K27" i="10"/>
  <c r="I27" i="10"/>
  <c r="E18" i="10"/>
  <c r="O26" i="1"/>
  <c r="I39" i="4"/>
  <c r="F17" i="1"/>
  <c r="K9" i="10"/>
  <c r="I22" i="10"/>
  <c r="Z30" i="1"/>
  <c r="I31" i="10"/>
  <c r="Z39" i="1"/>
  <c r="E7" i="10"/>
  <c r="M14" i="1"/>
  <c r="I23" i="10"/>
  <c r="Z31" i="1"/>
  <c r="AC44" i="4"/>
  <c r="M10" i="1"/>
  <c r="L5" i="4"/>
  <c r="N5" i="4"/>
  <c r="O5" i="4"/>
  <c r="I5" i="4"/>
  <c r="I28" i="4"/>
  <c r="L10" i="4"/>
  <c r="N10" i="4"/>
  <c r="F26" i="1"/>
  <c r="K18" i="10"/>
  <c r="I26" i="10"/>
  <c r="Z34" i="1"/>
  <c r="I23" i="4"/>
  <c r="L17" i="4"/>
  <c r="N17" i="4"/>
  <c r="O17" i="4"/>
  <c r="U16" i="1"/>
  <c r="L9" i="4"/>
  <c r="N9" i="4"/>
  <c r="O9" i="4"/>
  <c r="U17" i="1"/>
  <c r="F38" i="1"/>
  <c r="F32" i="1"/>
  <c r="Z10" i="1"/>
  <c r="I9" i="4"/>
  <c r="F30" i="1"/>
  <c r="I7" i="10"/>
  <c r="Z15" i="1"/>
  <c r="I38" i="4"/>
  <c r="U28" i="1"/>
  <c r="I15" i="4"/>
  <c r="I11" i="4"/>
  <c r="N42" i="4"/>
  <c r="O42" i="4"/>
  <c r="L15" i="4"/>
  <c r="N15" i="4"/>
  <c r="O15" i="4"/>
  <c r="U14" i="1"/>
  <c r="L16" i="4"/>
  <c r="N16" i="4"/>
  <c r="O16" i="4"/>
  <c r="U15" i="1"/>
  <c r="I42" i="4"/>
  <c r="U29" i="1"/>
  <c r="U26" i="1"/>
  <c r="U23" i="1"/>
  <c r="U24" i="1"/>
  <c r="U25" i="1"/>
  <c r="U21" i="1"/>
  <c r="O19" i="1"/>
  <c r="U20" i="1"/>
  <c r="U18" i="1"/>
  <c r="U19" i="1"/>
  <c r="O13" i="1"/>
  <c r="U11" i="1"/>
  <c r="E8" i="10"/>
  <c r="E19" i="10"/>
  <c r="E15" i="10"/>
  <c r="O11" i="1"/>
  <c r="G18" i="10"/>
  <c r="O18" i="10"/>
  <c r="G11" i="10"/>
  <c r="O11" i="10"/>
  <c r="O29" i="1"/>
  <c r="G19" i="10"/>
  <c r="G16" i="10"/>
  <c r="E9" i="10"/>
  <c r="O12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K8" i="10"/>
  <c r="E2" i="10"/>
  <c r="O10" i="1"/>
  <c r="G10" i="10"/>
  <c r="G13" i="10"/>
  <c r="O14" i="1"/>
  <c r="E6" i="10"/>
  <c r="G12" i="10"/>
  <c r="O12" i="10"/>
  <c r="O19" i="10"/>
  <c r="G14" i="10"/>
  <c r="O14" i="10"/>
  <c r="O13" i="10"/>
  <c r="O10" i="10"/>
  <c r="O16" i="10"/>
  <c r="G9" i="10"/>
  <c r="O9" i="10"/>
  <c r="G4" i="10"/>
  <c r="O4" i="10"/>
  <c r="G8" i="10"/>
  <c r="O8" i="10"/>
  <c r="G7" i="10"/>
  <c r="O7" i="10"/>
  <c r="G21" i="10"/>
  <c r="O21" i="10"/>
  <c r="G15" i="10"/>
  <c r="O15" i="10"/>
  <c r="G20" i="10"/>
  <c r="O20" i="10"/>
  <c r="G17" i="10"/>
  <c r="O17" i="10"/>
  <c r="G6" i="10"/>
  <c r="O6" i="10"/>
  <c r="G5" i="10"/>
  <c r="O5" i="10"/>
  <c r="G3" i="10"/>
  <c r="O3" i="10"/>
  <c r="G2" i="10"/>
  <c r="O2" i="10"/>
  <c r="M39" i="1" l="1"/>
  <c r="K31" i="10"/>
  <c r="M37" i="1"/>
  <c r="E31" i="10"/>
  <c r="O39" i="1"/>
  <c r="O38" i="1"/>
  <c r="P39" i="4"/>
  <c r="U38" i="1"/>
  <c r="P40" i="4"/>
  <c r="U39" i="1"/>
  <c r="E29" i="10"/>
  <c r="O37" i="1"/>
  <c r="M36" i="1"/>
  <c r="D41" i="1"/>
  <c r="G46" i="1" s="1"/>
  <c r="J46" i="1" s="1"/>
  <c r="L46" i="1" s="1"/>
  <c r="U37" i="1"/>
  <c r="W37" i="1" s="1"/>
  <c r="Z37" i="1"/>
  <c r="O36" i="1"/>
  <c r="E28" i="10"/>
  <c r="M35" i="1"/>
  <c r="K41" i="1"/>
  <c r="G44" i="1" s="1"/>
  <c r="J44" i="1" s="1"/>
  <c r="J41" i="1"/>
  <c r="G43" i="1" s="1"/>
  <c r="J43" i="1" s="1"/>
  <c r="U36" i="1"/>
  <c r="Z41" i="1"/>
  <c r="L41" i="1"/>
  <c r="G45" i="1" s="1"/>
  <c r="J45" i="1" s="1"/>
  <c r="M30" i="1"/>
  <c r="E26" i="10"/>
  <c r="O34" i="1"/>
  <c r="E25" i="10"/>
  <c r="O33" i="1"/>
  <c r="E27" i="10"/>
  <c r="O35" i="1"/>
  <c r="O32" i="1"/>
  <c r="E24" i="10"/>
  <c r="E23" i="10"/>
  <c r="O31" i="1"/>
  <c r="I48" i="6"/>
  <c r="F31" i="1"/>
  <c r="F41" i="1" s="1"/>
  <c r="F33" i="1"/>
  <c r="E48" i="6"/>
  <c r="U30" i="1"/>
  <c r="C34" i="4"/>
  <c r="G34" i="4"/>
  <c r="I34" i="4"/>
  <c r="L34" i="4"/>
  <c r="N34" i="4" s="1"/>
  <c r="O34" i="4" s="1"/>
  <c r="E34" i="4"/>
  <c r="E35" i="4"/>
  <c r="G35" i="4"/>
  <c r="C35" i="4"/>
  <c r="I35" i="4"/>
  <c r="L35" i="4"/>
  <c r="N35" i="4" s="1"/>
  <c r="O35" i="4" s="1"/>
  <c r="L36" i="4"/>
  <c r="N36" i="4" s="1"/>
  <c r="O36" i="4" s="1"/>
  <c r="G36" i="4"/>
  <c r="I36" i="4"/>
  <c r="E36" i="4"/>
  <c r="C36" i="4"/>
  <c r="E32" i="4"/>
  <c r="L32" i="4"/>
  <c r="N32" i="4" s="1"/>
  <c r="O32" i="4" s="1"/>
  <c r="C32" i="4"/>
  <c r="I32" i="4"/>
  <c r="G32" i="4"/>
  <c r="G43" i="4" s="1"/>
  <c r="I33" i="4"/>
  <c r="L33" i="4"/>
  <c r="N33" i="4" s="1"/>
  <c r="O33" i="4" s="1"/>
  <c r="E33" i="4"/>
  <c r="C33" i="4"/>
  <c r="I24" i="10"/>
  <c r="Y41" i="1"/>
  <c r="W39" i="1" l="1"/>
  <c r="G31" i="10"/>
  <c r="W38" i="1"/>
  <c r="G30" i="10"/>
  <c r="L43" i="1"/>
  <c r="G29" i="10"/>
  <c r="O29" i="10" s="1"/>
  <c r="I43" i="4"/>
  <c r="G28" i="10"/>
  <c r="O28" i="10" s="1"/>
  <c r="O30" i="1"/>
  <c r="O41" i="1" s="1"/>
  <c r="E22" i="10"/>
  <c r="M41" i="1"/>
  <c r="U32" i="1"/>
  <c r="E43" i="4"/>
  <c r="U35" i="1"/>
  <c r="U33" i="1"/>
  <c r="C43" i="4"/>
  <c r="U34" i="1"/>
  <c r="U31" i="1"/>
  <c r="N43" i="4"/>
  <c r="U41" i="1"/>
  <c r="G47" i="1" s="1"/>
  <c r="J47" i="1" s="1"/>
  <c r="L47" i="1" s="1"/>
  <c r="G22" i="10"/>
  <c r="O22" i="10" l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W41" i="1"/>
  <c r="G23" i="10"/>
  <c r="O23" i="10" s="1"/>
  <c r="L47" i="4" l="1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<sst xmlns="http://schemas.openxmlformats.org/spreadsheetml/2006/main" count="124" uniqueCount="82">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</sst>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3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10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470</c:v>
                </c:pt>
                <c:pt idx="13">
                  <c:v>430</c:v>
                </c:pt>
                <c:pt idx="14">
                  <c:v>430</c:v>
                </c:pt>
                <c:pt idx="15">
                  <c:v>490</c:v>
                </c:pt>
                <c:pt idx="16">
                  <c:v>410</c:v>
                </c:pt>
                <c:pt idx="17">
                  <c:v>550</c:v>
                </c:pt>
                <c:pt idx="18">
                  <c:v>460</c:v>
                </c:pt>
                <c:pt idx="19">
                  <c:v>460</c:v>
                </c:pt>
                <c:pt idx="20">
                  <c:v>420</c:v>
                </c:pt>
                <c:pt idx="21">
                  <c:v>410</c:v>
                </c:pt>
                <c:pt idx="22">
                  <c:v>340</c:v>
                </c:pt>
                <c:pt idx="23">
                  <c:v>390</c:v>
                </c:pt>
                <c:pt idx="24">
                  <c:v>380</c:v>
                </c:pt>
                <c:pt idx="25">
                  <c:v>410</c:v>
                </c:pt>
                <c:pt idx="26">
                  <c:v>410</c:v>
                </c:pt>
                <c:pt idx="27">
                  <c:v>450</c:v>
                </c:pt>
                <c:pt idx="28">
                  <c:v>410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81856"/>
        <c:axId val="123083776"/>
      </c:lineChart>
      <c:dateAx>
        <c:axId val="12308185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83776"/>
        <c:crosses val="autoZero"/>
        <c:auto val="1"/>
        <c:lblOffset val="100"/>
        <c:baseTimeUnit val="days"/>
      </c:dateAx>
      <c:valAx>
        <c:axId val="12308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818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5368</c:v>
                </c:pt>
                <c:pt idx="13">
                  <c:v>4313</c:v>
                </c:pt>
                <c:pt idx="14">
                  <c:v>4161</c:v>
                </c:pt>
                <c:pt idx="15">
                  <c:v>4067</c:v>
                </c:pt>
                <c:pt idx="16">
                  <c:v>3975</c:v>
                </c:pt>
                <c:pt idx="17">
                  <c:v>4348</c:v>
                </c:pt>
                <c:pt idx="18">
                  <c:v>4553</c:v>
                </c:pt>
                <c:pt idx="19">
                  <c:v>4410</c:v>
                </c:pt>
                <c:pt idx="20">
                  <c:v>4378</c:v>
                </c:pt>
                <c:pt idx="21">
                  <c:v>4174</c:v>
                </c:pt>
                <c:pt idx="22">
                  <c:v>4180</c:v>
                </c:pt>
                <c:pt idx="23">
                  <c:v>4665</c:v>
                </c:pt>
                <c:pt idx="24">
                  <c:v>4088</c:v>
                </c:pt>
                <c:pt idx="25">
                  <c:v>5043</c:v>
                </c:pt>
                <c:pt idx="26">
                  <c:v>4706</c:v>
                </c:pt>
                <c:pt idx="27">
                  <c:v>4630</c:v>
                </c:pt>
                <c:pt idx="28">
                  <c:v>5693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8155</c:v>
                </c:pt>
                <c:pt idx="13">
                  <c:v>6837</c:v>
                </c:pt>
                <c:pt idx="14">
                  <c:v>5876</c:v>
                </c:pt>
                <c:pt idx="15">
                  <c:v>6236</c:v>
                </c:pt>
                <c:pt idx="16">
                  <c:v>6075</c:v>
                </c:pt>
                <c:pt idx="17">
                  <c:v>6368</c:v>
                </c:pt>
                <c:pt idx="18">
                  <c:v>6645</c:v>
                </c:pt>
                <c:pt idx="19">
                  <c:v>6637</c:v>
                </c:pt>
                <c:pt idx="20">
                  <c:v>6594</c:v>
                </c:pt>
                <c:pt idx="21">
                  <c:v>6364</c:v>
                </c:pt>
                <c:pt idx="22">
                  <c:v>5976</c:v>
                </c:pt>
                <c:pt idx="23">
                  <c:v>6034</c:v>
                </c:pt>
                <c:pt idx="24">
                  <c:v>6732</c:v>
                </c:pt>
                <c:pt idx="25">
                  <c:v>6965</c:v>
                </c:pt>
                <c:pt idx="26">
                  <c:v>7225</c:v>
                </c:pt>
                <c:pt idx="27">
                  <c:v>6780</c:v>
                </c:pt>
                <c:pt idx="28">
                  <c:v>7168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3841</c:v>
                </c:pt>
                <c:pt idx="13">
                  <c:v>3030</c:v>
                </c:pt>
                <c:pt idx="14">
                  <c:v>2895</c:v>
                </c:pt>
                <c:pt idx="15">
                  <c:v>2792</c:v>
                </c:pt>
                <c:pt idx="16">
                  <c:v>2771</c:v>
                </c:pt>
                <c:pt idx="17">
                  <c:v>2967</c:v>
                </c:pt>
                <c:pt idx="18">
                  <c:v>3164</c:v>
                </c:pt>
                <c:pt idx="19">
                  <c:v>2897</c:v>
                </c:pt>
                <c:pt idx="20">
                  <c:v>2937</c:v>
                </c:pt>
                <c:pt idx="21">
                  <c:v>2851</c:v>
                </c:pt>
                <c:pt idx="22">
                  <c:v>3168</c:v>
                </c:pt>
                <c:pt idx="23">
                  <c:v>3347</c:v>
                </c:pt>
                <c:pt idx="24">
                  <c:v>2861</c:v>
                </c:pt>
                <c:pt idx="25">
                  <c:v>3782</c:v>
                </c:pt>
                <c:pt idx="26">
                  <c:v>3106</c:v>
                </c:pt>
                <c:pt idx="27">
                  <c:v>4013</c:v>
                </c:pt>
                <c:pt idx="28">
                  <c:v>4327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80896"/>
        <c:axId val="63682432"/>
      </c:lineChart>
      <c:dateAx>
        <c:axId val="6368089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682432"/>
        <c:crosses val="autoZero"/>
        <c:auto val="1"/>
        <c:lblOffset val="100"/>
        <c:baseTimeUnit val="days"/>
      </c:dateAx>
      <c:valAx>
        <c:axId val="636824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68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593.6</c:v>
                </c:pt>
                <c:pt idx="14">
                  <c:v>630.70000000000005</c:v>
                </c:pt>
                <c:pt idx="15">
                  <c:v>1150.1000000000001</c:v>
                </c:pt>
                <c:pt idx="16">
                  <c:v>408.1</c:v>
                </c:pt>
                <c:pt idx="17">
                  <c:v>816.2</c:v>
                </c:pt>
                <c:pt idx="18">
                  <c:v>927.5</c:v>
                </c:pt>
                <c:pt idx="19">
                  <c:v>779.1</c:v>
                </c:pt>
                <c:pt idx="20">
                  <c:v>556.5</c:v>
                </c:pt>
                <c:pt idx="21">
                  <c:v>1484</c:v>
                </c:pt>
                <c:pt idx="22">
                  <c:v>593.6</c:v>
                </c:pt>
                <c:pt idx="23">
                  <c:v>816.2</c:v>
                </c:pt>
                <c:pt idx="24">
                  <c:v>333.90000000000003</c:v>
                </c:pt>
                <c:pt idx="25">
                  <c:v>259.7</c:v>
                </c:pt>
                <c:pt idx="26">
                  <c:v>222.60000000000002</c:v>
                </c:pt>
                <c:pt idx="27">
                  <c:v>853.30000000000007</c:v>
                </c:pt>
                <c:pt idx="28">
                  <c:v>853.30000000000007</c:v>
                </c:pt>
                <c:pt idx="29">
                  <c:v>630.70000000000005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46720"/>
        <c:axId val="122552320"/>
      </c:lineChart>
      <c:dateAx>
        <c:axId val="836467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52320"/>
        <c:crosses val="autoZero"/>
        <c:auto val="1"/>
        <c:lblOffset val="100"/>
        <c:baseTimeUnit val="days"/>
      </c:dateAx>
      <c:valAx>
        <c:axId val="1225523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9" sqref="N29:N3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8.3673000000000002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45049.743620000067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8.3673000000000002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46416.319089998782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8.3673000000000002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42540.554300000425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8.3673000000000002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40624.384639999815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8.3673000000000002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44525.190790000495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8.3673000000000002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41990.678789999823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8.3673000000000002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42474.710450000734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8.3673000000000002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45685.587579999024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8.3673000000000002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39802.778110000851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8.3673000000000002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41721.040599999629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8.3673000000000002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41754.640109999811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8.3673000000000002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43698.955429999391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17364</v>
      </c>
      <c r="F14" s="112">
        <v>1.002</v>
      </c>
      <c r="G14" s="112">
        <f>'Consommation du 01.11 au 30.11'!U22</f>
        <v>593.6</v>
      </c>
      <c r="H14" s="112">
        <v>8.3673000000000002</v>
      </c>
      <c r="I14" s="112">
        <f>'Consommation du 01.11 au 30.11'!Y22*1000</f>
        <v>15720.000000001164</v>
      </c>
      <c r="J14" s="112">
        <v>0.84</v>
      </c>
      <c r="K14" s="112">
        <f>'Consommation du 01.11 au 30.11'!D22</f>
        <v>470</v>
      </c>
      <c r="L14" s="112">
        <v>12.67</v>
      </c>
      <c r="M14" s="126">
        <f>'Consommation du 01.11 au 30.11'!AC22</f>
        <v>118</v>
      </c>
      <c r="N14" s="126">
        <v>181</v>
      </c>
      <c r="O14" s="112">
        <f t="shared" si="0"/>
        <v>41525.25728000098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14180</v>
      </c>
      <c r="F15" s="112">
        <v>1.002</v>
      </c>
      <c r="G15" s="112">
        <f>'Consommation du 01.11 au 30.11'!U23</f>
        <v>630.70000000000005</v>
      </c>
      <c r="H15" s="112">
        <v>8.3673000000000002</v>
      </c>
      <c r="I15" s="112">
        <f>'Consommation du 01.11 au 30.11'!Y23*1000</f>
        <v>14269.999999998618</v>
      </c>
      <c r="J15" s="112">
        <v>0.84</v>
      </c>
      <c r="K15" s="112">
        <f>'Consommation du 01.11 au 30.11'!D23</f>
        <v>430</v>
      </c>
      <c r="L15" s="112">
        <v>12.67</v>
      </c>
      <c r="M15" s="126">
        <f>'Consommation du 01.11 au 30.11'!AC23</f>
        <v>89</v>
      </c>
      <c r="N15" s="126">
        <v>147</v>
      </c>
      <c r="O15" s="112">
        <f t="shared" si="0"/>
        <v>36920.51610999884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12932</v>
      </c>
      <c r="F16" s="112">
        <v>1.002</v>
      </c>
      <c r="G16" s="112">
        <f>'Consommation du 01.11 au 30.11'!U24</f>
        <v>1150.1000000000001</v>
      </c>
      <c r="H16" s="112">
        <v>8.3673000000000002</v>
      </c>
      <c r="I16" s="112">
        <f>'Consommation du 01.11 au 30.11'!Y24*1000</f>
        <v>15140.000000001237</v>
      </c>
      <c r="J16" s="112">
        <v>0.84</v>
      </c>
      <c r="K16" s="112">
        <f>'Consommation du 01.11 au 30.11'!D24</f>
        <v>430</v>
      </c>
      <c r="L16" s="112">
        <v>12.67</v>
      </c>
      <c r="M16" s="126">
        <f>'Consommation du 01.11 au 30.11'!AC24</f>
        <v>91</v>
      </c>
      <c r="N16" s="126">
        <v>189</v>
      </c>
      <c r="O16" s="112">
        <f t="shared" si="0"/>
        <v>40746.795730001038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13095</v>
      </c>
      <c r="F17" s="112">
        <v>1.002</v>
      </c>
      <c r="G17" s="112">
        <f>'Consommation du 01.11 au 30.11'!U25</f>
        <v>408.1</v>
      </c>
      <c r="H17" s="112">
        <v>8.3673000000000002</v>
      </c>
      <c r="I17" s="112">
        <f>'Consommation du 01.11 au 30.11'!Y25*1000</f>
        <v>17149.999999999636</v>
      </c>
      <c r="J17" s="112">
        <v>0.84</v>
      </c>
      <c r="K17" s="112">
        <f>'Consommation du 01.11 au 30.11'!D25</f>
        <v>490</v>
      </c>
      <c r="L17" s="112">
        <v>12.67</v>
      </c>
      <c r="M17" s="126">
        <f>'Consommation du 01.11 au 30.11'!AC25</f>
        <v>93</v>
      </c>
      <c r="N17" s="126">
        <v>188</v>
      </c>
      <c r="O17" s="112">
        <f t="shared" si="0"/>
        <v>37150.1851299997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12821</v>
      </c>
      <c r="F18" s="112">
        <v>1.002</v>
      </c>
      <c r="G18" s="112">
        <f>'Consommation du 01.11 au 30.11'!U26</f>
        <v>816.2</v>
      </c>
      <c r="H18" s="112">
        <v>8.3673000000000002</v>
      </c>
      <c r="I18" s="112">
        <f>'Consommation du 01.11 au 30.11'!Y26*1000</f>
        <v>16209.999999999127</v>
      </c>
      <c r="J18" s="112">
        <v>0.84</v>
      </c>
      <c r="K18" s="112">
        <f>'Consommation du 01.11 au 30.11'!D26</f>
        <v>410</v>
      </c>
      <c r="L18" s="112">
        <v>12.67</v>
      </c>
      <c r="M18" s="126">
        <f>'Consommation du 01.11 au 30.11'!AC26</f>
        <v>109</v>
      </c>
      <c r="N18" s="126">
        <v>210</v>
      </c>
      <c r="O18" s="112">
        <f t="shared" si="0"/>
        <v>38487.132259999264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13683</v>
      </c>
      <c r="F19" s="112">
        <v>1.002</v>
      </c>
      <c r="G19" s="112">
        <f>'Consommation du 01.11 au 30.11'!U27</f>
        <v>927.5</v>
      </c>
      <c r="H19" s="112">
        <v>8.3673000000000002</v>
      </c>
      <c r="I19" s="112">
        <f>'Consommation du 01.11 au 30.11'!Y27*1000</f>
        <v>14570.000000001528</v>
      </c>
      <c r="J19" s="112">
        <v>0.84</v>
      </c>
      <c r="K19" s="112">
        <f>'Consommation du 01.11 au 30.11'!D27</f>
        <v>550</v>
      </c>
      <c r="L19" s="112">
        <v>12.67</v>
      </c>
      <c r="M19" s="126">
        <f>'Consommation du 01.11 au 30.11'!AC27</f>
        <v>92</v>
      </c>
      <c r="N19" s="126">
        <v>177</v>
      </c>
      <c r="O19" s="112">
        <f t="shared" si="0"/>
        <v>40678.336750001283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14362</v>
      </c>
      <c r="F20" s="112">
        <v>1.002</v>
      </c>
      <c r="G20" s="112">
        <f>'Consommation du 01.11 au 30.11'!U28</f>
        <v>779.1</v>
      </c>
      <c r="H20" s="112">
        <v>8.3673000000000002</v>
      </c>
      <c r="I20" s="112">
        <f>'Consommation du 01.11 au 30.11'!Y28*1000</f>
        <v>15559.999999999491</v>
      </c>
      <c r="J20" s="112">
        <v>0.84</v>
      </c>
      <c r="K20" s="112">
        <f>'Consommation du 01.11 au 30.11'!D28</f>
        <v>460</v>
      </c>
      <c r="L20" s="112">
        <v>12.67</v>
      </c>
      <c r="M20" s="126">
        <f>'Consommation du 01.11 au 30.11'!AC28</f>
        <v>75</v>
      </c>
      <c r="N20" s="126">
        <v>144</v>
      </c>
      <c r="O20" s="112">
        <f t="shared" si="0"/>
        <v>39808.287429999575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13944</v>
      </c>
      <c r="F21" s="112">
        <v>1.002</v>
      </c>
      <c r="G21" s="112">
        <f>'Consommation du 01.11 au 30.11'!U29</f>
        <v>556.5</v>
      </c>
      <c r="H21" s="112">
        <v>8.3673000000000002</v>
      </c>
      <c r="I21" s="112">
        <f>'Consommation du 01.11 au 30.11'!Y29*1000</f>
        <v>14440.000000000509</v>
      </c>
      <c r="J21" s="112">
        <v>0.84</v>
      </c>
      <c r="K21" s="112">
        <f>'Consommation du 01.11 au 30.11'!D29</f>
        <v>460</v>
      </c>
      <c r="L21" s="112">
        <v>12.67</v>
      </c>
      <c r="M21" s="126">
        <f>'Consommation du 01.11 au 30.11'!AC29</f>
        <v>54</v>
      </c>
      <c r="N21" s="126">
        <v>100</v>
      </c>
      <c r="O21" s="112">
        <f t="shared" si="0"/>
        <v>36586.090450000425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13909</v>
      </c>
      <c r="F22" s="112">
        <v>1.002</v>
      </c>
      <c r="G22" s="112">
        <f>'Consommation du 01.11 au 30.11'!U30</f>
        <v>1484</v>
      </c>
      <c r="H22" s="112">
        <v>8.3673000000000002</v>
      </c>
      <c r="I22" s="112">
        <f>'Consommation du 01.11 au 30.11'!Y30*1000</f>
        <v>8809.9999999994907</v>
      </c>
      <c r="J22" s="112">
        <v>0.84</v>
      </c>
      <c r="K22" s="112">
        <f>'Consommation du 01.11 au 30.11'!D30</f>
        <v>420</v>
      </c>
      <c r="L22" s="112">
        <v>12.67</v>
      </c>
      <c r="M22" s="126">
        <f>'Consommation du 01.11 au 30.11'!AC30</f>
        <v>132</v>
      </c>
      <c r="N22" s="126">
        <v>152</v>
      </c>
      <c r="O22" s="112">
        <f t="shared" si="0"/>
        <v>39075.691199999572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13389</v>
      </c>
      <c r="F23" s="112">
        <v>1.002</v>
      </c>
      <c r="G23" s="112">
        <f>'Consommation du 01.11 au 30.11'!U31</f>
        <v>593.6</v>
      </c>
      <c r="H23" s="112">
        <v>8.3673000000000002</v>
      </c>
      <c r="I23" s="112">
        <f>'Consommation du 01.11 au 30.11'!Y31*1000</f>
        <v>14850.000000000364</v>
      </c>
      <c r="J23" s="112">
        <v>0.84</v>
      </c>
      <c r="K23" s="112">
        <f>'Consommation du 01.11 au 30.11'!D31</f>
        <v>410</v>
      </c>
      <c r="L23" s="112">
        <v>12.67</v>
      </c>
      <c r="M23" s="126">
        <f>'Consommation du 01.11 au 30.11'!AC31</f>
        <v>133</v>
      </c>
      <c r="N23" s="126">
        <v>157</v>
      </c>
      <c r="O23" s="112">
        <f t="shared" si="0"/>
        <v>36051.307280000306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13324</v>
      </c>
      <c r="F24" s="112">
        <v>1.002</v>
      </c>
      <c r="G24" s="112">
        <f>'Consommation du 01.11 au 30.11'!U32</f>
        <v>816.2</v>
      </c>
      <c r="H24" s="112">
        <v>8.3673000000000002</v>
      </c>
      <c r="I24" s="112">
        <f>'Consommation du 01.11 au 30.11'!Y32*1000</f>
        <v>12600.000000000364</v>
      </c>
      <c r="J24" s="112">
        <v>0.84</v>
      </c>
      <c r="K24" s="112">
        <f>'Consommation du 01.11 au 30.11'!D32</f>
        <v>340</v>
      </c>
      <c r="L24" s="112">
        <v>12.67</v>
      </c>
      <c r="M24" s="126">
        <f>'Consommation du 01.11 au 30.11'!AC32</f>
        <v>41</v>
      </c>
      <c r="N24">
        <v>81</v>
      </c>
      <c r="O24" s="112">
        <f t="shared" si="0"/>
        <v>35071.83826000031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14046</v>
      </c>
      <c r="F25" s="112">
        <v>1.002</v>
      </c>
      <c r="G25" s="112">
        <f>'Consommation du 01.11 au 30.11'!U33</f>
        <v>333.90000000000003</v>
      </c>
      <c r="H25" s="112">
        <v>8.3673000000000002</v>
      </c>
      <c r="I25" s="112">
        <f>'Consommation du 01.11 au 30.11'!Y33*1000</f>
        <v>18269.999999998618</v>
      </c>
      <c r="J25" s="112">
        <v>0.84</v>
      </c>
      <c r="K25" s="112">
        <f>'Consommation du 01.11 au 30.11'!D33</f>
        <v>390</v>
      </c>
      <c r="L25" s="112">
        <v>12.67</v>
      </c>
      <c r="M25" s="126">
        <f>'Consommation du 01.11 au 30.11'!AC33</f>
        <v>71</v>
      </c>
      <c r="N25" s="126">
        <v>142</v>
      </c>
      <c r="O25" s="112">
        <f t="shared" si="0"/>
        <v>37156.033469998838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13681</v>
      </c>
      <c r="F26" s="112">
        <v>1.002</v>
      </c>
      <c r="G26" s="112">
        <f>'Consommation du 01.11 au 30.11'!U34</f>
        <v>259.7</v>
      </c>
      <c r="H26" s="112">
        <v>8.3673000000000002</v>
      </c>
      <c r="I26" s="112">
        <f>'Consommation du 01.11 au 30.11'!Y34*1000</f>
        <v>17409.999999999854</v>
      </c>
      <c r="J26" s="112">
        <v>0.84</v>
      </c>
      <c r="K26" s="112">
        <f>'Consommation du 01.11 au 30.11'!D34</f>
        <v>380</v>
      </c>
      <c r="L26" s="112">
        <v>12.67</v>
      </c>
      <c r="M26" s="126">
        <f>'Consommation du 01.11 au 30.11'!AC34</f>
        <v>76</v>
      </c>
      <c r="N26" s="126">
        <v>141</v>
      </c>
      <c r="O26" s="112">
        <f t="shared" si="0"/>
        <v>35320.349809999876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15790</v>
      </c>
      <c r="F27" s="112">
        <v>1.002</v>
      </c>
      <c r="G27" s="112">
        <f>'Consommation du 01.11 au 30.11'!U35</f>
        <v>222.60000000000002</v>
      </c>
      <c r="H27" s="112">
        <v>8.3673000000000002</v>
      </c>
      <c r="I27" s="112">
        <f>'Consommation du 01.11 au 30.11'!Y35*1000</f>
        <v>17150.000000001455</v>
      </c>
      <c r="J27" s="112">
        <v>0.84</v>
      </c>
      <c r="K27" s="112">
        <f>'Consommation du 01.11 au 30.11'!D35</f>
        <v>410</v>
      </c>
      <c r="L27" s="112">
        <v>12.67</v>
      </c>
      <c r="M27" s="126">
        <f>'Consommation du 01.11 au 30.11'!AC35</f>
        <v>80</v>
      </c>
      <c r="N27" s="126">
        <v>149</v>
      </c>
      <c r="O27" s="112">
        <f t="shared" si="0"/>
        <v>37284.840980001223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15037</v>
      </c>
      <c r="F28" s="112">
        <v>1.002</v>
      </c>
      <c r="G28" s="112">
        <f>'Consommation du 01.11 au 30.11'!U36</f>
        <v>853.30000000000007</v>
      </c>
      <c r="H28" s="112">
        <v>8.3673000000000002</v>
      </c>
      <c r="I28" s="112">
        <f>'Consommation du 01.11 au 30.11'!Y36*1000</f>
        <v>14250</v>
      </c>
      <c r="J28" s="112">
        <v>0.84</v>
      </c>
      <c r="K28" s="112">
        <f>'Consommation du 01.11 au 30.11'!D36</f>
        <v>410</v>
      </c>
      <c r="L28" s="112">
        <v>12.67</v>
      </c>
      <c r="M28" s="126">
        <f>'Consommation du 01.11 au 30.11'!AC36</f>
        <v>83</v>
      </c>
      <c r="N28" s="126">
        <v>166</v>
      </c>
      <c r="O28" s="112">
        <f t="shared" si="0"/>
        <v>39371.591090000002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15423</v>
      </c>
      <c r="F29" s="112">
        <v>1.002</v>
      </c>
      <c r="G29" s="112">
        <f>'Consommation du 01.11 au 30.11'!U37</f>
        <v>853.30000000000007</v>
      </c>
      <c r="H29" s="112">
        <v>8.3673000000000002</v>
      </c>
      <c r="I29" s="112">
        <f>'Consommation du 01.11 au 30.11'!Y37*1000</f>
        <v>14199.999999998909</v>
      </c>
      <c r="J29" s="112">
        <v>0.84</v>
      </c>
      <c r="K29" s="112">
        <f>'Consommation du 01.11 au 30.11'!D37</f>
        <v>450</v>
      </c>
      <c r="L29" s="112">
        <v>12.67</v>
      </c>
      <c r="M29" s="126">
        <f>'Consommation du 01.11 au 30.11'!AC37</f>
        <v>123</v>
      </c>
      <c r="N29" s="126">
        <v>248</v>
      </c>
      <c r="O29" s="112">
        <f t="shared" si="0"/>
        <v>40223.163089999085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17188</v>
      </c>
      <c r="F30" s="112">
        <v>1.002</v>
      </c>
      <c r="G30" s="112">
        <f>'Consommation du 01.11 au 30.11'!U38</f>
        <v>630.70000000000005</v>
      </c>
      <c r="H30" s="112">
        <v>8.3673000000000002</v>
      </c>
      <c r="I30" s="112">
        <f>'Consommation du 01.11 au 30.11'!Y38*1000</f>
        <v>13630.000000001019</v>
      </c>
      <c r="J30" s="112">
        <v>0.84</v>
      </c>
      <c r="K30" s="112">
        <f>'Consommation du 01.11 au 30.11'!D38</f>
        <v>410</v>
      </c>
      <c r="L30" s="112">
        <v>12.67</v>
      </c>
      <c r="M30" s="126">
        <f>'Consommation du 01.11 au 30.11'!AC38</f>
        <v>137</v>
      </c>
      <c r="N30" s="126">
        <v>277</v>
      </c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8.3673000000000002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8" zoomScale="55" zoomScaleNormal="55" zoomScaleSheetLayoutView="50" workbookViewId="0">
      <selection activeCell="AB39" sqref="AB3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36"/>
      <c r="B2" s="237"/>
      <c r="C2" s="237"/>
      <c r="D2" s="237"/>
      <c r="E2" s="237"/>
      <c r="F2" s="238"/>
      <c r="G2" s="225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7"/>
      <c r="AD2" s="201"/>
      <c r="AE2" s="201"/>
      <c r="AF2" s="201"/>
      <c r="AJ2" s="66"/>
    </row>
    <row r="3" spans="1:37" ht="1.5" customHeight="1" x14ac:dyDescent="0.2"/>
    <row r="4" spans="1:37" ht="39" hidden="1" customHeight="1" x14ac:dyDescent="0.2">
      <c r="A4" s="239"/>
      <c r="B4" s="239"/>
      <c r="C4" s="239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9"/>
      <c r="B5" s="239"/>
      <c r="C5" s="239"/>
      <c r="D5" s="6"/>
      <c r="E5" s="6"/>
      <c r="F5" s="6"/>
      <c r="G5" s="6"/>
      <c r="H5" s="6"/>
      <c r="I5" s="6"/>
      <c r="J5" s="6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1"/>
      <c r="E7" s="181"/>
      <c r="F7" s="181"/>
      <c r="G7" s="181"/>
      <c r="H7" s="181"/>
      <c r="I7" s="181"/>
      <c r="J7" s="181"/>
      <c r="K7" s="181"/>
      <c r="L7" s="182"/>
      <c r="M7" s="182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4"/>
      <c r="AC7" s="14"/>
      <c r="AI7" s="6"/>
      <c r="AJ7" s="6"/>
      <c r="AK7" s="6"/>
    </row>
    <row r="8" spans="1:37" ht="2.25" customHeight="1" thickBot="1" x14ac:dyDescent="0.25">
      <c r="A8" s="181"/>
      <c r="B8" s="241" t="s">
        <v>1</v>
      </c>
      <c r="C8" s="4"/>
      <c r="D8" s="242" t="s">
        <v>4</v>
      </c>
      <c r="E8" s="5"/>
      <c r="F8" s="228" t="s">
        <v>12</v>
      </c>
      <c r="G8" s="229"/>
      <c r="H8" s="230"/>
      <c r="I8" s="5"/>
      <c r="J8" s="185" t="s">
        <v>3</v>
      </c>
      <c r="K8" s="185"/>
      <c r="L8" s="185"/>
      <c r="M8" s="185" t="s">
        <v>2</v>
      </c>
      <c r="N8" s="5"/>
      <c r="O8" s="234" t="s">
        <v>12</v>
      </c>
      <c r="P8" s="5"/>
      <c r="Q8" s="234" t="s">
        <v>5</v>
      </c>
      <c r="R8" s="5"/>
      <c r="S8" s="234" t="s">
        <v>6</v>
      </c>
      <c r="T8" s="5"/>
      <c r="U8" s="183" t="s">
        <v>39</v>
      </c>
      <c r="V8" s="5"/>
      <c r="W8" s="234" t="s">
        <v>12</v>
      </c>
      <c r="X8" s="74"/>
      <c r="Y8" s="74"/>
      <c r="Z8" s="74"/>
      <c r="AA8" s="246"/>
      <c r="AB8" s="244" t="s">
        <v>80</v>
      </c>
      <c r="AC8" s="234" t="s">
        <v>75</v>
      </c>
      <c r="AD8" s="251" t="s">
        <v>54</v>
      </c>
      <c r="AE8" s="249" t="s">
        <v>59</v>
      </c>
      <c r="AF8" s="249" t="s">
        <v>60</v>
      </c>
      <c r="AG8" s="247" t="s">
        <v>61</v>
      </c>
      <c r="AH8" s="247" t="s">
        <v>62</v>
      </c>
      <c r="AI8" s="78"/>
      <c r="AJ8" s="78"/>
      <c r="AK8" s="78"/>
    </row>
    <row r="9" spans="1:37" ht="116.25" customHeight="1" thickBot="1" x14ac:dyDescent="0.25">
      <c r="A9" s="181"/>
      <c r="B9" s="241"/>
      <c r="C9" s="4"/>
      <c r="D9" s="243"/>
      <c r="E9" s="5"/>
      <c r="F9" s="231"/>
      <c r="G9" s="232"/>
      <c r="H9" s="233"/>
      <c r="I9" s="5"/>
      <c r="J9" s="90" t="s">
        <v>7</v>
      </c>
      <c r="K9" s="90" t="s">
        <v>8</v>
      </c>
      <c r="L9" s="90" t="s">
        <v>9</v>
      </c>
      <c r="M9" s="185"/>
      <c r="N9" s="5"/>
      <c r="O9" s="235"/>
      <c r="P9" s="5"/>
      <c r="Q9" s="235"/>
      <c r="R9" s="5"/>
      <c r="S9" s="235"/>
      <c r="T9" s="5"/>
      <c r="U9" s="184"/>
      <c r="V9" s="5"/>
      <c r="W9" s="235"/>
      <c r="X9" s="140" t="s">
        <v>81</v>
      </c>
      <c r="Y9" s="105" t="s">
        <v>55</v>
      </c>
      <c r="Z9" s="106" t="s">
        <v>56</v>
      </c>
      <c r="AA9" s="246"/>
      <c r="AB9" s="245"/>
      <c r="AC9" s="240"/>
      <c r="AD9" s="252"/>
      <c r="AE9" s="250"/>
      <c r="AF9" s="250"/>
      <c r="AG9" s="248"/>
      <c r="AH9" s="248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175">
        <f>D10*12.67</f>
        <v>8235.5</v>
      </c>
      <c r="G10" s="175"/>
      <c r="H10" s="176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U10*8.3673</f>
        <v>4345.9756200000002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175">
        <f t="shared" ref="F11:F40" si="0">D11*12.67</f>
        <v>6208.3</v>
      </c>
      <c r="G11" s="175"/>
      <c r="H11" s="176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U11*8.3673</f>
        <v>7139.8170900000005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175">
        <f t="shared" si="0"/>
        <v>6715.1</v>
      </c>
      <c r="G12" s="175"/>
      <c r="H12" s="176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3104.2683000000002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175">
        <f t="shared" si="0"/>
        <v>6715.1</v>
      </c>
      <c r="G13" s="175"/>
      <c r="H13" s="176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2483.41464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175">
        <f t="shared" si="0"/>
        <v>10389.4</v>
      </c>
      <c r="G14" s="175"/>
      <c r="H14" s="176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4035.5487900000003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175">
        <f t="shared" si="0"/>
        <v>7221.9</v>
      </c>
      <c r="G15" s="175"/>
      <c r="H15" s="176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4035.5487900000003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175">
        <f t="shared" si="0"/>
        <v>6715.1</v>
      </c>
      <c r="G16" s="175"/>
      <c r="H16" s="176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4656.4024500000005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175">
        <f t="shared" si="0"/>
        <v>6588.4</v>
      </c>
      <c r="G17" s="175"/>
      <c r="H17" s="176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8071.0975800000006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175">
        <f t="shared" si="0"/>
        <v>5448.1</v>
      </c>
      <c r="G18" s="175"/>
      <c r="H18" s="176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5277.2561100000003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175">
        <f t="shared" si="0"/>
        <v>5828.2</v>
      </c>
      <c r="G19" s="175"/>
      <c r="H19" s="176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6208.5366000000004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175">
        <f t="shared" si="0"/>
        <v>6081.6</v>
      </c>
      <c r="G20" s="175"/>
      <c r="H20" s="176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5277.2561100000003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175">
        <f t="shared" si="0"/>
        <v>5954.9</v>
      </c>
      <c r="G21" s="175"/>
      <c r="H21" s="176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6518.9634300000007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470</v>
      </c>
      <c r="E22" s="116"/>
      <c r="F22" s="175">
        <f t="shared" si="0"/>
        <v>5954.9</v>
      </c>
      <c r="G22" s="175"/>
      <c r="H22" s="176"/>
      <c r="I22" s="97"/>
      <c r="J22" s="121">
        <f>'Suivi EAU-ELEC'!E28</f>
        <v>5368</v>
      </c>
      <c r="K22" s="122">
        <f>'Suivi EAU-ELEC'!G28</f>
        <v>8155</v>
      </c>
      <c r="L22" s="122">
        <f>'Suivi EAU-ELEC'!I28</f>
        <v>3841</v>
      </c>
      <c r="M22" s="123">
        <f t="shared" si="1"/>
        <v>17364</v>
      </c>
      <c r="N22" s="96"/>
      <c r="O22" s="99">
        <f t="shared" si="2"/>
        <v>17398.727999999999</v>
      </c>
      <c r="P22" s="95"/>
      <c r="Q22" s="94"/>
      <c r="R22" s="93"/>
      <c r="S22" s="94"/>
      <c r="T22" s="101"/>
      <c r="U22" s="100">
        <f>'Suvi Gaz'!O23</f>
        <v>593.6</v>
      </c>
      <c r="V22" s="97"/>
      <c r="W22" s="99">
        <f t="shared" si="3"/>
        <v>4966.8292799999999</v>
      </c>
      <c r="X22" s="161">
        <v>15274.47</v>
      </c>
      <c r="Y22" s="103">
        <f t="shared" si="4"/>
        <v>15.720000000001164</v>
      </c>
      <c r="Z22" s="104">
        <f t="shared" si="5"/>
        <v>13204.800000000978</v>
      </c>
      <c r="AA22" s="97"/>
      <c r="AB22" s="119">
        <v>20</v>
      </c>
      <c r="AC22" s="133">
        <v>118</v>
      </c>
      <c r="AD22" s="129">
        <v>0.89390000000000003</v>
      </c>
      <c r="AE22" s="159">
        <v>27.4</v>
      </c>
      <c r="AF22" s="137">
        <v>28</v>
      </c>
      <c r="AG22" s="157">
        <v>27</v>
      </c>
      <c r="AH22" s="158">
        <v>28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430</v>
      </c>
      <c r="E23" s="116"/>
      <c r="F23" s="175">
        <f t="shared" si="0"/>
        <v>5448.1</v>
      </c>
      <c r="G23" s="175"/>
      <c r="H23" s="176"/>
      <c r="I23" s="97"/>
      <c r="J23" s="121">
        <f>'Suivi EAU-ELEC'!E29</f>
        <v>4313</v>
      </c>
      <c r="K23" s="122">
        <f>'Suivi EAU-ELEC'!G29</f>
        <v>6837</v>
      </c>
      <c r="L23" s="122">
        <f>'Suivi EAU-ELEC'!I29</f>
        <v>3030</v>
      </c>
      <c r="M23" s="123">
        <f t="shared" si="1"/>
        <v>14180</v>
      </c>
      <c r="N23" s="96"/>
      <c r="O23" s="99">
        <f t="shared" si="2"/>
        <v>14208.36</v>
      </c>
      <c r="P23" s="95"/>
      <c r="Q23" s="94"/>
      <c r="R23" s="93"/>
      <c r="S23" s="94"/>
      <c r="T23" s="101"/>
      <c r="U23" s="100">
        <f>'Suvi Gaz'!O24</f>
        <v>630.70000000000005</v>
      </c>
      <c r="V23" s="97"/>
      <c r="W23" s="99">
        <f t="shared" si="3"/>
        <v>5277.2561100000003</v>
      </c>
      <c r="X23" s="161">
        <v>15290.19</v>
      </c>
      <c r="Y23" s="103">
        <f t="shared" si="4"/>
        <v>14.269999999998618</v>
      </c>
      <c r="Z23" s="104">
        <f t="shared" si="5"/>
        <v>11986.799999998839</v>
      </c>
      <c r="AA23" s="97"/>
      <c r="AB23" s="119">
        <v>20</v>
      </c>
      <c r="AC23" s="133">
        <v>89</v>
      </c>
      <c r="AD23" s="129">
        <v>0.66420000000000001</v>
      </c>
      <c r="AE23" s="159">
        <v>27.5</v>
      </c>
      <c r="AF23" s="137">
        <v>28</v>
      </c>
      <c r="AG23" s="157">
        <v>27.5</v>
      </c>
      <c r="AH23" s="158">
        <v>27.8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430</v>
      </c>
      <c r="E24" s="116"/>
      <c r="F24" s="175">
        <f t="shared" si="0"/>
        <v>5448.1</v>
      </c>
      <c r="G24" s="175"/>
      <c r="H24" s="176"/>
      <c r="I24" s="97"/>
      <c r="J24" s="121">
        <f>'Suivi EAU-ELEC'!E30</f>
        <v>4161</v>
      </c>
      <c r="K24" s="122">
        <f>'Suivi EAU-ELEC'!G30</f>
        <v>5876</v>
      </c>
      <c r="L24" s="122">
        <f>'Suivi EAU-ELEC'!I30</f>
        <v>2895</v>
      </c>
      <c r="M24" s="123">
        <f t="shared" si="1"/>
        <v>12932</v>
      </c>
      <c r="N24" s="96"/>
      <c r="O24" s="99">
        <f t="shared" si="2"/>
        <v>12957.864</v>
      </c>
      <c r="P24" s="95"/>
      <c r="Q24" s="94"/>
      <c r="R24" s="93"/>
      <c r="S24" s="94"/>
      <c r="T24" s="101"/>
      <c r="U24" s="100">
        <f>'Suvi Gaz'!O25</f>
        <v>1150.1000000000001</v>
      </c>
      <c r="V24" s="97"/>
      <c r="W24" s="99">
        <f t="shared" si="3"/>
        <v>9623.2317300000013</v>
      </c>
      <c r="X24" s="161">
        <v>15304.46</v>
      </c>
      <c r="Y24" s="103">
        <f t="shared" si="4"/>
        <v>15.140000000001237</v>
      </c>
      <c r="Z24" s="104">
        <f t="shared" si="5"/>
        <v>12717.600000001039</v>
      </c>
      <c r="AA24" s="97"/>
      <c r="AB24" s="119">
        <v>15</v>
      </c>
      <c r="AC24" s="133">
        <v>91</v>
      </c>
      <c r="AD24" s="129">
        <v>0.71089999999999998</v>
      </c>
      <c r="AE24" s="159">
        <v>27.7</v>
      </c>
      <c r="AF24" s="137">
        <v>28</v>
      </c>
      <c r="AG24" s="157">
        <v>28.2</v>
      </c>
      <c r="AH24" s="158">
        <v>28.5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490</v>
      </c>
      <c r="E25" s="116"/>
      <c r="F25" s="175">
        <f t="shared" si="0"/>
        <v>6208.3</v>
      </c>
      <c r="G25" s="175"/>
      <c r="H25" s="176"/>
      <c r="I25" s="97"/>
      <c r="J25" s="121">
        <f>'Suivi EAU-ELEC'!E31</f>
        <v>4067</v>
      </c>
      <c r="K25" s="122">
        <f>'Suivi EAU-ELEC'!G31</f>
        <v>6236</v>
      </c>
      <c r="L25" s="122">
        <f>'Suivi EAU-ELEC'!I31</f>
        <v>2792</v>
      </c>
      <c r="M25" s="123">
        <f t="shared" si="1"/>
        <v>13095</v>
      </c>
      <c r="N25" s="96"/>
      <c r="O25" s="99">
        <f t="shared" si="2"/>
        <v>13121.19</v>
      </c>
      <c r="P25" s="95"/>
      <c r="Q25" s="94"/>
      <c r="R25" s="93"/>
      <c r="S25" s="94"/>
      <c r="T25" s="101"/>
      <c r="U25" s="100">
        <f>'Suvi Gaz'!O26</f>
        <v>408.1</v>
      </c>
      <c r="V25" s="97"/>
      <c r="W25" s="99">
        <f t="shared" si="3"/>
        <v>3414.6951300000001</v>
      </c>
      <c r="X25" s="161">
        <v>15319.6</v>
      </c>
      <c r="Y25" s="103">
        <f t="shared" si="4"/>
        <v>17.149999999999636</v>
      </c>
      <c r="Z25" s="104">
        <f t="shared" si="5"/>
        <v>14405.999999999693</v>
      </c>
      <c r="AA25" s="97"/>
      <c r="AB25" s="119">
        <v>12</v>
      </c>
      <c r="AC25" s="133">
        <v>93</v>
      </c>
      <c r="AD25" s="129">
        <v>0.69920000000000004</v>
      </c>
      <c r="AE25" s="159">
        <v>27.4</v>
      </c>
      <c r="AF25" s="137">
        <v>28</v>
      </c>
      <c r="AG25" s="157">
        <v>27.5</v>
      </c>
      <c r="AH25" s="158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410</v>
      </c>
      <c r="E26" s="117"/>
      <c r="F26" s="175">
        <f t="shared" si="0"/>
        <v>5194.7</v>
      </c>
      <c r="G26" s="175"/>
      <c r="H26" s="176"/>
      <c r="I26" s="97"/>
      <c r="J26" s="121">
        <f>'Suivi EAU-ELEC'!E32</f>
        <v>3975</v>
      </c>
      <c r="K26" s="122">
        <f>'Suivi EAU-ELEC'!G32</f>
        <v>6075</v>
      </c>
      <c r="L26" s="122">
        <f>'Suivi EAU-ELEC'!I32</f>
        <v>2771</v>
      </c>
      <c r="M26" s="123">
        <f t="shared" si="1"/>
        <v>12821</v>
      </c>
      <c r="N26" s="96"/>
      <c r="O26" s="99">
        <f t="shared" si="2"/>
        <v>12846.642</v>
      </c>
      <c r="P26" s="95"/>
      <c r="Q26" s="94"/>
      <c r="R26" s="93"/>
      <c r="S26" s="94"/>
      <c r="T26" s="101"/>
      <c r="U26" s="100">
        <f>'Suvi Gaz'!O27</f>
        <v>816.2</v>
      </c>
      <c r="V26" s="98"/>
      <c r="W26" s="99">
        <f t="shared" si="3"/>
        <v>6829.3902600000001</v>
      </c>
      <c r="X26" s="161">
        <v>15336.75</v>
      </c>
      <c r="Y26" s="103">
        <f t="shared" si="4"/>
        <v>16.209999999999127</v>
      </c>
      <c r="Z26" s="104">
        <f t="shared" si="5"/>
        <v>13616.399999999267</v>
      </c>
      <c r="AA26" s="98"/>
      <c r="AB26" s="119">
        <v>15</v>
      </c>
      <c r="AC26" s="133">
        <v>109</v>
      </c>
      <c r="AD26" s="129">
        <v>0.84499999999999997</v>
      </c>
      <c r="AE26" s="159">
        <v>26.5</v>
      </c>
      <c r="AF26" s="137">
        <v>27</v>
      </c>
      <c r="AG26" s="157">
        <v>26.5</v>
      </c>
      <c r="AH26" s="158">
        <v>27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550</v>
      </c>
      <c r="E27" s="117"/>
      <c r="F27" s="175">
        <f t="shared" si="0"/>
        <v>6968.5</v>
      </c>
      <c r="G27" s="175"/>
      <c r="H27" s="176"/>
      <c r="I27" s="97"/>
      <c r="J27" s="121">
        <f>'Suivi EAU-ELEC'!E33</f>
        <v>4348</v>
      </c>
      <c r="K27" s="122">
        <f>'Suivi EAU-ELEC'!G33</f>
        <v>6368</v>
      </c>
      <c r="L27" s="122">
        <f>'Suivi EAU-ELEC'!I33</f>
        <v>2967</v>
      </c>
      <c r="M27" s="123">
        <f t="shared" si="1"/>
        <v>13683</v>
      </c>
      <c r="N27" s="96"/>
      <c r="O27" s="99">
        <f>M27*1.002</f>
        <v>13710.366</v>
      </c>
      <c r="P27" s="95"/>
      <c r="Q27" s="94"/>
      <c r="R27" s="93"/>
      <c r="S27" s="94"/>
      <c r="T27" s="101"/>
      <c r="U27" s="100">
        <f>'Suvi Gaz'!O28</f>
        <v>927.5</v>
      </c>
      <c r="V27" s="98"/>
      <c r="W27" s="99">
        <f t="shared" si="3"/>
        <v>7760.6707500000002</v>
      </c>
      <c r="X27" s="161">
        <v>15352.96</v>
      </c>
      <c r="Y27" s="103">
        <f t="shared" si="4"/>
        <v>14.570000000001528</v>
      </c>
      <c r="Z27" s="104">
        <f t="shared" si="5"/>
        <v>12238.800000001283</v>
      </c>
      <c r="AA27" s="98"/>
      <c r="AB27" s="119">
        <v>17</v>
      </c>
      <c r="AC27" s="133">
        <v>92</v>
      </c>
      <c r="AD27" s="129">
        <v>0.69699999999999995</v>
      </c>
      <c r="AE27" s="159">
        <v>26.4</v>
      </c>
      <c r="AF27" s="137">
        <v>27</v>
      </c>
      <c r="AG27" s="157">
        <v>26.4</v>
      </c>
      <c r="AH27" s="158">
        <v>27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460</v>
      </c>
      <c r="E28" s="117"/>
      <c r="F28" s="175">
        <f t="shared" si="0"/>
        <v>5828.2</v>
      </c>
      <c r="G28" s="175"/>
      <c r="H28" s="176"/>
      <c r="I28" s="98"/>
      <c r="J28" s="121">
        <f>'Suivi EAU-ELEC'!E34</f>
        <v>4553</v>
      </c>
      <c r="K28" s="122">
        <f>'Suivi EAU-ELEC'!G34</f>
        <v>6645</v>
      </c>
      <c r="L28" s="122">
        <f>'Suivi EAU-ELEC'!I34</f>
        <v>3164</v>
      </c>
      <c r="M28" s="123">
        <f t="shared" si="1"/>
        <v>14362</v>
      </c>
      <c r="N28" s="96"/>
      <c r="O28" s="99">
        <f t="shared" si="2"/>
        <v>14390.724</v>
      </c>
      <c r="P28" s="95"/>
      <c r="Q28" s="94"/>
      <c r="R28" s="93"/>
      <c r="S28" s="94"/>
      <c r="T28" s="101"/>
      <c r="U28" s="100">
        <f>'Suvi Gaz'!O29</f>
        <v>779.1</v>
      </c>
      <c r="V28" s="98"/>
      <c r="W28" s="99">
        <f t="shared" si="3"/>
        <v>6518.9634300000007</v>
      </c>
      <c r="X28" s="161">
        <v>15367.53</v>
      </c>
      <c r="Y28" s="103">
        <f t="shared" si="4"/>
        <v>15.559999999999491</v>
      </c>
      <c r="Z28" s="104">
        <f t="shared" si="5"/>
        <v>13070.39999999957</v>
      </c>
      <c r="AA28" s="98"/>
      <c r="AB28" s="119">
        <v>16</v>
      </c>
      <c r="AC28" s="133">
        <v>75</v>
      </c>
      <c r="AD28" s="129">
        <v>0.56820000000000004</v>
      </c>
      <c r="AE28" s="159">
        <v>26.5</v>
      </c>
      <c r="AF28" s="137">
        <v>27</v>
      </c>
      <c r="AG28" s="157">
        <v>26.8</v>
      </c>
      <c r="AH28" s="158">
        <v>27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460</v>
      </c>
      <c r="E29" s="117"/>
      <c r="F29" s="175">
        <f t="shared" si="0"/>
        <v>5828.2</v>
      </c>
      <c r="G29" s="175"/>
      <c r="H29" s="176"/>
      <c r="I29" s="98"/>
      <c r="J29" s="121">
        <f>'Suivi EAU-ELEC'!E35</f>
        <v>4410</v>
      </c>
      <c r="K29" s="122">
        <f>'Suivi EAU-ELEC'!G35</f>
        <v>6637</v>
      </c>
      <c r="L29" s="122">
        <f>'Suivi EAU-ELEC'!I35</f>
        <v>2897</v>
      </c>
      <c r="M29" s="123">
        <f t="shared" si="1"/>
        <v>13944</v>
      </c>
      <c r="N29" s="96"/>
      <c r="O29" s="99">
        <f t="shared" si="2"/>
        <v>13971.888000000001</v>
      </c>
      <c r="P29" s="95"/>
      <c r="Q29" s="94"/>
      <c r="R29" s="93"/>
      <c r="S29" s="94"/>
      <c r="T29" s="101"/>
      <c r="U29" s="100">
        <f>'Suvi Gaz'!O30</f>
        <v>556.5</v>
      </c>
      <c r="V29" s="98"/>
      <c r="W29" s="99">
        <f t="shared" si="3"/>
        <v>4656.4024500000005</v>
      </c>
      <c r="X29" s="161">
        <v>15383.09</v>
      </c>
      <c r="Y29" s="103">
        <f t="shared" si="4"/>
        <v>14.440000000000509</v>
      </c>
      <c r="Z29" s="104">
        <f t="shared" si="5"/>
        <v>12129.600000000428</v>
      </c>
      <c r="AA29" s="98"/>
      <c r="AB29" s="119">
        <v>17</v>
      </c>
      <c r="AC29" s="133">
        <v>54</v>
      </c>
      <c r="AD29" s="129">
        <v>0.40600000000000003</v>
      </c>
      <c r="AE29" s="159">
        <v>26.4</v>
      </c>
      <c r="AF29" s="137">
        <v>27</v>
      </c>
      <c r="AG29" s="157">
        <v>26.3</v>
      </c>
      <c r="AH29" s="158">
        <v>27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420</v>
      </c>
      <c r="E30" s="117"/>
      <c r="F30" s="175">
        <f t="shared" si="0"/>
        <v>5321.4</v>
      </c>
      <c r="G30" s="175"/>
      <c r="H30" s="176"/>
      <c r="I30" s="98"/>
      <c r="J30" s="121">
        <f>'Suivi EAU-ELEC'!E36</f>
        <v>4378</v>
      </c>
      <c r="K30" s="122">
        <f>'Suivi EAU-ELEC'!G36</f>
        <v>6594</v>
      </c>
      <c r="L30" s="122">
        <f>'Suivi EAU-ELEC'!I36</f>
        <v>2937</v>
      </c>
      <c r="M30" s="123">
        <f t="shared" si="1"/>
        <v>13909</v>
      </c>
      <c r="N30" s="96"/>
      <c r="O30" s="99">
        <f t="shared" si="2"/>
        <v>13936.817999999999</v>
      </c>
      <c r="P30" s="95"/>
      <c r="Q30" s="94"/>
      <c r="R30" s="93"/>
      <c r="S30" s="94"/>
      <c r="T30" s="101"/>
      <c r="U30" s="100">
        <f>'Suvi Gaz'!O31</f>
        <v>1484</v>
      </c>
      <c r="V30" s="98"/>
      <c r="W30" s="99">
        <f t="shared" si="3"/>
        <v>12417.073200000001</v>
      </c>
      <c r="X30" s="161">
        <v>15397.53</v>
      </c>
      <c r="Y30" s="103">
        <f t="shared" si="4"/>
        <v>8.8099999999994907</v>
      </c>
      <c r="Z30" s="104">
        <f t="shared" si="5"/>
        <v>7400.3999999995722</v>
      </c>
      <c r="AA30" s="98"/>
      <c r="AB30" s="119">
        <v>13</v>
      </c>
      <c r="AC30" s="133">
        <v>132</v>
      </c>
      <c r="AD30" s="129">
        <v>0.95650000000000002</v>
      </c>
      <c r="AE30" s="159">
        <v>27.4</v>
      </c>
      <c r="AF30" s="137">
        <v>28</v>
      </c>
      <c r="AG30" s="157">
        <v>27.4</v>
      </c>
      <c r="AH30" s="158">
        <v>28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410</v>
      </c>
      <c r="E31" s="93"/>
      <c r="F31" s="175">
        <f t="shared" si="0"/>
        <v>5194.7</v>
      </c>
      <c r="G31" s="175"/>
      <c r="H31" s="176"/>
      <c r="I31" s="96"/>
      <c r="J31" s="121">
        <f>'Suivi EAU-ELEC'!E37</f>
        <v>4174</v>
      </c>
      <c r="K31" s="122">
        <f>'Suivi EAU-ELEC'!G37</f>
        <v>6364</v>
      </c>
      <c r="L31" s="122">
        <f>'Suivi EAU-ELEC'!I37</f>
        <v>2851</v>
      </c>
      <c r="M31" s="123">
        <f t="shared" si="1"/>
        <v>13389</v>
      </c>
      <c r="N31" s="96"/>
      <c r="O31" s="99">
        <f t="shared" si="2"/>
        <v>13415.778</v>
      </c>
      <c r="P31" s="95"/>
      <c r="Q31" s="94"/>
      <c r="R31" s="93"/>
      <c r="S31" s="94"/>
      <c r="T31" s="101"/>
      <c r="U31" s="100">
        <f>'Suvi Gaz'!O32</f>
        <v>593.6</v>
      </c>
      <c r="V31" s="96"/>
      <c r="W31" s="99">
        <f t="shared" si="3"/>
        <v>4966.8292799999999</v>
      </c>
      <c r="X31" s="161">
        <v>15406.34</v>
      </c>
      <c r="Y31" s="103">
        <f t="shared" si="4"/>
        <v>14.850000000000364</v>
      </c>
      <c r="Z31" s="104">
        <f t="shared" si="5"/>
        <v>12474.000000000306</v>
      </c>
      <c r="AA31" s="96"/>
      <c r="AB31" s="119">
        <v>22</v>
      </c>
      <c r="AC31" s="133">
        <v>133</v>
      </c>
      <c r="AD31" s="129">
        <v>0.96379999999999999</v>
      </c>
      <c r="AE31" s="159">
        <v>27.4</v>
      </c>
      <c r="AF31" s="137">
        <v>28</v>
      </c>
      <c r="AG31" s="157">
        <v>27.5</v>
      </c>
      <c r="AH31" s="158">
        <v>28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340</v>
      </c>
      <c r="E32" s="93"/>
      <c r="F32" s="175">
        <f t="shared" si="0"/>
        <v>4307.8</v>
      </c>
      <c r="G32" s="175"/>
      <c r="H32" s="176"/>
      <c r="I32" s="96"/>
      <c r="J32" s="121">
        <f>'Suivi EAU-ELEC'!E38</f>
        <v>4180</v>
      </c>
      <c r="K32" s="122">
        <f>'Suivi EAU-ELEC'!G38</f>
        <v>5976</v>
      </c>
      <c r="L32" s="122">
        <f>'Suivi EAU-ELEC'!I38</f>
        <v>3168</v>
      </c>
      <c r="M32" s="123">
        <f t="shared" si="1"/>
        <v>13324</v>
      </c>
      <c r="N32" s="96"/>
      <c r="O32" s="99">
        <f t="shared" si="2"/>
        <v>13350.647999999999</v>
      </c>
      <c r="P32" s="95"/>
      <c r="Q32" s="94"/>
      <c r="R32" s="93"/>
      <c r="S32" s="94"/>
      <c r="T32" s="101"/>
      <c r="U32" s="100">
        <f>'Suvi Gaz'!O33</f>
        <v>816.2</v>
      </c>
      <c r="V32" s="96"/>
      <c r="W32" s="99">
        <f t="shared" si="3"/>
        <v>6829.3902600000001</v>
      </c>
      <c r="X32" s="161">
        <v>15421.19</v>
      </c>
      <c r="Y32" s="103">
        <f t="shared" si="4"/>
        <v>12.600000000000364</v>
      </c>
      <c r="Z32" s="104">
        <f t="shared" si="5"/>
        <v>10584.000000000306</v>
      </c>
      <c r="AA32" s="96"/>
      <c r="AB32" s="119">
        <v>17</v>
      </c>
      <c r="AC32" s="133">
        <v>41</v>
      </c>
      <c r="AD32" s="129">
        <v>0.32029999999999997</v>
      </c>
      <c r="AE32" s="173">
        <v>27.5</v>
      </c>
      <c r="AF32" s="174">
        <v>28</v>
      </c>
      <c r="AG32" s="157">
        <v>28</v>
      </c>
      <c r="AH32" s="158">
        <v>29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390</v>
      </c>
      <c r="E33" s="93"/>
      <c r="F33" s="175">
        <f t="shared" si="0"/>
        <v>4941.3</v>
      </c>
      <c r="G33" s="175"/>
      <c r="H33" s="176"/>
      <c r="I33" s="96"/>
      <c r="J33" s="121">
        <f>'Suivi EAU-ELEC'!E39</f>
        <v>4665</v>
      </c>
      <c r="K33" s="122">
        <f>'Suivi EAU-ELEC'!G39</f>
        <v>6034</v>
      </c>
      <c r="L33" s="122">
        <f>'Suivi EAU-ELEC'!I39</f>
        <v>3347</v>
      </c>
      <c r="M33" s="123">
        <f t="shared" si="1"/>
        <v>14046</v>
      </c>
      <c r="N33" s="96"/>
      <c r="O33" s="99">
        <f t="shared" si="2"/>
        <v>14074.092000000001</v>
      </c>
      <c r="P33" s="95"/>
      <c r="Q33" s="94"/>
      <c r="R33" s="93"/>
      <c r="S33" s="94"/>
      <c r="T33" s="101"/>
      <c r="U33" s="100">
        <f>'Suvi Gaz'!O34</f>
        <v>333.90000000000003</v>
      </c>
      <c r="V33" s="96"/>
      <c r="W33" s="99">
        <f t="shared" si="3"/>
        <v>2793.8414700000003</v>
      </c>
      <c r="X33" s="161">
        <v>15433.79</v>
      </c>
      <c r="Y33" s="103">
        <f t="shared" si="4"/>
        <v>18.269999999998618</v>
      </c>
      <c r="Z33" s="104">
        <f t="shared" si="5"/>
        <v>15346.799999998839</v>
      </c>
      <c r="AA33" s="96"/>
      <c r="AB33" s="119">
        <v>18</v>
      </c>
      <c r="AC33" s="133">
        <v>71</v>
      </c>
      <c r="AD33" s="129">
        <v>0.5635</v>
      </c>
      <c r="AE33" s="173">
        <v>28</v>
      </c>
      <c r="AF33" s="174">
        <v>29</v>
      </c>
      <c r="AG33" s="157">
        <v>29</v>
      </c>
      <c r="AH33" s="158">
        <v>29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380</v>
      </c>
      <c r="E34" s="93"/>
      <c r="F34" s="175">
        <f t="shared" si="0"/>
        <v>4814.6000000000004</v>
      </c>
      <c r="G34" s="175"/>
      <c r="H34" s="176"/>
      <c r="I34" s="96"/>
      <c r="J34" s="121">
        <f>'Suivi EAU-ELEC'!E40</f>
        <v>4088</v>
      </c>
      <c r="K34" s="122">
        <f>'Suivi EAU-ELEC'!G40</f>
        <v>6732</v>
      </c>
      <c r="L34" s="122">
        <f>'Suivi EAU-ELEC'!I40</f>
        <v>2861</v>
      </c>
      <c r="M34" s="123">
        <f t="shared" si="1"/>
        <v>13681</v>
      </c>
      <c r="N34" s="96"/>
      <c r="O34" s="99">
        <f t="shared" si="2"/>
        <v>13708.361999999999</v>
      </c>
      <c r="P34" s="95"/>
      <c r="Q34" s="94"/>
      <c r="R34" s="93"/>
      <c r="S34" s="94"/>
      <c r="T34" s="101"/>
      <c r="U34" s="100">
        <f>'Suvi Gaz'!O35</f>
        <v>259.7</v>
      </c>
      <c r="V34" s="96"/>
      <c r="W34" s="99">
        <f t="shared" si="3"/>
        <v>2172.9878100000001</v>
      </c>
      <c r="X34" s="161">
        <v>15452.06</v>
      </c>
      <c r="Y34" s="103">
        <f t="shared" si="4"/>
        <v>17.409999999999854</v>
      </c>
      <c r="Z34" s="104">
        <f t="shared" si="5"/>
        <v>14624.399999999878</v>
      </c>
      <c r="AA34" s="96"/>
      <c r="AB34" s="119">
        <v>21</v>
      </c>
      <c r="AC34" s="133">
        <v>76</v>
      </c>
      <c r="AD34" s="129">
        <v>0.59379999999999999</v>
      </c>
      <c r="AE34" s="173">
        <v>28</v>
      </c>
      <c r="AF34" s="174">
        <v>29</v>
      </c>
      <c r="AG34" s="157">
        <v>28.2</v>
      </c>
      <c r="AH34" s="158">
        <v>29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410</v>
      </c>
      <c r="E35" s="93"/>
      <c r="F35" s="175">
        <f t="shared" si="0"/>
        <v>5194.7</v>
      </c>
      <c r="G35" s="175"/>
      <c r="H35" s="176"/>
      <c r="I35" s="96"/>
      <c r="J35" s="121">
        <f>'Suivi EAU-ELEC'!E41</f>
        <v>5043</v>
      </c>
      <c r="K35" s="122">
        <f>'Suivi EAU-ELEC'!G41</f>
        <v>6965</v>
      </c>
      <c r="L35" s="122">
        <f>'Suivi EAU-ELEC'!I41</f>
        <v>3782</v>
      </c>
      <c r="M35" s="123">
        <f t="shared" si="1"/>
        <v>15790</v>
      </c>
      <c r="N35" s="96"/>
      <c r="O35" s="99">
        <f t="shared" si="2"/>
        <v>15821.58</v>
      </c>
      <c r="P35" s="95"/>
      <c r="Q35" s="94"/>
      <c r="R35" s="93"/>
      <c r="S35" s="94"/>
      <c r="T35" s="101"/>
      <c r="U35" s="100">
        <f>'Suvi Gaz'!O36</f>
        <v>222.60000000000002</v>
      </c>
      <c r="V35" s="96"/>
      <c r="W35" s="99">
        <f t="shared" si="3"/>
        <v>1862.5609800000002</v>
      </c>
      <c r="X35" s="161">
        <v>15469.47</v>
      </c>
      <c r="Y35" s="103">
        <f t="shared" si="4"/>
        <v>17.150000000001455</v>
      </c>
      <c r="Z35" s="104">
        <f t="shared" si="5"/>
        <v>14406.000000001221</v>
      </c>
      <c r="AA35" s="96"/>
      <c r="AB35" s="119">
        <v>22</v>
      </c>
      <c r="AC35" s="133">
        <v>80</v>
      </c>
      <c r="AD35" s="129">
        <v>0.61070000000000002</v>
      </c>
      <c r="AE35" s="173">
        <v>28.5</v>
      </c>
      <c r="AF35" s="174">
        <v>29</v>
      </c>
      <c r="AG35" s="157">
        <v>28.6</v>
      </c>
      <c r="AH35" s="158">
        <v>29</v>
      </c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410</v>
      </c>
      <c r="E36" s="93"/>
      <c r="F36" s="175">
        <f t="shared" si="0"/>
        <v>5194.7</v>
      </c>
      <c r="G36" s="175"/>
      <c r="H36" s="176"/>
      <c r="I36" s="96"/>
      <c r="J36" s="121">
        <f>'Suivi EAU-ELEC'!E42</f>
        <v>4706</v>
      </c>
      <c r="K36" s="122">
        <f>'Suivi EAU-ELEC'!G42</f>
        <v>7225</v>
      </c>
      <c r="L36" s="122">
        <f>'Suivi EAU-ELEC'!I42</f>
        <v>3106</v>
      </c>
      <c r="M36" s="123">
        <f t="shared" si="1"/>
        <v>15037</v>
      </c>
      <c r="N36" s="96"/>
      <c r="O36" s="99">
        <f t="shared" si="2"/>
        <v>15067.074000000001</v>
      </c>
      <c r="P36" s="95"/>
      <c r="Q36" s="94"/>
      <c r="R36" s="93"/>
      <c r="S36" s="94"/>
      <c r="T36" s="101"/>
      <c r="U36" s="100">
        <f>'Suvi Gaz'!O37</f>
        <v>853.30000000000007</v>
      </c>
      <c r="V36" s="96"/>
      <c r="W36" s="99">
        <f t="shared" si="3"/>
        <v>7139.8170900000005</v>
      </c>
      <c r="X36" s="161">
        <v>15486.62</v>
      </c>
      <c r="Y36" s="103">
        <f t="shared" si="4"/>
        <v>14.25</v>
      </c>
      <c r="Z36" s="104">
        <f t="shared" si="5"/>
        <v>11969.999999999998</v>
      </c>
      <c r="AA36" s="96"/>
      <c r="AB36" s="119">
        <v>22</v>
      </c>
      <c r="AC36" s="133">
        <v>83</v>
      </c>
      <c r="AD36" s="129">
        <v>0.64339999999999997</v>
      </c>
      <c r="AE36" s="159">
        <v>28.3</v>
      </c>
      <c r="AF36" s="137">
        <v>29</v>
      </c>
      <c r="AG36" s="157">
        <v>28.3</v>
      </c>
      <c r="AH36" s="158">
        <v>29</v>
      </c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450</v>
      </c>
      <c r="E37" s="93"/>
      <c r="F37" s="175">
        <f t="shared" si="0"/>
        <v>5701.5</v>
      </c>
      <c r="G37" s="175"/>
      <c r="H37" s="176"/>
      <c r="I37" s="96"/>
      <c r="J37" s="121">
        <f>'Suivi EAU-ELEC'!E43</f>
        <v>4630</v>
      </c>
      <c r="K37" s="122">
        <f>'Suivi EAU-ELEC'!G43</f>
        <v>6780</v>
      </c>
      <c r="L37" s="122">
        <f>'Suivi EAU-ELEC'!I43</f>
        <v>4013</v>
      </c>
      <c r="M37" s="123">
        <f t="shared" si="1"/>
        <v>15423</v>
      </c>
      <c r="N37" s="96"/>
      <c r="O37" s="99">
        <f t="shared" si="2"/>
        <v>15453.846</v>
      </c>
      <c r="P37" s="95"/>
      <c r="Q37" s="94"/>
      <c r="R37" s="93"/>
      <c r="S37" s="94"/>
      <c r="T37" s="101"/>
      <c r="U37" s="100">
        <f>'Suvi Gaz'!O38</f>
        <v>853.30000000000007</v>
      </c>
      <c r="V37" s="96"/>
      <c r="W37" s="99">
        <f t="shared" si="3"/>
        <v>7139.8170900000005</v>
      </c>
      <c r="X37" s="161">
        <v>15500.87</v>
      </c>
      <c r="Y37" s="103">
        <f t="shared" si="4"/>
        <v>14.199999999998909</v>
      </c>
      <c r="Z37" s="104">
        <f t="shared" si="5"/>
        <v>11927.999999999083</v>
      </c>
      <c r="AA37" s="96"/>
      <c r="AB37" s="119">
        <v>22</v>
      </c>
      <c r="AC37" s="133">
        <v>123</v>
      </c>
      <c r="AD37" s="129">
        <v>0.90439999999999998</v>
      </c>
      <c r="AE37" s="159">
        <v>28</v>
      </c>
      <c r="AF37" s="137">
        <v>29</v>
      </c>
      <c r="AG37" s="157">
        <v>28.6</v>
      </c>
      <c r="AH37" s="158">
        <v>28</v>
      </c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410</v>
      </c>
      <c r="E38" s="93"/>
      <c r="F38" s="175">
        <f t="shared" si="0"/>
        <v>5194.7</v>
      </c>
      <c r="G38" s="175"/>
      <c r="H38" s="176"/>
      <c r="I38" s="96"/>
      <c r="J38" s="121">
        <f>'Suivi EAU-ELEC'!E44</f>
        <v>5693</v>
      </c>
      <c r="K38" s="122">
        <f>'Suivi EAU-ELEC'!G44</f>
        <v>7168</v>
      </c>
      <c r="L38" s="122">
        <f>'Suivi EAU-ELEC'!I44</f>
        <v>4327</v>
      </c>
      <c r="M38" s="123">
        <f t="shared" si="1"/>
        <v>17188</v>
      </c>
      <c r="N38" s="96"/>
      <c r="O38" s="99">
        <f t="shared" si="2"/>
        <v>17222.376</v>
      </c>
      <c r="P38" s="95"/>
      <c r="Q38" s="94"/>
      <c r="R38" s="93"/>
      <c r="S38" s="94"/>
      <c r="T38" s="101"/>
      <c r="U38" s="100">
        <f>'Suvi Gaz'!O39</f>
        <v>630.70000000000005</v>
      </c>
      <c r="V38" s="96"/>
      <c r="W38" s="99">
        <f t="shared" si="3"/>
        <v>5277.2561100000003</v>
      </c>
      <c r="X38" s="161">
        <v>15515.07</v>
      </c>
      <c r="Y38" s="103">
        <f t="shared" si="4"/>
        <v>13.630000000001019</v>
      </c>
      <c r="Z38" s="104">
        <f t="shared" si="5"/>
        <v>11449.200000000856</v>
      </c>
      <c r="AA38" s="96"/>
      <c r="AB38" s="119">
        <v>23</v>
      </c>
      <c r="AC38" s="133">
        <v>137</v>
      </c>
      <c r="AD38" s="129">
        <v>0.99280000000000002</v>
      </c>
      <c r="AE38" s="159">
        <v>28</v>
      </c>
      <c r="AF38" s="131">
        <v>29</v>
      </c>
      <c r="AG38" s="157">
        <v>28.5</v>
      </c>
      <c r="AH38" s="158">
        <v>29</v>
      </c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175">
        <f t="shared" si="0"/>
        <v>0</v>
      </c>
      <c r="G39" s="175"/>
      <c r="H39" s="176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61">
        <v>15528.7</v>
      </c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175">
        <f t="shared" si="0"/>
        <v>0</v>
      </c>
      <c r="G40" s="175"/>
      <c r="H40" s="176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13800</v>
      </c>
      <c r="E41" s="1"/>
      <c r="F41" s="192">
        <f>SUM(F10:H39)</f>
        <v>174846.00000000003</v>
      </c>
      <c r="G41" s="193"/>
      <c r="H41" s="194"/>
      <c r="I41" s="1"/>
      <c r="J41" s="91">
        <f>SUM(J10:J39)</f>
        <v>144996</v>
      </c>
      <c r="K41" s="91">
        <f>SUM(K10:K39)</f>
        <v>212141</v>
      </c>
      <c r="L41" s="91">
        <f>SUM(L10:L39)</f>
        <v>103580</v>
      </c>
      <c r="M41" s="91">
        <f>SUM(M10:M39)</f>
        <v>460717</v>
      </c>
      <c r="N41" s="28"/>
      <c r="O41" s="192">
        <f>SUM(O10:Q39)</f>
        <v>461638.43400000001</v>
      </c>
      <c r="P41" s="193"/>
      <c r="Q41" s="194"/>
      <c r="R41" s="28"/>
      <c r="S41" s="92">
        <f>SUM(S10:S40)</f>
        <v>0</v>
      </c>
      <c r="T41" s="28"/>
      <c r="U41" s="91">
        <f>SUM(U10:U39)</f>
        <v>19217.800000000003</v>
      </c>
      <c r="V41" s="28"/>
      <c r="W41" s="91">
        <f>SUM(W10:W39)</f>
        <v>160801.09794000001</v>
      </c>
      <c r="X41" s="132"/>
      <c r="Y41" s="91">
        <f>SUM(Y10:Y39)</f>
        <v>440</v>
      </c>
      <c r="Z41" s="91">
        <f>SUM(Z10:Z39)</f>
        <v>369599.99999999988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88"/>
      <c r="G42" s="188"/>
      <c r="H42" s="188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195" t="s">
        <v>10</v>
      </c>
      <c r="B43" s="196"/>
      <c r="C43" s="197"/>
      <c r="D43" s="19" t="s">
        <v>7</v>
      </c>
      <c r="E43" s="53"/>
      <c r="F43" s="20">
        <v>1.002</v>
      </c>
      <c r="G43" s="177">
        <f>J41</f>
        <v>144996</v>
      </c>
      <c r="H43" s="178"/>
      <c r="I43" s="179"/>
      <c r="J43" s="186">
        <f>G43*F43</f>
        <v>145285.992</v>
      </c>
      <c r="K43" s="187"/>
      <c r="L43" s="216">
        <f>J43+J44+J45</f>
        <v>461638.43400000001</v>
      </c>
      <c r="M43" s="217"/>
      <c r="N43" s="217"/>
      <c r="O43" s="217"/>
      <c r="P43" s="217"/>
      <c r="Q43" s="217"/>
      <c r="R43" s="217"/>
      <c r="S43" s="217"/>
      <c r="T43" s="217"/>
      <c r="U43" s="218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198"/>
      <c r="B44" s="199"/>
      <c r="C44" s="200"/>
      <c r="D44" s="17" t="s">
        <v>8</v>
      </c>
      <c r="E44" s="53"/>
      <c r="F44" s="20">
        <v>1.002</v>
      </c>
      <c r="G44" s="177">
        <f>K41</f>
        <v>212141</v>
      </c>
      <c r="H44" s="178"/>
      <c r="I44" s="179"/>
      <c r="J44" s="186">
        <f>G44*F44</f>
        <v>212565.28200000001</v>
      </c>
      <c r="K44" s="187"/>
      <c r="L44" s="219"/>
      <c r="M44" s="220"/>
      <c r="N44" s="220"/>
      <c r="O44" s="220"/>
      <c r="P44" s="220"/>
      <c r="Q44" s="220"/>
      <c r="R44" s="220"/>
      <c r="S44" s="220"/>
      <c r="T44" s="220"/>
      <c r="U44" s="22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8"/>
      <c r="B45" s="199"/>
      <c r="C45" s="200"/>
      <c r="D45" s="23" t="s">
        <v>9</v>
      </c>
      <c r="E45" s="54"/>
      <c r="F45" s="20">
        <v>1.002</v>
      </c>
      <c r="G45" s="177">
        <f>L41</f>
        <v>103580</v>
      </c>
      <c r="H45" s="178"/>
      <c r="I45" s="179"/>
      <c r="J45" s="186">
        <f>G45*F45</f>
        <v>103787.16</v>
      </c>
      <c r="K45" s="187"/>
      <c r="L45" s="222"/>
      <c r="M45" s="223"/>
      <c r="N45" s="223"/>
      <c r="O45" s="223"/>
      <c r="P45" s="223"/>
      <c r="Q45" s="223"/>
      <c r="R45" s="223"/>
      <c r="S45" s="223"/>
      <c r="T45" s="223"/>
      <c r="U45" s="22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89" t="s">
        <v>11</v>
      </c>
      <c r="B46" s="190"/>
      <c r="C46" s="190"/>
      <c r="D46" s="191"/>
      <c r="E46" s="53"/>
      <c r="F46" s="24">
        <v>12.67</v>
      </c>
      <c r="G46" s="189">
        <f>D41</f>
        <v>13800</v>
      </c>
      <c r="H46" s="190"/>
      <c r="I46" s="191"/>
      <c r="J46" s="202">
        <f>G46*F46</f>
        <v>174846</v>
      </c>
      <c r="K46" s="203"/>
      <c r="L46" s="210">
        <f>J46</f>
        <v>174846</v>
      </c>
      <c r="M46" s="211"/>
      <c r="N46" s="211"/>
      <c r="O46" s="211"/>
      <c r="P46" s="211"/>
      <c r="Q46" s="211"/>
      <c r="R46" s="211"/>
      <c r="S46" s="211"/>
      <c r="T46" s="211"/>
      <c r="U46" s="212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07" t="s">
        <v>13</v>
      </c>
      <c r="B47" s="208"/>
      <c r="C47" s="208"/>
      <c r="D47" s="209"/>
      <c r="E47" s="53"/>
      <c r="F47" s="26">
        <v>8.3673000000000002</v>
      </c>
      <c r="G47" s="204">
        <f>U41</f>
        <v>19217.800000000003</v>
      </c>
      <c r="H47" s="205"/>
      <c r="I47" s="206"/>
      <c r="J47" s="204">
        <f>G47*F47</f>
        <v>160801.09794000004</v>
      </c>
      <c r="K47" s="206"/>
      <c r="L47" s="213">
        <f>J47</f>
        <v>160801.09794000004</v>
      </c>
      <c r="M47" s="214"/>
      <c r="N47" s="214"/>
      <c r="O47" s="214"/>
      <c r="P47" s="214"/>
      <c r="Q47" s="214"/>
      <c r="R47" s="214"/>
      <c r="S47" s="214"/>
      <c r="T47" s="214"/>
      <c r="U47" s="215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B41" sqref="B4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3" t="s">
        <v>0</v>
      </c>
      <c r="B1" s="253"/>
      <c r="C1" s="254"/>
      <c r="D1" s="255" t="s">
        <v>57</v>
      </c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7"/>
      <c r="AA1" s="258"/>
      <c r="AB1" s="259"/>
      <c r="AC1" s="259"/>
    </row>
    <row r="2" spans="1:31" ht="41.25" customHeight="1" thickBot="1" x14ac:dyDescent="0.4">
      <c r="A2" s="83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3"/>
      <c r="Q2" s="260">
        <v>803</v>
      </c>
      <c r="R2" s="261"/>
      <c r="S2" s="261"/>
      <c r="T2" s="261">
        <v>519</v>
      </c>
      <c r="U2" s="261"/>
      <c r="V2" s="261"/>
      <c r="W2" s="261">
        <v>800</v>
      </c>
      <c r="X2" s="261"/>
      <c r="Y2" s="261"/>
      <c r="Z2" s="261">
        <v>802</v>
      </c>
      <c r="AA2" s="261"/>
      <c r="AB2" s="264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40" si="0">IF(AC4&gt;0,((B4-R4)+(S4-B5)),IF(B5=0, ,(B4-B5)))</f>
        <v>5</v>
      </c>
      <c r="D4" s="37">
        <v>72</v>
      </c>
      <c r="E4" s="35">
        <f t="shared" ref="E4:E40" si="1">IF(AC4&gt;0,((D4-U4)+(V4-D5)),IF(D5=0, ,(D4-D5)))</f>
        <v>4</v>
      </c>
      <c r="F4" s="37">
        <v>70</v>
      </c>
      <c r="G4" s="35">
        <f t="shared" ref="G4:G40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O4*8.3673</f>
        <v>6829.3902600000001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43" si="11">O5*8.3673</f>
        <v>3104.2683000000002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2793.8414700000003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3725.1219600000004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7450.2439200000008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8381.52441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6208.5366000000004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4345.9756200000002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7139.8170900000005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3104.2683000000002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2483.41464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4035.5487900000003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4035.5487900000003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4656.4024500000005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si="11"/>
        <v>8071.0975800000006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11"/>
        <v>5277.2561100000003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11"/>
        <v>6208.5366000000004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11"/>
        <v>5277.2561100000003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si="11"/>
        <v>6518.9634300000007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5</v>
      </c>
      <c r="D23" s="163">
        <v>68</v>
      </c>
      <c r="E23" s="164">
        <f t="shared" si="1"/>
        <v>5</v>
      </c>
      <c r="F23" s="163">
        <v>63</v>
      </c>
      <c r="G23" s="164">
        <f t="shared" si="2"/>
        <v>3</v>
      </c>
      <c r="H23" s="163">
        <v>64</v>
      </c>
      <c r="I23" s="35">
        <f t="shared" si="17"/>
        <v>3</v>
      </c>
      <c r="J23" s="35">
        <f t="shared" si="18"/>
        <v>262</v>
      </c>
      <c r="K23" s="35">
        <f t="shared" si="19"/>
        <v>65.5</v>
      </c>
      <c r="L23" s="35">
        <f t="shared" si="20"/>
        <v>4</v>
      </c>
      <c r="M23" s="35">
        <f t="shared" si="21"/>
        <v>28000</v>
      </c>
      <c r="N23" s="35">
        <f t="shared" si="22"/>
        <v>1120</v>
      </c>
      <c r="O23" s="35">
        <f t="shared" si="23"/>
        <v>593.6</v>
      </c>
      <c r="P23" s="38">
        <f t="shared" si="11"/>
        <v>4966.8292799999999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163">
        <v>62</v>
      </c>
      <c r="C24" s="164">
        <f t="shared" si="0"/>
        <v>2</v>
      </c>
      <c r="D24" s="163">
        <v>63</v>
      </c>
      <c r="E24" s="164">
        <f t="shared" si="1"/>
        <v>3</v>
      </c>
      <c r="F24" s="163">
        <v>60</v>
      </c>
      <c r="G24" s="164">
        <f t="shared" si="2"/>
        <v>7</v>
      </c>
      <c r="H24" s="163">
        <v>61</v>
      </c>
      <c r="I24" s="164">
        <f t="shared" si="17"/>
        <v>5</v>
      </c>
      <c r="J24" s="164">
        <f t="shared" si="18"/>
        <v>246</v>
      </c>
      <c r="K24" s="164">
        <f t="shared" si="19"/>
        <v>61.5</v>
      </c>
      <c r="L24" s="164">
        <f t="shared" si="20"/>
        <v>4.25</v>
      </c>
      <c r="M24" s="164">
        <f t="shared" si="21"/>
        <v>28000</v>
      </c>
      <c r="N24" s="164">
        <f>L24*M24/100</f>
        <v>1190</v>
      </c>
      <c r="O24" s="164">
        <f>N24*0.53</f>
        <v>630.70000000000005</v>
      </c>
      <c r="P24" s="38">
        <f t="shared" si="11"/>
        <v>5277.2561100000003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163">
        <v>60</v>
      </c>
      <c r="C25" s="164">
        <f t="shared" si="0"/>
        <v>14</v>
      </c>
      <c r="D25" s="163">
        <v>60</v>
      </c>
      <c r="E25" s="164">
        <f t="shared" si="1"/>
        <v>10</v>
      </c>
      <c r="F25" s="163">
        <v>53</v>
      </c>
      <c r="G25" s="164">
        <f t="shared" si="2"/>
        <v>3</v>
      </c>
      <c r="H25" s="163">
        <v>56</v>
      </c>
      <c r="I25" s="164">
        <f t="shared" si="17"/>
        <v>4</v>
      </c>
      <c r="J25" s="164">
        <f t="shared" si="18"/>
        <v>229</v>
      </c>
      <c r="K25" s="164">
        <f t="shared" si="19"/>
        <v>57.25</v>
      </c>
      <c r="L25" s="164">
        <f t="shared" si="20"/>
        <v>7.75</v>
      </c>
      <c r="M25" s="164">
        <f t="shared" si="21"/>
        <v>28000</v>
      </c>
      <c r="N25" s="164">
        <f>L25*M25/100</f>
        <v>2170</v>
      </c>
      <c r="O25" s="164">
        <f>N25*0.53</f>
        <v>1150.1000000000001</v>
      </c>
      <c r="P25" s="38">
        <f t="shared" si="11"/>
        <v>9623.2317300000013</v>
      </c>
      <c r="Q25" s="164">
        <v>2002</v>
      </c>
      <c r="R25" s="164">
        <v>56</v>
      </c>
      <c r="S25" s="164">
        <v>81</v>
      </c>
      <c r="T25" s="164">
        <v>1999</v>
      </c>
      <c r="U25" s="164">
        <v>58</v>
      </c>
      <c r="V25" s="164">
        <v>83</v>
      </c>
      <c r="W25" s="164">
        <v>1402</v>
      </c>
      <c r="X25" s="164">
        <v>50</v>
      </c>
      <c r="Y25" s="164">
        <v>68</v>
      </c>
      <c r="Z25" s="164">
        <v>1010</v>
      </c>
      <c r="AA25" s="164">
        <v>50</v>
      </c>
      <c r="AB25" s="164">
        <v>63</v>
      </c>
      <c r="AC25" s="35">
        <f t="shared" si="12"/>
        <v>6413</v>
      </c>
      <c r="AD25" s="84">
        <f t="shared" si="13"/>
        <v>53.5</v>
      </c>
      <c r="AE25" s="84">
        <f t="shared" si="14"/>
        <v>73.75</v>
      </c>
    </row>
    <row r="26" spans="1:31" ht="32.25" customHeight="1" x14ac:dyDescent="0.3">
      <c r="A26" s="36">
        <v>43785</v>
      </c>
      <c r="B26" s="163">
        <v>71</v>
      </c>
      <c r="C26" s="164">
        <f t="shared" si="0"/>
        <v>2</v>
      </c>
      <c r="D26" s="163">
        <v>75</v>
      </c>
      <c r="E26" s="164">
        <f t="shared" si="1"/>
        <v>6</v>
      </c>
      <c r="F26" s="163">
        <v>68</v>
      </c>
      <c r="G26" s="164">
        <f t="shared" si="2"/>
        <v>3</v>
      </c>
      <c r="H26" s="163">
        <v>65</v>
      </c>
      <c r="I26" s="164">
        <f t="shared" si="17"/>
        <v>0</v>
      </c>
      <c r="J26" s="164">
        <f t="shared" si="18"/>
        <v>279</v>
      </c>
      <c r="K26" s="164">
        <f t="shared" si="19"/>
        <v>69.75</v>
      </c>
      <c r="L26" s="164">
        <f t="shared" si="20"/>
        <v>2.75</v>
      </c>
      <c r="M26" s="164">
        <f t="shared" si="21"/>
        <v>28000</v>
      </c>
      <c r="N26" s="164">
        <f>L26*M26/100</f>
        <v>770</v>
      </c>
      <c r="O26" s="164">
        <f>N26*0.53</f>
        <v>408.1</v>
      </c>
      <c r="P26" s="38">
        <f t="shared" si="11"/>
        <v>3414.6951300000001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163">
        <v>69</v>
      </c>
      <c r="C27" s="164">
        <f t="shared" si="0"/>
        <v>6</v>
      </c>
      <c r="D27" s="163">
        <v>69</v>
      </c>
      <c r="E27" s="164">
        <f t="shared" si="1"/>
        <v>6</v>
      </c>
      <c r="F27" s="163">
        <v>65</v>
      </c>
      <c r="G27" s="164">
        <f t="shared" si="2"/>
        <v>6</v>
      </c>
      <c r="H27" s="163">
        <v>65</v>
      </c>
      <c r="I27" s="35">
        <f t="shared" si="17"/>
        <v>4</v>
      </c>
      <c r="J27" s="35">
        <f t="shared" si="18"/>
        <v>268</v>
      </c>
      <c r="K27" s="35">
        <f t="shared" si="19"/>
        <v>67</v>
      </c>
      <c r="L27" s="35">
        <f t="shared" si="20"/>
        <v>5.5</v>
      </c>
      <c r="M27" s="35">
        <v>28000</v>
      </c>
      <c r="N27" s="35">
        <f t="shared" si="22"/>
        <v>1540</v>
      </c>
      <c r="O27" s="35">
        <f t="shared" si="23"/>
        <v>816.2</v>
      </c>
      <c r="P27" s="38">
        <f t="shared" si="11"/>
        <v>6829.3902600000001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163">
        <v>63</v>
      </c>
      <c r="C28" s="164">
        <f t="shared" si="0"/>
        <v>5</v>
      </c>
      <c r="D28" s="163">
        <v>63</v>
      </c>
      <c r="E28" s="164">
        <f t="shared" si="1"/>
        <v>5</v>
      </c>
      <c r="F28" s="163">
        <v>59</v>
      </c>
      <c r="G28" s="164">
        <f t="shared" si="2"/>
        <v>9</v>
      </c>
      <c r="H28" s="163">
        <v>61</v>
      </c>
      <c r="I28" s="35">
        <f t="shared" si="17"/>
        <v>6</v>
      </c>
      <c r="J28" s="35">
        <f t="shared" si="18"/>
        <v>246</v>
      </c>
      <c r="K28" s="35">
        <f t="shared" si="19"/>
        <v>61.5</v>
      </c>
      <c r="L28" s="35">
        <f t="shared" si="20"/>
        <v>6.25</v>
      </c>
      <c r="M28" s="35">
        <f t="shared" si="21"/>
        <v>28000</v>
      </c>
      <c r="N28" s="35">
        <f t="shared" si="22"/>
        <v>1750</v>
      </c>
      <c r="O28" s="35">
        <f t="shared" si="23"/>
        <v>927.5</v>
      </c>
      <c r="P28" s="38">
        <f t="shared" si="11"/>
        <v>7760.6707500000002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163">
        <v>58</v>
      </c>
      <c r="C29" s="164">
        <f t="shared" si="0"/>
        <v>4</v>
      </c>
      <c r="D29" s="163">
        <v>58</v>
      </c>
      <c r="E29" s="164">
        <f t="shared" si="1"/>
        <v>6</v>
      </c>
      <c r="F29" s="163">
        <v>50</v>
      </c>
      <c r="G29" s="164">
        <f t="shared" si="2"/>
        <v>5</v>
      </c>
      <c r="H29" s="163">
        <v>55</v>
      </c>
      <c r="I29" s="164">
        <f t="shared" si="17"/>
        <v>6</v>
      </c>
      <c r="J29" s="164">
        <f t="shared" si="18"/>
        <v>221</v>
      </c>
      <c r="K29" s="164">
        <f t="shared" si="19"/>
        <v>55.25</v>
      </c>
      <c r="L29" s="164">
        <f t="shared" si="20"/>
        <v>5.25</v>
      </c>
      <c r="M29" s="164">
        <f t="shared" si="21"/>
        <v>28000</v>
      </c>
      <c r="N29" s="164">
        <f t="shared" si="22"/>
        <v>1470</v>
      </c>
      <c r="O29" s="164">
        <f t="shared" si="23"/>
        <v>779.1</v>
      </c>
      <c r="P29" s="38">
        <f t="shared" si="11"/>
        <v>6518.9634300000007</v>
      </c>
      <c r="Q29" s="164">
        <v>2706</v>
      </c>
      <c r="R29" s="164">
        <v>55</v>
      </c>
      <c r="S29" s="164">
        <v>87</v>
      </c>
      <c r="T29" s="164">
        <v>2854</v>
      </c>
      <c r="U29" s="164">
        <v>52</v>
      </c>
      <c r="V29" s="164">
        <v>86</v>
      </c>
      <c r="W29" s="164">
        <v>3110</v>
      </c>
      <c r="X29" s="164">
        <v>46</v>
      </c>
      <c r="Y29" s="164">
        <v>85</v>
      </c>
      <c r="Z29" s="164">
        <v>3006</v>
      </c>
      <c r="AA29" s="164">
        <v>51</v>
      </c>
      <c r="AB29" s="164">
        <v>87</v>
      </c>
      <c r="AC29" s="35">
        <f t="shared" si="12"/>
        <v>11676</v>
      </c>
      <c r="AD29" s="84">
        <f t="shared" si="13"/>
        <v>51</v>
      </c>
      <c r="AE29" s="84">
        <f t="shared" si="14"/>
        <v>86.25</v>
      </c>
    </row>
    <row r="30" spans="1:31" ht="32.25" customHeight="1" x14ac:dyDescent="0.3">
      <c r="A30" s="36">
        <v>43789</v>
      </c>
      <c r="B30" s="163">
        <v>86</v>
      </c>
      <c r="C30" s="164">
        <f t="shared" si="0"/>
        <v>4</v>
      </c>
      <c r="D30" s="163">
        <v>86</v>
      </c>
      <c r="E30" s="164">
        <f t="shared" si="1"/>
        <v>2</v>
      </c>
      <c r="F30" s="163">
        <v>84</v>
      </c>
      <c r="G30" s="164">
        <f t="shared" si="2"/>
        <v>4</v>
      </c>
      <c r="H30" s="163">
        <v>85</v>
      </c>
      <c r="I30" s="164">
        <f t="shared" si="17"/>
        <v>5</v>
      </c>
      <c r="J30" s="164">
        <f t="shared" si="18"/>
        <v>341</v>
      </c>
      <c r="K30" s="164">
        <f t="shared" si="19"/>
        <v>85.25</v>
      </c>
      <c r="L30" s="164">
        <f t="shared" si="20"/>
        <v>3.75</v>
      </c>
      <c r="M30" s="164">
        <f t="shared" si="21"/>
        <v>28000</v>
      </c>
      <c r="N30" s="164">
        <f t="shared" si="22"/>
        <v>1050</v>
      </c>
      <c r="O30" s="164">
        <f t="shared" si="23"/>
        <v>556.5</v>
      </c>
      <c r="P30" s="38">
        <f t="shared" si="11"/>
        <v>4656.4024500000005</v>
      </c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163">
        <v>82</v>
      </c>
      <c r="C31" s="164">
        <f t="shared" si="0"/>
        <v>7</v>
      </c>
      <c r="D31" s="163">
        <v>84</v>
      </c>
      <c r="E31" s="164">
        <f t="shared" si="1"/>
        <v>12</v>
      </c>
      <c r="F31" s="163">
        <v>80</v>
      </c>
      <c r="G31" s="164">
        <f t="shared" si="2"/>
        <v>11</v>
      </c>
      <c r="H31" s="163">
        <v>80</v>
      </c>
      <c r="I31" s="35">
        <f t="shared" si="17"/>
        <v>10</v>
      </c>
      <c r="J31" s="35">
        <f t="shared" si="18"/>
        <v>326</v>
      </c>
      <c r="K31" s="35">
        <f t="shared" si="19"/>
        <v>81.5</v>
      </c>
      <c r="L31" s="35">
        <f t="shared" si="20"/>
        <v>10</v>
      </c>
      <c r="M31" s="35">
        <f t="shared" si="21"/>
        <v>28000</v>
      </c>
      <c r="N31" s="35">
        <f t="shared" si="22"/>
        <v>2800</v>
      </c>
      <c r="O31" s="35">
        <f t="shared" si="23"/>
        <v>1484</v>
      </c>
      <c r="P31" s="38">
        <f t="shared" si="11"/>
        <v>12417.073200000001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163">
        <v>75</v>
      </c>
      <c r="C32" s="164">
        <f t="shared" si="0"/>
        <v>7</v>
      </c>
      <c r="D32" s="163">
        <v>72</v>
      </c>
      <c r="E32" s="164">
        <f t="shared" si="1"/>
        <v>2</v>
      </c>
      <c r="F32" s="163">
        <v>69</v>
      </c>
      <c r="G32" s="164">
        <f t="shared" si="2"/>
        <v>4</v>
      </c>
      <c r="H32" s="163">
        <v>70</v>
      </c>
      <c r="I32" s="164">
        <f t="shared" si="17"/>
        <v>3</v>
      </c>
      <c r="J32" s="164">
        <f t="shared" si="18"/>
        <v>286</v>
      </c>
      <c r="K32" s="164">
        <f t="shared" si="19"/>
        <v>71.5</v>
      </c>
      <c r="L32" s="164">
        <f t="shared" si="20"/>
        <v>4</v>
      </c>
      <c r="M32" s="164">
        <f t="shared" si="21"/>
        <v>28000</v>
      </c>
      <c r="N32" s="164">
        <f t="shared" si="22"/>
        <v>1120</v>
      </c>
      <c r="O32" s="164">
        <f t="shared" si="23"/>
        <v>593.6</v>
      </c>
      <c r="P32" s="38">
        <f t="shared" si="11"/>
        <v>4966.8292799999999</v>
      </c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163">
        <v>68</v>
      </c>
      <c r="C33" s="164">
        <f t="shared" si="0"/>
        <v>5</v>
      </c>
      <c r="D33" s="163">
        <v>70</v>
      </c>
      <c r="E33" s="164">
        <f t="shared" si="1"/>
        <v>6</v>
      </c>
      <c r="F33" s="163">
        <v>65</v>
      </c>
      <c r="G33" s="164">
        <v>0</v>
      </c>
      <c r="H33" s="163">
        <v>67</v>
      </c>
      <c r="I33" s="164">
        <f t="shared" si="17"/>
        <v>6</v>
      </c>
      <c r="J33" s="164">
        <f t="shared" si="18"/>
        <v>270</v>
      </c>
      <c r="K33" s="164">
        <f t="shared" si="19"/>
        <v>67.5</v>
      </c>
      <c r="L33" s="164">
        <f t="shared" si="20"/>
        <v>5.5</v>
      </c>
      <c r="M33" s="164">
        <f t="shared" si="21"/>
        <v>28000</v>
      </c>
      <c r="N33" s="164">
        <f t="shared" si="22"/>
        <v>1540</v>
      </c>
      <c r="O33" s="164">
        <f t="shared" si="23"/>
        <v>816.2</v>
      </c>
      <c r="P33" s="38">
        <f t="shared" si="11"/>
        <v>6829.3902600000001</v>
      </c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163">
        <v>63</v>
      </c>
      <c r="C34" s="164">
        <f t="shared" si="0"/>
        <v>3</v>
      </c>
      <c r="D34" s="163">
        <v>64</v>
      </c>
      <c r="E34" s="164">
        <f t="shared" si="1"/>
        <v>2</v>
      </c>
      <c r="F34" s="163">
        <v>60</v>
      </c>
      <c r="G34" s="164">
        <f t="shared" si="2"/>
        <v>1</v>
      </c>
      <c r="H34" s="163">
        <v>61</v>
      </c>
      <c r="I34" s="164">
        <f t="shared" si="17"/>
        <v>3</v>
      </c>
      <c r="J34" s="164">
        <f t="shared" si="18"/>
        <v>248</v>
      </c>
      <c r="K34" s="164">
        <f t="shared" si="19"/>
        <v>62</v>
      </c>
      <c r="L34" s="164">
        <f t="shared" si="20"/>
        <v>2.25</v>
      </c>
      <c r="M34" s="164">
        <f t="shared" si="21"/>
        <v>28000</v>
      </c>
      <c r="N34" s="164">
        <f t="shared" si="22"/>
        <v>630</v>
      </c>
      <c r="O34" s="164">
        <f t="shared" si="23"/>
        <v>333.90000000000003</v>
      </c>
      <c r="P34" s="38">
        <f t="shared" si="11"/>
        <v>2793.8414700000003</v>
      </c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163">
        <v>60</v>
      </c>
      <c r="C35" s="164">
        <f t="shared" si="0"/>
        <v>3</v>
      </c>
      <c r="D35" s="163">
        <v>62</v>
      </c>
      <c r="E35" s="164">
        <f t="shared" si="1"/>
        <v>0</v>
      </c>
      <c r="F35" s="163">
        <v>59</v>
      </c>
      <c r="G35" s="164">
        <f t="shared" si="2"/>
        <v>1</v>
      </c>
      <c r="H35" s="163">
        <v>58</v>
      </c>
      <c r="I35" s="164">
        <f t="shared" si="17"/>
        <v>3</v>
      </c>
      <c r="J35" s="164">
        <f t="shared" si="18"/>
        <v>239</v>
      </c>
      <c r="K35" s="164">
        <f t="shared" si="19"/>
        <v>59.75</v>
      </c>
      <c r="L35" s="164">
        <f t="shared" si="20"/>
        <v>1.75</v>
      </c>
      <c r="M35" s="164">
        <f t="shared" si="21"/>
        <v>28000</v>
      </c>
      <c r="N35" s="164">
        <f t="shared" si="22"/>
        <v>490</v>
      </c>
      <c r="O35" s="164">
        <f t="shared" si="23"/>
        <v>259.7</v>
      </c>
      <c r="P35" s="38">
        <f t="shared" si="11"/>
        <v>2172.9878100000001</v>
      </c>
      <c r="Q35" s="164">
        <v>2531</v>
      </c>
      <c r="R35" s="164">
        <v>57</v>
      </c>
      <c r="S35" s="164">
        <v>85</v>
      </c>
      <c r="T35" s="164">
        <v>2180</v>
      </c>
      <c r="U35" s="164">
        <v>62</v>
      </c>
      <c r="V35" s="164">
        <v>85</v>
      </c>
      <c r="W35" s="164">
        <v>2356</v>
      </c>
      <c r="X35" s="164">
        <v>58</v>
      </c>
      <c r="Y35" s="164">
        <v>85</v>
      </c>
      <c r="Z35" s="164">
        <v>2505</v>
      </c>
      <c r="AA35" s="164">
        <v>55</v>
      </c>
      <c r="AB35" s="164">
        <v>85</v>
      </c>
      <c r="AC35" s="35">
        <f t="shared" si="12"/>
        <v>9572</v>
      </c>
      <c r="AD35" s="84">
        <f t="shared" si="13"/>
        <v>58</v>
      </c>
      <c r="AE35" s="84">
        <f t="shared" si="14"/>
        <v>85</v>
      </c>
    </row>
    <row r="36" spans="1:31" ht="32.25" customHeight="1" x14ac:dyDescent="0.3">
      <c r="A36" s="36">
        <v>43795</v>
      </c>
      <c r="B36" s="163">
        <v>85</v>
      </c>
      <c r="C36" s="164">
        <f t="shared" si="0"/>
        <v>0</v>
      </c>
      <c r="D36" s="163">
        <v>85</v>
      </c>
      <c r="E36" s="164">
        <f t="shared" si="1"/>
        <v>0</v>
      </c>
      <c r="F36" s="163">
        <v>85</v>
      </c>
      <c r="G36" s="164">
        <f t="shared" si="2"/>
        <v>4</v>
      </c>
      <c r="H36" s="163">
        <v>85</v>
      </c>
      <c r="I36" s="164">
        <f t="shared" si="17"/>
        <v>2</v>
      </c>
      <c r="J36" s="164">
        <f t="shared" si="18"/>
        <v>340</v>
      </c>
      <c r="K36" s="164">
        <f t="shared" si="19"/>
        <v>85</v>
      </c>
      <c r="L36" s="164">
        <f t="shared" si="20"/>
        <v>1.5</v>
      </c>
      <c r="M36" s="164">
        <f t="shared" si="21"/>
        <v>28000</v>
      </c>
      <c r="N36" s="164">
        <f t="shared" si="22"/>
        <v>420</v>
      </c>
      <c r="O36" s="164">
        <f t="shared" si="23"/>
        <v>222.60000000000002</v>
      </c>
      <c r="P36" s="38">
        <f t="shared" si="11"/>
        <v>1862.5609800000002</v>
      </c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163">
        <v>85</v>
      </c>
      <c r="C37" s="164">
        <f t="shared" si="0"/>
        <v>5</v>
      </c>
      <c r="D37" s="163">
        <v>85</v>
      </c>
      <c r="E37" s="164">
        <f t="shared" si="1"/>
        <v>5</v>
      </c>
      <c r="F37" s="163">
        <v>81</v>
      </c>
      <c r="G37" s="164">
        <f t="shared" si="2"/>
        <v>6</v>
      </c>
      <c r="H37" s="163">
        <v>83</v>
      </c>
      <c r="I37" s="35">
        <f t="shared" si="17"/>
        <v>7</v>
      </c>
      <c r="J37" s="35">
        <f t="shared" si="18"/>
        <v>334</v>
      </c>
      <c r="K37" s="35">
        <f t="shared" si="19"/>
        <v>83.5</v>
      </c>
      <c r="L37" s="35">
        <f t="shared" si="20"/>
        <v>5.75</v>
      </c>
      <c r="M37" s="35">
        <f t="shared" si="21"/>
        <v>28000</v>
      </c>
      <c r="N37" s="35">
        <f t="shared" si="22"/>
        <v>1610</v>
      </c>
      <c r="O37" s="35">
        <f t="shared" si="23"/>
        <v>853.30000000000007</v>
      </c>
      <c r="P37" s="38">
        <f t="shared" si="11"/>
        <v>7139.8170900000005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163">
        <v>80</v>
      </c>
      <c r="C38" s="164">
        <f t="shared" si="0"/>
        <v>8</v>
      </c>
      <c r="D38" s="163">
        <v>80</v>
      </c>
      <c r="E38" s="164">
        <f t="shared" si="1"/>
        <v>5</v>
      </c>
      <c r="F38" s="163">
        <v>75</v>
      </c>
      <c r="G38" s="164">
        <f t="shared" si="2"/>
        <v>5</v>
      </c>
      <c r="H38" s="163">
        <v>76</v>
      </c>
      <c r="I38" s="35">
        <f t="shared" si="17"/>
        <v>5</v>
      </c>
      <c r="J38" s="35">
        <f t="shared" si="18"/>
        <v>311</v>
      </c>
      <c r="K38" s="35">
        <f t="shared" si="19"/>
        <v>77.75</v>
      </c>
      <c r="L38" s="35">
        <f t="shared" si="20"/>
        <v>5.75</v>
      </c>
      <c r="M38" s="35">
        <f t="shared" si="21"/>
        <v>28000</v>
      </c>
      <c r="N38" s="35">
        <f t="shared" si="22"/>
        <v>1610</v>
      </c>
      <c r="O38" s="35">
        <f t="shared" si="23"/>
        <v>853.30000000000007</v>
      </c>
      <c r="P38" s="38">
        <f t="shared" si="11"/>
        <v>7139.8170900000005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163">
        <v>72</v>
      </c>
      <c r="C39" s="164">
        <f t="shared" si="0"/>
        <v>3</v>
      </c>
      <c r="D39" s="163">
        <v>75</v>
      </c>
      <c r="E39" s="164">
        <f t="shared" si="1"/>
        <v>5</v>
      </c>
      <c r="F39" s="163">
        <v>70</v>
      </c>
      <c r="G39" s="164">
        <f t="shared" si="2"/>
        <v>5</v>
      </c>
      <c r="H39" s="163">
        <v>71</v>
      </c>
      <c r="I39" s="35">
        <f t="shared" si="17"/>
        <v>4</v>
      </c>
      <c r="J39" s="35">
        <f t="shared" si="18"/>
        <v>288</v>
      </c>
      <c r="K39" s="35">
        <f t="shared" si="19"/>
        <v>72</v>
      </c>
      <c r="L39" s="35">
        <f t="shared" si="20"/>
        <v>4.25</v>
      </c>
      <c r="M39" s="35">
        <f t="shared" si="21"/>
        <v>28000</v>
      </c>
      <c r="N39" s="35">
        <f t="shared" si="22"/>
        <v>1190</v>
      </c>
      <c r="O39" s="35">
        <f t="shared" si="23"/>
        <v>630.70000000000005</v>
      </c>
      <c r="P39" s="38">
        <f t="shared" si="11"/>
        <v>5277.2561100000003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163">
        <v>69</v>
      </c>
      <c r="C40" s="164">
        <f t="shared" si="0"/>
        <v>0</v>
      </c>
      <c r="D40" s="163">
        <v>70</v>
      </c>
      <c r="E40" s="164">
        <f t="shared" si="1"/>
        <v>0</v>
      </c>
      <c r="F40" s="163">
        <v>65</v>
      </c>
      <c r="G40" s="164">
        <f t="shared" si="2"/>
        <v>0</v>
      </c>
      <c r="H40" s="163">
        <v>67</v>
      </c>
      <c r="I40" s="35">
        <f t="shared" si="17"/>
        <v>0</v>
      </c>
      <c r="J40" s="35">
        <f t="shared" si="18"/>
        <v>271</v>
      </c>
      <c r="K40" s="35">
        <f t="shared" si="19"/>
        <v>67.75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11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ref="C39:C41" si="24">IF(AC41&gt;0,((B41-R41)+(S41-B42)),IF(B42=0, ,(B41-B42)))</f>
        <v>0</v>
      </c>
      <c r="D41" s="37"/>
      <c r="E41" s="35">
        <f t="shared" ref="E39:E41" si="25">IF(AC41&gt;0,((D41-U41)+(V41-D42)),IF(D42=0, ,(D41-D42)))</f>
        <v>0</v>
      </c>
      <c r="F41" s="37"/>
      <c r="G41" s="35">
        <f t="shared" ref="G39:G41" si="26">IF(AC41&gt;0,((F41-X41)+(Y41-F42)),IF(F42=0, ,(F41-F42)))</f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11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7">IF(AC42&gt;0,((B42-R42)+(S42-B43)),IF(B43=0, ,(B42-B43)))</f>
        <v>0</v>
      </c>
      <c r="D42" s="37"/>
      <c r="E42" s="35">
        <f t="shared" ref="E42" si="28">IF(AC42&gt;0,((D42-U42)+(V42-D43)),IF(D43=0, ,(D42-D43)))</f>
        <v>0</v>
      </c>
      <c r="F42" s="37"/>
      <c r="G42" s="35">
        <f t="shared" ref="G42" si="29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11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127</v>
      </c>
      <c r="D43" s="37"/>
      <c r="E43" s="35">
        <f>SUM(E11:E40)</f>
        <v>123</v>
      </c>
      <c r="F43" s="37"/>
      <c r="G43" s="35">
        <f>SUM(G11:G40)</f>
        <v>134</v>
      </c>
      <c r="H43" s="37"/>
      <c r="I43" s="35">
        <f>SUM(I11:I40)</f>
        <v>129</v>
      </c>
      <c r="J43" s="33"/>
      <c r="K43" s="33"/>
      <c r="L43" s="33"/>
      <c r="M43" s="33"/>
      <c r="N43" s="35">
        <f>SUM(N11:N40)</f>
        <v>36260</v>
      </c>
      <c r="O43" s="35">
        <f>N43*0.53</f>
        <v>19217.8</v>
      </c>
      <c r="P43" s="38">
        <f t="shared" si="11"/>
        <v>160801.09794000001</v>
      </c>
      <c r="Q43" s="268">
        <v>0</v>
      </c>
      <c r="R43" s="268"/>
      <c r="S43" s="269"/>
      <c r="T43" s="268">
        <v>0</v>
      </c>
      <c r="U43" s="268"/>
      <c r="V43" s="269"/>
      <c r="W43" s="268">
        <v>0</v>
      </c>
      <c r="X43" s="268"/>
      <c r="Y43" s="269"/>
      <c r="Z43" s="268">
        <v>0</v>
      </c>
      <c r="AA43" s="268"/>
      <c r="AB43" s="269"/>
      <c r="AC43" s="35">
        <f>SUM(AC11:AC40)</f>
        <v>38300</v>
      </c>
      <c r="AD43" s="33"/>
      <c r="AE43" s="33"/>
    </row>
    <row r="44" spans="1:31" ht="35.25" customHeight="1" thickBot="1" x14ac:dyDescent="0.35">
      <c r="B44" s="270"/>
      <c r="C44" s="271"/>
      <c r="D44" s="271"/>
      <c r="E44" s="271"/>
      <c r="F44" s="271"/>
      <c r="G44" s="271"/>
      <c r="H44" s="271"/>
      <c r="I44" s="272"/>
      <c r="J44" s="33"/>
      <c r="K44" s="33"/>
      <c r="L44" s="33"/>
      <c r="M44" s="33"/>
      <c r="N44" s="33"/>
      <c r="O44" s="33"/>
      <c r="P44" s="33"/>
      <c r="Q44" s="273">
        <f>Q43+T43+W43+Z43</f>
        <v>0</v>
      </c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5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76" t="s">
        <v>37</v>
      </c>
      <c r="I47" s="277"/>
      <c r="J47" s="278"/>
      <c r="K47" s="45">
        <f>N43</f>
        <v>36260</v>
      </c>
      <c r="L47" s="46">
        <f>O43</f>
        <v>19217.8</v>
      </c>
      <c r="M47" s="46">
        <f>P43</f>
        <v>160801.09794000001</v>
      </c>
    </row>
    <row r="48" spans="1:31" ht="54.75" customHeight="1" thickBot="1" x14ac:dyDescent="0.35">
      <c r="H48" s="265" t="s">
        <v>38</v>
      </c>
      <c r="I48" s="266"/>
      <c r="J48" s="267"/>
      <c r="K48" s="43">
        <f>AC43</f>
        <v>38300</v>
      </c>
      <c r="L48" s="44">
        <f>K48*0.53</f>
        <v>20299</v>
      </c>
      <c r="M48" s="44">
        <f>L48*8.3673</f>
        <v>169847.82269999999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32" activePane="bottomRight" state="frozen"/>
      <selection pane="topRight" activeCell="B1" sqref="B1"/>
      <selection pane="bottomLeft" activeCell="A9" sqref="A9"/>
      <selection pane="bottomRight" activeCell="B46" sqref="B4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7"/>
      <c r="B1" s="298"/>
      <c r="C1" s="280" t="s">
        <v>58</v>
      </c>
      <c r="D1" s="281"/>
      <c r="E1" s="281"/>
      <c r="F1" s="281"/>
      <c r="G1" s="282"/>
      <c r="H1" s="289"/>
      <c r="I1" s="290"/>
      <c r="J1" s="50"/>
      <c r="K1" s="48"/>
      <c r="L1" s="48"/>
    </row>
    <row r="2" spans="1:20" ht="16.5" customHeight="1" x14ac:dyDescent="0.2">
      <c r="A2" s="299"/>
      <c r="B2" s="300"/>
      <c r="C2" s="283"/>
      <c r="D2" s="284"/>
      <c r="E2" s="284"/>
      <c r="F2" s="284"/>
      <c r="G2" s="285"/>
      <c r="H2" s="291"/>
      <c r="I2" s="292"/>
      <c r="J2" s="50"/>
      <c r="K2" s="48"/>
      <c r="L2" s="48"/>
    </row>
    <row r="3" spans="1:20" ht="48" customHeight="1" thickBot="1" x14ac:dyDescent="0.25">
      <c r="A3" s="301"/>
      <c r="B3" s="302"/>
      <c r="C3" s="286"/>
      <c r="D3" s="287"/>
      <c r="E3" s="287"/>
      <c r="F3" s="287"/>
      <c r="G3" s="288"/>
      <c r="H3" s="293"/>
      <c r="I3" s="294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9" t="s">
        <v>1</v>
      </c>
      <c r="B7" s="295" t="s">
        <v>42</v>
      </c>
      <c r="C7" s="295"/>
      <c r="D7" s="296" t="s">
        <v>43</v>
      </c>
      <c r="E7" s="296"/>
      <c r="F7" s="296"/>
      <c r="G7" s="296"/>
      <c r="H7" s="296"/>
      <c r="I7" s="296"/>
    </row>
    <row r="8" spans="1:20" s="27" customFormat="1" ht="28.5" customHeight="1" thickTop="1" thickBot="1" x14ac:dyDescent="0.25">
      <c r="A8" s="279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45" si="0">IF(B10&lt;B9,0,B10-B9)*10</f>
        <v>690</v>
      </c>
      <c r="D9" s="62">
        <v>17679100</v>
      </c>
      <c r="E9" s="61">
        <f t="shared" ref="E9:E45" si="1">IF(D10&lt;D9,0,D10-D9)</f>
        <v>5571</v>
      </c>
      <c r="F9" s="62">
        <v>32002464</v>
      </c>
      <c r="G9" s="61">
        <f t="shared" ref="G9:G45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470</v>
      </c>
      <c r="D28" s="167">
        <v>17787634</v>
      </c>
      <c r="E28" s="166">
        <f t="shared" si="1"/>
        <v>5368</v>
      </c>
      <c r="F28" s="167">
        <v>32167910</v>
      </c>
      <c r="G28" s="166">
        <f t="shared" si="2"/>
        <v>8155</v>
      </c>
      <c r="H28" s="167">
        <v>14210959</v>
      </c>
      <c r="I28" s="61">
        <f t="shared" si="3"/>
        <v>3841</v>
      </c>
    </row>
    <row r="29" spans="1:9" ht="21" thickTop="1" thickBot="1" x14ac:dyDescent="0.35">
      <c r="A29" s="59">
        <f t="shared" si="4"/>
        <v>43783</v>
      </c>
      <c r="B29" s="165">
        <v>116012</v>
      </c>
      <c r="C29" s="166">
        <f t="shared" si="0"/>
        <v>430</v>
      </c>
      <c r="D29" s="167">
        <v>17793002</v>
      </c>
      <c r="E29" s="166">
        <f t="shared" si="1"/>
        <v>4313</v>
      </c>
      <c r="F29" s="167">
        <v>32176065</v>
      </c>
      <c r="G29" s="166">
        <f t="shared" si="2"/>
        <v>6837</v>
      </c>
      <c r="H29" s="167">
        <v>14214800</v>
      </c>
      <c r="I29" s="61">
        <f t="shared" si="3"/>
        <v>3030</v>
      </c>
    </row>
    <row r="30" spans="1:9" ht="21" thickTop="1" thickBot="1" x14ac:dyDescent="0.35">
      <c r="A30" s="59">
        <f t="shared" si="4"/>
        <v>43784</v>
      </c>
      <c r="B30" s="165">
        <v>116055</v>
      </c>
      <c r="C30" s="166">
        <f t="shared" si="0"/>
        <v>430</v>
      </c>
      <c r="D30" s="167">
        <v>17797315</v>
      </c>
      <c r="E30" s="166">
        <f t="shared" si="1"/>
        <v>4161</v>
      </c>
      <c r="F30" s="167">
        <v>32182902</v>
      </c>
      <c r="G30" s="166">
        <f t="shared" si="2"/>
        <v>5876</v>
      </c>
      <c r="H30" s="167">
        <v>14217830</v>
      </c>
      <c r="I30" s="61">
        <f t="shared" si="3"/>
        <v>2895</v>
      </c>
    </row>
    <row r="31" spans="1:9" ht="21" thickTop="1" thickBot="1" x14ac:dyDescent="0.35">
      <c r="A31" s="59">
        <f>A30+1</f>
        <v>43785</v>
      </c>
      <c r="B31" s="165">
        <v>116098</v>
      </c>
      <c r="C31" s="166">
        <f t="shared" si="0"/>
        <v>490</v>
      </c>
      <c r="D31" s="167">
        <v>17801476</v>
      </c>
      <c r="E31" s="166">
        <f t="shared" si="1"/>
        <v>4067</v>
      </c>
      <c r="F31" s="167">
        <v>32188778</v>
      </c>
      <c r="G31" s="166">
        <f t="shared" si="2"/>
        <v>6236</v>
      </c>
      <c r="H31" s="167">
        <v>14220725</v>
      </c>
      <c r="I31" s="61">
        <f t="shared" si="3"/>
        <v>2792</v>
      </c>
    </row>
    <row r="32" spans="1:9" ht="21" thickTop="1" thickBot="1" x14ac:dyDescent="0.35">
      <c r="A32" s="59">
        <f t="shared" si="4"/>
        <v>43786</v>
      </c>
      <c r="B32" s="165">
        <v>116147</v>
      </c>
      <c r="C32" s="166">
        <f t="shared" si="0"/>
        <v>410</v>
      </c>
      <c r="D32" s="167">
        <v>17805543</v>
      </c>
      <c r="E32" s="166">
        <f t="shared" si="1"/>
        <v>3975</v>
      </c>
      <c r="F32" s="167">
        <v>32195014</v>
      </c>
      <c r="G32" s="166">
        <f t="shared" si="2"/>
        <v>6075</v>
      </c>
      <c r="H32" s="167">
        <v>14223517</v>
      </c>
      <c r="I32" s="61">
        <f t="shared" si="3"/>
        <v>2771</v>
      </c>
    </row>
    <row r="33" spans="1:9" ht="21" thickTop="1" thickBot="1" x14ac:dyDescent="0.35">
      <c r="A33" s="59">
        <f t="shared" si="4"/>
        <v>43787</v>
      </c>
      <c r="B33" s="165">
        <v>116188</v>
      </c>
      <c r="C33" s="166">
        <f t="shared" si="0"/>
        <v>550</v>
      </c>
      <c r="D33" s="167">
        <v>17809518</v>
      </c>
      <c r="E33" s="166">
        <f t="shared" si="1"/>
        <v>4348</v>
      </c>
      <c r="F33" s="167">
        <v>32201089</v>
      </c>
      <c r="G33" s="166">
        <f t="shared" si="2"/>
        <v>6368</v>
      </c>
      <c r="H33" s="167">
        <v>14226288</v>
      </c>
      <c r="I33" s="61">
        <f t="shared" si="3"/>
        <v>2967</v>
      </c>
    </row>
    <row r="34" spans="1:9" ht="21" thickTop="1" thickBot="1" x14ac:dyDescent="0.35">
      <c r="A34" s="59">
        <f t="shared" si="4"/>
        <v>43788</v>
      </c>
      <c r="B34" s="165">
        <v>116243</v>
      </c>
      <c r="C34" s="166">
        <f t="shared" si="0"/>
        <v>460</v>
      </c>
      <c r="D34" s="167">
        <v>17813866</v>
      </c>
      <c r="E34" s="166">
        <f t="shared" si="1"/>
        <v>4553</v>
      </c>
      <c r="F34" s="167">
        <v>32207457</v>
      </c>
      <c r="G34" s="166">
        <f t="shared" si="2"/>
        <v>6645</v>
      </c>
      <c r="H34" s="167">
        <v>14229255</v>
      </c>
      <c r="I34" s="61">
        <f t="shared" si="3"/>
        <v>3164</v>
      </c>
    </row>
    <row r="35" spans="1:9" ht="21" thickTop="1" thickBot="1" x14ac:dyDescent="0.35">
      <c r="A35" s="59">
        <f t="shared" si="4"/>
        <v>43789</v>
      </c>
      <c r="B35" s="165">
        <v>116289</v>
      </c>
      <c r="C35" s="166">
        <f t="shared" si="0"/>
        <v>460</v>
      </c>
      <c r="D35" s="167">
        <v>17818419</v>
      </c>
      <c r="E35" s="166">
        <f t="shared" si="1"/>
        <v>4410</v>
      </c>
      <c r="F35" s="167">
        <v>32214102</v>
      </c>
      <c r="G35" s="166">
        <f t="shared" si="2"/>
        <v>6637</v>
      </c>
      <c r="H35" s="167">
        <v>14232419</v>
      </c>
      <c r="I35" s="61">
        <f t="shared" si="3"/>
        <v>2897</v>
      </c>
    </row>
    <row r="36" spans="1:9" ht="21" thickTop="1" thickBot="1" x14ac:dyDescent="0.35">
      <c r="A36" s="59">
        <f t="shared" si="4"/>
        <v>43790</v>
      </c>
      <c r="B36" s="165">
        <v>116335</v>
      </c>
      <c r="C36" s="166">
        <f t="shared" si="0"/>
        <v>420</v>
      </c>
      <c r="D36" s="167">
        <v>17822829</v>
      </c>
      <c r="E36" s="166">
        <f t="shared" si="1"/>
        <v>4378</v>
      </c>
      <c r="F36" s="167">
        <v>32220739</v>
      </c>
      <c r="G36" s="166">
        <f t="shared" si="2"/>
        <v>6594</v>
      </c>
      <c r="H36" s="167">
        <v>14235316</v>
      </c>
      <c r="I36" s="61">
        <f t="shared" si="3"/>
        <v>2937</v>
      </c>
    </row>
    <row r="37" spans="1:9" ht="21" thickTop="1" thickBot="1" x14ac:dyDescent="0.35">
      <c r="A37" s="59">
        <f t="shared" si="4"/>
        <v>43791</v>
      </c>
      <c r="B37" s="165">
        <v>116377</v>
      </c>
      <c r="C37" s="166">
        <f t="shared" si="0"/>
        <v>410</v>
      </c>
      <c r="D37" s="167">
        <v>17827207</v>
      </c>
      <c r="E37" s="166">
        <f t="shared" si="1"/>
        <v>4174</v>
      </c>
      <c r="F37" s="167">
        <v>32227333</v>
      </c>
      <c r="G37" s="166">
        <f t="shared" si="2"/>
        <v>6364</v>
      </c>
      <c r="H37" s="167">
        <v>14238253</v>
      </c>
      <c r="I37" s="61">
        <f t="shared" si="3"/>
        <v>2851</v>
      </c>
    </row>
    <row r="38" spans="1:9" ht="21" thickTop="1" thickBot="1" x14ac:dyDescent="0.35">
      <c r="A38" s="59">
        <f t="shared" si="4"/>
        <v>43792</v>
      </c>
      <c r="B38" s="165">
        <v>116418</v>
      </c>
      <c r="C38" s="166">
        <f t="shared" si="0"/>
        <v>340</v>
      </c>
      <c r="D38" s="167">
        <v>17831381</v>
      </c>
      <c r="E38" s="166">
        <f t="shared" si="1"/>
        <v>4180</v>
      </c>
      <c r="F38" s="167">
        <v>32233697</v>
      </c>
      <c r="G38" s="166">
        <f t="shared" si="2"/>
        <v>5976</v>
      </c>
      <c r="H38" s="167">
        <v>14241104</v>
      </c>
      <c r="I38" s="61">
        <f t="shared" si="3"/>
        <v>3168</v>
      </c>
    </row>
    <row r="39" spans="1:9" ht="21" thickTop="1" thickBot="1" x14ac:dyDescent="0.35">
      <c r="A39" s="59">
        <f t="shared" si="4"/>
        <v>43793</v>
      </c>
      <c r="B39" s="165">
        <v>116452</v>
      </c>
      <c r="C39" s="166">
        <f t="shared" si="0"/>
        <v>390</v>
      </c>
      <c r="D39" s="167">
        <v>17835561</v>
      </c>
      <c r="E39" s="166">
        <f t="shared" si="1"/>
        <v>4665</v>
      </c>
      <c r="F39" s="167">
        <v>32239673</v>
      </c>
      <c r="G39" s="166">
        <f t="shared" si="2"/>
        <v>6034</v>
      </c>
      <c r="H39" s="167">
        <v>14244272</v>
      </c>
      <c r="I39" s="61">
        <f t="shared" si="3"/>
        <v>3347</v>
      </c>
    </row>
    <row r="40" spans="1:9" ht="21" thickTop="1" thickBot="1" x14ac:dyDescent="0.35">
      <c r="A40" s="59">
        <f t="shared" si="4"/>
        <v>43794</v>
      </c>
      <c r="B40" s="165">
        <v>116491</v>
      </c>
      <c r="C40" s="166">
        <f t="shared" si="0"/>
        <v>380</v>
      </c>
      <c r="D40" s="167">
        <v>17840226</v>
      </c>
      <c r="E40" s="166">
        <f t="shared" si="1"/>
        <v>4088</v>
      </c>
      <c r="F40" s="167">
        <v>32245707</v>
      </c>
      <c r="G40" s="166">
        <f t="shared" si="2"/>
        <v>6732</v>
      </c>
      <c r="H40" s="167">
        <v>14247619</v>
      </c>
      <c r="I40" s="61">
        <f t="shared" si="3"/>
        <v>2861</v>
      </c>
    </row>
    <row r="41" spans="1:9" ht="21" thickTop="1" thickBot="1" x14ac:dyDescent="0.35">
      <c r="A41" s="59">
        <f t="shared" si="4"/>
        <v>43795</v>
      </c>
      <c r="B41" s="165">
        <v>116529</v>
      </c>
      <c r="C41" s="166">
        <f t="shared" si="0"/>
        <v>410</v>
      </c>
      <c r="D41" s="167">
        <v>17844314</v>
      </c>
      <c r="E41" s="166">
        <f t="shared" si="1"/>
        <v>5043</v>
      </c>
      <c r="F41" s="167">
        <v>32252439</v>
      </c>
      <c r="G41" s="166">
        <f t="shared" si="2"/>
        <v>6965</v>
      </c>
      <c r="H41" s="167">
        <v>14250480</v>
      </c>
      <c r="I41" s="61">
        <f t="shared" si="3"/>
        <v>3782</v>
      </c>
    </row>
    <row r="42" spans="1:9" ht="21" thickTop="1" thickBot="1" x14ac:dyDescent="0.35">
      <c r="A42" s="59">
        <f t="shared" si="4"/>
        <v>43796</v>
      </c>
      <c r="B42" s="165">
        <v>116570</v>
      </c>
      <c r="C42" s="166">
        <f t="shared" si="0"/>
        <v>410</v>
      </c>
      <c r="D42" s="167">
        <v>17849357</v>
      </c>
      <c r="E42" s="166">
        <f t="shared" si="1"/>
        <v>4706</v>
      </c>
      <c r="F42" s="167">
        <v>32259404</v>
      </c>
      <c r="G42" s="166">
        <f t="shared" si="2"/>
        <v>7225</v>
      </c>
      <c r="H42" s="167">
        <v>14254262</v>
      </c>
      <c r="I42" s="61">
        <f t="shared" si="3"/>
        <v>3106</v>
      </c>
    </row>
    <row r="43" spans="1:9" ht="21" thickTop="1" thickBot="1" x14ac:dyDescent="0.35">
      <c r="A43" s="59">
        <f t="shared" si="4"/>
        <v>43797</v>
      </c>
      <c r="B43" s="165">
        <v>116611</v>
      </c>
      <c r="C43" s="166">
        <f t="shared" si="0"/>
        <v>450</v>
      </c>
      <c r="D43" s="167">
        <v>17854063</v>
      </c>
      <c r="E43" s="166">
        <f t="shared" si="1"/>
        <v>4630</v>
      </c>
      <c r="F43" s="167">
        <v>32266629</v>
      </c>
      <c r="G43" s="166">
        <f t="shared" si="2"/>
        <v>6780</v>
      </c>
      <c r="H43" s="167">
        <v>14257368</v>
      </c>
      <c r="I43" s="61">
        <f t="shared" si="3"/>
        <v>4013</v>
      </c>
    </row>
    <row r="44" spans="1:9" ht="21" thickTop="1" thickBot="1" x14ac:dyDescent="0.35">
      <c r="A44" s="59">
        <f t="shared" si="4"/>
        <v>43798</v>
      </c>
      <c r="B44" s="165">
        <v>116656</v>
      </c>
      <c r="C44" s="166">
        <f t="shared" si="0"/>
        <v>410</v>
      </c>
      <c r="D44" s="167">
        <v>17858693</v>
      </c>
      <c r="E44" s="166">
        <f t="shared" si="1"/>
        <v>5693</v>
      </c>
      <c r="F44" s="167">
        <v>32273409</v>
      </c>
      <c r="G44" s="166">
        <f t="shared" si="2"/>
        <v>7168</v>
      </c>
      <c r="H44" s="167">
        <v>14261381</v>
      </c>
      <c r="I44" s="61">
        <f t="shared" si="3"/>
        <v>4327</v>
      </c>
    </row>
    <row r="45" spans="1:9" ht="21" thickTop="1" thickBot="1" x14ac:dyDescent="0.35">
      <c r="A45" s="59">
        <f t="shared" si="4"/>
        <v>43799</v>
      </c>
      <c r="B45" s="165">
        <v>116697</v>
      </c>
      <c r="C45" s="166">
        <f t="shared" si="0"/>
        <v>0</v>
      </c>
      <c r="D45" s="167">
        <v>17864386</v>
      </c>
      <c r="E45" s="166">
        <f t="shared" si="1"/>
        <v>0</v>
      </c>
      <c r="F45" s="167">
        <v>32280577</v>
      </c>
      <c r="G45" s="166">
        <f t="shared" si="2"/>
        <v>0</v>
      </c>
      <c r="H45" s="167">
        <v>14265708</v>
      </c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ref="C44:C46" si="5">IF(B47&lt;B46,0,B47-B46)*10</f>
        <v>0</v>
      </c>
      <c r="D46" s="62"/>
      <c r="E46" s="61">
        <f t="shared" ref="E44:E46" si="6">IF(D47&lt;D46,0,D47-D46)</f>
        <v>0</v>
      </c>
      <c r="F46" s="62"/>
      <c r="G46" s="61">
        <f t="shared" ref="G44:G46" si="7">IF(F47&lt;F46,0,F47-F46)</f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13800</v>
      </c>
      <c r="E48" s="72">
        <f>SUM(E16:E45)</f>
        <v>144996</v>
      </c>
      <c r="F48" s="88"/>
      <c r="G48" s="72">
        <f>SUM(G16:G45)</f>
        <v>212141</v>
      </c>
      <c r="H48" s="88"/>
      <c r="I48" s="72">
        <f>SUM(I16:I45)</f>
        <v>103580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103" priority="2778" stopIfTrue="1" operator="lessThanOrEqual">
      <formula>0</formula>
    </cfRule>
  </conditionalFormatting>
  <conditionalFormatting sqref="C48 E48 G48 I48">
    <cfRule type="cellIs" dxfId="102" priority="2773" stopIfTrue="1" operator="lessThanOrEqual">
      <formula>0</formula>
    </cfRule>
  </conditionalFormatting>
  <conditionalFormatting sqref="C48 E48 G48 I48">
    <cfRule type="cellIs" dxfId="101" priority="2768" stopIfTrue="1" operator="lessThanOrEqual">
      <formula>0</formula>
    </cfRule>
  </conditionalFormatting>
  <conditionalFormatting sqref="C48 E48 G48 I48">
    <cfRule type="cellIs" dxfId="100" priority="2765" stopIfTrue="1" operator="lessThanOrEqual">
      <formula>0</formula>
    </cfRule>
  </conditionalFormatting>
  <conditionalFormatting sqref="C47">
    <cfRule type="cellIs" dxfId="99" priority="336" stopIfTrue="1" operator="lessThanOrEqual">
      <formula>0</formula>
    </cfRule>
  </conditionalFormatting>
  <conditionalFormatting sqref="C47">
    <cfRule type="cellIs" dxfId="98" priority="335" stopIfTrue="1" operator="lessThanOrEqual">
      <formula>0</formula>
    </cfRule>
  </conditionalFormatting>
  <conditionalFormatting sqref="C47">
    <cfRule type="cellIs" dxfId="97" priority="334" stopIfTrue="1" operator="lessThanOrEqual">
      <formula>0</formula>
    </cfRule>
  </conditionalFormatting>
  <conditionalFormatting sqref="C47">
    <cfRule type="cellIs" dxfId="96" priority="333" stopIfTrue="1" operator="lessThanOrEqual">
      <formula>0</formula>
    </cfRule>
  </conditionalFormatting>
  <conditionalFormatting sqref="C46">
    <cfRule type="cellIs" dxfId="95" priority="92" stopIfTrue="1" operator="lessThanOrEqual">
      <formula>0</formula>
    </cfRule>
  </conditionalFormatting>
  <conditionalFormatting sqref="C46">
    <cfRule type="cellIs" dxfId="94" priority="91" stopIfTrue="1" operator="lessThanOrEqual">
      <formula>0</formula>
    </cfRule>
  </conditionalFormatting>
  <conditionalFormatting sqref="C46">
    <cfRule type="cellIs" dxfId="93" priority="90" stopIfTrue="1" operator="lessThanOrEqual">
      <formula>0</formula>
    </cfRule>
  </conditionalFormatting>
  <conditionalFormatting sqref="C46">
    <cfRule type="cellIs" dxfId="92" priority="89" stopIfTrue="1" operator="lessThanOrEqual">
      <formula>0</formula>
    </cfRule>
  </conditionalFormatting>
  <conditionalFormatting sqref="C9">
    <cfRule type="cellIs" dxfId="91" priority="88" stopIfTrue="1" operator="lessThanOrEqual">
      <formula>0</formula>
    </cfRule>
  </conditionalFormatting>
  <conditionalFormatting sqref="C9">
    <cfRule type="cellIs" dxfId="90" priority="87" stopIfTrue="1" operator="lessThanOrEqual">
      <formula>0</formula>
    </cfRule>
  </conditionalFormatting>
  <conditionalFormatting sqref="C9">
    <cfRule type="cellIs" dxfId="89" priority="86" stopIfTrue="1" operator="lessThanOrEqual">
      <formula>0</formula>
    </cfRule>
  </conditionalFormatting>
  <conditionalFormatting sqref="C9">
    <cfRule type="cellIs" dxfId="88" priority="85" stopIfTrue="1" operator="lessThanOrEqual">
      <formula>0</formula>
    </cfRule>
  </conditionalFormatting>
  <conditionalFormatting sqref="C10:C12">
    <cfRule type="cellIs" dxfId="87" priority="84" stopIfTrue="1" operator="lessThanOrEqual">
      <formula>0</formula>
    </cfRule>
  </conditionalFormatting>
  <conditionalFormatting sqref="C10:C12">
    <cfRule type="cellIs" dxfId="86" priority="83" stopIfTrue="1" operator="lessThanOrEqual">
      <formula>0</formula>
    </cfRule>
  </conditionalFormatting>
  <conditionalFormatting sqref="C10:C12">
    <cfRule type="cellIs" dxfId="85" priority="82" stopIfTrue="1" operator="lessThanOrEqual">
      <formula>0</formula>
    </cfRule>
  </conditionalFormatting>
  <conditionalFormatting sqref="C10:C12">
    <cfRule type="cellIs" dxfId="84" priority="81" stopIfTrue="1" operator="lessThanOrEqual">
      <formula>0</formula>
    </cfRule>
  </conditionalFormatting>
  <conditionalFormatting sqref="C13:C14">
    <cfRule type="cellIs" dxfId="83" priority="80" stopIfTrue="1" operator="lessThanOrEqual">
      <formula>0</formula>
    </cfRule>
  </conditionalFormatting>
  <conditionalFormatting sqref="C13:C14">
    <cfRule type="cellIs" dxfId="82" priority="79" stopIfTrue="1" operator="lessThanOrEqual">
      <formula>0</formula>
    </cfRule>
  </conditionalFormatting>
  <conditionalFormatting sqref="C13:C14">
    <cfRule type="cellIs" dxfId="81" priority="78" stopIfTrue="1" operator="lessThanOrEqual">
      <formula>0</formula>
    </cfRule>
  </conditionalFormatting>
  <conditionalFormatting sqref="C13:C14">
    <cfRule type="cellIs" dxfId="80" priority="77" stopIfTrue="1" operator="lessThanOrEqual">
      <formula>0</formula>
    </cfRule>
  </conditionalFormatting>
  <conditionalFormatting sqref="C15:C18">
    <cfRule type="cellIs" dxfId="79" priority="76" stopIfTrue="1" operator="lessThanOrEqual">
      <formula>0</formula>
    </cfRule>
  </conditionalFormatting>
  <conditionalFormatting sqref="C15:C18">
    <cfRule type="cellIs" dxfId="78" priority="75" stopIfTrue="1" operator="lessThanOrEqual">
      <formula>0</formula>
    </cfRule>
  </conditionalFormatting>
  <conditionalFormatting sqref="C15:C18">
    <cfRule type="cellIs" dxfId="77" priority="74" stopIfTrue="1" operator="lessThanOrEqual">
      <formula>0</formula>
    </cfRule>
  </conditionalFormatting>
  <conditionalFormatting sqref="C15:C18">
    <cfRule type="cellIs" dxfId="76" priority="73" stopIfTrue="1" operator="lessThanOrEqual">
      <formula>0</formula>
    </cfRule>
  </conditionalFormatting>
  <conditionalFormatting sqref="C19">
    <cfRule type="cellIs" dxfId="75" priority="72" stopIfTrue="1" operator="lessThanOrEqual">
      <formula>0</formula>
    </cfRule>
  </conditionalFormatting>
  <conditionalFormatting sqref="C19">
    <cfRule type="cellIs" dxfId="74" priority="71" stopIfTrue="1" operator="lessThanOrEqual">
      <formula>0</formula>
    </cfRule>
  </conditionalFormatting>
  <conditionalFormatting sqref="C19">
    <cfRule type="cellIs" dxfId="73" priority="70" stopIfTrue="1" operator="lessThanOrEqual">
      <formula>0</formula>
    </cfRule>
  </conditionalFormatting>
  <conditionalFormatting sqref="C19">
    <cfRule type="cellIs" dxfId="72" priority="69" stopIfTrue="1" operator="lessThanOrEqual">
      <formula>0</formula>
    </cfRule>
  </conditionalFormatting>
  <conditionalFormatting sqref="C20:C22">
    <cfRule type="cellIs" dxfId="71" priority="68" stopIfTrue="1" operator="lessThanOrEqual">
      <formula>0</formula>
    </cfRule>
  </conditionalFormatting>
  <conditionalFormatting sqref="C20:C22">
    <cfRule type="cellIs" dxfId="70" priority="67" stopIfTrue="1" operator="lessThanOrEqual">
      <formula>0</formula>
    </cfRule>
  </conditionalFormatting>
  <conditionalFormatting sqref="C20:C22">
    <cfRule type="cellIs" dxfId="69" priority="66" stopIfTrue="1" operator="lessThanOrEqual">
      <formula>0</formula>
    </cfRule>
  </conditionalFormatting>
  <conditionalFormatting sqref="C20:C22">
    <cfRule type="cellIs" dxfId="68" priority="65" stopIfTrue="1" operator="lessThanOrEqual">
      <formula>0</formula>
    </cfRule>
  </conditionalFormatting>
  <conditionalFormatting sqref="C23">
    <cfRule type="cellIs" dxfId="67" priority="64" stopIfTrue="1" operator="lessThanOrEqual">
      <formula>0</formula>
    </cfRule>
  </conditionalFormatting>
  <conditionalFormatting sqref="C23">
    <cfRule type="cellIs" dxfId="66" priority="63" stopIfTrue="1" operator="lessThanOrEqual">
      <formula>0</formula>
    </cfRule>
  </conditionalFormatting>
  <conditionalFormatting sqref="C23">
    <cfRule type="cellIs" dxfId="65" priority="62" stopIfTrue="1" operator="lessThanOrEqual">
      <formula>0</formula>
    </cfRule>
  </conditionalFormatting>
  <conditionalFormatting sqref="C23">
    <cfRule type="cellIs" dxfId="64" priority="61" stopIfTrue="1" operator="lessThanOrEqual">
      <formula>0</formula>
    </cfRule>
  </conditionalFormatting>
  <conditionalFormatting sqref="C25:C26">
    <cfRule type="cellIs" dxfId="63" priority="60" stopIfTrue="1" operator="lessThanOrEqual">
      <formula>0</formula>
    </cfRule>
  </conditionalFormatting>
  <conditionalFormatting sqref="C25:C26">
    <cfRule type="cellIs" dxfId="62" priority="59" stopIfTrue="1" operator="lessThanOrEqual">
      <formula>0</formula>
    </cfRule>
  </conditionalFormatting>
  <conditionalFormatting sqref="C25:C26">
    <cfRule type="cellIs" dxfId="61" priority="58" stopIfTrue="1" operator="lessThanOrEqual">
      <formula>0</formula>
    </cfRule>
  </conditionalFormatting>
  <conditionalFormatting sqref="C25:C26">
    <cfRule type="cellIs" dxfId="60" priority="57" stopIfTrue="1" operator="lessThanOrEqual">
      <formula>0</formula>
    </cfRule>
  </conditionalFormatting>
  <conditionalFormatting sqref="C24">
    <cfRule type="cellIs" dxfId="59" priority="56" stopIfTrue="1" operator="lessThanOrEqual">
      <formula>0</formula>
    </cfRule>
  </conditionalFormatting>
  <conditionalFormatting sqref="C24">
    <cfRule type="cellIs" dxfId="58" priority="55" stopIfTrue="1" operator="lessThanOrEqual">
      <formula>0</formula>
    </cfRule>
  </conditionalFormatting>
  <conditionalFormatting sqref="C24">
    <cfRule type="cellIs" dxfId="57" priority="54" stopIfTrue="1" operator="lessThanOrEqual">
      <formula>0</formula>
    </cfRule>
  </conditionalFormatting>
  <conditionalFormatting sqref="C24">
    <cfRule type="cellIs" dxfId="56" priority="53" stopIfTrue="1" operator="lessThanOrEqual">
      <formula>0</formula>
    </cfRule>
  </conditionalFormatting>
  <conditionalFormatting sqref="C27">
    <cfRule type="cellIs" dxfId="55" priority="52" stopIfTrue="1" operator="lessThanOrEqual">
      <formula>0</formula>
    </cfRule>
  </conditionalFormatting>
  <conditionalFormatting sqref="C27">
    <cfRule type="cellIs" dxfId="54" priority="51" stopIfTrue="1" operator="lessThanOrEqual">
      <formula>0</formula>
    </cfRule>
  </conditionalFormatting>
  <conditionalFormatting sqref="C27">
    <cfRule type="cellIs" dxfId="53" priority="50" stopIfTrue="1" operator="lessThanOrEqual">
      <formula>0</formula>
    </cfRule>
  </conditionalFormatting>
  <conditionalFormatting sqref="C27">
    <cfRule type="cellIs" dxfId="52" priority="49" stopIfTrue="1" operator="lessThanOrEqual">
      <formula>0</formula>
    </cfRule>
  </conditionalFormatting>
  <conditionalFormatting sqref="C28">
    <cfRule type="cellIs" dxfId="51" priority="48" stopIfTrue="1" operator="lessThanOrEqual">
      <formula>0</formula>
    </cfRule>
  </conditionalFormatting>
  <conditionalFormatting sqref="C28">
    <cfRule type="cellIs" dxfId="50" priority="47" stopIfTrue="1" operator="lessThanOrEqual">
      <formula>0</formula>
    </cfRule>
  </conditionalFormatting>
  <conditionalFormatting sqref="C28">
    <cfRule type="cellIs" dxfId="49" priority="46" stopIfTrue="1" operator="lessThanOrEqual">
      <formula>0</formula>
    </cfRule>
  </conditionalFormatting>
  <conditionalFormatting sqref="C28">
    <cfRule type="cellIs" dxfId="48" priority="45" stopIfTrue="1" operator="lessThanOrEqual">
      <formula>0</formula>
    </cfRule>
  </conditionalFormatting>
  <conditionalFormatting sqref="C29:C31">
    <cfRule type="cellIs" dxfId="47" priority="44" stopIfTrue="1" operator="lessThanOrEqual">
      <formula>0</formula>
    </cfRule>
  </conditionalFormatting>
  <conditionalFormatting sqref="C29:C31">
    <cfRule type="cellIs" dxfId="46" priority="43" stopIfTrue="1" operator="lessThanOrEqual">
      <formula>0</formula>
    </cfRule>
  </conditionalFormatting>
  <conditionalFormatting sqref="C29:C31">
    <cfRule type="cellIs" dxfId="45" priority="42" stopIfTrue="1" operator="lessThanOrEqual">
      <formula>0</formula>
    </cfRule>
  </conditionalFormatting>
  <conditionalFormatting sqref="C29:C31">
    <cfRule type="cellIs" dxfId="44" priority="41" stopIfTrue="1" operator="lessThanOrEqual">
      <formula>0</formula>
    </cfRule>
  </conditionalFormatting>
  <conditionalFormatting sqref="C32">
    <cfRule type="cellIs" dxfId="43" priority="40" stopIfTrue="1" operator="lessThanOrEqual">
      <formula>0</formula>
    </cfRule>
  </conditionalFormatting>
  <conditionalFormatting sqref="C32">
    <cfRule type="cellIs" dxfId="42" priority="39" stopIfTrue="1" operator="lessThanOrEqual">
      <formula>0</formula>
    </cfRule>
  </conditionalFormatting>
  <conditionalFormatting sqref="C32">
    <cfRule type="cellIs" dxfId="41" priority="38" stopIfTrue="1" operator="lessThanOrEqual">
      <formula>0</formula>
    </cfRule>
  </conditionalFormatting>
  <conditionalFormatting sqref="C32">
    <cfRule type="cellIs" dxfId="40" priority="37" stopIfTrue="1" operator="lessThanOrEqual">
      <formula>0</formula>
    </cfRule>
  </conditionalFormatting>
  <conditionalFormatting sqref="C33:C34">
    <cfRule type="cellIs" dxfId="39" priority="36" stopIfTrue="1" operator="lessThanOrEqual">
      <formula>0</formula>
    </cfRule>
  </conditionalFormatting>
  <conditionalFormatting sqref="C33:C34">
    <cfRule type="cellIs" dxfId="38" priority="35" stopIfTrue="1" operator="lessThanOrEqual">
      <formula>0</formula>
    </cfRule>
  </conditionalFormatting>
  <conditionalFormatting sqref="C33:C34">
    <cfRule type="cellIs" dxfId="37" priority="34" stopIfTrue="1" operator="lessThanOrEqual">
      <formula>0</formula>
    </cfRule>
  </conditionalFormatting>
  <conditionalFormatting sqref="C33:C34">
    <cfRule type="cellIs" dxfId="36" priority="33" stopIfTrue="1" operator="lessThanOrEqual">
      <formula>0</formula>
    </cfRule>
  </conditionalFormatting>
  <conditionalFormatting sqref="C35">
    <cfRule type="cellIs" dxfId="35" priority="32" stopIfTrue="1" operator="lessThanOrEqual">
      <formula>0</formula>
    </cfRule>
  </conditionalFormatting>
  <conditionalFormatting sqref="C35">
    <cfRule type="cellIs" dxfId="34" priority="31" stopIfTrue="1" operator="lessThanOrEqual">
      <formula>0</formula>
    </cfRule>
  </conditionalFormatting>
  <conditionalFormatting sqref="C35">
    <cfRule type="cellIs" dxfId="33" priority="30" stopIfTrue="1" operator="lessThanOrEqual">
      <formula>0</formula>
    </cfRule>
  </conditionalFormatting>
  <conditionalFormatting sqref="C35">
    <cfRule type="cellIs" dxfId="32" priority="29" stopIfTrue="1" operator="lessThanOrEqual">
      <formula>0</formula>
    </cfRule>
  </conditionalFormatting>
  <conditionalFormatting sqref="C36">
    <cfRule type="cellIs" dxfId="31" priority="28" stopIfTrue="1" operator="lessThanOrEqual">
      <formula>0</formula>
    </cfRule>
  </conditionalFormatting>
  <conditionalFormatting sqref="C36">
    <cfRule type="cellIs" dxfId="30" priority="27" stopIfTrue="1" operator="lessThanOrEqual">
      <formula>0</formula>
    </cfRule>
  </conditionalFormatting>
  <conditionalFormatting sqref="C36">
    <cfRule type="cellIs" dxfId="29" priority="26" stopIfTrue="1" operator="lessThanOrEqual">
      <formula>0</formula>
    </cfRule>
  </conditionalFormatting>
  <conditionalFormatting sqref="C36">
    <cfRule type="cellIs" dxfId="28" priority="25" stopIfTrue="1" operator="lessThanOrEqual">
      <formula>0</formula>
    </cfRule>
  </conditionalFormatting>
  <conditionalFormatting sqref="C37:C41">
    <cfRule type="cellIs" dxfId="27" priority="20" stopIfTrue="1" operator="lessThanOrEqual">
      <formula>0</formula>
    </cfRule>
  </conditionalFormatting>
  <conditionalFormatting sqref="C37:C41">
    <cfRule type="cellIs" dxfId="26" priority="19" stopIfTrue="1" operator="lessThanOrEqual">
      <formula>0</formula>
    </cfRule>
  </conditionalFormatting>
  <conditionalFormatting sqref="C37:C41">
    <cfRule type="cellIs" dxfId="25" priority="18" stopIfTrue="1" operator="lessThanOrEqual">
      <formula>0</formula>
    </cfRule>
  </conditionalFormatting>
  <conditionalFormatting sqref="C37:C41">
    <cfRule type="cellIs" dxfId="24" priority="17" stopIfTrue="1" operator="lessThanOrEqual">
      <formula>0</formula>
    </cfRule>
  </conditionalFormatting>
  <conditionalFormatting sqref="C42">
    <cfRule type="cellIs" dxfId="23" priority="16" stopIfTrue="1" operator="lessThanOrEqual">
      <formula>0</formula>
    </cfRule>
  </conditionalFormatting>
  <conditionalFormatting sqref="C42">
    <cfRule type="cellIs" dxfId="22" priority="15" stopIfTrue="1" operator="lessThanOrEqual">
      <formula>0</formula>
    </cfRule>
  </conditionalFormatting>
  <conditionalFormatting sqref="C42">
    <cfRule type="cellIs" dxfId="21" priority="14" stopIfTrue="1" operator="lessThanOrEqual">
      <formula>0</formula>
    </cfRule>
  </conditionalFormatting>
  <conditionalFormatting sqref="C42">
    <cfRule type="cellIs" dxfId="20" priority="13" stopIfTrue="1" operator="lessThanOrEqual">
      <formula>0</formula>
    </cfRule>
  </conditionalFormatting>
  <conditionalFormatting sqref="C43">
    <cfRule type="cellIs" dxfId="19" priority="12" stopIfTrue="1" operator="lessThanOrEqual">
      <formula>0</formula>
    </cfRule>
  </conditionalFormatting>
  <conditionalFormatting sqref="C43">
    <cfRule type="cellIs" dxfId="18" priority="11" stopIfTrue="1" operator="lessThanOrEqual">
      <formula>0</formula>
    </cfRule>
  </conditionalFormatting>
  <conditionalFormatting sqref="C43">
    <cfRule type="cellIs" dxfId="17" priority="10" stopIfTrue="1" operator="lessThanOrEqual">
      <formula>0</formula>
    </cfRule>
  </conditionalFormatting>
  <conditionalFormatting sqref="C43">
    <cfRule type="cellIs" dxfId="16" priority="9" stopIfTrue="1" operator="lessThanOrEqual">
      <formula>0</formula>
    </cfRule>
  </conditionalFormatting>
  <conditionalFormatting sqref="C44:C45">
    <cfRule type="cellIs" dxfId="7" priority="4" stopIfTrue="1" operator="lessThanOrEqual">
      <formula>0</formula>
    </cfRule>
  </conditionalFormatting>
  <conditionalFormatting sqref="C44:C45">
    <cfRule type="cellIs" dxfId="5" priority="3" stopIfTrue="1" operator="lessThanOrEqual">
      <formula>0</formula>
    </cfRule>
  </conditionalFormatting>
  <conditionalFormatting sqref="C44:C45">
    <cfRule type="cellIs" dxfId="3" priority="2" stopIfTrue="1" operator="lessThanOrEqual">
      <formula>0</formula>
    </cfRule>
  </conditionalFormatting>
  <conditionalFormatting sqref="C44:C4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2019-11-30T07:31:16Z</dcterms:modified>
</cp:coreProperties>
</file>