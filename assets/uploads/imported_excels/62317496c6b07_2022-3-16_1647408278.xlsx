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2" i="2"/>
  <c r="B30" i="2"/>
  <c r="B31" i="2"/>
  <c r="A36" i="5" l="1"/>
  <c r="A37" i="5"/>
  <c r="A38" i="5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J20" i="2" l="1"/>
  <c r="I20" i="2"/>
  <c r="H20" i="2"/>
  <c r="F20" i="2"/>
  <c r="E20" i="2"/>
  <c r="L20" i="3"/>
  <c r="K20" i="3"/>
  <c r="I20" i="3"/>
  <c r="G20" i="3"/>
  <c r="E20" i="3"/>
  <c r="L19" i="3" l="1"/>
  <c r="K19" i="3"/>
  <c r="I19" i="3"/>
  <c r="G19" i="3"/>
  <c r="E19" i="3"/>
  <c r="J19" i="2"/>
  <c r="I19" i="2"/>
  <c r="H19" i="2"/>
  <c r="F19" i="2"/>
  <c r="E19" i="2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<sst xmlns="http://schemas.openxmlformats.org/spreadsheetml/2006/main" count="107" uniqueCount="38">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</sst>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5" fillId="0" borderId="1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0" xfId="2" applyFont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5" fillId="0" borderId="16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27" sqref="Q2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18.090000000000146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10066</v>
      </c>
      <c r="F9" s="14">
        <v>0.11799999999999999</v>
      </c>
      <c r="G9" s="16">
        <f>'03 - 2022'!D15-'03 - 2022'!D14+'03 - 2022'!E15-'03 - 2022'!E14</f>
        <v>16.009999999999764</v>
      </c>
      <c r="H9" s="14">
        <v>0.99</v>
      </c>
      <c r="I9" s="16">
        <f>'03 - 2022'!J15-'03 - 2022'!J14</f>
        <v>16158</v>
      </c>
      <c r="J9" s="14">
        <v>8.1000000000000003E-2</v>
      </c>
      <c r="K9" s="23">
        <f>'03 - 2022'!H15-'03 - 2022'!H14</f>
        <v>0</v>
      </c>
      <c r="L9" s="16">
        <f>'03 - 2022'!I15-'03 - 2022'!I14</f>
        <v>111</v>
      </c>
      <c r="M9" s="15">
        <v>4.393629424766913</v>
      </c>
      <c r="N9" s="18">
        <v>98</v>
      </c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9045</v>
      </c>
      <c r="F10" s="14">
        <v>0.11799999999999999</v>
      </c>
      <c r="G10" s="16">
        <f>'03 - 2022'!D16-'03 - 2022'!D15+'03 - 2022'!E16-'03 - 2022'!E15</f>
        <v>17.379999999999654</v>
      </c>
      <c r="H10" s="14">
        <v>0.99</v>
      </c>
      <c r="I10" s="16">
        <f>'03 - 2022'!J16-'03 - 2022'!J15</f>
        <v>16872</v>
      </c>
      <c r="J10" s="14">
        <v>8.1000000000000003E-2</v>
      </c>
      <c r="K10" s="23">
        <f>'03 - 2022'!H16-'03 - 2022'!H15</f>
        <v>0</v>
      </c>
      <c r="L10" s="16">
        <f>'03 - 2022'!I16-'03 - 2022'!I15</f>
        <v>108</v>
      </c>
      <c r="M10" s="15">
        <v>4.393629424766913</v>
      </c>
      <c r="N10" s="18">
        <v>100</v>
      </c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9387</v>
      </c>
      <c r="F11" s="14">
        <v>0.11799999999999999</v>
      </c>
      <c r="G11" s="16">
        <f>'03 - 2022'!D17-'03 - 2022'!D16+'03 - 2022'!E17-'03 - 2022'!E16</f>
        <v>20.860000000000127</v>
      </c>
      <c r="H11" s="14">
        <v>0.99</v>
      </c>
      <c r="I11" s="16">
        <f>'03 - 2022'!J17-'03 - 2022'!J16</f>
        <v>18197</v>
      </c>
      <c r="J11" s="14">
        <v>8.1000000000000003E-2</v>
      </c>
      <c r="K11" s="23">
        <f>'03 - 2022'!H17-'03 - 2022'!H16</f>
        <v>0</v>
      </c>
      <c r="L11" s="16">
        <f>'03 - 2022'!I17-'03 - 2022'!I16</f>
        <v>106</v>
      </c>
      <c r="M11" s="15">
        <v>4.393629424766913</v>
      </c>
      <c r="N11" s="18">
        <v>99</v>
      </c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9673</v>
      </c>
      <c r="F12" s="14">
        <v>0.11799999999999999</v>
      </c>
      <c r="G12" s="16">
        <f>'03 - 2022'!D18-'03 - 2022'!D17+'03 - 2022'!E18-'03 - 2022'!E17</f>
        <v>20.979999999999563</v>
      </c>
      <c r="H12" s="14">
        <v>0.99</v>
      </c>
      <c r="I12" s="16">
        <f>'03 - 2022'!J18-'03 - 2022'!J17</f>
        <v>19527</v>
      </c>
      <c r="J12" s="14">
        <v>8.1000000000000003E-2</v>
      </c>
      <c r="K12" s="23">
        <f>'03 - 2022'!H18-'03 - 2022'!H17</f>
        <v>0</v>
      </c>
      <c r="L12" s="16">
        <f>'03 - 2022'!I18-'03 - 2022'!I17</f>
        <v>121</v>
      </c>
      <c r="M12" s="15">
        <v>4.393629424766913</v>
      </c>
      <c r="N12" s="16">
        <v>103</v>
      </c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9781</v>
      </c>
      <c r="F13" s="14">
        <v>0.11799999999999999</v>
      </c>
      <c r="G13" s="16">
        <f>'03 - 2022'!D19-'03 - 2022'!D18+'03 - 2022'!E19-'03 - 2022'!E18</f>
        <v>19.980000000000018</v>
      </c>
      <c r="H13" s="14">
        <v>0.99</v>
      </c>
      <c r="I13" s="16">
        <f>'03 - 2022'!J19-'03 - 2022'!J18</f>
        <v>20112</v>
      </c>
      <c r="J13" s="14">
        <v>8.1000000000000003E-2</v>
      </c>
      <c r="K13" s="23">
        <f>'03 - 2022'!H19-'03 - 2022'!H18</f>
        <v>0</v>
      </c>
      <c r="L13" s="16">
        <f>'03 - 2022'!I19-'03 - 2022'!I18</f>
        <v>115</v>
      </c>
      <c r="M13" s="15">
        <v>4.393629424766913</v>
      </c>
      <c r="N13" s="16">
        <v>92</v>
      </c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9719</v>
      </c>
      <c r="F14" s="14">
        <v>0.11799999999999999</v>
      </c>
      <c r="G14" s="16">
        <f>'03 - 2022'!D20-'03 - 2022'!D19+'03 - 2022'!E20-'03 - 2022'!E19</f>
        <v>20.099999999999909</v>
      </c>
      <c r="H14" s="14">
        <v>0.99</v>
      </c>
      <c r="I14" s="16">
        <f>'03 - 2022'!J20-'03 - 2022'!J19</f>
        <v>19448</v>
      </c>
      <c r="J14" s="14">
        <v>8.1000000000000003E-2</v>
      </c>
      <c r="K14" s="23">
        <f>'03 - 2022'!H20-'03 - 2022'!H19</f>
        <v>0</v>
      </c>
      <c r="L14" s="16">
        <f>'03 - 2022'!I20-'03 - 2022'!I19</f>
        <v>110</v>
      </c>
      <c r="M14" s="15">
        <v>4.393629424766913</v>
      </c>
      <c r="N14" s="16">
        <v>81</v>
      </c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9569</v>
      </c>
      <c r="F15" s="14">
        <v>0.11799999999999999</v>
      </c>
      <c r="G15" s="16">
        <f>'03 - 2022'!D21-'03 - 2022'!D20+'03 - 2022'!E21-'03 - 2022'!E20</f>
        <v>16.139999999999873</v>
      </c>
      <c r="H15" s="14">
        <v>0.99</v>
      </c>
      <c r="I15" s="16">
        <f>'03 - 2022'!J21-'03 - 2022'!J20</f>
        <v>17716</v>
      </c>
      <c r="J15" s="14">
        <v>8.1000000000000003E-2</v>
      </c>
      <c r="K15" s="23">
        <f>'03 - 2022'!H21-'03 - 2022'!H20</f>
        <v>0</v>
      </c>
      <c r="L15" s="16">
        <f>'03 - 2022'!I21-'03 - 2022'!I20</f>
        <v>99</v>
      </c>
      <c r="M15" s="15">
        <v>4.393629424766913</v>
      </c>
      <c r="N15" s="16">
        <v>91</v>
      </c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9220</v>
      </c>
      <c r="F16" s="14">
        <v>0.11799999999999999</v>
      </c>
      <c r="G16" s="16">
        <f>'03 - 2022'!D22-'03 - 2022'!D21+'03 - 2022'!E22-'03 - 2022'!E21</f>
        <v>14.860000000000127</v>
      </c>
      <c r="H16" s="14">
        <v>0.99</v>
      </c>
      <c r="I16" s="16">
        <f>'03 - 2022'!J22-'03 - 2022'!J21</f>
        <v>18240</v>
      </c>
      <c r="J16" s="14">
        <v>8.1000000000000003E-2</v>
      </c>
      <c r="K16" s="23">
        <f>'03 - 2022'!H22-'03 - 2022'!H21</f>
        <v>0</v>
      </c>
      <c r="L16" s="16">
        <f>'03 - 2022'!I22-'03 - 2022'!I21</f>
        <v>105</v>
      </c>
      <c r="M16" s="15">
        <v>4.393629424766913</v>
      </c>
      <c r="N16" s="16">
        <v>99</v>
      </c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9769</v>
      </c>
      <c r="F17" s="14">
        <v>0.11799999999999999</v>
      </c>
      <c r="G17" s="16">
        <f>'03 - 2022'!D23-'03 - 2022'!D22+'03 - 2022'!E23-'03 - 2022'!E22</f>
        <v>15.159999999999854</v>
      </c>
      <c r="H17" s="14">
        <v>0.99</v>
      </c>
      <c r="I17" s="16">
        <f>'03 - 2022'!J23-'03 - 2022'!J22</f>
        <v>21048</v>
      </c>
      <c r="J17" s="14">
        <v>8.1000000000000003E-2</v>
      </c>
      <c r="K17" s="23">
        <f>'03 - 2022'!H23-'03 - 2022'!H22</f>
        <v>0</v>
      </c>
      <c r="L17" s="16">
        <f>'03 - 2022'!I23-'03 - 2022'!I22</f>
        <v>113</v>
      </c>
      <c r="M17" s="15">
        <v>4.393629424766913</v>
      </c>
      <c r="N17" s="16">
        <v>98</v>
      </c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v>0</v>
      </c>
      <c r="F18" s="14">
        <v>0.11799999999999999</v>
      </c>
      <c r="G18" s="16">
        <v>0</v>
      </c>
      <c r="H18" s="14">
        <v>0.99</v>
      </c>
      <c r="I18" s="16">
        <v>0</v>
      </c>
      <c r="J18" s="14">
        <v>8.1000000000000003E-2</v>
      </c>
      <c r="K18" s="23">
        <v>0</v>
      </c>
      <c r="L18" s="16"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0</v>
      </c>
      <c r="F19" s="14">
        <v>0.11799999999999999</v>
      </c>
      <c r="G19" s="16">
        <f>'03 - 2022'!D25-'03 - 2022'!D24+'03 - 2022'!E25-'03 - 2022'!E24</f>
        <v>0</v>
      </c>
      <c r="H19" s="14">
        <v>0.99</v>
      </c>
      <c r="I19" s="16">
        <f>'03 - 2022'!J25-'03 - 2022'!J24</f>
        <v>0</v>
      </c>
      <c r="J19" s="14">
        <v>8.1000000000000003E-2</v>
      </c>
      <c r="K19" s="23">
        <f>'03 - 2022'!H25-'03 - 2022'!H24</f>
        <v>0</v>
      </c>
      <c r="L19" s="16">
        <f>'03 - 2022'!I25-'03 - 2022'!I24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0</v>
      </c>
      <c r="F20" s="14">
        <v>0.11799999999999999</v>
      </c>
      <c r="G20" s="16">
        <f>'03 - 2022'!D26-'03 - 2022'!D25+'03 - 2022'!E26-'03 - 2022'!E25</f>
        <v>0</v>
      </c>
      <c r="H20" s="14">
        <v>0.99</v>
      </c>
      <c r="I20" s="16">
        <f>'03 - 2022'!J26-'03 - 2022'!J25</f>
        <v>0</v>
      </c>
      <c r="J20" s="14">
        <v>8.1000000000000003E-2</v>
      </c>
      <c r="K20" s="23">
        <f>'03 - 2022'!H26-'03 - 2022'!H25</f>
        <v>0</v>
      </c>
      <c r="L20" s="16">
        <f>'03 - 2022'!I26-'03 - 2022'!I25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0</v>
      </c>
      <c r="F21" s="14">
        <v>0.11799999999999999</v>
      </c>
      <c r="G21" s="16">
        <f>'03 - 2022'!D27-'03 - 2022'!D26+'03 - 2022'!E27-'03 - 2022'!E26</f>
        <v>0</v>
      </c>
      <c r="H21" s="14">
        <v>0.99</v>
      </c>
      <c r="I21" s="16">
        <f>'03 - 2022'!J27-'03 - 2022'!J26</f>
        <v>0</v>
      </c>
      <c r="J21" s="14">
        <v>8.1000000000000003E-2</v>
      </c>
      <c r="K21" s="23">
        <f>'03 - 2022'!H27-'03 - 2022'!H26</f>
        <v>0</v>
      </c>
      <c r="L21" s="16">
        <f>'03 - 2022'!I27-'03 - 2022'!I26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0</v>
      </c>
      <c r="F22" s="14">
        <v>0.11799999999999999</v>
      </c>
      <c r="G22" s="16">
        <f>'03 - 2022'!D28-'03 - 2022'!D27+'03 - 2022'!E28-'03 - 2022'!E27</f>
        <v>0</v>
      </c>
      <c r="H22" s="14">
        <v>0.99</v>
      </c>
      <c r="I22" s="16">
        <f>'03 - 2022'!J28-'03 - 2022'!J27</f>
        <v>0</v>
      </c>
      <c r="J22" s="14">
        <v>8.1000000000000003E-2</v>
      </c>
      <c r="K22" s="23">
        <f>'03 - 2022'!H28-'03 - 2022'!H27</f>
        <v>0</v>
      </c>
      <c r="L22" s="16">
        <f>'03 - 2022'!I28-'03 - 2022'!I27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0</v>
      </c>
      <c r="F23" s="14">
        <v>0.11799999999999999</v>
      </c>
      <c r="G23" s="16">
        <f>'03 - 2022'!D29-'03 - 2022'!D28+'03 - 2022'!E29-'03 - 2022'!E28</f>
        <v>0</v>
      </c>
      <c r="H23" s="14">
        <v>0.99</v>
      </c>
      <c r="I23" s="16">
        <f>'03 - 2022'!J29-'03 - 2022'!J28</f>
        <v>0</v>
      </c>
      <c r="J23" s="14">
        <v>8.1000000000000003E-2</v>
      </c>
      <c r="K23" s="23">
        <f>'03 - 2022'!H29-'03 - 2022'!H28</f>
        <v>0</v>
      </c>
      <c r="L23" s="16">
        <f>'03 - 2022'!I29-'03 - 2022'!I28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0</v>
      </c>
      <c r="F24" s="14">
        <v>0.11799999999999999</v>
      </c>
      <c r="G24" s="16">
        <f>'03 - 2022'!D30-'03 - 2022'!D29+'03 - 2022'!E30-'03 - 2022'!E29</f>
        <v>0</v>
      </c>
      <c r="H24" s="14">
        <v>0.99</v>
      </c>
      <c r="I24" s="16">
        <f>'03 - 2022'!J30-'03 - 2022'!J29</f>
        <v>0</v>
      </c>
      <c r="J24" s="14">
        <v>8.1000000000000003E-2</v>
      </c>
      <c r="K24" s="23">
        <f>'03 - 2022'!H30-'03 - 2022'!H29</f>
        <v>0</v>
      </c>
      <c r="L24" s="16">
        <f>'03 - 2022'!I30-'03 - 2022'!I29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0</v>
      </c>
      <c r="F25" s="14">
        <v>0.11799999999999999</v>
      </c>
      <c r="G25" s="16">
        <f>'03 - 2022'!D31-'03 - 2022'!D30+'03 - 2022'!E31-'03 - 2022'!E30</f>
        <v>0</v>
      </c>
      <c r="H25" s="14">
        <v>0.99</v>
      </c>
      <c r="I25" s="16">
        <f>'03 - 2022'!J31-'03 - 2022'!J30</f>
        <v>0</v>
      </c>
      <c r="J25" s="14">
        <v>8.1000000000000003E-2</v>
      </c>
      <c r="K25" s="23">
        <f>'03 - 2022'!H31-'03 - 2022'!H30</f>
        <v>0</v>
      </c>
      <c r="L25" s="16">
        <f>'03 - 2022'!I31-'03 - 2022'!I30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0</v>
      </c>
      <c r="F26" s="14">
        <v>0.11799999999999999</v>
      </c>
      <c r="G26" s="16">
        <f>'03 - 2022'!D32-'03 - 2022'!D31+'03 - 2022'!E32-'03 - 2022'!E31</f>
        <v>0</v>
      </c>
      <c r="H26" s="14">
        <v>0.99</v>
      </c>
      <c r="I26" s="16">
        <f>'03 - 2022'!J32-'03 - 2022'!J31</f>
        <v>0</v>
      </c>
      <c r="J26" s="14">
        <v>8.1000000000000003E-2</v>
      </c>
      <c r="K26" s="23">
        <f>'03 - 2022'!H32-'03 - 2022'!H31</f>
        <v>0</v>
      </c>
      <c r="L26" s="16">
        <f>'03 - 2022'!I32-'03 - 2022'!I31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0</v>
      </c>
      <c r="F27" s="14">
        <v>0.11799999999999999</v>
      </c>
      <c r="G27" s="16">
        <f>'03 - 2022'!D33-'03 - 2022'!D32+'03 - 2022'!E33-'03 - 2022'!E32</f>
        <v>0</v>
      </c>
      <c r="H27" s="14">
        <v>0.99</v>
      </c>
      <c r="I27" s="16">
        <f>'03 - 2022'!J33-'03 - 2022'!J32</f>
        <v>0</v>
      </c>
      <c r="J27" s="14">
        <v>8.1000000000000003E-2</v>
      </c>
      <c r="K27" s="23">
        <f>'03 - 2022'!H33-'03 - 2022'!H32</f>
        <v>0</v>
      </c>
      <c r="L27" s="16">
        <f>'03 - 2022'!I33-'03 - 2022'!I32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0</v>
      </c>
      <c r="F28" s="14">
        <v>0.11799999999999999</v>
      </c>
      <c r="G28" s="16">
        <f>'03 - 2022'!D34-'03 - 2022'!D33+'03 - 2022'!E34-'03 - 2022'!E33</f>
        <v>0</v>
      </c>
      <c r="H28" s="14">
        <v>0.99</v>
      </c>
      <c r="I28" s="16">
        <f>'03 - 2022'!J34-'03 - 2022'!J33</f>
        <v>0</v>
      </c>
      <c r="J28" s="14">
        <v>8.1000000000000003E-2</v>
      </c>
      <c r="K28" s="23">
        <f>'03 - 2022'!H34-'03 - 2022'!H33</f>
        <v>0</v>
      </c>
      <c r="L28" s="16">
        <f>'03 - 2022'!I34-'03 - 2022'!I33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0</v>
      </c>
      <c r="F29" s="14">
        <v>0.11799999999999999</v>
      </c>
      <c r="G29" s="16">
        <f>'03 - 2022'!D35-'03 - 2022'!D34+'03 - 2022'!E35-'03 - 2022'!E34</f>
        <v>0</v>
      </c>
      <c r="H29" s="14">
        <v>0.99</v>
      </c>
      <c r="I29" s="16">
        <f>'03 - 2022'!J35-'03 - 2022'!J34</f>
        <v>0</v>
      </c>
      <c r="J29" s="14">
        <v>8.1000000000000003E-2</v>
      </c>
      <c r="K29" s="23">
        <f>'03 - 2022'!H35-'03 - 2022'!H34</f>
        <v>0</v>
      </c>
      <c r="L29" s="16">
        <f>'03 - 2022'!I35-'03 - 2022'!I34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0</v>
      </c>
      <c r="F30" s="14">
        <v>0.11799999999999999</v>
      </c>
      <c r="G30" s="16">
        <f>'03 - 2022'!D36-'03 - 2022'!D35+'03 - 2022'!E36-'03 - 2022'!E35</f>
        <v>0</v>
      </c>
      <c r="H30" s="14">
        <v>0.99</v>
      </c>
      <c r="I30" s="16">
        <f>'03 - 2022'!J36-'03 - 2022'!J35</f>
        <v>0</v>
      </c>
      <c r="J30" s="14">
        <v>8.1000000000000003E-2</v>
      </c>
      <c r="K30" s="23">
        <f>'03 - 2022'!H36-'03 - 2022'!H35</f>
        <v>0</v>
      </c>
      <c r="L30" s="16">
        <f>'03 - 2022'!I36-'03 - 2022'!I35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0</v>
      </c>
      <c r="F31" s="14">
        <v>0.11799999999999999</v>
      </c>
      <c r="G31" s="16">
        <f>'03 - 2022'!D37-'03 - 2022'!D36+'03 - 2022'!E37-'03 - 2022'!E36</f>
        <v>0</v>
      </c>
      <c r="H31" s="14">
        <v>0.99</v>
      </c>
      <c r="I31" s="16">
        <f>'03 - 2022'!J37-'03 - 2022'!J36</f>
        <v>0</v>
      </c>
      <c r="J31" s="14">
        <v>8.1000000000000003E-2</v>
      </c>
      <c r="K31" s="23">
        <f>'03 - 2022'!H37-'03 - 2022'!H36</f>
        <v>0</v>
      </c>
      <c r="L31" s="16">
        <f>'03 - 2022'!I37-'03 - 2022'!I36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8" sqref="K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4383</v>
      </c>
      <c r="F9" s="16">
        <f>'03 - 2022'!C15-'03 - 2022'!C14</f>
        <v>5683</v>
      </c>
      <c r="G9" s="14">
        <v>0.11799999999999999</v>
      </c>
      <c r="H9" s="16">
        <f>'03 - 2022'!E15-'03 - 2022'!E14</f>
        <v>16.079999999999927</v>
      </c>
      <c r="I9" s="16">
        <f>'03 - 2022'!F15-'03 - 2022'!F14</f>
        <v>8.5099999999999909</v>
      </c>
      <c r="J9" s="16">
        <f>'03 - 2022'!G15-'03 - 2022'!G14</f>
        <v>39.80000000000291</v>
      </c>
      <c r="K9" s="14">
        <v>0.74</v>
      </c>
      <c r="L9" s="18">
        <v>98</v>
      </c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3356</v>
      </c>
      <c r="F10" s="16">
        <f>'03 - 2022'!C16-'03 - 2022'!C15</f>
        <v>5689</v>
      </c>
      <c r="G10" s="14">
        <v>0.11799999999999999</v>
      </c>
      <c r="H10" s="16">
        <f>'03 - 2022'!E16-'03 - 2022'!E15</f>
        <v>17.449999999999818</v>
      </c>
      <c r="I10" s="16">
        <f>'03 - 2022'!F16-'03 - 2022'!F15</f>
        <v>7.3699999999998909</v>
      </c>
      <c r="J10" s="16">
        <f>'03 - 2022'!G16-'03 - 2022'!G15</f>
        <v>40.69999999999709</v>
      </c>
      <c r="K10" s="14">
        <v>0.74</v>
      </c>
      <c r="L10" s="18">
        <v>100</v>
      </c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3829</v>
      </c>
      <c r="F11" s="16">
        <f>'03 - 2022'!C17-'03 - 2022'!C16</f>
        <v>5558</v>
      </c>
      <c r="G11" s="14">
        <v>0.11799999999999999</v>
      </c>
      <c r="H11" s="16">
        <f>'03 - 2022'!E17-'03 - 2022'!E16</f>
        <v>20.370000000000346</v>
      </c>
      <c r="I11" s="16">
        <f>'03 - 2022'!F17-'03 - 2022'!F16</f>
        <v>7.0499999999999545</v>
      </c>
      <c r="J11" s="16">
        <f>'03 - 2022'!G17-'03 - 2022'!G16</f>
        <v>37.069999999999709</v>
      </c>
      <c r="K11" s="14">
        <v>0.74</v>
      </c>
      <c r="L11" s="18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3833</v>
      </c>
      <c r="F12" s="16">
        <f>'03 - 2022'!C18-'03 - 2022'!C17</f>
        <v>5840</v>
      </c>
      <c r="G12" s="14">
        <v>0.11799999999999999</v>
      </c>
      <c r="H12" s="16">
        <f>'03 - 2022'!E18-'03 - 2022'!E17</f>
        <v>21.069999999999709</v>
      </c>
      <c r="I12" s="16">
        <f>'03 - 2022'!F18-'03 - 2022'!F17</f>
        <v>7.7600000000002183</v>
      </c>
      <c r="J12" s="16">
        <f>'03 - 2022'!G18-'03 - 2022'!G17</f>
        <v>42.010000000002037</v>
      </c>
      <c r="K12" s="14">
        <v>0.74</v>
      </c>
      <c r="L12" s="16">
        <v>103</v>
      </c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3899</v>
      </c>
      <c r="F13" s="16">
        <f>'03 - 2022'!C19-'03 - 2022'!C18</f>
        <v>5882</v>
      </c>
      <c r="G13" s="14">
        <v>0.11799999999999999</v>
      </c>
      <c r="H13" s="16">
        <f>'03 - 2022'!E19-'03 - 2022'!E18</f>
        <v>20.070000000000164</v>
      </c>
      <c r="I13" s="16">
        <f>'03 - 2022'!F19-'03 - 2022'!F18</f>
        <v>8.2899999999999636</v>
      </c>
      <c r="J13" s="16">
        <f>'03 - 2022'!G19-'03 - 2022'!G18</f>
        <v>40.30000000000291</v>
      </c>
      <c r="K13" s="14">
        <v>0.74</v>
      </c>
      <c r="L13" s="16">
        <v>92</v>
      </c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3897</v>
      </c>
      <c r="F14" s="16">
        <f>'03 - 2022'!C20-'03 - 2022'!C19</f>
        <v>5822</v>
      </c>
      <c r="G14" s="14">
        <v>0.11799999999999999</v>
      </c>
      <c r="H14" s="16">
        <f>'03 - 2022'!E20-'03 - 2022'!E19</f>
        <v>20.179999999999836</v>
      </c>
      <c r="I14" s="16">
        <f>'03 - 2022'!F20-'03 - 2022'!F19</f>
        <v>8.3199999999999363</v>
      </c>
      <c r="J14" s="16">
        <f>'03 - 2022'!G20-'03 - 2022'!G19</f>
        <v>38.009999999994761</v>
      </c>
      <c r="K14" s="14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3820</v>
      </c>
      <c r="F15" s="16">
        <f>'03 - 2022'!C21-'03 - 2022'!C20</f>
        <v>5749</v>
      </c>
      <c r="G15" s="14">
        <v>0.11799999999999999</v>
      </c>
      <c r="H15" s="16">
        <f>'03 - 2022'!E21-'03 - 2022'!E20</f>
        <v>16.230000000000018</v>
      </c>
      <c r="I15" s="16">
        <f>'03 - 2022'!F21-'03 - 2022'!F20</f>
        <v>7.4900000000000091</v>
      </c>
      <c r="J15" s="16">
        <f>'03 - 2022'!G21-'03 - 2022'!G20</f>
        <v>40.660000000003492</v>
      </c>
      <c r="K15" s="14">
        <v>0.74</v>
      </c>
      <c r="L15" s="16">
        <v>91</v>
      </c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3664</v>
      </c>
      <c r="F16" s="16">
        <f>'03 - 2022'!C22-'03 - 2022'!C21</f>
        <v>5556</v>
      </c>
      <c r="G16" s="14">
        <v>0.11799999999999999</v>
      </c>
      <c r="H16" s="16">
        <f>'03 - 2022'!E22-'03 - 2022'!E21</f>
        <v>14.930000000000291</v>
      </c>
      <c r="I16" s="16">
        <f>'03 - 2022'!F22-'03 - 2022'!F21</f>
        <v>8.2300000000000182</v>
      </c>
      <c r="J16" s="16">
        <f>'03 - 2022'!G22-'03 - 2022'!G21</f>
        <v>37.330000000001746</v>
      </c>
      <c r="K16" s="14">
        <v>0.74</v>
      </c>
      <c r="L16" s="16">
        <v>99</v>
      </c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3833</v>
      </c>
      <c r="F17" s="16">
        <f>'03 - 2022'!C23-'03 - 2022'!C22</f>
        <v>5936</v>
      </c>
      <c r="G17" s="14">
        <v>0.11799999999999999</v>
      </c>
      <c r="H17" s="16">
        <f>'03 - 2022'!E23-'03 - 2022'!E22</f>
        <v>15.239999999999782</v>
      </c>
      <c r="I17" s="16">
        <f>'03 - 2022'!F23-'03 - 2022'!F22</f>
        <v>9.0499999999999545</v>
      </c>
      <c r="J17" s="16">
        <f>'03 - 2022'!G23-'03 - 2022'!G22</f>
        <v>38.349999999998545</v>
      </c>
      <c r="K17" s="14">
        <v>0.74</v>
      </c>
      <c r="L17" s="16">
        <v>98</v>
      </c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v>0</v>
      </c>
      <c r="F18" s="16">
        <v>0</v>
      </c>
      <c r="G18" s="14">
        <v>0.11799999999999999</v>
      </c>
      <c r="H18" s="16">
        <v>0</v>
      </c>
      <c r="I18" s="16">
        <v>0</v>
      </c>
      <c r="J18" s="16"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0</v>
      </c>
      <c r="F19" s="16">
        <f>'03 - 2022'!C25-'03 - 2022'!C24</f>
        <v>0</v>
      </c>
      <c r="G19" s="14">
        <v>0.11799999999999999</v>
      </c>
      <c r="H19" s="16">
        <f>'03 - 2022'!E25-'03 - 2022'!E24</f>
        <v>0</v>
      </c>
      <c r="I19" s="16">
        <f>'03 - 2022'!F25-'03 - 2022'!F24</f>
        <v>0</v>
      </c>
      <c r="J19" s="16">
        <f>'03 - 2022'!G25-'03 - 2022'!G24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0</v>
      </c>
      <c r="F20" s="16">
        <f>'03 - 2022'!C26-'03 - 2022'!C25</f>
        <v>0</v>
      </c>
      <c r="G20" s="14">
        <v>0.11799999999999999</v>
      </c>
      <c r="H20" s="16">
        <f>'03 - 2022'!E26-'03 - 2022'!E25</f>
        <v>0</v>
      </c>
      <c r="I20" s="16">
        <f>'03 - 2022'!F26-'03 - 2022'!F25</f>
        <v>0</v>
      </c>
      <c r="J20" s="16">
        <f>'03 - 2022'!G26-'03 - 2022'!G25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0</v>
      </c>
      <c r="F21" s="16">
        <f>'03 - 2022'!C27-'03 - 2022'!C26</f>
        <v>0</v>
      </c>
      <c r="G21" s="14">
        <v>0.11799999999999999</v>
      </c>
      <c r="H21" s="16">
        <f>'03 - 2022'!E27-'03 - 2022'!E26</f>
        <v>0</v>
      </c>
      <c r="I21" s="16">
        <f>'03 - 2022'!F27-'03 - 2022'!F26</f>
        <v>0</v>
      </c>
      <c r="J21" s="16">
        <f>'03 - 2022'!G27-'03 - 2022'!G26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0</v>
      </c>
      <c r="F22" s="16">
        <f>'03 - 2022'!C28-'03 - 2022'!C27</f>
        <v>0</v>
      </c>
      <c r="G22" s="14">
        <v>0.11799999999999999</v>
      </c>
      <c r="H22" s="16">
        <f>'03 - 2022'!E28-'03 - 2022'!E27</f>
        <v>0</v>
      </c>
      <c r="I22" s="16">
        <f>'03 - 2022'!F28-'03 - 2022'!F27</f>
        <v>0</v>
      </c>
      <c r="J22" s="16">
        <f>'03 - 2022'!G28-'03 - 2022'!G27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0</v>
      </c>
      <c r="F23" s="16">
        <f>'03 - 2022'!C29-'03 - 2022'!C28</f>
        <v>0</v>
      </c>
      <c r="G23" s="14">
        <v>0.11799999999999999</v>
      </c>
      <c r="H23" s="16">
        <f>'03 - 2022'!E29-'03 - 2022'!E28</f>
        <v>0</v>
      </c>
      <c r="I23" s="16">
        <f>'03 - 2022'!F29-'03 - 2022'!F28</f>
        <v>0</v>
      </c>
      <c r="J23" s="16">
        <f>'03 - 2022'!G29-'03 - 2022'!G28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0</v>
      </c>
      <c r="F24" s="16">
        <f>'03 - 2022'!C30-'03 - 2022'!C29</f>
        <v>0</v>
      </c>
      <c r="G24" s="14">
        <v>0.11799999999999999</v>
      </c>
      <c r="H24" s="16">
        <f>'03 - 2022'!E30-'03 - 2022'!E29</f>
        <v>0</v>
      </c>
      <c r="I24" s="16">
        <f>'03 - 2022'!F30-'03 - 2022'!F29</f>
        <v>0</v>
      </c>
      <c r="J24" s="16">
        <f>'03 - 2022'!G30-'03 - 2022'!G29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0</v>
      </c>
      <c r="F25" s="16">
        <f>'03 - 2022'!C31-'03 - 2022'!C30</f>
        <v>0</v>
      </c>
      <c r="G25" s="14">
        <v>0.11799999999999999</v>
      </c>
      <c r="H25" s="16">
        <f>'03 - 2022'!E31-'03 - 2022'!E30</f>
        <v>0</v>
      </c>
      <c r="I25" s="16">
        <f>'03 - 2022'!F31-'03 - 2022'!F30</f>
        <v>0</v>
      </c>
      <c r="J25" s="16">
        <f>'03 - 2022'!G31-'03 - 2022'!G30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0</v>
      </c>
      <c r="F26" s="16">
        <f>'03 - 2022'!C32-'03 - 2022'!C31</f>
        <v>0</v>
      </c>
      <c r="G26" s="14">
        <v>0.11799999999999999</v>
      </c>
      <c r="H26" s="16">
        <f>'03 - 2022'!E32-'03 - 2022'!E31</f>
        <v>0</v>
      </c>
      <c r="I26" s="16">
        <f>'03 - 2022'!F32-'03 - 2022'!F31</f>
        <v>0</v>
      </c>
      <c r="J26" s="16">
        <f>'03 - 2022'!G32-'03 - 2022'!G31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0</v>
      </c>
      <c r="F27" s="16">
        <f>'03 - 2022'!C33-'03 - 2022'!C32</f>
        <v>0</v>
      </c>
      <c r="G27" s="14">
        <v>0.11799999999999999</v>
      </c>
      <c r="H27" s="16">
        <f>'03 - 2022'!E33-'03 - 2022'!E32</f>
        <v>0</v>
      </c>
      <c r="I27" s="16">
        <f>'03 - 2022'!F33-'03 - 2022'!F32</f>
        <v>0</v>
      </c>
      <c r="J27" s="16">
        <f>'03 - 2022'!G33-'03 - 2022'!G32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0</v>
      </c>
      <c r="F28" s="16">
        <f>'03 - 2022'!C34-'03 - 2022'!C33</f>
        <v>0</v>
      </c>
      <c r="G28" s="14">
        <v>0.11799999999999999</v>
      </c>
      <c r="H28" s="16">
        <f>'03 - 2022'!E34-'03 - 2022'!E33</f>
        <v>0</v>
      </c>
      <c r="I28" s="16">
        <f>'03 - 2022'!F34-'03 - 2022'!F33</f>
        <v>0</v>
      </c>
      <c r="J28" s="16">
        <f>'03 - 2022'!G34-'03 - 2022'!G33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0</v>
      </c>
      <c r="F29" s="16">
        <f>'03 - 2022'!C35-'03 - 2022'!C34</f>
        <v>0</v>
      </c>
      <c r="G29" s="14">
        <v>0.11799999999999999</v>
      </c>
      <c r="H29" s="16">
        <f>'03 - 2022'!E35-'03 - 2022'!E34</f>
        <v>0</v>
      </c>
      <c r="I29" s="16">
        <f>'03 - 2022'!F35-'03 - 2022'!F34</f>
        <v>0</v>
      </c>
      <c r="J29" s="16">
        <f>'03 - 2022'!G35-'03 - 2022'!G34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0</v>
      </c>
      <c r="F30" s="16">
        <f>'03 - 2022'!C36-'03 - 2022'!C35</f>
        <v>0</v>
      </c>
      <c r="G30" s="14">
        <v>0.11799999999999999</v>
      </c>
      <c r="H30" s="16">
        <f>'03 - 2022'!E36-'03 - 2022'!E35</f>
        <v>0</v>
      </c>
      <c r="I30" s="16">
        <f>'03 - 2022'!F36-'03 - 2022'!F35</f>
        <v>0</v>
      </c>
      <c r="J30" s="16">
        <f>'03 - 2022'!G36-'03 - 2022'!G35</f>
        <v>0</v>
      </c>
      <c r="K30" s="14">
        <v>0.74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0</v>
      </c>
      <c r="F31" s="16">
        <f>'03 - 2022'!C37-'03 - 2022'!C36</f>
        <v>0</v>
      </c>
      <c r="G31" s="14">
        <v>0.11799999999999999</v>
      </c>
      <c r="H31" s="16">
        <f>'03 - 2022'!E37-'03 - 2022'!E36</f>
        <v>0</v>
      </c>
      <c r="I31" s="16">
        <f>'03 - 2022'!F37-'03 - 2022'!F36</f>
        <v>0</v>
      </c>
      <c r="J31" s="16">
        <f>'03 - 2022'!G37-'03 - 2022'!G36</f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H27" sqref="H27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40"/>
      <c r="B5" s="88" t="s">
        <v>36</v>
      </c>
      <c r="C5" s="88"/>
      <c r="D5" s="88" t="s">
        <v>0</v>
      </c>
      <c r="E5" s="88"/>
      <c r="F5" s="88"/>
      <c r="G5" s="88"/>
      <c r="H5" s="88" t="s">
        <v>1</v>
      </c>
      <c r="I5" s="88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7" t="s">
        <v>32</v>
      </c>
    </row>
    <row r="7" spans="1:17" s="12" customFormat="1" ht="12.95" customHeight="1" x14ac:dyDescent="0.25">
      <c r="A7" s="75">
        <v>44620</v>
      </c>
      <c r="B7" s="76">
        <v>766849</v>
      </c>
      <c r="C7" s="77">
        <v>396625</v>
      </c>
      <c r="D7" s="78">
        <v>0.43</v>
      </c>
      <c r="E7" s="63">
        <v>2836.86</v>
      </c>
      <c r="F7" s="63">
        <v>1639.39</v>
      </c>
      <c r="G7" s="63">
        <v>38892.370000000003</v>
      </c>
      <c r="H7" s="76">
        <v>14528</v>
      </c>
      <c r="I7" s="76">
        <v>148993</v>
      </c>
      <c r="J7" s="76">
        <v>53864590</v>
      </c>
      <c r="K7" s="49"/>
      <c r="L7" s="68"/>
      <c r="M7" s="17"/>
    </row>
    <row r="8" spans="1:17" s="28" customFormat="1" ht="12.95" customHeight="1" x14ac:dyDescent="0.25">
      <c r="A8" s="48">
        <f>A7+1</f>
        <v>44621</v>
      </c>
      <c r="B8" s="79">
        <v>770869</v>
      </c>
      <c r="C8" s="79">
        <v>402301</v>
      </c>
      <c r="D8" s="80">
        <v>0.36</v>
      </c>
      <c r="E8" s="74">
        <v>2855.67</v>
      </c>
      <c r="F8" s="74">
        <v>1647.44</v>
      </c>
      <c r="G8" s="79">
        <v>38929.230000000003</v>
      </c>
      <c r="H8" s="79">
        <v>14528</v>
      </c>
      <c r="I8" s="79">
        <v>149104</v>
      </c>
      <c r="J8" s="79">
        <v>53879396</v>
      </c>
      <c r="K8" s="38"/>
      <c r="L8" s="69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/>
      <c r="L9" s="70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81">
        <v>0.76</v>
      </c>
      <c r="E10" s="63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82">
        <v>53906394</v>
      </c>
      <c r="K10" s="38"/>
      <c r="L10" s="70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81">
        <v>0.68</v>
      </c>
      <c r="E11" s="63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70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81">
        <v>0.59</v>
      </c>
      <c r="E12" s="83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70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81">
        <v>0.52</v>
      </c>
      <c r="E13" s="63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70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81">
        <v>0.42</v>
      </c>
      <c r="E14" s="63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70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>
        <v>798615</v>
      </c>
      <c r="C15" s="37">
        <v>442077</v>
      </c>
      <c r="D15" s="29">
        <v>0.35</v>
      </c>
      <c r="E15" s="26">
        <v>2986.04</v>
      </c>
      <c r="F15" s="26">
        <v>1706.45</v>
      </c>
      <c r="G15" s="36">
        <v>39220.04</v>
      </c>
      <c r="H15" s="37">
        <v>14528</v>
      </c>
      <c r="I15" s="37">
        <v>149873</v>
      </c>
      <c r="J15" s="37">
        <v>53984568</v>
      </c>
      <c r="K15" s="38"/>
      <c r="L15" s="70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>
        <v>801971</v>
      </c>
      <c r="C16" s="37">
        <v>447766</v>
      </c>
      <c r="D16" s="29">
        <v>0.28000000000000003</v>
      </c>
      <c r="E16" s="26">
        <v>3003.49</v>
      </c>
      <c r="F16" s="26">
        <v>1713.82</v>
      </c>
      <c r="G16" s="36">
        <v>39260.74</v>
      </c>
      <c r="H16" s="37">
        <v>14528</v>
      </c>
      <c r="I16" s="37">
        <v>149981</v>
      </c>
      <c r="J16" s="37">
        <v>54001440</v>
      </c>
      <c r="K16" s="38"/>
      <c r="L16" s="70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>
        <v>805800</v>
      </c>
      <c r="C17" s="36">
        <v>453324</v>
      </c>
      <c r="D17" s="84">
        <v>0.77</v>
      </c>
      <c r="E17" s="63">
        <v>3023.86</v>
      </c>
      <c r="F17" s="26">
        <v>1720.87</v>
      </c>
      <c r="G17" s="36">
        <v>39297.81</v>
      </c>
      <c r="H17" s="37">
        <v>14528</v>
      </c>
      <c r="I17" s="36">
        <v>150087</v>
      </c>
      <c r="J17" s="36">
        <v>54019637</v>
      </c>
      <c r="K17" s="38"/>
      <c r="L17" s="70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>
        <v>809633</v>
      </c>
      <c r="C18" s="37">
        <v>459164</v>
      </c>
      <c r="D18" s="81">
        <v>0.68</v>
      </c>
      <c r="E18" s="63">
        <v>3044.93</v>
      </c>
      <c r="F18" s="26">
        <v>1728.63</v>
      </c>
      <c r="G18" s="36">
        <v>39339.82</v>
      </c>
      <c r="H18" s="37">
        <v>14528</v>
      </c>
      <c r="I18" s="37">
        <v>150208</v>
      </c>
      <c r="J18" s="37">
        <v>54039164</v>
      </c>
      <c r="K18" s="38"/>
      <c r="L18" s="70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>
        <v>813532</v>
      </c>
      <c r="C19" s="54">
        <v>465046</v>
      </c>
      <c r="D19" s="81">
        <v>0.59</v>
      </c>
      <c r="E19" s="85">
        <v>3065</v>
      </c>
      <c r="F19" s="26">
        <v>1736.92</v>
      </c>
      <c r="G19" s="55">
        <v>39380.120000000003</v>
      </c>
      <c r="H19" s="37">
        <v>14528</v>
      </c>
      <c r="I19" s="54">
        <v>150323</v>
      </c>
      <c r="J19" s="54">
        <v>54059276</v>
      </c>
      <c r="K19" s="38"/>
      <c r="L19" s="70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>
        <v>817429</v>
      </c>
      <c r="C20" s="54">
        <v>470868</v>
      </c>
      <c r="D20" s="81">
        <v>0.51</v>
      </c>
      <c r="E20" s="85">
        <v>3085.18</v>
      </c>
      <c r="F20" s="26">
        <v>1745.24</v>
      </c>
      <c r="G20" s="55">
        <v>39418.129999999997</v>
      </c>
      <c r="H20" s="37">
        <v>14528</v>
      </c>
      <c r="I20" s="54">
        <v>150433</v>
      </c>
      <c r="J20" s="54">
        <v>54078724</v>
      </c>
      <c r="K20" s="38"/>
      <c r="L20" s="70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>
        <v>821249</v>
      </c>
      <c r="C21" s="54">
        <v>476617</v>
      </c>
      <c r="D21" s="81">
        <v>0.42</v>
      </c>
      <c r="E21" s="85">
        <v>3101.41</v>
      </c>
      <c r="F21" s="26">
        <v>1752.73</v>
      </c>
      <c r="G21" s="55">
        <v>39458.79</v>
      </c>
      <c r="H21" s="37">
        <v>14528</v>
      </c>
      <c r="I21" s="54">
        <v>150532</v>
      </c>
      <c r="J21" s="54">
        <v>54096440</v>
      </c>
      <c r="K21" s="38"/>
      <c r="L21" s="70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>
        <v>824913</v>
      </c>
      <c r="C22" s="54">
        <v>482173</v>
      </c>
      <c r="D22" s="29">
        <v>0.35</v>
      </c>
      <c r="E22" s="55">
        <v>3116.34</v>
      </c>
      <c r="F22" s="26">
        <v>1760.96</v>
      </c>
      <c r="G22" s="55">
        <v>39496.120000000003</v>
      </c>
      <c r="H22" s="37">
        <v>14528</v>
      </c>
      <c r="I22" s="55">
        <v>150637</v>
      </c>
      <c r="J22" s="54">
        <v>54114680</v>
      </c>
      <c r="K22" s="38"/>
      <c r="L22" s="70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>
        <v>828746</v>
      </c>
      <c r="C23" s="54">
        <v>488109</v>
      </c>
      <c r="D23" s="29">
        <v>0.27</v>
      </c>
      <c r="E23" s="55">
        <v>3131.58</v>
      </c>
      <c r="F23" s="26">
        <v>1770.01</v>
      </c>
      <c r="G23" s="55">
        <v>39534.47</v>
      </c>
      <c r="H23" s="37">
        <v>14528</v>
      </c>
      <c r="I23" s="54">
        <v>150750</v>
      </c>
      <c r="J23" s="54">
        <v>54135728</v>
      </c>
      <c r="K23" s="38"/>
      <c r="L23" s="70"/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/>
      <c r="C24" s="54"/>
      <c r="D24" s="29"/>
      <c r="E24" s="55"/>
      <c r="F24" s="26"/>
      <c r="G24" s="55"/>
      <c r="H24" s="35"/>
      <c r="I24" s="54"/>
      <c r="J24" s="54"/>
      <c r="K24" s="38"/>
      <c r="L24" s="71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/>
      <c r="C25" s="55"/>
      <c r="D25" s="29"/>
      <c r="E25" s="55"/>
      <c r="F25" s="26"/>
      <c r="G25" s="55"/>
      <c r="H25" s="35"/>
      <c r="I25" s="54"/>
      <c r="J25" s="54"/>
      <c r="K25" s="39"/>
      <c r="L25" s="71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/>
      <c r="C26" s="55"/>
      <c r="D26" s="29"/>
      <c r="E26" s="55"/>
      <c r="F26" s="63"/>
      <c r="G26" s="55"/>
      <c r="H26" s="35"/>
      <c r="I26" s="62"/>
      <c r="J26" s="62"/>
      <c r="K26" s="38"/>
      <c r="L26" s="71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/>
      <c r="C27" s="54"/>
      <c r="D27" s="29"/>
      <c r="E27" s="55"/>
      <c r="F27" s="63"/>
      <c r="G27" s="55"/>
      <c r="H27" s="35"/>
      <c r="I27" s="62"/>
      <c r="J27" s="64"/>
      <c r="K27" s="38"/>
      <c r="L27" s="70"/>
      <c r="M27" s="27"/>
    </row>
    <row r="28" spans="1:19" s="28" customFormat="1" ht="12.95" customHeight="1" x14ac:dyDescent="0.25">
      <c r="A28" s="48">
        <f t="shared" si="0"/>
        <v>44641</v>
      </c>
      <c r="B28" s="56"/>
      <c r="C28" s="54"/>
      <c r="D28" s="29"/>
      <c r="E28" s="55"/>
      <c r="F28" s="26"/>
      <c r="G28" s="55"/>
      <c r="H28" s="35"/>
      <c r="I28" s="54"/>
      <c r="J28" s="54"/>
      <c r="K28" s="38"/>
      <c r="L28" s="70"/>
      <c r="M28" s="27"/>
    </row>
    <row r="29" spans="1:19" s="28" customFormat="1" ht="12.95" customHeight="1" x14ac:dyDescent="0.25">
      <c r="A29" s="48">
        <f t="shared" si="0"/>
        <v>44642</v>
      </c>
      <c r="B29" s="54"/>
      <c r="C29" s="54"/>
      <c r="D29" s="29"/>
      <c r="E29" s="55"/>
      <c r="F29" s="26"/>
      <c r="G29" s="55"/>
      <c r="H29" s="37"/>
      <c r="I29" s="54"/>
      <c r="J29" s="54"/>
      <c r="K29" s="38"/>
      <c r="L29" s="70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/>
      <c r="C30" s="54"/>
      <c r="D30" s="29"/>
      <c r="E30" s="55"/>
      <c r="F30" s="26"/>
      <c r="G30" s="55"/>
      <c r="H30" s="37"/>
      <c r="I30" s="54"/>
      <c r="J30" s="54"/>
      <c r="K30" s="38"/>
      <c r="L30" s="70"/>
      <c r="M30" s="27"/>
    </row>
    <row r="31" spans="1:19" s="28" customFormat="1" ht="12.95" customHeight="1" x14ac:dyDescent="0.25">
      <c r="A31" s="48">
        <f t="shared" si="0"/>
        <v>44644</v>
      </c>
      <c r="B31" s="54"/>
      <c r="C31" s="54"/>
      <c r="D31" s="29"/>
      <c r="E31" s="55"/>
      <c r="F31" s="26"/>
      <c r="G31" s="55"/>
      <c r="H31" s="35"/>
      <c r="I31" s="54"/>
      <c r="J31" s="54"/>
      <c r="K31" s="38"/>
      <c r="L31" s="72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/>
      <c r="C32" s="54"/>
      <c r="D32" s="29"/>
      <c r="E32" s="55"/>
      <c r="F32" s="26"/>
      <c r="G32" s="55"/>
      <c r="H32" s="35"/>
      <c r="I32" s="54"/>
      <c r="J32" s="54"/>
      <c r="K32" s="38"/>
      <c r="L32" s="72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/>
      <c r="C33" s="54"/>
      <c r="D33" s="29"/>
      <c r="E33" s="55"/>
      <c r="F33" s="26"/>
      <c r="G33" s="55"/>
      <c r="H33" s="35"/>
      <c r="I33" s="62"/>
      <c r="J33" s="62"/>
      <c r="K33" s="38"/>
      <c r="L33" s="70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/>
      <c r="C34" s="57"/>
      <c r="D34" s="29"/>
      <c r="E34" s="55"/>
      <c r="F34" s="26"/>
      <c r="G34" s="55"/>
      <c r="H34" s="37"/>
      <c r="I34" s="55"/>
      <c r="J34" s="55"/>
      <c r="K34" s="38"/>
      <c r="L34" s="70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/>
      <c r="C35" s="65"/>
      <c r="D35" s="29"/>
      <c r="E35" s="26"/>
      <c r="F35" s="36"/>
      <c r="G35" s="36"/>
      <c r="H35" s="37"/>
      <c r="I35" s="37"/>
      <c r="J35" s="37"/>
      <c r="K35" s="38"/>
      <c r="L35" s="70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/>
      <c r="C36" s="65"/>
      <c r="D36" s="29"/>
      <c r="E36" s="26"/>
      <c r="F36" s="36"/>
      <c r="G36" s="36"/>
      <c r="H36" s="37"/>
      <c r="I36" s="37"/>
      <c r="J36" s="37"/>
      <c r="K36" s="38"/>
      <c r="L36" s="70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5"/>
      <c r="D37" s="29"/>
      <c r="E37" s="26"/>
      <c r="F37" s="36"/>
      <c r="G37" s="36"/>
      <c r="H37" s="37"/>
      <c r="I37" s="37"/>
      <c r="J37" s="37"/>
      <c r="K37" s="38"/>
      <c r="L37" s="70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6"/>
      <c r="E38" s="60"/>
      <c r="F38" s="61"/>
      <c r="G38" s="61"/>
      <c r="H38" s="58"/>
      <c r="I38" s="58"/>
      <c r="J38" s="58"/>
      <c r="K38" s="50"/>
      <c r="L38" s="73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-766849</v>
      </c>
      <c r="C39" s="52">
        <f>C35-C7</f>
        <v>-396625</v>
      </c>
      <c r="D39" s="52">
        <f t="shared" ref="D39:I39" si="1">D35-D7</f>
        <v>-0.43</v>
      </c>
      <c r="E39" s="52">
        <f>E35-E7</f>
        <v>-2836.86</v>
      </c>
      <c r="F39" s="52">
        <f t="shared" si="1"/>
        <v>-1639.39</v>
      </c>
      <c r="G39" s="52">
        <f>G35-G7</f>
        <v>-38892.370000000003</v>
      </c>
      <c r="H39" s="52">
        <f t="shared" si="1"/>
        <v>-14528</v>
      </c>
      <c r="I39" s="52">
        <f t="shared" si="1"/>
        <v>-148993</v>
      </c>
      <c r="J39" s="52">
        <f>J35-J7</f>
        <v>-53864590</v>
      </c>
      <c r="K39" s="52">
        <f>SUM(K7:K35)</f>
        <v>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-3195709.6319999998</v>
      </c>
      <c r="I40" s="52">
        <f>I39*219.969</f>
        <v>-32773841.217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2022-03-16T05:13:48Z</dcterms:modified>
</cp:coreProperties>
</file>