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9BAFF39C-3A56-4B5D-BF44-9BF79ADF537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4" l="1"/>
  <c r="G32" i="4"/>
  <c r="E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K2" i="4" l="1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32" i="4"/>
  <c r="L2" i="4"/>
  <c r="N2" i="4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N32" i="4"/>
  <c r="J31" i="4" l="1"/>
  <c r="J32" i="4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D2" i="4" s="1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C8" i="1"/>
  <c r="C9" i="1"/>
  <c r="C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7" i="1" l="1"/>
  <c r="E37" i="1"/>
  <c r="F36" i="2"/>
  <c r="E36" i="2"/>
  <c r="G35" i="2"/>
  <c r="G36" i="1"/>
  <c r="H36" i="1"/>
  <c r="I36" i="1"/>
  <c r="J36" i="1" l="1"/>
  <c r="K36" i="1"/>
  <c r="L36" i="1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G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J2" i="4" s="1"/>
  <c r="L37" i="1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<sst xmlns="http://schemas.openxmlformats.org/spreadsheetml/2006/main" count="117" uniqueCount="45">
  <si>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</si>
  <si>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</si>
  <si>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</si>
  <si>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</si>
  <si>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</si>
  <si>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</si>
  <si>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</si>
  <si>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</si>
  <si>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</si>
  <si>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</si>
  <si>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</si>
  <si>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</si>
  <si>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</si>
  <si>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</si>
  <si>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</si>
  <si>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</si>
  <si>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</si>
  <si>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</si>
  <si>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</si>
  <si>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</si>
  <si>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</si>
  <si>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</si>
  <si>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</si>
  <si>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</si>
  <si>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</si>
  <si>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</si>
  <si>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</si>
  <si>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</si>
  <si>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</si>
  <si>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</si>
  <si>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</si>
  <si>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</si>
  <si>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</si>
  <si>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</si>
  <si>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</si>
  <si>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</si>
  <si>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</si>
  <si>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2018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</si>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</sst>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B25" workbookViewId="0">
      <selection activeCell="F41" sqref="F41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12</v>
      </c>
      <c r="D2" s="45">
        <f>Water!D6</f>
        <v>2018</v>
      </c>
      <c r="E2" s="43">
        <f>Electricity!G6</f>
        <v>27400.000000000091</v>
      </c>
      <c r="F2" s="43">
        <f>Electricity!E6</f>
        <v>5240.0000000002365</v>
      </c>
      <c r="G2" s="43">
        <f>Electricity!F6</f>
        <v>22159.999999999854</v>
      </c>
      <c r="H2" s="47">
        <v>1553.67</v>
      </c>
      <c r="I2" s="57" t="s">
        <v>28</v>
      </c>
      <c r="J2" s="106">
        <f>Electricity!L6</f>
        <v>31840374.374400221</v>
      </c>
      <c r="K2" s="43">
        <f>J2/E2</f>
        <v>1162.0574589197122</v>
      </c>
      <c r="L2" s="58">
        <f>Water!G5</f>
        <v>374</v>
      </c>
      <c r="M2" s="58">
        <v>12550</v>
      </c>
      <c r="N2" s="106">
        <f>M2*L2</f>
        <v>4693700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12</v>
      </c>
      <c r="D3" s="45">
        <f>D2</f>
        <v>2018</v>
      </c>
      <c r="E3" s="43">
        <f>Electricity!G7</f>
        <v>26999.999999997272</v>
      </c>
      <c r="F3" s="43">
        <f>Electricity!E7</f>
        <v>5119.9999999998909</v>
      </c>
      <c r="G3" s="43">
        <f>Electricity!F7</f>
        <v>21879.999999997381</v>
      </c>
      <c r="H3" s="47">
        <v>1553.67</v>
      </c>
      <c r="I3" s="57" t="s">
        <v>28</v>
      </c>
      <c r="J3" s="106">
        <f>Electricity!L7</f>
        <v>31352480.563197047</v>
      </c>
      <c r="K3" s="43">
        <f t="shared" ref="K3:K32" si="0">J3/E3</f>
        <v>1161.2029838222302</v>
      </c>
      <c r="L3" s="58">
        <f>Water!G6</f>
        <v>269</v>
      </c>
      <c r="M3" s="58">
        <v>12550</v>
      </c>
      <c r="N3" s="106">
        <f t="shared" ref="N3:N32" si="1">M3*L3</f>
        <v>3375950</v>
      </c>
      <c r="O3" s="43">
        <f>Electricity!C7</f>
        <v>161</v>
      </c>
    </row>
    <row r="4" spans="1:15" x14ac:dyDescent="0.25">
      <c r="A4" s="48" t="s">
        <v>44</v>
      </c>
      <c r="B4" s="45">
        <v>3</v>
      </c>
      <c r="C4" s="45">
        <v>12</v>
      </c>
      <c r="D4" s="45">
        <f t="shared" ref="D4:D32" si="2">D3</f>
        <v>2018</v>
      </c>
      <c r="E4" s="43">
        <f>Electricity!G8</f>
        <v>26760.000000000218</v>
      </c>
      <c r="F4" s="43">
        <f>Electricity!E8</f>
        <v>4920.0000000000728</v>
      </c>
      <c r="G4" s="43">
        <f>Electricity!F8</f>
        <v>21840.000000000146</v>
      </c>
      <c r="H4" s="47">
        <v>1553.67</v>
      </c>
      <c r="I4" s="57" t="s">
        <v>28</v>
      </c>
      <c r="J4" s="106">
        <f>Electricity!L8</f>
        <v>30991863.398400273</v>
      </c>
      <c r="K4" s="43">
        <f t="shared" si="0"/>
        <v>1158.1413826008977</v>
      </c>
      <c r="L4" s="58">
        <f>Water!G7</f>
        <v>393</v>
      </c>
      <c r="M4" s="58">
        <v>12550</v>
      </c>
      <c r="N4" s="106">
        <f t="shared" si="1"/>
        <v>4932150</v>
      </c>
      <c r="O4" s="43">
        <f>Electricity!C8</f>
        <v>161</v>
      </c>
    </row>
    <row r="5" spans="1:15" x14ac:dyDescent="0.25">
      <c r="A5" s="48" t="s">
        <v>44</v>
      </c>
      <c r="B5" s="45">
        <v>4</v>
      </c>
      <c r="C5" s="45">
        <v>12</v>
      </c>
      <c r="D5" s="45">
        <f t="shared" si="2"/>
        <v>2018</v>
      </c>
      <c r="E5" s="43">
        <f>Electricity!G9</f>
        <v>25080.000000000382</v>
      </c>
      <c r="F5" s="43">
        <f>Electricity!E9</f>
        <v>3879.9999999996544</v>
      </c>
      <c r="G5" s="43">
        <f>Electricity!F9</f>
        <v>21200.000000000728</v>
      </c>
      <c r="H5" s="47">
        <v>1553.67</v>
      </c>
      <c r="I5" s="57" t="s">
        <v>28</v>
      </c>
      <c r="J5" s="106">
        <f>Electricity!L9</f>
        <v>28658458.214400224</v>
      </c>
      <c r="K5" s="43">
        <f t="shared" si="0"/>
        <v>1142.6817469856376</v>
      </c>
      <c r="L5" s="58">
        <f>Water!G8</f>
        <v>237</v>
      </c>
      <c r="M5" s="58">
        <v>12550</v>
      </c>
      <c r="N5" s="106">
        <f t="shared" si="1"/>
        <v>2974350</v>
      </c>
      <c r="O5" s="43">
        <f>Electricity!C9</f>
        <v>161</v>
      </c>
    </row>
    <row r="6" spans="1:15" x14ac:dyDescent="0.25">
      <c r="A6" s="48" t="s">
        <v>44</v>
      </c>
      <c r="B6" s="45">
        <v>5</v>
      </c>
      <c r="C6" s="45">
        <v>12</v>
      </c>
      <c r="D6" s="45">
        <f t="shared" si="2"/>
        <v>2018</v>
      </c>
      <c r="E6" s="43">
        <f>Electricity!G10</f>
        <v>25399.999999999181</v>
      </c>
      <c r="F6" s="43">
        <f>Electricity!E10</f>
        <v>4280.0000000002001</v>
      </c>
      <c r="G6" s="43">
        <f>Electricity!F10</f>
        <v>21119.999999998981</v>
      </c>
      <c r="H6" s="47">
        <v>1553.67</v>
      </c>
      <c r="I6" s="57" t="s">
        <v>28</v>
      </c>
      <c r="J6" s="106">
        <f>Electricity!L10</f>
        <v>29209990.348799236</v>
      </c>
      <c r="K6" s="43">
        <f t="shared" si="0"/>
        <v>1149.9996200315031</v>
      </c>
      <c r="L6" s="58">
        <f>Water!G9</f>
        <v>216</v>
      </c>
      <c r="M6" s="58">
        <v>12550</v>
      </c>
      <c r="N6" s="106">
        <f t="shared" si="1"/>
        <v>2710800</v>
      </c>
      <c r="O6" s="43">
        <f>Electricity!C10</f>
        <v>161</v>
      </c>
    </row>
    <row r="7" spans="1:15" x14ac:dyDescent="0.25">
      <c r="A7" s="48" t="s">
        <v>44</v>
      </c>
      <c r="B7" s="45">
        <v>6</v>
      </c>
      <c r="C7" s="45">
        <v>12</v>
      </c>
      <c r="D7" s="45">
        <f t="shared" si="2"/>
        <v>2018</v>
      </c>
      <c r="E7" s="43">
        <f>Electricity!G11</f>
        <v>28240.000000001146</v>
      </c>
      <c r="F7" s="43">
        <f>Electricity!E11</f>
        <v>6519.9999999999818</v>
      </c>
      <c r="G7" s="43">
        <f>Electricity!F11</f>
        <v>21720.000000001164</v>
      </c>
      <c r="H7" s="47">
        <v>1553.67</v>
      </c>
      <c r="I7" s="57" t="s">
        <v>28</v>
      </c>
      <c r="J7" s="106">
        <f>Electricity!L11</f>
        <v>33410119.680001207</v>
      </c>
      <c r="K7" s="43">
        <f t="shared" si="0"/>
        <v>1183.0778923512696</v>
      </c>
      <c r="L7" s="58">
        <f>Water!G10</f>
        <v>317</v>
      </c>
      <c r="M7" s="58">
        <v>12550</v>
      </c>
      <c r="N7" s="106">
        <f t="shared" si="1"/>
        <v>3978350</v>
      </c>
      <c r="O7" s="43">
        <f>Electricity!C11</f>
        <v>161</v>
      </c>
    </row>
    <row r="8" spans="1:15" x14ac:dyDescent="0.25">
      <c r="A8" s="48" t="s">
        <v>44</v>
      </c>
      <c r="B8" s="45">
        <v>7</v>
      </c>
      <c r="C8" s="45">
        <v>12</v>
      </c>
      <c r="D8" s="45">
        <f t="shared" si="2"/>
        <v>2018</v>
      </c>
      <c r="E8" s="43">
        <f>Electricity!G12</f>
        <v>25920.000000000528</v>
      </c>
      <c r="F8" s="43">
        <f>Electricity!E12</f>
        <v>4240.0000000002365</v>
      </c>
      <c r="G8" s="43">
        <f>Electricity!F12</f>
        <v>21680.000000000291</v>
      </c>
      <c r="H8" s="47">
        <v>1553.67</v>
      </c>
      <c r="I8" s="57" t="s">
        <v>28</v>
      </c>
      <c r="J8" s="106">
        <f>Electricity!L12</f>
        <v>29740309.708800681</v>
      </c>
      <c r="K8" s="43">
        <f t="shared" si="0"/>
        <v>1147.3884918518547</v>
      </c>
      <c r="L8" s="58">
        <f>Water!G11</f>
        <v>486</v>
      </c>
      <c r="M8" s="58">
        <v>12550</v>
      </c>
      <c r="N8" s="106">
        <f t="shared" si="1"/>
        <v>6099300</v>
      </c>
      <c r="O8" s="43">
        <f>Electricity!C12</f>
        <v>161</v>
      </c>
    </row>
    <row r="9" spans="1:15" x14ac:dyDescent="0.25">
      <c r="A9" s="48" t="s">
        <v>44</v>
      </c>
      <c r="B9" s="45">
        <v>8</v>
      </c>
      <c r="C9" s="45">
        <v>12</v>
      </c>
      <c r="D9" s="45">
        <f t="shared" si="2"/>
        <v>2018</v>
      </c>
      <c r="E9" s="43">
        <f>Electricity!G13</f>
        <v>27159.999999998945</v>
      </c>
      <c r="F9" s="43">
        <f>Electricity!E13</f>
        <v>5359.9999999996726</v>
      </c>
      <c r="G9" s="43">
        <f>Electricity!F13</f>
        <v>21799.999999999272</v>
      </c>
      <c r="H9" s="47">
        <v>1553.67</v>
      </c>
      <c r="I9" s="57" t="s">
        <v>28</v>
      </c>
      <c r="J9" s="106">
        <f>Electricity!L13</f>
        <v>31649459.404798705</v>
      </c>
      <c r="K9" s="43">
        <f t="shared" si="0"/>
        <v>1165.2967380265072</v>
      </c>
      <c r="L9" s="58">
        <f>Water!G12</f>
        <v>228</v>
      </c>
      <c r="M9" s="58">
        <v>12550</v>
      </c>
      <c r="N9" s="106">
        <f t="shared" si="1"/>
        <v>2861400</v>
      </c>
      <c r="O9" s="43">
        <f>Electricity!C13</f>
        <v>161</v>
      </c>
    </row>
    <row r="10" spans="1:15" x14ac:dyDescent="0.25">
      <c r="A10" s="48" t="s">
        <v>44</v>
      </c>
      <c r="B10" s="45">
        <v>9</v>
      </c>
      <c r="C10" s="45">
        <v>12</v>
      </c>
      <c r="D10" s="45">
        <f t="shared" si="2"/>
        <v>2018</v>
      </c>
      <c r="E10" s="43">
        <f>Electricity!G14</f>
        <v>25240.000000000691</v>
      </c>
      <c r="F10" s="43">
        <f>Electricity!E14</f>
        <v>4039.9999999999636</v>
      </c>
      <c r="G10" s="43">
        <f>Electricity!F14</f>
        <v>21200.000000000728</v>
      </c>
      <c r="H10" s="47">
        <v>1553.67</v>
      </c>
      <c r="I10" s="57" t="s">
        <v>28</v>
      </c>
      <c r="J10" s="106">
        <f>Electricity!L14</f>
        <v>28913011.507200714</v>
      </c>
      <c r="K10" s="43">
        <f t="shared" si="0"/>
        <v>1145.5234353090302</v>
      </c>
      <c r="L10" s="58">
        <f>Water!G13</f>
        <v>224</v>
      </c>
      <c r="M10" s="58">
        <v>12550</v>
      </c>
      <c r="N10" s="106">
        <f t="shared" si="1"/>
        <v>2811200</v>
      </c>
      <c r="O10" s="43">
        <f>Electricity!C14</f>
        <v>161</v>
      </c>
    </row>
    <row r="11" spans="1:15" x14ac:dyDescent="0.25">
      <c r="A11" s="48" t="s">
        <v>44</v>
      </c>
      <c r="B11" s="45">
        <v>10</v>
      </c>
      <c r="C11" s="45">
        <v>12</v>
      </c>
      <c r="D11" s="45">
        <f t="shared" si="2"/>
        <v>2018</v>
      </c>
      <c r="E11" s="43">
        <f>Electricity!G15</f>
        <v>25079.999999999927</v>
      </c>
      <c r="F11" s="43">
        <f>Electricity!E15</f>
        <v>5760.0000000002183</v>
      </c>
      <c r="G11" s="43">
        <f>Electricity!F15</f>
        <v>19319.999999999709</v>
      </c>
      <c r="H11" s="47">
        <v>1553.67</v>
      </c>
      <c r="I11" s="57" t="s">
        <v>28</v>
      </c>
      <c r="J11" s="106">
        <f>Electricity!L15</f>
        <v>29655458.611200038</v>
      </c>
      <c r="K11" s="43">
        <f t="shared" si="0"/>
        <v>1182.4345538756031</v>
      </c>
      <c r="L11" s="58">
        <f>Water!G14</f>
        <v>452</v>
      </c>
      <c r="M11" s="58">
        <v>12550</v>
      </c>
      <c r="N11" s="106">
        <f t="shared" si="1"/>
        <v>5672600</v>
      </c>
      <c r="O11" s="43">
        <f>Electricity!C15</f>
        <v>161</v>
      </c>
    </row>
    <row r="12" spans="1:15" x14ac:dyDescent="0.25">
      <c r="A12" s="48" t="s">
        <v>44</v>
      </c>
      <c r="B12" s="45">
        <v>11</v>
      </c>
      <c r="C12" s="45">
        <v>12</v>
      </c>
      <c r="D12" s="45">
        <f t="shared" si="2"/>
        <v>2018</v>
      </c>
      <c r="E12" s="43">
        <f>Electricity!G16</f>
        <v>29120.00000000171</v>
      </c>
      <c r="F12" s="43">
        <f>Electricity!E16</f>
        <v>4880.0000000001091</v>
      </c>
      <c r="G12" s="43">
        <f>Electricity!F16</f>
        <v>24240.000000001601</v>
      </c>
      <c r="H12" s="47">
        <v>1553.67</v>
      </c>
      <c r="I12" s="57" t="s">
        <v>28</v>
      </c>
      <c r="J12" s="106">
        <f>Electricity!L16</f>
        <v>33473758.003201868</v>
      </c>
      <c r="K12" s="43">
        <f t="shared" si="0"/>
        <v>1149.5109204395571</v>
      </c>
      <c r="L12" s="58">
        <f>Water!G15</f>
        <v>273</v>
      </c>
      <c r="M12" s="58">
        <v>12550</v>
      </c>
      <c r="N12" s="106">
        <f t="shared" si="1"/>
        <v>3426150</v>
      </c>
      <c r="O12" s="43">
        <f>Electricity!C16</f>
        <v>161</v>
      </c>
    </row>
    <row r="13" spans="1:15" x14ac:dyDescent="0.25">
      <c r="A13" s="48" t="s">
        <v>44</v>
      </c>
      <c r="B13" s="45">
        <v>12</v>
      </c>
      <c r="C13" s="45">
        <v>12</v>
      </c>
      <c r="D13" s="45">
        <f t="shared" si="2"/>
        <v>2018</v>
      </c>
      <c r="E13" s="43">
        <f>Electricity!G17</f>
        <v>25999.999999999091</v>
      </c>
      <c r="F13" s="43">
        <f>Electricity!E17</f>
        <v>4359.9999999996726</v>
      </c>
      <c r="G13" s="43">
        <f>Electricity!F17</f>
        <v>21639.999999999418</v>
      </c>
      <c r="H13" s="47">
        <v>1553.67</v>
      </c>
      <c r="I13" s="57" t="s">
        <v>28</v>
      </c>
      <c r="J13" s="106">
        <f>Electricity!L17</f>
        <v>29888799.129598863</v>
      </c>
      <c r="K13" s="43">
        <f t="shared" si="0"/>
        <v>1149.5691972923041</v>
      </c>
      <c r="L13" s="58">
        <f>Water!G16</f>
        <v>418</v>
      </c>
      <c r="M13" s="58">
        <v>12550</v>
      </c>
      <c r="N13" s="106">
        <f t="shared" si="1"/>
        <v>5245900</v>
      </c>
      <c r="O13" s="43">
        <f>Electricity!C17</f>
        <v>161</v>
      </c>
    </row>
    <row r="14" spans="1:15" x14ac:dyDescent="0.25">
      <c r="A14" s="48" t="s">
        <v>44</v>
      </c>
      <c r="B14" s="45">
        <v>13</v>
      </c>
      <c r="C14" s="45">
        <v>12</v>
      </c>
      <c r="D14" s="45">
        <f t="shared" si="2"/>
        <v>2018</v>
      </c>
      <c r="E14" s="43">
        <f>Electricity!G18</f>
        <v>26000</v>
      </c>
      <c r="F14" s="43">
        <f>Electricity!E18</f>
        <v>4840.0000000001455</v>
      </c>
      <c r="G14" s="43">
        <f>Electricity!F18</f>
        <v>21159.999999999854</v>
      </c>
      <c r="H14" s="47">
        <v>1553.67</v>
      </c>
      <c r="I14" s="57" t="s">
        <v>28</v>
      </c>
      <c r="J14" s="106">
        <f>Electricity!L18</f>
        <v>30143352.42240008</v>
      </c>
      <c r="K14" s="43">
        <f t="shared" si="0"/>
        <v>1159.3597085538493</v>
      </c>
      <c r="L14" s="58">
        <f>Water!G17</f>
        <v>322</v>
      </c>
      <c r="M14" s="58">
        <v>12550</v>
      </c>
      <c r="N14" s="106">
        <f t="shared" si="1"/>
        <v>4041100</v>
      </c>
      <c r="O14" s="43">
        <f>Electricity!C18</f>
        <v>161</v>
      </c>
    </row>
    <row r="15" spans="1:15" x14ac:dyDescent="0.25">
      <c r="A15" s="48" t="s">
        <v>44</v>
      </c>
      <c r="B15" s="45">
        <v>14</v>
      </c>
      <c r="C15" s="45">
        <v>12</v>
      </c>
      <c r="D15" s="45">
        <f t="shared" si="2"/>
        <v>2018</v>
      </c>
      <c r="E15" s="43">
        <f>Electricity!G19</f>
        <v>26320.000000000618</v>
      </c>
      <c r="F15" s="43">
        <f>Electricity!E19</f>
        <v>4960.0000000000364</v>
      </c>
      <c r="G15" s="43">
        <f>Electricity!F19</f>
        <v>21360.000000000582</v>
      </c>
      <c r="H15" s="47">
        <v>1553.67</v>
      </c>
      <c r="I15" s="57" t="s">
        <v>28</v>
      </c>
      <c r="J15" s="106">
        <f>Electricity!L19</f>
        <v>30546395.13600067</v>
      </c>
      <c r="K15" s="43">
        <f t="shared" si="0"/>
        <v>1160.5773227963507</v>
      </c>
      <c r="L15" s="58">
        <f>Water!G18</f>
        <v>247</v>
      </c>
      <c r="M15" s="58">
        <v>12550</v>
      </c>
      <c r="N15" s="106">
        <f t="shared" si="1"/>
        <v>3099850</v>
      </c>
      <c r="O15" s="43">
        <f>Electricity!C19</f>
        <v>161</v>
      </c>
    </row>
    <row r="16" spans="1:15" x14ac:dyDescent="0.25">
      <c r="A16" s="48" t="s">
        <v>44</v>
      </c>
      <c r="B16" s="45">
        <v>15</v>
      </c>
      <c r="C16" s="45">
        <v>12</v>
      </c>
      <c r="D16" s="45">
        <f t="shared" si="2"/>
        <v>2018</v>
      </c>
      <c r="E16" s="43">
        <f>Electricity!G20</f>
        <v>25559.999999999036</v>
      </c>
      <c r="F16" s="43">
        <f>Electricity!E20</f>
        <v>4599.9999999999091</v>
      </c>
      <c r="G16" s="43">
        <f>Electricity!F20</f>
        <v>20959.999999999127</v>
      </c>
      <c r="H16" s="47">
        <v>1553.67</v>
      </c>
      <c r="I16" s="57" t="s">
        <v>28</v>
      </c>
      <c r="J16" s="106">
        <f>Electricity!L20</f>
        <v>29549394.739198931</v>
      </c>
      <c r="K16" s="43">
        <f t="shared" si="0"/>
        <v>1156.0796063849782</v>
      </c>
      <c r="L16" s="58">
        <f>Water!G19</f>
        <v>242</v>
      </c>
      <c r="M16" s="58">
        <v>12550</v>
      </c>
      <c r="N16" s="106">
        <f t="shared" si="1"/>
        <v>3037100</v>
      </c>
      <c r="O16" s="43">
        <f>Electricity!C20</f>
        <v>161</v>
      </c>
    </row>
    <row r="17" spans="1:15" x14ac:dyDescent="0.25">
      <c r="A17" s="48" t="s">
        <v>44</v>
      </c>
      <c r="B17" s="45">
        <v>16</v>
      </c>
      <c r="C17" s="45">
        <v>12</v>
      </c>
      <c r="D17" s="45">
        <f t="shared" si="2"/>
        <v>2018</v>
      </c>
      <c r="E17" s="43">
        <f>Electricity!G21</f>
        <v>25840.000000000146</v>
      </c>
      <c r="F17" s="43">
        <f>Electricity!E21</f>
        <v>4840.0000000001455</v>
      </c>
      <c r="G17" s="43">
        <f>Electricity!F21</f>
        <v>21000</v>
      </c>
      <c r="H17" s="47">
        <v>1553.67</v>
      </c>
      <c r="I17" s="57" t="s">
        <v>28</v>
      </c>
      <c r="J17" s="106">
        <f>Electricity!L21</f>
        <v>29973650.227200232</v>
      </c>
      <c r="K17" s="43">
        <f t="shared" si="0"/>
        <v>1159.9709840247704</v>
      </c>
      <c r="L17" s="58">
        <f>Water!G20</f>
        <v>397</v>
      </c>
      <c r="M17" s="58">
        <v>12550</v>
      </c>
      <c r="N17" s="106">
        <f t="shared" si="1"/>
        <v>4982350</v>
      </c>
      <c r="O17" s="43">
        <f>Electricity!C21</f>
        <v>161</v>
      </c>
    </row>
    <row r="18" spans="1:15" x14ac:dyDescent="0.25">
      <c r="A18" s="48" t="s">
        <v>44</v>
      </c>
      <c r="B18" s="45">
        <v>17</v>
      </c>
      <c r="C18" s="45">
        <v>12</v>
      </c>
      <c r="D18" s="45">
        <f t="shared" si="2"/>
        <v>2018</v>
      </c>
      <c r="E18" s="43">
        <f>Electricity!G22</f>
        <v>25479.999999997744</v>
      </c>
      <c r="F18" s="43">
        <f>Electricity!E22</f>
        <v>4399.9999999996362</v>
      </c>
      <c r="G18" s="43">
        <f>Electricity!F22</f>
        <v>21079.999999998108</v>
      </c>
      <c r="H18" s="47">
        <v>1553.67</v>
      </c>
      <c r="I18" s="57" t="s">
        <v>28</v>
      </c>
      <c r="J18" s="106">
        <f>Electricity!L22</f>
        <v>29358479.769597411</v>
      </c>
      <c r="K18" s="43">
        <f t="shared" si="0"/>
        <v>1152.216631459969</v>
      </c>
      <c r="L18" s="58">
        <f>Water!G21</f>
        <v>217</v>
      </c>
      <c r="M18" s="58">
        <v>12550</v>
      </c>
      <c r="N18" s="106">
        <f t="shared" si="1"/>
        <v>2723350</v>
      </c>
      <c r="O18" s="43">
        <f>Electricity!C22</f>
        <v>161</v>
      </c>
    </row>
    <row r="19" spans="1:15" x14ac:dyDescent="0.25">
      <c r="A19" s="48" t="s">
        <v>44</v>
      </c>
      <c r="B19" s="45">
        <v>18</v>
      </c>
      <c r="C19" s="45">
        <v>12</v>
      </c>
      <c r="D19" s="45">
        <f t="shared" si="2"/>
        <v>2018</v>
      </c>
      <c r="E19" s="43">
        <f>Electricity!G23</f>
        <v>27360.000000002401</v>
      </c>
      <c r="F19" s="43">
        <f>Electricity!E23</f>
        <v>5600.0000000003638</v>
      </c>
      <c r="G19" s="43">
        <f>Electricity!F23</f>
        <v>21760.000000002037</v>
      </c>
      <c r="H19" s="47">
        <v>1553.67</v>
      </c>
      <c r="I19" s="57" t="s">
        <v>28</v>
      </c>
      <c r="J19" s="106">
        <f>Electricity!L23</f>
        <v>31988863.795202736</v>
      </c>
      <c r="K19" s="43">
        <f t="shared" si="0"/>
        <v>1169.1836182456113</v>
      </c>
      <c r="L19" s="58">
        <f>Water!G22</f>
        <v>304</v>
      </c>
      <c r="M19" s="58">
        <v>12550</v>
      </c>
      <c r="N19" s="106">
        <f t="shared" si="1"/>
        <v>3815200</v>
      </c>
      <c r="O19" s="43">
        <f>Electricity!C23</f>
        <v>161</v>
      </c>
    </row>
    <row r="20" spans="1:15" x14ac:dyDescent="0.25">
      <c r="A20" s="48" t="s">
        <v>44</v>
      </c>
      <c r="B20" s="45">
        <v>19</v>
      </c>
      <c r="C20" s="45">
        <v>12</v>
      </c>
      <c r="D20" s="45">
        <f t="shared" si="2"/>
        <v>2018</v>
      </c>
      <c r="E20" s="43">
        <f>Electricity!G24</f>
        <v>24239.999999998872</v>
      </c>
      <c r="F20" s="43">
        <f>Electricity!E24</f>
        <v>4800.0000000001819</v>
      </c>
      <c r="G20" s="43">
        <f>Electricity!F24</f>
        <v>19439.99999999869</v>
      </c>
      <c r="H20" s="47">
        <v>1553.67</v>
      </c>
      <c r="I20" s="57" t="s">
        <v>28</v>
      </c>
      <c r="J20" s="106">
        <f>Electricity!L24</f>
        <v>28255415.5007989</v>
      </c>
      <c r="K20" s="43">
        <f t="shared" si="0"/>
        <v>1165.6524546534743</v>
      </c>
      <c r="L20" s="58">
        <f>Water!G23</f>
        <v>273</v>
      </c>
      <c r="M20" s="58">
        <v>12550</v>
      </c>
      <c r="N20" s="106">
        <f t="shared" si="1"/>
        <v>3426150</v>
      </c>
      <c r="O20" s="43">
        <f>Electricity!C24</f>
        <v>161</v>
      </c>
    </row>
    <row r="21" spans="1:15" x14ac:dyDescent="0.25">
      <c r="A21" s="48" t="s">
        <v>44</v>
      </c>
      <c r="B21" s="45">
        <v>20</v>
      </c>
      <c r="C21" s="45">
        <v>12</v>
      </c>
      <c r="D21" s="45">
        <f t="shared" si="2"/>
        <v>2018</v>
      </c>
      <c r="E21" s="43">
        <f>Electricity!G25</f>
        <v>23240.000000000691</v>
      </c>
      <c r="F21" s="43">
        <f>Electricity!E25</f>
        <v>2199.9999999998181</v>
      </c>
      <c r="G21" s="43">
        <f>Electricity!F25</f>
        <v>21040.000000000873</v>
      </c>
      <c r="H21" s="47">
        <v>1553.67</v>
      </c>
      <c r="I21" s="57" t="s">
        <v>28</v>
      </c>
      <c r="J21" s="106">
        <f>Electricity!L25</f>
        <v>25815946.444800638</v>
      </c>
      <c r="K21" s="43">
        <f t="shared" si="0"/>
        <v>1110.8410690533508</v>
      </c>
      <c r="L21" s="58">
        <f>Water!G24</f>
        <v>218</v>
      </c>
      <c r="M21" s="58">
        <v>12550</v>
      </c>
      <c r="N21" s="106">
        <f t="shared" si="1"/>
        <v>2735900</v>
      </c>
      <c r="O21" s="43">
        <f>Electricity!C25</f>
        <v>161</v>
      </c>
    </row>
    <row r="22" spans="1:15" x14ac:dyDescent="0.25">
      <c r="A22" s="48" t="s">
        <v>44</v>
      </c>
      <c r="B22" s="45">
        <v>21</v>
      </c>
      <c r="C22" s="45">
        <v>12</v>
      </c>
      <c r="D22" s="45">
        <f t="shared" si="2"/>
        <v>2018</v>
      </c>
      <c r="E22" s="43">
        <f>Electricity!G26</f>
        <v>27640.000000001237</v>
      </c>
      <c r="F22" s="43">
        <f>Electricity!E26</f>
        <v>6239.9999999997817</v>
      </c>
      <c r="G22" s="43">
        <f>Electricity!F26</f>
        <v>21400.000000001455</v>
      </c>
      <c r="H22" s="47">
        <v>1553.67</v>
      </c>
      <c r="I22" s="57" t="s">
        <v>28</v>
      </c>
      <c r="J22" s="106">
        <f>Electricity!L26</f>
        <v>32625247.027201194</v>
      </c>
      <c r="K22" s="43">
        <f t="shared" si="0"/>
        <v>1180.3634959189485</v>
      </c>
      <c r="L22" s="58">
        <f>Water!G25</f>
        <v>257</v>
      </c>
      <c r="M22" s="58">
        <v>12550</v>
      </c>
      <c r="N22" s="106">
        <f t="shared" si="1"/>
        <v>3225350</v>
      </c>
      <c r="O22" s="43">
        <f>Electricity!C26</f>
        <v>161</v>
      </c>
    </row>
    <row r="23" spans="1:15" x14ac:dyDescent="0.25">
      <c r="A23" s="48" t="s">
        <v>44</v>
      </c>
      <c r="B23" s="45">
        <v>22</v>
      </c>
      <c r="C23" s="45">
        <v>12</v>
      </c>
      <c r="D23" s="45">
        <f t="shared" si="2"/>
        <v>2018</v>
      </c>
      <c r="E23" s="43">
        <f>Electricity!G27</f>
        <v>23079.999999997199</v>
      </c>
      <c r="F23" s="43">
        <f>Electricity!E27</f>
        <v>6039.9999999999636</v>
      </c>
      <c r="G23" s="43">
        <f>Electricity!F27</f>
        <v>17039.999999997235</v>
      </c>
      <c r="H23" s="47">
        <v>1553.67</v>
      </c>
      <c r="I23" s="57" t="s">
        <v>28</v>
      </c>
      <c r="J23" s="106">
        <f>Electricity!L27</f>
        <v>27682670.591997009</v>
      </c>
      <c r="K23" s="43">
        <f t="shared" si="0"/>
        <v>1199.422469324106</v>
      </c>
      <c r="L23" s="58">
        <f>Water!G26</f>
        <v>273</v>
      </c>
      <c r="M23" s="58">
        <v>12550</v>
      </c>
      <c r="N23" s="106">
        <f t="shared" si="1"/>
        <v>3426150</v>
      </c>
      <c r="O23" s="43">
        <f>Electricity!C27</f>
        <v>161</v>
      </c>
    </row>
    <row r="24" spans="1:15" x14ac:dyDescent="0.25">
      <c r="A24" s="48" t="s">
        <v>44</v>
      </c>
      <c r="B24" s="45">
        <v>23</v>
      </c>
      <c r="C24" s="45">
        <v>12</v>
      </c>
      <c r="D24" s="45">
        <f t="shared" si="2"/>
        <v>2018</v>
      </c>
      <c r="E24" s="43">
        <f>Electricity!G28</f>
        <v>25600.000000001273</v>
      </c>
      <c r="F24" s="43">
        <f>Electricity!E28</f>
        <v>2560.0000000004002</v>
      </c>
      <c r="G24" s="43">
        <f>Electricity!F28</f>
        <v>23040.000000000873</v>
      </c>
      <c r="H24" s="47">
        <v>1553.67</v>
      </c>
      <c r="I24" s="57" t="s">
        <v>28</v>
      </c>
      <c r="J24" s="106">
        <f>Electricity!L28</f>
        <v>28509968.793601561</v>
      </c>
      <c r="K24" s="43">
        <f t="shared" si="0"/>
        <v>1113.6706560000057</v>
      </c>
      <c r="L24" s="58">
        <f>Water!G27</f>
        <v>357</v>
      </c>
      <c r="M24" s="58">
        <v>12550</v>
      </c>
      <c r="N24" s="106">
        <f t="shared" si="1"/>
        <v>4480350</v>
      </c>
      <c r="O24" s="43">
        <f>Electricity!C28</f>
        <v>161</v>
      </c>
    </row>
    <row r="25" spans="1:15" x14ac:dyDescent="0.25">
      <c r="A25" s="48" t="s">
        <v>44</v>
      </c>
      <c r="B25" s="45">
        <v>24</v>
      </c>
      <c r="C25" s="45">
        <v>12</v>
      </c>
      <c r="D25" s="45">
        <f t="shared" si="2"/>
        <v>2018</v>
      </c>
      <c r="E25" s="43">
        <f>Electricity!G29</f>
        <v>22160.000000000764</v>
      </c>
      <c r="F25" s="43">
        <f>Electricity!E29</f>
        <v>2800.0000000001819</v>
      </c>
      <c r="G25" s="43">
        <f>Electricity!F29</f>
        <v>19360.000000000582</v>
      </c>
      <c r="H25" s="47">
        <v>1553.67</v>
      </c>
      <c r="I25" s="57" t="s">
        <v>28</v>
      </c>
      <c r="J25" s="106">
        <f>Electricity!L29</f>
        <v>24988648.243200906</v>
      </c>
      <c r="K25" s="43">
        <f t="shared" si="0"/>
        <v>1127.6465813718432</v>
      </c>
      <c r="L25" s="58">
        <f>Water!G28</f>
        <v>141</v>
      </c>
      <c r="M25" s="58">
        <v>12550</v>
      </c>
      <c r="N25" s="106">
        <f t="shared" si="1"/>
        <v>1769550</v>
      </c>
      <c r="O25" s="43">
        <f>Electricity!C29</f>
        <v>161</v>
      </c>
    </row>
    <row r="26" spans="1:15" x14ac:dyDescent="0.25">
      <c r="A26" s="48" t="s">
        <v>44</v>
      </c>
      <c r="B26" s="45">
        <v>25</v>
      </c>
      <c r="C26" s="45">
        <v>12</v>
      </c>
      <c r="D26" s="45">
        <f t="shared" si="2"/>
        <v>2018</v>
      </c>
      <c r="E26" s="43">
        <f>Electricity!G30</f>
        <v>24240.000000000691</v>
      </c>
      <c r="F26" s="43">
        <f>Electricity!E30</f>
        <v>5519.9999999995271</v>
      </c>
      <c r="G26" s="43">
        <f>Electricity!F30</f>
        <v>18720.000000001164</v>
      </c>
      <c r="H26" s="47">
        <v>1553.67</v>
      </c>
      <c r="I26" s="57" t="s">
        <v>28</v>
      </c>
      <c r="J26" s="106">
        <f>Electricity!L30</f>
        <v>28637245.440000482</v>
      </c>
      <c r="K26" s="43">
        <f t="shared" si="0"/>
        <v>1181.4045148514713</v>
      </c>
      <c r="L26" s="58">
        <f>Water!G29</f>
        <v>262</v>
      </c>
      <c r="M26" s="58">
        <v>12550</v>
      </c>
      <c r="N26" s="106">
        <f t="shared" si="1"/>
        <v>3288100</v>
      </c>
      <c r="O26" s="43">
        <f>Electricity!C30</f>
        <v>161</v>
      </c>
    </row>
    <row r="27" spans="1:15" x14ac:dyDescent="0.25">
      <c r="A27" s="48" t="s">
        <v>44</v>
      </c>
      <c r="B27" s="45">
        <v>26</v>
      </c>
      <c r="C27" s="45">
        <v>12</v>
      </c>
      <c r="D27" s="45">
        <f t="shared" si="2"/>
        <v>2018</v>
      </c>
      <c r="E27" s="43">
        <f>Electricity!G31</f>
        <v>22479.999999997744</v>
      </c>
      <c r="F27" s="43">
        <f>Electricity!E31</f>
        <v>3920.0000000000728</v>
      </c>
      <c r="G27" s="43">
        <f>Electricity!F31</f>
        <v>18559.999999997672</v>
      </c>
      <c r="H27" s="47">
        <v>1553.67</v>
      </c>
      <c r="I27" s="57" t="s">
        <v>28</v>
      </c>
      <c r="J27" s="106">
        <f>Electricity!L31</f>
        <v>25922010.316797644</v>
      </c>
      <c r="K27" s="43">
        <f t="shared" si="0"/>
        <v>1153.1143379359539</v>
      </c>
      <c r="L27" s="58">
        <f>Water!G30</f>
        <v>236</v>
      </c>
      <c r="M27" s="58">
        <v>12550</v>
      </c>
      <c r="N27" s="106">
        <f t="shared" si="1"/>
        <v>2961800</v>
      </c>
      <c r="O27" s="43">
        <f>Electricity!C31</f>
        <v>161</v>
      </c>
    </row>
    <row r="28" spans="1:15" x14ac:dyDescent="0.25">
      <c r="A28" s="48" t="s">
        <v>44</v>
      </c>
      <c r="B28" s="45">
        <v>27</v>
      </c>
      <c r="C28" s="45">
        <v>12</v>
      </c>
      <c r="D28" s="45">
        <f t="shared" si="2"/>
        <v>2018</v>
      </c>
      <c r="E28" s="43">
        <f>Electricity!G32</f>
        <v>22200.000000000728</v>
      </c>
      <c r="F28" s="43">
        <f>Electricity!E32</f>
        <v>3520.0000000004366</v>
      </c>
      <c r="G28" s="43">
        <f>Electricity!F32</f>
        <v>18680.000000000291</v>
      </c>
      <c r="H28" s="47">
        <v>1553.67</v>
      </c>
      <c r="I28" s="57" t="s">
        <v>28</v>
      </c>
      <c r="J28" s="106">
        <f>Electricity!L32</f>
        <v>25412903.731201004</v>
      </c>
      <c r="K28" s="43">
        <f t="shared" si="0"/>
        <v>1144.7253932973051</v>
      </c>
      <c r="L28" s="58">
        <f>Water!G31</f>
        <v>241</v>
      </c>
      <c r="M28" s="58">
        <v>12550</v>
      </c>
      <c r="N28" s="106">
        <f t="shared" si="1"/>
        <v>3024550</v>
      </c>
      <c r="O28" s="43">
        <f>Electricity!C32</f>
        <v>161</v>
      </c>
    </row>
    <row r="29" spans="1:15" x14ac:dyDescent="0.25">
      <c r="A29" s="48" t="s">
        <v>44</v>
      </c>
      <c r="B29" s="45">
        <v>28</v>
      </c>
      <c r="C29" s="45">
        <v>12</v>
      </c>
      <c r="D29" s="45">
        <f t="shared" si="2"/>
        <v>2018</v>
      </c>
      <c r="E29" s="43">
        <f>Electricity!G33</f>
        <v>22200.000000000728</v>
      </c>
      <c r="F29" s="43">
        <f>Electricity!E33</f>
        <v>4319.999999999709</v>
      </c>
      <c r="G29" s="43">
        <f>Electricity!F33</f>
        <v>17880.000000001019</v>
      </c>
      <c r="H29" s="47">
        <v>1553.67</v>
      </c>
      <c r="I29" s="57" t="s">
        <v>28</v>
      </c>
      <c r="J29" s="106">
        <f>Electricity!L33</f>
        <v>25837159.219200615</v>
      </c>
      <c r="K29" s="43">
        <f t="shared" si="0"/>
        <v>1163.8360008648544</v>
      </c>
      <c r="L29" s="58">
        <f>Water!G32</f>
        <v>232</v>
      </c>
      <c r="M29" s="58">
        <v>12550</v>
      </c>
      <c r="N29" s="106">
        <f t="shared" si="1"/>
        <v>2911600</v>
      </c>
      <c r="O29" s="43">
        <f>Electricity!C33</f>
        <v>161</v>
      </c>
    </row>
    <row r="30" spans="1:15" s="43" customFormat="1" x14ac:dyDescent="0.25">
      <c r="A30" s="48" t="s">
        <v>44</v>
      </c>
      <c r="B30" s="45">
        <v>29</v>
      </c>
      <c r="C30" s="45">
        <v>12</v>
      </c>
      <c r="D30" s="45">
        <f t="shared" si="2"/>
        <v>2018</v>
      </c>
      <c r="E30" s="43">
        <f>Electricity!G34</f>
        <v>24160.000000000764</v>
      </c>
      <c r="F30" s="43">
        <f>Electricity!E34</f>
        <v>4279.9999999997453</v>
      </c>
      <c r="G30" s="43">
        <f>Electricity!F34</f>
        <v>19880.000000001019</v>
      </c>
      <c r="H30" s="47">
        <v>1553.67</v>
      </c>
      <c r="I30" s="57" t="s">
        <v>28</v>
      </c>
      <c r="J30" s="106">
        <f>Electricity!L34</f>
        <v>27894798.33600067</v>
      </c>
      <c r="K30" s="43">
        <f t="shared" si="0"/>
        <v>1154.5860238410507</v>
      </c>
      <c r="L30" s="58">
        <f>Water!G33</f>
        <v>249</v>
      </c>
      <c r="M30" s="58">
        <v>12550</v>
      </c>
      <c r="N30" s="106">
        <f t="shared" si="1"/>
        <v>3124950</v>
      </c>
      <c r="O30" s="43">
        <f>Electricity!C34</f>
        <v>161</v>
      </c>
    </row>
    <row r="31" spans="1:15" s="43" customFormat="1" x14ac:dyDescent="0.25">
      <c r="A31" s="48" t="s">
        <v>44</v>
      </c>
      <c r="B31" s="45">
        <v>30</v>
      </c>
      <c r="C31" s="45">
        <v>12</v>
      </c>
      <c r="D31" s="45">
        <f t="shared" si="2"/>
        <v>2018</v>
      </c>
      <c r="E31" s="43">
        <f>Electricity!G35</f>
        <v>22359.999999997854</v>
      </c>
      <c r="F31" s="43">
        <f>Electricity!E35</f>
        <v>3800.0000000001819</v>
      </c>
      <c r="G31" s="43">
        <f>Electricity!F35</f>
        <v>18559.999999997672</v>
      </c>
      <c r="H31" s="47">
        <v>1553.67</v>
      </c>
      <c r="I31" s="57" t="s">
        <v>28</v>
      </c>
      <c r="J31" s="106">
        <f>Electricity!L35</f>
        <v>25731095.34719782</v>
      </c>
      <c r="K31" s="43">
        <f t="shared" si="0"/>
        <v>1150.7645504114619</v>
      </c>
      <c r="L31" s="58">
        <f>Water!G34</f>
        <v>216</v>
      </c>
      <c r="M31" s="58">
        <v>12550</v>
      </c>
      <c r="N31" s="106">
        <f t="shared" si="1"/>
        <v>2710800</v>
      </c>
      <c r="O31" s="43">
        <f>Electricity!C35</f>
        <v>161</v>
      </c>
    </row>
    <row r="32" spans="1:15" s="43" customFormat="1" x14ac:dyDescent="0.25">
      <c r="A32" s="48" t="s">
        <v>44</v>
      </c>
      <c r="B32" s="45">
        <v>31</v>
      </c>
      <c r="C32" s="45">
        <v>12</v>
      </c>
      <c r="D32" s="45">
        <f t="shared" si="2"/>
        <v>2018</v>
      </c>
      <c r="E32" s="43">
        <f>Electricity!G36</f>
        <v>22560.000000002219</v>
      </c>
      <c r="F32" s="43">
        <f>Electricity!E36</f>
        <v>3640.0000000003274</v>
      </c>
      <c r="G32" s="43">
        <f>Electricity!F36</f>
        <v>18920.000000001892</v>
      </c>
      <c r="H32" s="47">
        <v>1553.67</v>
      </c>
      <c r="I32" s="57" t="s">
        <v>28</v>
      </c>
      <c r="J32" s="106">
        <f>Electricity!L36</f>
        <v>25858371.993602525</v>
      </c>
      <c r="K32" s="43">
        <f t="shared" si="0"/>
        <v>1146.2044323404248</v>
      </c>
      <c r="L32" s="58">
        <f>Water!G35</f>
        <v>202</v>
      </c>
      <c r="M32" s="58">
        <v>12551</v>
      </c>
      <c r="N32" s="106">
        <f t="shared" si="1"/>
        <v>2535302</v>
      </c>
      <c r="O32" s="43">
        <f>Electricity!C36</f>
        <v>161</v>
      </c>
    </row>
    <row r="33" spans="13:13" x14ac:dyDescent="0.25">
      <c r="M33" s="1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32" activePane="bottomLeft" state="frozen"/>
      <selection pane="bottomLeft" activeCell="G36" sqref="G3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1" t="s">
        <v>37</v>
      </c>
      <c r="C1" s="122"/>
      <c r="D1" s="122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3" t="s">
        <v>0</v>
      </c>
      <c r="C2" s="135" t="s">
        <v>33</v>
      </c>
      <c r="D2" s="126" t="s">
        <v>9</v>
      </c>
      <c r="E2" s="129" t="s">
        <v>38</v>
      </c>
      <c r="F2" s="130"/>
      <c r="G2" s="130"/>
      <c r="H2" s="130"/>
      <c r="I2" s="130"/>
      <c r="J2" s="130"/>
      <c r="K2" s="130"/>
      <c r="L2" s="131"/>
      <c r="M2" s="2"/>
      <c r="N2" s="2"/>
      <c r="O2" s="1"/>
      <c r="P2" s="1"/>
      <c r="Q2" s="1"/>
    </row>
    <row r="3" spans="2:17" s="23" customFormat="1" ht="25.5" customHeight="1" x14ac:dyDescent="0.25">
      <c r="B3" s="124"/>
      <c r="C3" s="136"/>
      <c r="D3" s="127"/>
      <c r="E3" s="20" t="s">
        <v>7</v>
      </c>
      <c r="F3" s="24" t="s">
        <v>13</v>
      </c>
      <c r="G3" s="24" t="s">
        <v>16</v>
      </c>
      <c r="H3" s="132" t="s">
        <v>17</v>
      </c>
      <c r="I3" s="133"/>
      <c r="J3" s="134"/>
      <c r="K3" s="117" t="s">
        <v>35</v>
      </c>
      <c r="L3" s="119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5"/>
      <c r="C4" s="52"/>
      <c r="D4" s="128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8"/>
      <c r="L4" s="120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43435</v>
      </c>
      <c r="C6" s="59">
        <v>161</v>
      </c>
      <c r="D6" s="87">
        <v>1035.78</v>
      </c>
      <c r="E6" s="116">
        <v>5240.0000000002365</v>
      </c>
      <c r="F6" s="116">
        <v>22159.999999999854</v>
      </c>
      <c r="G6" s="80">
        <f>F6+E6</f>
        <v>27400.000000000091</v>
      </c>
      <c r="H6" s="81">
        <f t="shared" ref="H6:H33" si="0">E6*1.5*D6</f>
        <v>8141230.8000003668</v>
      </c>
      <c r="I6" s="81">
        <f t="shared" ref="I6:I33" si="1">F6*D6</f>
        <v>22952884.799999848</v>
      </c>
      <c r="J6" s="81">
        <f t="shared" ref="J6:J30" si="2">I6+H6</f>
        <v>31094115.600000214</v>
      </c>
      <c r="K6" s="81">
        <f>J6*0.024</f>
        <v>746258.77440000512</v>
      </c>
      <c r="L6" s="104">
        <f>J6+K6</f>
        <v>31840374.374400221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43436</v>
      </c>
      <c r="C7" s="59">
        <f>C6</f>
        <v>161</v>
      </c>
      <c r="D7" s="87">
        <v>1035.78</v>
      </c>
      <c r="E7" s="116">
        <v>5119.9999999998909</v>
      </c>
      <c r="F7" s="116">
        <v>21879.999999997381</v>
      </c>
      <c r="G7" s="80">
        <f t="shared" ref="G7:G33" si="3">F7+E7</f>
        <v>26999.999999997272</v>
      </c>
      <c r="H7" s="81">
        <f t="shared" si="0"/>
        <v>7954790.3999998299</v>
      </c>
      <c r="I7" s="81">
        <f t="shared" si="1"/>
        <v>22662866.399997286</v>
      </c>
      <c r="J7" s="81">
        <f t="shared" si="2"/>
        <v>30617656.799997117</v>
      </c>
      <c r="K7" s="81">
        <f t="shared" ref="K7:K36" si="4">J7*0.024</f>
        <v>734823.76319993078</v>
      </c>
      <c r="L7" s="104">
        <f>J7+K7</f>
        <v>31352480.563197047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43437</v>
      </c>
      <c r="C8" s="59">
        <f t="shared" ref="C8:C36" si="5">C7</f>
        <v>161</v>
      </c>
      <c r="D8" s="87">
        <v>1035.78</v>
      </c>
      <c r="E8" s="116">
        <v>4920.0000000000728</v>
      </c>
      <c r="F8" s="116">
        <v>21840.000000000146</v>
      </c>
      <c r="G8" s="80">
        <f t="shared" si="3"/>
        <v>26760.000000000218</v>
      </c>
      <c r="H8" s="81">
        <f t="shared" si="0"/>
        <v>7644056.4000001131</v>
      </c>
      <c r="I8" s="81">
        <f t="shared" si="1"/>
        <v>22621435.200000152</v>
      </c>
      <c r="J8" s="81">
        <f t="shared" si="2"/>
        <v>30265491.600000266</v>
      </c>
      <c r="K8" s="81">
        <f t="shared" si="4"/>
        <v>726371.79840000637</v>
      </c>
      <c r="L8" s="104">
        <f t="shared" ref="L8:L30" si="6">J8+K8</f>
        <v>30991863.398400273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43438</v>
      </c>
      <c r="C9" s="59">
        <f t="shared" si="5"/>
        <v>161</v>
      </c>
      <c r="D9" s="87">
        <v>1035.78</v>
      </c>
      <c r="E9" s="116">
        <v>3879.9999999996544</v>
      </c>
      <c r="F9" s="116">
        <v>21200.000000000728</v>
      </c>
      <c r="G9" s="80">
        <f t="shared" si="3"/>
        <v>25080.000000000382</v>
      </c>
      <c r="H9" s="81">
        <f t="shared" si="0"/>
        <v>6028239.5999994632</v>
      </c>
      <c r="I9" s="81">
        <f t="shared" si="1"/>
        <v>21958536.000000753</v>
      </c>
      <c r="J9" s="81">
        <f t="shared" si="2"/>
        <v>27986775.600000218</v>
      </c>
      <c r="K9" s="81">
        <f t="shared" si="4"/>
        <v>671682.6144000052</v>
      </c>
      <c r="L9" s="104">
        <f t="shared" si="6"/>
        <v>28658458.214400224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43439</v>
      </c>
      <c r="C10" s="59">
        <f t="shared" si="5"/>
        <v>161</v>
      </c>
      <c r="D10" s="87">
        <v>1035.78</v>
      </c>
      <c r="E10" s="116">
        <v>4280.0000000002001</v>
      </c>
      <c r="F10" s="116">
        <v>21119.999999998981</v>
      </c>
      <c r="G10" s="80">
        <f t="shared" si="3"/>
        <v>25399.999999999181</v>
      </c>
      <c r="H10" s="81">
        <f t="shared" si="0"/>
        <v>6649707.6000003107</v>
      </c>
      <c r="I10" s="81">
        <f t="shared" si="1"/>
        <v>21875673.599998944</v>
      </c>
      <c r="J10" s="81">
        <f t="shared" si="2"/>
        <v>28525381.199999254</v>
      </c>
      <c r="K10" s="81">
        <f t="shared" si="4"/>
        <v>684609.14879998215</v>
      </c>
      <c r="L10" s="104">
        <f t="shared" si="6"/>
        <v>29209990.348799236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43440</v>
      </c>
      <c r="C11" s="59">
        <f t="shared" si="5"/>
        <v>161</v>
      </c>
      <c r="D11" s="87">
        <v>1035.78</v>
      </c>
      <c r="E11" s="116">
        <v>6519.9999999999818</v>
      </c>
      <c r="F11" s="116">
        <v>21720.000000001164</v>
      </c>
      <c r="G11" s="80">
        <f t="shared" si="3"/>
        <v>28240.000000001146</v>
      </c>
      <c r="H11" s="81">
        <f t="shared" si="0"/>
        <v>10129928.399999971</v>
      </c>
      <c r="I11" s="81">
        <f t="shared" si="1"/>
        <v>22497141.600001205</v>
      </c>
      <c r="J11" s="81">
        <f t="shared" si="2"/>
        <v>32627070.000001177</v>
      </c>
      <c r="K11" s="81">
        <f t="shared" si="4"/>
        <v>783049.68000002822</v>
      </c>
      <c r="L11" s="104">
        <f t="shared" si="6"/>
        <v>33410119.680001207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43441</v>
      </c>
      <c r="C12" s="59">
        <f t="shared" si="5"/>
        <v>161</v>
      </c>
      <c r="D12" s="87">
        <v>1035.78</v>
      </c>
      <c r="E12" s="116">
        <v>4240.0000000002365</v>
      </c>
      <c r="F12" s="116">
        <v>21680.000000000291</v>
      </c>
      <c r="G12" s="80">
        <f t="shared" si="3"/>
        <v>25920.000000000528</v>
      </c>
      <c r="H12" s="81">
        <f t="shared" si="0"/>
        <v>6587560.8000003677</v>
      </c>
      <c r="I12" s="81">
        <f t="shared" si="1"/>
        <v>22455710.4000003</v>
      </c>
      <c r="J12" s="81">
        <f t="shared" si="2"/>
        <v>29043271.200000666</v>
      </c>
      <c r="K12" s="81">
        <f t="shared" si="4"/>
        <v>697038.50880001602</v>
      </c>
      <c r="L12" s="104">
        <f t="shared" si="6"/>
        <v>29740309.708800681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43442</v>
      </c>
      <c r="C13" s="59">
        <f t="shared" si="5"/>
        <v>161</v>
      </c>
      <c r="D13" s="87">
        <v>1035.78</v>
      </c>
      <c r="E13" s="116">
        <v>5359.9999999996726</v>
      </c>
      <c r="F13" s="116">
        <v>21799.999999999272</v>
      </c>
      <c r="G13" s="80">
        <f t="shared" si="3"/>
        <v>27159.999999998945</v>
      </c>
      <c r="H13" s="81">
        <f t="shared" si="0"/>
        <v>8327671.1999994908</v>
      </c>
      <c r="I13" s="81">
        <f t="shared" si="1"/>
        <v>22580003.999999247</v>
      </c>
      <c r="J13" s="81">
        <f t="shared" si="2"/>
        <v>30907675.199998736</v>
      </c>
      <c r="K13" s="81">
        <f t="shared" si="4"/>
        <v>741784.20479996968</v>
      </c>
      <c r="L13" s="104">
        <f t="shared" si="6"/>
        <v>31649459.404798705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43443</v>
      </c>
      <c r="C14" s="59">
        <f t="shared" si="5"/>
        <v>161</v>
      </c>
      <c r="D14" s="87">
        <v>1035.78</v>
      </c>
      <c r="E14" s="116">
        <v>4039.9999999999636</v>
      </c>
      <c r="F14" s="116">
        <v>21200.000000000728</v>
      </c>
      <c r="G14" s="80">
        <f t="shared" si="3"/>
        <v>25240.000000000691</v>
      </c>
      <c r="H14" s="81">
        <f t="shared" si="0"/>
        <v>6276826.799999943</v>
      </c>
      <c r="I14" s="81">
        <f t="shared" si="1"/>
        <v>21958536.000000753</v>
      </c>
      <c r="J14" s="81">
        <f t="shared" si="2"/>
        <v>28235362.800000697</v>
      </c>
      <c r="K14" s="81">
        <f t="shared" si="4"/>
        <v>677648.70720001671</v>
      </c>
      <c r="L14" s="104">
        <f t="shared" si="6"/>
        <v>28913011.507200714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43444</v>
      </c>
      <c r="C15" s="59">
        <f t="shared" si="5"/>
        <v>161</v>
      </c>
      <c r="D15" s="87">
        <v>1035.78</v>
      </c>
      <c r="E15" s="116">
        <v>5760.0000000002183</v>
      </c>
      <c r="F15" s="116">
        <v>19319.999999999709</v>
      </c>
      <c r="G15" s="80">
        <f t="shared" si="3"/>
        <v>25079.999999999927</v>
      </c>
      <c r="H15" s="81">
        <f t="shared" si="0"/>
        <v>8949139.2000003383</v>
      </c>
      <c r="I15" s="81">
        <f t="shared" si="1"/>
        <v>20011269.5999997</v>
      </c>
      <c r="J15" s="81">
        <f t="shared" si="2"/>
        <v>28960408.800000038</v>
      </c>
      <c r="K15" s="81">
        <f t="shared" si="4"/>
        <v>695049.81120000093</v>
      </c>
      <c r="L15" s="104">
        <f t="shared" si="6"/>
        <v>29655458.611200038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43445</v>
      </c>
      <c r="C16" s="59">
        <f t="shared" si="5"/>
        <v>161</v>
      </c>
      <c r="D16" s="87">
        <v>1035.78</v>
      </c>
      <c r="E16" s="116">
        <v>4880.0000000001091</v>
      </c>
      <c r="F16" s="116">
        <v>24240.000000001601</v>
      </c>
      <c r="G16" s="80">
        <f t="shared" si="3"/>
        <v>29120.00000000171</v>
      </c>
      <c r="H16" s="81">
        <f t="shared" si="0"/>
        <v>7581909.6000001691</v>
      </c>
      <c r="I16" s="81">
        <f t="shared" si="1"/>
        <v>25107307.200001657</v>
      </c>
      <c r="J16" s="81">
        <f t="shared" si="2"/>
        <v>32689216.800001826</v>
      </c>
      <c r="K16" s="81">
        <f t="shared" si="4"/>
        <v>784541.20320004388</v>
      </c>
      <c r="L16" s="104">
        <f t="shared" si="6"/>
        <v>33473758.003201868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43446</v>
      </c>
      <c r="C17" s="59">
        <f t="shared" si="5"/>
        <v>161</v>
      </c>
      <c r="D17" s="87">
        <v>1035.78</v>
      </c>
      <c r="E17" s="116">
        <v>4359.9999999996726</v>
      </c>
      <c r="F17" s="116">
        <v>21639.999999999418</v>
      </c>
      <c r="G17" s="80">
        <f t="shared" si="3"/>
        <v>25999.999999999091</v>
      </c>
      <c r="H17" s="81">
        <f t="shared" si="0"/>
        <v>6774001.1999994908</v>
      </c>
      <c r="I17" s="81">
        <f t="shared" si="1"/>
        <v>22414279.199999396</v>
      </c>
      <c r="J17" s="81">
        <f t="shared" si="2"/>
        <v>29188280.399998888</v>
      </c>
      <c r="K17" s="81">
        <f t="shared" si="4"/>
        <v>700518.7295999733</v>
      </c>
      <c r="L17" s="104">
        <f t="shared" si="6"/>
        <v>29888799.129598863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43447</v>
      </c>
      <c r="C18" s="59">
        <f t="shared" si="5"/>
        <v>161</v>
      </c>
      <c r="D18" s="87">
        <v>1035.78</v>
      </c>
      <c r="E18" s="116">
        <v>4840.0000000001455</v>
      </c>
      <c r="F18" s="116">
        <v>21159.999999999854</v>
      </c>
      <c r="G18" s="80">
        <f t="shared" si="3"/>
        <v>26000</v>
      </c>
      <c r="H18" s="81">
        <f t="shared" si="0"/>
        <v>7519762.8000002261</v>
      </c>
      <c r="I18" s="81">
        <f t="shared" si="1"/>
        <v>21917104.799999848</v>
      </c>
      <c r="J18" s="81">
        <f t="shared" si="2"/>
        <v>29436867.600000076</v>
      </c>
      <c r="K18" s="81">
        <f t="shared" si="4"/>
        <v>706484.82240000181</v>
      </c>
      <c r="L18" s="104">
        <f t="shared" si="6"/>
        <v>30143352.42240008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43448</v>
      </c>
      <c r="C19" s="59">
        <f t="shared" si="5"/>
        <v>161</v>
      </c>
      <c r="D19" s="87">
        <v>1035.78</v>
      </c>
      <c r="E19" s="116">
        <v>4960.0000000000364</v>
      </c>
      <c r="F19" s="116">
        <v>21360.000000000582</v>
      </c>
      <c r="G19" s="80">
        <f t="shared" si="3"/>
        <v>26320.000000000618</v>
      </c>
      <c r="H19" s="81">
        <f t="shared" si="0"/>
        <v>7706203.2000000561</v>
      </c>
      <c r="I19" s="81">
        <f t="shared" si="1"/>
        <v>22124260.800000601</v>
      </c>
      <c r="J19" s="81">
        <f t="shared" si="2"/>
        <v>29830464.000000656</v>
      </c>
      <c r="K19" s="81">
        <f t="shared" si="4"/>
        <v>715931.13600001577</v>
      </c>
      <c r="L19" s="104">
        <f t="shared" si="6"/>
        <v>30546395.13600067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43449</v>
      </c>
      <c r="C20" s="59">
        <f t="shared" si="5"/>
        <v>161</v>
      </c>
      <c r="D20" s="87">
        <v>1035.78</v>
      </c>
      <c r="E20" s="116">
        <v>4599.9999999999091</v>
      </c>
      <c r="F20" s="116">
        <v>20959.999999999127</v>
      </c>
      <c r="G20" s="80">
        <f t="shared" si="3"/>
        <v>25559.999999999036</v>
      </c>
      <c r="H20" s="81">
        <f t="shared" si="0"/>
        <v>7146881.9999998584</v>
      </c>
      <c r="I20" s="81">
        <f t="shared" si="1"/>
        <v>21709948.799999095</v>
      </c>
      <c r="J20" s="81">
        <f t="shared" si="2"/>
        <v>28856830.799998954</v>
      </c>
      <c r="K20" s="81">
        <f t="shared" si="4"/>
        <v>692563.93919997488</v>
      </c>
      <c r="L20" s="104">
        <f t="shared" si="6"/>
        <v>29549394.739198931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43450</v>
      </c>
      <c r="C21" s="59">
        <f t="shared" si="5"/>
        <v>161</v>
      </c>
      <c r="D21" s="87">
        <v>1035.78</v>
      </c>
      <c r="E21" s="116">
        <v>4840.0000000001455</v>
      </c>
      <c r="F21" s="116">
        <v>21000</v>
      </c>
      <c r="G21" s="80">
        <f t="shared" si="3"/>
        <v>25840.000000000146</v>
      </c>
      <c r="H21" s="81">
        <f t="shared" si="0"/>
        <v>7519762.8000002261</v>
      </c>
      <c r="I21" s="81">
        <f t="shared" si="1"/>
        <v>21751380</v>
      </c>
      <c r="J21" s="81">
        <f t="shared" si="2"/>
        <v>29271142.800000228</v>
      </c>
      <c r="K21" s="81">
        <f t="shared" si="4"/>
        <v>702507.42720000551</v>
      </c>
      <c r="L21" s="104">
        <f t="shared" si="6"/>
        <v>29973650.227200232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43451</v>
      </c>
      <c r="C22" s="59">
        <f t="shared" si="5"/>
        <v>161</v>
      </c>
      <c r="D22" s="87">
        <v>1035.78</v>
      </c>
      <c r="E22" s="116">
        <v>4399.9999999996362</v>
      </c>
      <c r="F22" s="116">
        <v>21079.999999998108</v>
      </c>
      <c r="G22" s="80">
        <f t="shared" si="3"/>
        <v>25479.999999997744</v>
      </c>
      <c r="H22" s="81">
        <f t="shared" si="0"/>
        <v>6836147.9999994347</v>
      </c>
      <c r="I22" s="81">
        <f t="shared" si="1"/>
        <v>21834242.399998039</v>
      </c>
      <c r="J22" s="81">
        <f t="shared" si="2"/>
        <v>28670390.399997473</v>
      </c>
      <c r="K22" s="81">
        <f t="shared" si="4"/>
        <v>688089.36959993932</v>
      </c>
      <c r="L22" s="104">
        <f t="shared" si="6"/>
        <v>29358479.769597411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43452</v>
      </c>
      <c r="C23" s="59">
        <f t="shared" si="5"/>
        <v>161</v>
      </c>
      <c r="D23" s="87">
        <v>1035.78</v>
      </c>
      <c r="E23" s="116">
        <v>5600.0000000003638</v>
      </c>
      <c r="F23" s="116">
        <v>21760.000000002037</v>
      </c>
      <c r="G23" s="80">
        <f t="shared" si="3"/>
        <v>27360.000000002401</v>
      </c>
      <c r="H23" s="81">
        <f t="shared" si="0"/>
        <v>8700552.0000005644</v>
      </c>
      <c r="I23" s="81">
        <f t="shared" si="1"/>
        <v>22538572.800002109</v>
      </c>
      <c r="J23" s="81">
        <f t="shared" si="2"/>
        <v>31239124.800002672</v>
      </c>
      <c r="K23" s="81">
        <f t="shared" si="4"/>
        <v>749738.99520006415</v>
      </c>
      <c r="L23" s="104">
        <f t="shared" si="6"/>
        <v>31988863.795202736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43453</v>
      </c>
      <c r="C24" s="59">
        <f t="shared" si="5"/>
        <v>161</v>
      </c>
      <c r="D24" s="87">
        <v>1035.78</v>
      </c>
      <c r="E24" s="116">
        <v>4800.0000000001819</v>
      </c>
      <c r="F24" s="116">
        <v>19439.99999999869</v>
      </c>
      <c r="G24" s="80">
        <f t="shared" si="3"/>
        <v>24239.999999998872</v>
      </c>
      <c r="H24" s="81">
        <f t="shared" si="0"/>
        <v>7457616.0000002822</v>
      </c>
      <c r="I24" s="81">
        <f t="shared" si="1"/>
        <v>20135563.199998643</v>
      </c>
      <c r="J24" s="81">
        <f t="shared" si="2"/>
        <v>27593179.199998926</v>
      </c>
      <c r="K24" s="81">
        <f t="shared" si="4"/>
        <v>662236.30079997424</v>
      </c>
      <c r="L24" s="104">
        <f t="shared" si="6"/>
        <v>28255415.5007989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43454</v>
      </c>
      <c r="C25" s="59">
        <f t="shared" si="5"/>
        <v>161</v>
      </c>
      <c r="D25" s="87">
        <v>1035.78</v>
      </c>
      <c r="E25" s="116">
        <v>2199.9999999998181</v>
      </c>
      <c r="F25" s="116">
        <v>21040.000000000873</v>
      </c>
      <c r="G25" s="80">
        <f t="shared" si="3"/>
        <v>23240.000000000691</v>
      </c>
      <c r="H25" s="81">
        <f t="shared" si="0"/>
        <v>3418073.9999997173</v>
      </c>
      <c r="I25" s="81">
        <f t="shared" si="1"/>
        <v>21792811.200000905</v>
      </c>
      <c r="J25" s="81">
        <f t="shared" si="2"/>
        <v>25210885.200000621</v>
      </c>
      <c r="K25" s="81">
        <f t="shared" si="4"/>
        <v>605061.24480001489</v>
      </c>
      <c r="L25" s="104">
        <f t="shared" si="6"/>
        <v>25815946.444800638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43455</v>
      </c>
      <c r="C26" s="59">
        <f t="shared" si="5"/>
        <v>161</v>
      </c>
      <c r="D26" s="87">
        <v>1035.78</v>
      </c>
      <c r="E26" s="116">
        <v>6239.9999999997817</v>
      </c>
      <c r="F26" s="116">
        <v>21400.000000001455</v>
      </c>
      <c r="G26" s="80">
        <f t="shared" si="3"/>
        <v>27640.000000001237</v>
      </c>
      <c r="H26" s="81">
        <f t="shared" si="0"/>
        <v>9694900.7999996599</v>
      </c>
      <c r="I26" s="81">
        <f t="shared" si="1"/>
        <v>22165692.000001505</v>
      </c>
      <c r="J26" s="81">
        <f t="shared" si="2"/>
        <v>31860592.800001167</v>
      </c>
      <c r="K26" s="81">
        <f t="shared" si="4"/>
        <v>764654.22720002802</v>
      </c>
      <c r="L26" s="104">
        <f>J26+K26</f>
        <v>32625247.027201194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43456</v>
      </c>
      <c r="C27" s="59">
        <f t="shared" si="5"/>
        <v>161</v>
      </c>
      <c r="D27" s="87">
        <v>1035.78</v>
      </c>
      <c r="E27" s="116">
        <v>6039.9999999999636</v>
      </c>
      <c r="F27" s="116">
        <v>17039.999999997235</v>
      </c>
      <c r="G27" s="80">
        <f t="shared" si="3"/>
        <v>23079.999999997199</v>
      </c>
      <c r="H27" s="81">
        <f t="shared" si="0"/>
        <v>9384166.799999943</v>
      </c>
      <c r="I27" s="81">
        <f t="shared" si="1"/>
        <v>17649691.199997135</v>
      </c>
      <c r="J27" s="81">
        <f t="shared" si="2"/>
        <v>27033857.999997079</v>
      </c>
      <c r="K27" s="81">
        <f t="shared" si="4"/>
        <v>648812.59199992986</v>
      </c>
      <c r="L27" s="104">
        <f t="shared" si="6"/>
        <v>27682670.591997009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43457</v>
      </c>
      <c r="C28" s="59">
        <f t="shared" si="5"/>
        <v>161</v>
      </c>
      <c r="D28" s="87">
        <v>1035.78</v>
      </c>
      <c r="E28" s="116">
        <v>2560.0000000004002</v>
      </c>
      <c r="F28" s="116">
        <v>23040.000000000873</v>
      </c>
      <c r="G28" s="80">
        <f t="shared" si="3"/>
        <v>25600.000000001273</v>
      </c>
      <c r="H28" s="81">
        <f t="shared" si="0"/>
        <v>3977395.2000006218</v>
      </c>
      <c r="I28" s="81">
        <f t="shared" si="1"/>
        <v>23864371.200000905</v>
      </c>
      <c r="J28" s="81">
        <f t="shared" si="2"/>
        <v>27841766.400001526</v>
      </c>
      <c r="K28" s="81">
        <f t="shared" si="4"/>
        <v>668202.39360003662</v>
      </c>
      <c r="L28" s="104">
        <f t="shared" si="6"/>
        <v>28509968.793601561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43458</v>
      </c>
      <c r="C29" s="59">
        <f t="shared" si="5"/>
        <v>161</v>
      </c>
      <c r="D29" s="87">
        <v>1035.78</v>
      </c>
      <c r="E29" s="116">
        <v>2800.0000000001819</v>
      </c>
      <c r="F29" s="116">
        <v>19360.000000000582</v>
      </c>
      <c r="G29" s="80">
        <f t="shared" si="3"/>
        <v>22160.000000000764</v>
      </c>
      <c r="H29" s="81">
        <f t="shared" si="0"/>
        <v>4350276.0000002822</v>
      </c>
      <c r="I29" s="81">
        <f t="shared" si="1"/>
        <v>20052700.800000601</v>
      </c>
      <c r="J29" s="81">
        <f t="shared" si="2"/>
        <v>24402976.800000884</v>
      </c>
      <c r="K29" s="81">
        <f t="shared" si="4"/>
        <v>585671.44320002117</v>
      </c>
      <c r="L29" s="104">
        <f t="shared" si="6"/>
        <v>24988648.243200906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43459</v>
      </c>
      <c r="C30" s="59">
        <f t="shared" si="5"/>
        <v>161</v>
      </c>
      <c r="D30" s="87">
        <v>1035.78</v>
      </c>
      <c r="E30" s="116">
        <v>5519.9999999995271</v>
      </c>
      <c r="F30" s="116">
        <v>18720.000000001164</v>
      </c>
      <c r="G30" s="80">
        <f t="shared" si="3"/>
        <v>24240.000000000691</v>
      </c>
      <c r="H30" s="81">
        <f t="shared" si="0"/>
        <v>8576258.3999992646</v>
      </c>
      <c r="I30" s="81">
        <f t="shared" si="1"/>
        <v>19389801.600001205</v>
      </c>
      <c r="J30" s="81">
        <f t="shared" si="2"/>
        <v>27966060.000000469</v>
      </c>
      <c r="K30" s="81">
        <f t="shared" si="4"/>
        <v>671185.44000001124</v>
      </c>
      <c r="L30" s="104">
        <f t="shared" si="6"/>
        <v>28637245.440000482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43460</v>
      </c>
      <c r="C31" s="59">
        <f t="shared" si="5"/>
        <v>161</v>
      </c>
      <c r="D31" s="87">
        <v>1035.78</v>
      </c>
      <c r="E31" s="116">
        <v>3920.0000000000728</v>
      </c>
      <c r="F31" s="116">
        <v>18559.999999997672</v>
      </c>
      <c r="G31" s="80">
        <f t="shared" si="3"/>
        <v>22479.999999997744</v>
      </c>
      <c r="H31" s="81">
        <f t="shared" si="0"/>
        <v>6090386.4000001131</v>
      </c>
      <c r="I31" s="81">
        <f t="shared" si="1"/>
        <v>19224076.799997587</v>
      </c>
      <c r="J31" s="81">
        <f t="shared" ref="J31:J33" si="7">I31+H31</f>
        <v>25314463.199997701</v>
      </c>
      <c r="K31" s="81">
        <f t="shared" si="4"/>
        <v>607547.11679994478</v>
      </c>
      <c r="L31" s="104">
        <f t="shared" ref="L31:L33" si="8">J31+K31</f>
        <v>25922010.316797644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43461</v>
      </c>
      <c r="C32" s="59">
        <f t="shared" si="5"/>
        <v>161</v>
      </c>
      <c r="D32" s="87">
        <v>1035.78</v>
      </c>
      <c r="E32" s="116">
        <v>3520.0000000004366</v>
      </c>
      <c r="F32" s="116">
        <v>18680.000000000291</v>
      </c>
      <c r="G32" s="80">
        <f t="shared" si="3"/>
        <v>22200.000000000728</v>
      </c>
      <c r="H32" s="81">
        <f t="shared" si="0"/>
        <v>5468918.4000006784</v>
      </c>
      <c r="I32" s="81">
        <f t="shared" si="1"/>
        <v>19348370.4000003</v>
      </c>
      <c r="J32" s="81">
        <f t="shared" si="7"/>
        <v>24817288.80000098</v>
      </c>
      <c r="K32" s="81">
        <f t="shared" si="4"/>
        <v>595614.93120002351</v>
      </c>
      <c r="L32" s="104">
        <f t="shared" si="8"/>
        <v>25412903.731201004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43462</v>
      </c>
      <c r="C33" s="59">
        <f t="shared" si="5"/>
        <v>161</v>
      </c>
      <c r="D33" s="87">
        <v>1035.78</v>
      </c>
      <c r="E33" s="116">
        <v>4319.999999999709</v>
      </c>
      <c r="F33" s="116">
        <v>17880.000000001019</v>
      </c>
      <c r="G33" s="80">
        <f t="shared" si="3"/>
        <v>22200.000000000728</v>
      </c>
      <c r="H33" s="81">
        <f t="shared" si="0"/>
        <v>6711854.3999995477</v>
      </c>
      <c r="I33" s="81">
        <f t="shared" si="1"/>
        <v>18519746.400001053</v>
      </c>
      <c r="J33" s="81">
        <f t="shared" si="7"/>
        <v>25231600.800000601</v>
      </c>
      <c r="K33" s="81">
        <f t="shared" si="4"/>
        <v>605558.41920001444</v>
      </c>
      <c r="L33" s="104">
        <f t="shared" si="8"/>
        <v>25837159.219200615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43463</v>
      </c>
      <c r="C34" s="59">
        <f t="shared" si="5"/>
        <v>161</v>
      </c>
      <c r="D34" s="87">
        <v>1035.78</v>
      </c>
      <c r="E34" s="116">
        <v>4279.9999999997453</v>
      </c>
      <c r="F34" s="116">
        <v>19880.000000001019</v>
      </c>
      <c r="G34" s="80">
        <f t="shared" ref="G34" si="9">F34+E34</f>
        <v>24160.000000000764</v>
      </c>
      <c r="H34" s="81">
        <f t="shared" ref="H34" si="10">E34*1.5*D34</f>
        <v>6649707.5999996038</v>
      </c>
      <c r="I34" s="81">
        <f t="shared" ref="I34" si="11">F34*D34</f>
        <v>20591306.400001053</v>
      </c>
      <c r="J34" s="81">
        <f t="shared" ref="J34" si="12">I34+H34</f>
        <v>27241014.000000656</v>
      </c>
      <c r="K34" s="81">
        <f t="shared" si="4"/>
        <v>653784.33600001573</v>
      </c>
      <c r="L34" s="104">
        <f t="shared" ref="L34" si="13">J34+K34</f>
        <v>27894798.33600067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43464</v>
      </c>
      <c r="C35" s="59">
        <f t="shared" si="5"/>
        <v>161</v>
      </c>
      <c r="D35" s="87">
        <v>1035.78</v>
      </c>
      <c r="E35" s="116">
        <v>3800.0000000001819</v>
      </c>
      <c r="F35" s="116">
        <v>18559.999999997672</v>
      </c>
      <c r="G35" s="80">
        <f t="shared" ref="G35:G36" si="14">F35+E35</f>
        <v>22359.999999997854</v>
      </c>
      <c r="H35" s="81">
        <f t="shared" ref="H35:H36" si="15">E35*1.5*D35</f>
        <v>5903946.0000002822</v>
      </c>
      <c r="I35" s="81">
        <f t="shared" ref="I35:I36" si="16">F35*D35</f>
        <v>19224076.799997587</v>
      </c>
      <c r="J35" s="81">
        <f t="shared" ref="J35:J36" si="17">I35+H35</f>
        <v>25128022.79999787</v>
      </c>
      <c r="K35" s="81">
        <f t="shared" si="4"/>
        <v>603072.54719994892</v>
      </c>
      <c r="L35" s="104">
        <f t="shared" ref="L35:L36" si="18">J35+K35</f>
        <v>25731095.34719782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43465</v>
      </c>
      <c r="C36" s="59">
        <f t="shared" si="5"/>
        <v>161</v>
      </c>
      <c r="D36" s="87">
        <v>1035.78</v>
      </c>
      <c r="E36" s="116">
        <v>3640.0000000003274</v>
      </c>
      <c r="F36" s="116">
        <v>18920.000000001892</v>
      </c>
      <c r="G36" s="80">
        <f t="shared" si="14"/>
        <v>22560.000000002219</v>
      </c>
      <c r="H36" s="81">
        <f t="shared" si="15"/>
        <v>5655358.8000005083</v>
      </c>
      <c r="I36" s="81">
        <f t="shared" si="16"/>
        <v>19596957.600001957</v>
      </c>
      <c r="J36" s="81">
        <f t="shared" si="17"/>
        <v>25252316.400002465</v>
      </c>
      <c r="K36" s="81">
        <f t="shared" si="4"/>
        <v>606055.59360005916</v>
      </c>
      <c r="L36" s="104">
        <f t="shared" si="18"/>
        <v>25858371.993602525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SUM(C6:C35)</f>
        <v>4830</v>
      </c>
      <c r="D37" s="88"/>
      <c r="E37" s="82">
        <f>SUM(E6:E36)</f>
        <v>141480.00000000047</v>
      </c>
      <c r="F37" s="82">
        <f>SUM(F6:F36)</f>
        <v>639639.9999999993</v>
      </c>
      <c r="G37" s="82">
        <f t="shared" ref="G37:L37" si="19">SUM(G6:G36)</f>
        <v>781120</v>
      </c>
      <c r="H37" s="82">
        <f t="shared" si="19"/>
        <v>219813231.60000074</v>
      </c>
      <c r="I37" s="82">
        <f t="shared" si="19"/>
        <v>662526319.19999921</v>
      </c>
      <c r="J37" s="82">
        <f t="shared" si="19"/>
        <v>882339550.80000031</v>
      </c>
      <c r="K37" s="82">
        <f t="shared" si="19"/>
        <v>21176149.219200004</v>
      </c>
      <c r="L37" s="82">
        <f t="shared" si="19"/>
        <v>903515700.01919997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G36" sqref="G36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7" t="s">
        <v>3</v>
      </c>
      <c r="C1" s="137"/>
      <c r="D1" s="137"/>
      <c r="E1" s="137"/>
      <c r="F1" s="137"/>
      <c r="G1" s="137"/>
    </row>
    <row r="2" spans="1:43" ht="15" customHeight="1" x14ac:dyDescent="0.25">
      <c r="B2" s="137"/>
      <c r="C2" s="137"/>
      <c r="D2" s="137"/>
      <c r="E2" s="137"/>
      <c r="F2" s="137"/>
      <c r="G2" s="137"/>
    </row>
    <row r="3" spans="1:43" s="63" customFormat="1" ht="27" customHeight="1" x14ac:dyDescent="0.3">
      <c r="A3" s="61"/>
      <c r="B3" s="138" t="s">
        <v>0</v>
      </c>
      <c r="C3" s="138" t="s">
        <v>22</v>
      </c>
      <c r="D3" s="139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8"/>
      <c r="C4" s="138"/>
      <c r="D4" s="140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12</v>
      </c>
      <c r="D5" s="78">
        <v>2018</v>
      </c>
      <c r="E5" s="114">
        <v>75</v>
      </c>
      <c r="F5" s="109">
        <v>299</v>
      </c>
      <c r="G5" s="56">
        <f>E5+F5</f>
        <v>374</v>
      </c>
    </row>
    <row r="6" spans="1:43" ht="15.75" x14ac:dyDescent="0.25">
      <c r="B6" s="78">
        <v>2</v>
      </c>
      <c r="C6" s="78">
        <v>12</v>
      </c>
      <c r="D6" s="78">
        <f>D5</f>
        <v>2018</v>
      </c>
      <c r="E6" s="113">
        <v>52</v>
      </c>
      <c r="F6" s="108">
        <v>217</v>
      </c>
      <c r="G6" s="56">
        <f t="shared" ref="G6:G34" si="0">E6+F6</f>
        <v>269</v>
      </c>
    </row>
    <row r="7" spans="1:43" ht="15.75" x14ac:dyDescent="0.25">
      <c r="B7" s="78">
        <v>3</v>
      </c>
      <c r="C7" s="78">
        <v>12</v>
      </c>
      <c r="D7" s="78">
        <f t="shared" ref="D7:D35" si="1">D6</f>
        <v>2018</v>
      </c>
      <c r="E7" s="113">
        <v>78</v>
      </c>
      <c r="F7" s="108">
        <v>315</v>
      </c>
      <c r="G7" s="56">
        <f t="shared" si="0"/>
        <v>393</v>
      </c>
    </row>
    <row r="8" spans="1:43" ht="15.75" x14ac:dyDescent="0.25">
      <c r="B8" s="78">
        <v>4</v>
      </c>
      <c r="C8" s="78">
        <v>12</v>
      </c>
      <c r="D8" s="78">
        <f t="shared" si="1"/>
        <v>2018</v>
      </c>
      <c r="E8" s="113">
        <v>46</v>
      </c>
      <c r="F8" s="108">
        <v>191</v>
      </c>
      <c r="G8" s="56">
        <f t="shared" si="0"/>
        <v>237</v>
      </c>
    </row>
    <row r="9" spans="1:43" ht="15.75" x14ac:dyDescent="0.25">
      <c r="B9" s="78">
        <v>5</v>
      </c>
      <c r="C9" s="78">
        <v>12</v>
      </c>
      <c r="D9" s="78">
        <f t="shared" si="1"/>
        <v>2018</v>
      </c>
      <c r="E9" s="113">
        <v>18</v>
      </c>
      <c r="F9" s="108">
        <v>198</v>
      </c>
      <c r="G9" s="56">
        <f t="shared" si="0"/>
        <v>216</v>
      </c>
    </row>
    <row r="10" spans="1:43" ht="15.75" x14ac:dyDescent="0.25">
      <c r="B10" s="78">
        <v>6</v>
      </c>
      <c r="C10" s="78">
        <v>12</v>
      </c>
      <c r="D10" s="78">
        <f t="shared" si="1"/>
        <v>2018</v>
      </c>
      <c r="E10" s="113">
        <v>69</v>
      </c>
      <c r="F10" s="108">
        <v>248</v>
      </c>
      <c r="G10" s="56">
        <f t="shared" si="0"/>
        <v>317</v>
      </c>
    </row>
    <row r="11" spans="1:43" ht="15.75" x14ac:dyDescent="0.25">
      <c r="B11" s="78">
        <v>7</v>
      </c>
      <c r="C11" s="78">
        <v>12</v>
      </c>
      <c r="D11" s="78">
        <f t="shared" si="1"/>
        <v>2018</v>
      </c>
      <c r="E11" s="113">
        <v>112</v>
      </c>
      <c r="F11" s="109">
        <v>374</v>
      </c>
      <c r="G11" s="56">
        <f t="shared" si="0"/>
        <v>486</v>
      </c>
    </row>
    <row r="12" spans="1:43" ht="15.75" x14ac:dyDescent="0.25">
      <c r="B12" s="78">
        <v>8</v>
      </c>
      <c r="C12" s="78">
        <v>12</v>
      </c>
      <c r="D12" s="78">
        <f t="shared" si="1"/>
        <v>2018</v>
      </c>
      <c r="E12" s="114">
        <v>44</v>
      </c>
      <c r="F12" s="109">
        <v>184</v>
      </c>
      <c r="G12" s="56">
        <f t="shared" si="0"/>
        <v>228</v>
      </c>
    </row>
    <row r="13" spans="1:43" ht="15.75" x14ac:dyDescent="0.25">
      <c r="B13" s="78">
        <v>9</v>
      </c>
      <c r="C13" s="78">
        <v>12</v>
      </c>
      <c r="D13" s="78">
        <f t="shared" si="1"/>
        <v>2018</v>
      </c>
      <c r="E13" s="113">
        <v>44</v>
      </c>
      <c r="F13" s="109">
        <v>180</v>
      </c>
      <c r="G13" s="56">
        <f t="shared" si="0"/>
        <v>224</v>
      </c>
    </row>
    <row r="14" spans="1:43" ht="15.75" x14ac:dyDescent="0.25">
      <c r="B14" s="78">
        <v>10</v>
      </c>
      <c r="C14" s="78">
        <v>12</v>
      </c>
      <c r="D14" s="78">
        <f t="shared" si="1"/>
        <v>2018</v>
      </c>
      <c r="E14" s="113">
        <v>45</v>
      </c>
      <c r="F14" s="108">
        <v>407</v>
      </c>
      <c r="G14" s="56">
        <f t="shared" si="0"/>
        <v>452</v>
      </c>
    </row>
    <row r="15" spans="1:43" ht="15.75" x14ac:dyDescent="0.25">
      <c r="B15" s="78">
        <v>11</v>
      </c>
      <c r="C15" s="78">
        <v>12</v>
      </c>
      <c r="D15" s="78">
        <f t="shared" si="1"/>
        <v>2018</v>
      </c>
      <c r="E15" s="113">
        <v>53</v>
      </c>
      <c r="F15" s="108">
        <v>220</v>
      </c>
      <c r="G15" s="56">
        <f t="shared" si="0"/>
        <v>273</v>
      </c>
    </row>
    <row r="16" spans="1:43" ht="15.75" x14ac:dyDescent="0.25">
      <c r="B16" s="78">
        <v>12</v>
      </c>
      <c r="C16" s="78">
        <v>12</v>
      </c>
      <c r="D16" s="78">
        <f t="shared" si="1"/>
        <v>2018</v>
      </c>
      <c r="E16" s="113">
        <v>82</v>
      </c>
      <c r="F16" s="108">
        <v>336</v>
      </c>
      <c r="G16" s="56">
        <f t="shared" si="0"/>
        <v>418</v>
      </c>
    </row>
    <row r="17" spans="2:7" ht="15.75" x14ac:dyDescent="0.25">
      <c r="B17" s="78">
        <v>13</v>
      </c>
      <c r="C17" s="78">
        <v>12</v>
      </c>
      <c r="D17" s="78">
        <f t="shared" si="1"/>
        <v>2018</v>
      </c>
      <c r="E17" s="113">
        <v>61</v>
      </c>
      <c r="F17" s="108">
        <v>261</v>
      </c>
      <c r="G17" s="56">
        <f t="shared" si="0"/>
        <v>322</v>
      </c>
    </row>
    <row r="18" spans="2:7" ht="15.75" x14ac:dyDescent="0.25">
      <c r="B18" s="78">
        <v>14</v>
      </c>
      <c r="C18" s="78">
        <v>12</v>
      </c>
      <c r="D18" s="78">
        <f t="shared" si="1"/>
        <v>2018</v>
      </c>
      <c r="E18" s="113">
        <v>55</v>
      </c>
      <c r="F18" s="108">
        <v>192</v>
      </c>
      <c r="G18" s="56">
        <f t="shared" si="0"/>
        <v>247</v>
      </c>
    </row>
    <row r="19" spans="2:7" ht="15.75" x14ac:dyDescent="0.25">
      <c r="B19" s="78">
        <v>15</v>
      </c>
      <c r="C19" s="78">
        <v>12</v>
      </c>
      <c r="D19" s="78">
        <f t="shared" si="1"/>
        <v>2018</v>
      </c>
      <c r="E19" s="114">
        <v>39</v>
      </c>
      <c r="F19" s="109">
        <v>203</v>
      </c>
      <c r="G19" s="56">
        <f t="shared" si="0"/>
        <v>242</v>
      </c>
    </row>
    <row r="20" spans="2:7" ht="15.75" x14ac:dyDescent="0.25">
      <c r="B20" s="78">
        <v>16</v>
      </c>
      <c r="C20" s="78">
        <v>12</v>
      </c>
      <c r="D20" s="78">
        <f t="shared" si="1"/>
        <v>2018</v>
      </c>
      <c r="E20" s="113">
        <v>77</v>
      </c>
      <c r="F20" s="108">
        <v>320</v>
      </c>
      <c r="G20" s="56">
        <f t="shared" si="0"/>
        <v>397</v>
      </c>
    </row>
    <row r="21" spans="2:7" ht="15.75" x14ac:dyDescent="0.25">
      <c r="B21" s="78">
        <v>17</v>
      </c>
      <c r="C21" s="78">
        <v>12</v>
      </c>
      <c r="D21" s="78">
        <f t="shared" si="1"/>
        <v>2018</v>
      </c>
      <c r="E21" s="113">
        <v>50</v>
      </c>
      <c r="F21" s="108">
        <v>167</v>
      </c>
      <c r="G21" s="56">
        <f t="shared" si="0"/>
        <v>217</v>
      </c>
    </row>
    <row r="22" spans="2:7" ht="15.75" x14ac:dyDescent="0.25">
      <c r="B22" s="78">
        <v>18</v>
      </c>
      <c r="C22" s="78">
        <v>12</v>
      </c>
      <c r="D22" s="78">
        <f t="shared" si="1"/>
        <v>2018</v>
      </c>
      <c r="E22" s="113">
        <v>51</v>
      </c>
      <c r="F22" s="108">
        <v>253</v>
      </c>
      <c r="G22" s="56">
        <f t="shared" si="0"/>
        <v>304</v>
      </c>
    </row>
    <row r="23" spans="2:7" ht="15.75" x14ac:dyDescent="0.25">
      <c r="B23" s="78">
        <v>19</v>
      </c>
      <c r="C23" s="78">
        <v>12</v>
      </c>
      <c r="D23" s="78">
        <f t="shared" si="1"/>
        <v>2018</v>
      </c>
      <c r="E23" s="113">
        <v>52</v>
      </c>
      <c r="F23" s="108">
        <v>221</v>
      </c>
      <c r="G23" s="56">
        <f t="shared" si="0"/>
        <v>273</v>
      </c>
    </row>
    <row r="24" spans="2:7" ht="15.75" x14ac:dyDescent="0.25">
      <c r="B24" s="78">
        <v>20</v>
      </c>
      <c r="C24" s="78">
        <v>12</v>
      </c>
      <c r="D24" s="78">
        <f t="shared" si="1"/>
        <v>2018</v>
      </c>
      <c r="E24" s="113">
        <v>40</v>
      </c>
      <c r="F24" s="108">
        <v>178</v>
      </c>
      <c r="G24" s="56">
        <f t="shared" si="0"/>
        <v>218</v>
      </c>
    </row>
    <row r="25" spans="2:7" ht="15.75" x14ac:dyDescent="0.25">
      <c r="B25" s="78">
        <v>21</v>
      </c>
      <c r="C25" s="78">
        <v>12</v>
      </c>
      <c r="D25" s="78">
        <f t="shared" si="1"/>
        <v>2018</v>
      </c>
      <c r="E25" s="113">
        <v>48</v>
      </c>
      <c r="F25" s="108">
        <v>209</v>
      </c>
      <c r="G25" s="56">
        <f t="shared" si="0"/>
        <v>257</v>
      </c>
    </row>
    <row r="26" spans="2:7" ht="15.75" x14ac:dyDescent="0.25">
      <c r="B26" s="78">
        <v>22</v>
      </c>
      <c r="C26" s="78">
        <v>12</v>
      </c>
      <c r="D26" s="78">
        <f t="shared" si="1"/>
        <v>2018</v>
      </c>
      <c r="E26" s="114">
        <v>52</v>
      </c>
      <c r="F26" s="109">
        <v>221</v>
      </c>
      <c r="G26" s="56">
        <f t="shared" si="0"/>
        <v>273</v>
      </c>
    </row>
    <row r="27" spans="2:7" ht="15.75" x14ac:dyDescent="0.25">
      <c r="B27" s="78">
        <v>23</v>
      </c>
      <c r="C27" s="78">
        <v>12</v>
      </c>
      <c r="D27" s="78">
        <f t="shared" si="1"/>
        <v>2018</v>
      </c>
      <c r="E27" s="113">
        <v>67</v>
      </c>
      <c r="F27" s="108">
        <v>290</v>
      </c>
      <c r="G27" s="56">
        <f t="shared" si="0"/>
        <v>357</v>
      </c>
    </row>
    <row r="28" spans="2:7" ht="15.75" x14ac:dyDescent="0.25">
      <c r="B28" s="78">
        <v>24</v>
      </c>
      <c r="C28" s="78">
        <v>12</v>
      </c>
      <c r="D28" s="78">
        <f t="shared" si="1"/>
        <v>2018</v>
      </c>
      <c r="E28" s="113">
        <v>27</v>
      </c>
      <c r="F28" s="108">
        <v>114</v>
      </c>
      <c r="G28" s="56">
        <f t="shared" si="0"/>
        <v>141</v>
      </c>
    </row>
    <row r="29" spans="2:7" ht="15.75" x14ac:dyDescent="0.25">
      <c r="B29" s="78">
        <v>25</v>
      </c>
      <c r="C29" s="78">
        <v>12</v>
      </c>
      <c r="D29" s="78">
        <f t="shared" si="1"/>
        <v>2018</v>
      </c>
      <c r="E29" s="113">
        <v>49</v>
      </c>
      <c r="F29" s="108">
        <v>213</v>
      </c>
      <c r="G29" s="56">
        <f t="shared" si="0"/>
        <v>262</v>
      </c>
    </row>
    <row r="30" spans="2:7" ht="15.75" x14ac:dyDescent="0.25">
      <c r="B30" s="78">
        <v>26</v>
      </c>
      <c r="C30" s="78">
        <v>12</v>
      </c>
      <c r="D30" s="78">
        <f t="shared" si="1"/>
        <v>2018</v>
      </c>
      <c r="E30" s="113">
        <v>44</v>
      </c>
      <c r="F30" s="108">
        <v>192</v>
      </c>
      <c r="G30" s="56">
        <f t="shared" si="0"/>
        <v>236</v>
      </c>
    </row>
    <row r="31" spans="2:7" ht="15.75" x14ac:dyDescent="0.25">
      <c r="B31" s="78">
        <v>27</v>
      </c>
      <c r="C31" s="78">
        <v>12</v>
      </c>
      <c r="D31" s="78">
        <f t="shared" si="1"/>
        <v>2018</v>
      </c>
      <c r="E31" s="113">
        <v>44</v>
      </c>
      <c r="F31" s="108">
        <v>197</v>
      </c>
      <c r="G31" s="56">
        <f t="shared" si="0"/>
        <v>241</v>
      </c>
    </row>
    <row r="32" spans="2:7" ht="15.75" x14ac:dyDescent="0.25">
      <c r="B32" s="78">
        <v>28</v>
      </c>
      <c r="C32" s="78">
        <v>12</v>
      </c>
      <c r="D32" s="78">
        <f t="shared" si="1"/>
        <v>2018</v>
      </c>
      <c r="E32" s="113">
        <v>39</v>
      </c>
      <c r="F32" s="108">
        <v>193</v>
      </c>
      <c r="G32" s="56">
        <f t="shared" si="0"/>
        <v>232</v>
      </c>
    </row>
    <row r="33" spans="2:9" ht="15.75" x14ac:dyDescent="0.25">
      <c r="B33" s="78">
        <v>29</v>
      </c>
      <c r="C33" s="78">
        <v>12</v>
      </c>
      <c r="D33" s="78">
        <f t="shared" si="1"/>
        <v>2018</v>
      </c>
      <c r="E33" s="113">
        <v>51</v>
      </c>
      <c r="F33" s="108">
        <v>198</v>
      </c>
      <c r="G33" s="56">
        <f t="shared" si="0"/>
        <v>249</v>
      </c>
    </row>
    <row r="34" spans="2:9" ht="15.75" x14ac:dyDescent="0.25">
      <c r="B34" s="78">
        <v>30</v>
      </c>
      <c r="C34" s="78">
        <v>12</v>
      </c>
      <c r="D34" s="78">
        <f t="shared" si="1"/>
        <v>2018</v>
      </c>
      <c r="E34" s="113">
        <v>39</v>
      </c>
      <c r="F34" s="108">
        <v>177</v>
      </c>
      <c r="G34" s="56">
        <f t="shared" si="0"/>
        <v>216</v>
      </c>
    </row>
    <row r="35" spans="2:9" ht="15.75" x14ac:dyDescent="0.25">
      <c r="B35" s="78">
        <v>31</v>
      </c>
      <c r="C35" s="78">
        <v>12</v>
      </c>
      <c r="D35" s="78">
        <f t="shared" si="1"/>
        <v>2018</v>
      </c>
      <c r="E35" s="113">
        <v>38</v>
      </c>
      <c r="F35" s="108">
        <v>164</v>
      </c>
      <c r="G35" s="56">
        <f t="shared" ref="G35" si="2">E35+F35</f>
        <v>202</v>
      </c>
    </row>
    <row r="36" spans="2:9" ht="21" x14ac:dyDescent="0.35">
      <c r="B36" s="64"/>
      <c r="C36" s="64"/>
      <c r="D36" s="64"/>
      <c r="E36" s="14">
        <f>SUM(E5:E35)</f>
        <v>1641</v>
      </c>
      <c r="F36" s="14">
        <f>SUM(F5:F35)</f>
        <v>7132</v>
      </c>
      <c r="G36" s="14">
        <f>SUM(G5:G35)</f>
        <v>8773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8773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110101150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2023-03-10T08:37:00Z</dcterms:modified>
</cp:coreProperties>
</file>