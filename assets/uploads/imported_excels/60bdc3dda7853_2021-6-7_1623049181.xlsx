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<sst xmlns="http://schemas.openxmlformats.org/spreadsheetml/2006/main" count="606" uniqueCount="76">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</sst>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0" workbookViewId="0">
      <selection activeCell="K159" sqref="K15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0.67</v>
      </c>
      <c r="G153" s="4">
        <f>'Gas Water'!M155</f>
        <v>1816</v>
      </c>
      <c r="H153" s="154">
        <v>1.77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0.67</v>
      </c>
      <c r="G154" s="4">
        <f>'Gas Water'!M156</f>
        <v>1894</v>
      </c>
      <c r="H154" s="154">
        <v>1.77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0.67</v>
      </c>
      <c r="G155" s="4">
        <f>'Gas Water'!M157</f>
        <v>2090</v>
      </c>
      <c r="H155" s="154">
        <v>1.77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0.67</v>
      </c>
      <c r="G156" s="4">
        <f>'Gas Water'!M158</f>
        <v>1843</v>
      </c>
      <c r="H156" s="154">
        <v>1.77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0.67</v>
      </c>
      <c r="G157" s="4">
        <f>'Gas Water'!M159</f>
        <v>1664</v>
      </c>
      <c r="H157" s="154">
        <v>1.77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0.67</v>
      </c>
      <c r="G158" s="4">
        <f>'Gas Water'!M160</f>
        <v>1481</v>
      </c>
      <c r="H158" s="154">
        <v>1.77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e">
        <f>'Gas Water'!M161</f>
        <v>#VALUE!</v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e">
        <f>'Gas Water'!M162</f>
        <v>#VALUE!</v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e">
        <f>'Gas Water'!M163</f>
        <v>#VALUE!</v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e">
        <f>'Gas Water'!M164</f>
        <v>#VALUE!</v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e">
        <f>'Gas Water'!M165</f>
        <v>#VALUE!</v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e">
        <f>'Gas Water'!M166</f>
        <v>#VALUE!</v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e">
        <f>'Gas Water'!M167</f>
        <v>#VALUE!</v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e">
        <f>'Gas Water'!M168</f>
        <v>#VALUE!</v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33" workbookViewId="0">
      <selection activeCell="G161" sqref="G16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/>
      <c r="E161" s="25"/>
      <c r="F161" s="26"/>
      <c r="G161" s="27"/>
      <c r="H161" s="28">
        <f t="shared" si="10"/>
        <v>0</v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e">
        <f t="shared" si="11"/>
        <v>#VALUE!</v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/>
      <c r="E162" s="25"/>
      <c r="F162" s="26"/>
      <c r="G162" s="27"/>
      <c r="H162" s="28">
        <f t="shared" si="10"/>
        <v>0</v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e">
        <f t="shared" si="11"/>
        <v>#VALUE!</v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/>
      <c r="E163" s="25"/>
      <c r="F163" s="26"/>
      <c r="G163" s="27"/>
      <c r="H163" s="28">
        <f t="shared" si="10"/>
        <v>0</v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e">
        <f t="shared" si="11"/>
        <v>#VALUE!</v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/>
      <c r="E164" s="25"/>
      <c r="F164" s="26"/>
      <c r="G164" s="27"/>
      <c r="H164" s="28">
        <f t="shared" si="10"/>
        <v>0</v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e">
        <f t="shared" si="11"/>
        <v>#VALUE!</v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/>
      <c r="E165" s="25"/>
      <c r="F165" s="26"/>
      <c r="G165" s="27"/>
      <c r="H165" s="28">
        <f t="shared" si="10"/>
        <v>0</v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e">
        <f t="shared" si="11"/>
        <v>#VALUE!</v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/>
      <c r="E166" s="25"/>
      <c r="F166" s="26"/>
      <c r="G166" s="27"/>
      <c r="H166" s="28">
        <f t="shared" si="10"/>
        <v>0</v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e">
        <f t="shared" si="11"/>
        <v>#VALUE!</v>
      </c>
      <c r="Q166" s="20">
        <f t="shared" si="12"/>
        <v>1</v>
      </c>
    </row>
    <row r="167" spans="2:20" ht="12.95" customHeight="1" x14ac:dyDescent="0.2">
      <c r="B167" s="22">
        <v>44360</v>
      </c>
      <c r="C167" s="41">
        <v>16228335</v>
      </c>
      <c r="D167" s="24"/>
      <c r="E167" s="25"/>
      <c r="F167" s="26"/>
      <c r="G167" s="27"/>
      <c r="H167" s="28">
        <f t="shared" si="10"/>
        <v>0</v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e">
        <f t="shared" si="11"/>
        <v>#VALUE!</v>
      </c>
      <c r="Q167" s="20">
        <f t="shared" si="12"/>
        <v>1</v>
      </c>
    </row>
    <row r="168" spans="2:20" ht="12.95" customHeight="1" x14ac:dyDescent="0.2">
      <c r="B168" s="22">
        <v>44361</v>
      </c>
      <c r="C168" s="41">
        <v>16228335</v>
      </c>
      <c r="D168" s="24"/>
      <c r="E168" s="25"/>
      <c r="F168" s="26"/>
      <c r="G168" s="27"/>
      <c r="H168" s="28">
        <f t="shared" si="10"/>
        <v>0</v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e">
        <f t="shared" si="11"/>
        <v>#VALUE!</v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5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829</v>
      </c>
      <c r="O178" s="32" t="e">
        <f>SUM(M156:M185)</f>
        <v>#VALUE!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165.8</v>
      </c>
      <c r="O181" s="32" t="e">
        <f>AVERAGE(M156:M185)</f>
        <v>#VALUE!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379628</v>
      </c>
      <c r="J371" s="40">
        <f t="shared" si="30"/>
        <v>22045</v>
      </c>
      <c r="K371" s="40">
        <f t="shared" si="30"/>
        <v>20745</v>
      </c>
      <c r="L371" s="40">
        <f t="shared" si="30"/>
        <v>21614</v>
      </c>
      <c r="M371" s="40" t="e">
        <f t="shared" si="30"/>
        <v>#VALUE!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35" workbookViewId="0">
      <selection activeCell="U156" sqref="U156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ref="I160:I187" si="23">IF(D160="","",+(E160-E159)*4140)</f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2.297677691766362E-2</v>
      </c>
      <c r="Q175" s="71">
        <f>IF(L155="",0,+SUM(L155:L184)/SUM(I155:I184))</f>
        <v>2.297677691766362E-2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56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3345769.4999999963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2021-06-07T06:58:35Z</dcterms:modified>
  <cp:category/>
  <cp:contentStatus/>
</cp:coreProperties>
</file>