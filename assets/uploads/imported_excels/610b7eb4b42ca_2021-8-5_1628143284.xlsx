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N:\ENGINEERING\HEP\"/>
    </mc:Choice>
  </mc:AlternateContent>
  <bookViews>
    <workbookView xWindow="0" yWindow="0" windowWidth="28800" windowHeight="11400"/>
  </bookViews>
  <sheets>
    <sheet name="Total" sheetId="1" r:id="rId1"/>
    <sheet name="Gas Water" sheetId="3" r:id="rId2"/>
    <sheet name="Electricity " sheetId="4" r:id="rId3"/>
  </sheets>
  <externalReferences>
    <externalReference r:id="rId4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18" i="4" l="1"/>
  <c r="I218" i="4"/>
  <c r="J217" i="4"/>
  <c r="I217" i="4"/>
  <c r="J213" i="4" l="1"/>
  <c r="J214" i="4"/>
  <c r="J215" i="4"/>
  <c r="J216" i="4"/>
  <c r="I213" i="4"/>
  <c r="I214" i="4"/>
  <c r="I215" i="4"/>
  <c r="I216" i="4"/>
  <c r="J212" i="4" l="1"/>
  <c r="I212" i="4"/>
  <c r="J211" i="4" l="1"/>
  <c r="I211" i="4"/>
  <c r="J210" i="4" l="1"/>
  <c r="I209" i="4"/>
  <c r="I210" i="4"/>
  <c r="J202" i="4" l="1"/>
  <c r="K202" i="4" s="1"/>
  <c r="J203" i="4"/>
  <c r="K203" i="4" s="1"/>
  <c r="J204" i="4"/>
  <c r="J205" i="4"/>
  <c r="J206" i="4"/>
  <c r="J207" i="4"/>
  <c r="J208" i="4"/>
  <c r="J209" i="4"/>
  <c r="I202" i="4"/>
  <c r="I203" i="4"/>
  <c r="I204" i="4"/>
  <c r="I205" i="4"/>
  <c r="I206" i="4"/>
  <c r="I207" i="4"/>
  <c r="I208" i="4"/>
  <c r="K204" i="4" l="1"/>
  <c r="J200" i="4"/>
  <c r="J201" i="4"/>
  <c r="K201" i="4" s="1"/>
  <c r="I199" i="4"/>
  <c r="I200" i="4"/>
  <c r="I201" i="4"/>
  <c r="K200" i="4" l="1"/>
  <c r="I197" i="4"/>
  <c r="I198" i="4"/>
  <c r="L197" i="3"/>
  <c r="L198" i="3"/>
  <c r="L199" i="3"/>
  <c r="L200" i="3"/>
  <c r="J193" i="3" l="1"/>
  <c r="J194" i="3"/>
  <c r="J192" i="3"/>
  <c r="L196" i="3" l="1"/>
  <c r="J188" i="4" l="1"/>
  <c r="J189" i="4"/>
  <c r="J190" i="4"/>
  <c r="J191" i="4"/>
  <c r="J192" i="4"/>
  <c r="J193" i="4"/>
  <c r="J194" i="4"/>
  <c r="J195" i="4"/>
  <c r="J196" i="4"/>
  <c r="J197" i="4"/>
  <c r="J198" i="4"/>
  <c r="J199" i="4"/>
  <c r="I188" i="4"/>
  <c r="I189" i="4"/>
  <c r="I190" i="4"/>
  <c r="I191" i="4"/>
  <c r="I192" i="4"/>
  <c r="I193" i="4"/>
  <c r="I194" i="4"/>
  <c r="I195" i="4"/>
  <c r="I196" i="4"/>
  <c r="J185" i="4" l="1"/>
  <c r="J186" i="4"/>
  <c r="J187" i="4"/>
  <c r="L185" i="3" l="1"/>
  <c r="L186" i="3"/>
  <c r="L187" i="3"/>
  <c r="L188" i="3"/>
  <c r="L189" i="3"/>
  <c r="L190" i="3"/>
  <c r="L191" i="3"/>
  <c r="L192" i="3"/>
  <c r="L193" i="3"/>
  <c r="L194" i="3"/>
  <c r="L195" i="3"/>
  <c r="L177" i="3" l="1"/>
  <c r="L178" i="3"/>
  <c r="L179" i="3"/>
  <c r="L180" i="3"/>
  <c r="L181" i="3"/>
  <c r="L182" i="3"/>
  <c r="L183" i="3"/>
  <c r="L184" i="3"/>
  <c r="I177" i="3"/>
  <c r="I155" i="4" l="1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K185" i="4" s="1"/>
  <c r="I186" i="4"/>
  <c r="K186" i="4" s="1"/>
  <c r="I187" i="4"/>
  <c r="K187" i="4" s="1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56" i="3" l="1"/>
  <c r="L155" i="3" l="1"/>
  <c r="L144" i="3" l="1"/>
  <c r="L145" i="3"/>
  <c r="L146" i="3"/>
  <c r="L147" i="3"/>
  <c r="L148" i="3"/>
  <c r="L149" i="3"/>
  <c r="L150" i="3"/>
  <c r="L151" i="3"/>
  <c r="L152" i="3"/>
  <c r="L153" i="3"/>
  <c r="L154" i="3"/>
  <c r="L143" i="3"/>
  <c r="L112" i="3" l="1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11" i="3" l="1"/>
  <c r="L102" i="3" l="1"/>
  <c r="L103" i="3"/>
  <c r="L104" i="3"/>
  <c r="L105" i="3"/>
  <c r="L106" i="3"/>
  <c r="L107" i="3"/>
  <c r="L108" i="3"/>
  <c r="L109" i="3"/>
  <c r="L110" i="3"/>
  <c r="L101" i="3"/>
  <c r="L99" i="3" l="1"/>
  <c r="L100" i="3"/>
  <c r="L98" i="3" l="1"/>
  <c r="L95" i="3" l="1"/>
  <c r="L96" i="3"/>
  <c r="L97" i="3"/>
  <c r="I94" i="4"/>
  <c r="L94" i="4" l="1"/>
  <c r="M94" i="4" s="1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M112" i="4" s="1"/>
  <c r="L113" i="4"/>
  <c r="L114" i="4"/>
  <c r="L115" i="4"/>
  <c r="L116" i="4"/>
  <c r="L117" i="4"/>
  <c r="L118" i="4"/>
  <c r="M118" i="4" s="1"/>
  <c r="L119" i="4"/>
  <c r="L120" i="4"/>
  <c r="L121" i="4"/>
  <c r="L122" i="4"/>
  <c r="L123" i="4"/>
  <c r="L124" i="4"/>
  <c r="M124" i="4" s="1"/>
  <c r="L125" i="4"/>
  <c r="L126" i="4"/>
  <c r="L127" i="4"/>
  <c r="L128" i="4"/>
  <c r="L129" i="4"/>
  <c r="L130" i="4"/>
  <c r="L131" i="4"/>
  <c r="L132" i="4"/>
  <c r="L133" i="4"/>
  <c r="L134" i="4"/>
  <c r="L135" i="4"/>
  <c r="L136" i="4"/>
  <c r="M136" i="4" s="1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M154" i="4" s="1"/>
  <c r="L155" i="4"/>
  <c r="M155" i="4" s="1"/>
  <c r="L156" i="4"/>
  <c r="M156" i="4" s="1"/>
  <c r="L157" i="4"/>
  <c r="M157" i="4" s="1"/>
  <c r="L158" i="4"/>
  <c r="M158" i="4" s="1"/>
  <c r="L159" i="4"/>
  <c r="M159" i="4" s="1"/>
  <c r="L160" i="4"/>
  <c r="M160" i="4" s="1"/>
  <c r="L161" i="4"/>
  <c r="M161" i="4" s="1"/>
  <c r="L162" i="4"/>
  <c r="M162" i="4" s="1"/>
  <c r="L163" i="4"/>
  <c r="M163" i="4" s="1"/>
  <c r="L164" i="4"/>
  <c r="M164" i="4" s="1"/>
  <c r="L165" i="4"/>
  <c r="M165" i="4" s="1"/>
  <c r="L166" i="4"/>
  <c r="M166" i="4" s="1"/>
  <c r="L167" i="4"/>
  <c r="M167" i="4" s="1"/>
  <c r="L168" i="4"/>
  <c r="M168" i="4" s="1"/>
  <c r="L169" i="4"/>
  <c r="M169" i="4" s="1"/>
  <c r="L170" i="4"/>
  <c r="M170" i="4" s="1"/>
  <c r="L171" i="4"/>
  <c r="M171" i="4" s="1"/>
  <c r="L172" i="4"/>
  <c r="M172" i="4" s="1"/>
  <c r="L173" i="4"/>
  <c r="M173" i="4" s="1"/>
  <c r="L174" i="4"/>
  <c r="M174" i="4" s="1"/>
  <c r="L175" i="4"/>
  <c r="M175" i="4" s="1"/>
  <c r="L176" i="4"/>
  <c r="M176" i="4" s="1"/>
  <c r="L177" i="4"/>
  <c r="M177" i="4" s="1"/>
  <c r="L178" i="4"/>
  <c r="M178" i="4" s="1"/>
  <c r="L179" i="4"/>
  <c r="M179" i="4" s="1"/>
  <c r="L180" i="4"/>
  <c r="M180" i="4" s="1"/>
  <c r="L181" i="4"/>
  <c r="M181" i="4" s="1"/>
  <c r="L182" i="4"/>
  <c r="M182" i="4" s="1"/>
  <c r="L183" i="4"/>
  <c r="M183" i="4" s="1"/>
  <c r="L184" i="4"/>
  <c r="M184" i="4" s="1"/>
  <c r="L185" i="4"/>
  <c r="M185" i="4" s="1"/>
  <c r="L186" i="4"/>
  <c r="M186" i="4" s="1"/>
  <c r="L187" i="4"/>
  <c r="M187" i="4" s="1"/>
  <c r="L188" i="4"/>
  <c r="L189" i="4"/>
  <c r="M189" i="4" s="1"/>
  <c r="L190" i="4"/>
  <c r="M190" i="4" s="1"/>
  <c r="L191" i="4"/>
  <c r="M191" i="4" s="1"/>
  <c r="L192" i="4"/>
  <c r="M192" i="4" s="1"/>
  <c r="L193" i="4"/>
  <c r="M193" i="4" s="1"/>
  <c r="L194" i="4"/>
  <c r="M194" i="4" s="1"/>
  <c r="L195" i="4"/>
  <c r="M195" i="4" s="1"/>
  <c r="L196" i="4"/>
  <c r="M196" i="4" s="1"/>
  <c r="L197" i="4"/>
  <c r="M197" i="4" s="1"/>
  <c r="L198" i="4"/>
  <c r="M198" i="4" s="1"/>
  <c r="L199" i="4"/>
  <c r="M199" i="4" s="1"/>
  <c r="L200" i="4"/>
  <c r="M200" i="4" s="1"/>
  <c r="L201" i="4"/>
  <c r="M201" i="4" s="1"/>
  <c r="L202" i="4"/>
  <c r="M202" i="4" s="1"/>
  <c r="L203" i="4"/>
  <c r="M203" i="4" s="1"/>
  <c r="L204" i="4"/>
  <c r="M204" i="4" s="1"/>
  <c r="L205" i="4"/>
  <c r="M205" i="4" s="1"/>
  <c r="L206" i="4"/>
  <c r="M206" i="4" s="1"/>
  <c r="L207" i="4"/>
  <c r="M207" i="4" s="1"/>
  <c r="L208" i="4"/>
  <c r="M208" i="4" s="1"/>
  <c r="L209" i="4"/>
  <c r="M209" i="4" s="1"/>
  <c r="L210" i="4"/>
  <c r="M210" i="4" s="1"/>
  <c r="L211" i="4"/>
  <c r="L212" i="4"/>
  <c r="L213" i="4"/>
  <c r="L214" i="4"/>
  <c r="M214" i="4" s="1"/>
  <c r="L215" i="4"/>
  <c r="M215" i="4" s="1"/>
  <c r="L216" i="4"/>
  <c r="M216" i="4" s="1"/>
  <c r="L217" i="4"/>
  <c r="L218" i="4"/>
  <c r="M218" i="4" s="1"/>
  <c r="L219" i="4"/>
  <c r="M219" i="4" s="1"/>
  <c r="L220" i="4"/>
  <c r="M220" i="4" s="1"/>
  <c r="L221" i="4"/>
  <c r="M221" i="4" s="1"/>
  <c r="L222" i="4"/>
  <c r="M222" i="4" s="1"/>
  <c r="L223" i="4"/>
  <c r="M223" i="4" s="1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K155" i="4" s="1"/>
  <c r="J156" i="4"/>
  <c r="K156" i="4" s="1"/>
  <c r="J157" i="4"/>
  <c r="K157" i="4" s="1"/>
  <c r="J158" i="4"/>
  <c r="K158" i="4" s="1"/>
  <c r="J159" i="4"/>
  <c r="K159" i="4" s="1"/>
  <c r="J160" i="4"/>
  <c r="K160" i="4" s="1"/>
  <c r="J161" i="4"/>
  <c r="K161" i="4" s="1"/>
  <c r="J162" i="4"/>
  <c r="K162" i="4" s="1"/>
  <c r="J163" i="4"/>
  <c r="K163" i="4" s="1"/>
  <c r="J164" i="4"/>
  <c r="K164" i="4" s="1"/>
  <c r="J165" i="4"/>
  <c r="K165" i="4" s="1"/>
  <c r="J166" i="4"/>
  <c r="K166" i="4" s="1"/>
  <c r="J167" i="4"/>
  <c r="K167" i="4" s="1"/>
  <c r="J168" i="4"/>
  <c r="K168" i="4" s="1"/>
  <c r="J169" i="4"/>
  <c r="K169" i="4" s="1"/>
  <c r="J170" i="4"/>
  <c r="K170" i="4" s="1"/>
  <c r="J171" i="4"/>
  <c r="K171" i="4" s="1"/>
  <c r="J172" i="4"/>
  <c r="K172" i="4" s="1"/>
  <c r="J173" i="4"/>
  <c r="K173" i="4" s="1"/>
  <c r="J174" i="4"/>
  <c r="K174" i="4" s="1"/>
  <c r="J175" i="4"/>
  <c r="K175" i="4" s="1"/>
  <c r="J176" i="4"/>
  <c r="K176" i="4" s="1"/>
  <c r="J177" i="4"/>
  <c r="K177" i="4" s="1"/>
  <c r="J178" i="4"/>
  <c r="K178" i="4" s="1"/>
  <c r="J179" i="4"/>
  <c r="K179" i="4" s="1"/>
  <c r="J180" i="4"/>
  <c r="K180" i="4" s="1"/>
  <c r="J181" i="4"/>
  <c r="K181" i="4" s="1"/>
  <c r="J182" i="4"/>
  <c r="K182" i="4" s="1"/>
  <c r="J183" i="4"/>
  <c r="K183" i="4" s="1"/>
  <c r="J184" i="4"/>
  <c r="K184" i="4" s="1"/>
  <c r="I95" i="4"/>
  <c r="I96" i="4"/>
  <c r="I97" i="4"/>
  <c r="I98" i="4"/>
  <c r="I99" i="4"/>
  <c r="I100" i="4"/>
  <c r="I101" i="4"/>
  <c r="K101" i="4" s="1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O93" i="4"/>
  <c r="L93" i="4"/>
  <c r="J93" i="4"/>
  <c r="I93" i="4"/>
  <c r="M153" i="4" l="1"/>
  <c r="M141" i="4"/>
  <c r="M135" i="4"/>
  <c r="M117" i="4"/>
  <c r="M152" i="4"/>
  <c r="M146" i="4"/>
  <c r="M140" i="4"/>
  <c r="M134" i="4"/>
  <c r="M128" i="4"/>
  <c r="M122" i="4"/>
  <c r="M151" i="4"/>
  <c r="M145" i="4"/>
  <c r="M139" i="4"/>
  <c r="M133" i="4"/>
  <c r="M127" i="4"/>
  <c r="M121" i="4"/>
  <c r="K152" i="4"/>
  <c r="K146" i="4"/>
  <c r="K134" i="4"/>
  <c r="M150" i="4"/>
  <c r="M138" i="4"/>
  <c r="M132" i="4"/>
  <c r="M126" i="4"/>
  <c r="M120" i="4"/>
  <c r="M149" i="4"/>
  <c r="M137" i="4"/>
  <c r="M125" i="4"/>
  <c r="M119" i="4"/>
  <c r="K154" i="4"/>
  <c r="K153" i="4"/>
  <c r="K151" i="4"/>
  <c r="K150" i="4"/>
  <c r="K149" i="4"/>
  <c r="K148" i="4"/>
  <c r="M148" i="4"/>
  <c r="K147" i="4"/>
  <c r="M147" i="4"/>
  <c r="K145" i="4"/>
  <c r="K144" i="4"/>
  <c r="M144" i="4"/>
  <c r="M143" i="4"/>
  <c r="K143" i="4"/>
  <c r="K142" i="4"/>
  <c r="M142" i="4"/>
  <c r="K141" i="4"/>
  <c r="K140" i="4"/>
  <c r="K139" i="4"/>
  <c r="K138" i="4"/>
  <c r="K137" i="4"/>
  <c r="K136" i="4"/>
  <c r="K135" i="4"/>
  <c r="K133" i="4"/>
  <c r="K132" i="4"/>
  <c r="K131" i="4"/>
  <c r="M131" i="4"/>
  <c r="K130" i="4"/>
  <c r="M130" i="4"/>
  <c r="M129" i="4"/>
  <c r="K129" i="4"/>
  <c r="K128" i="4"/>
  <c r="K127" i="4"/>
  <c r="K126" i="4"/>
  <c r="K125" i="4"/>
  <c r="M123" i="4"/>
  <c r="K122" i="4"/>
  <c r="K124" i="4"/>
  <c r="K123" i="4"/>
  <c r="K121" i="4"/>
  <c r="K120" i="4"/>
  <c r="K119" i="4"/>
  <c r="K118" i="4"/>
  <c r="K117" i="4"/>
  <c r="M113" i="4"/>
  <c r="M107" i="4"/>
  <c r="K93" i="4"/>
  <c r="M93" i="4"/>
  <c r="M111" i="4"/>
  <c r="M110" i="4"/>
  <c r="M105" i="4"/>
  <c r="K106" i="4"/>
  <c r="M115" i="4"/>
  <c r="M109" i="4"/>
  <c r="M114" i="4"/>
  <c r="M108" i="4"/>
  <c r="M116" i="4"/>
  <c r="K116" i="4"/>
  <c r="K115" i="4"/>
  <c r="K114" i="4"/>
  <c r="K113" i="4"/>
  <c r="K112" i="4"/>
  <c r="K111" i="4"/>
  <c r="K110" i="4"/>
  <c r="K109" i="4"/>
  <c r="K108" i="4"/>
  <c r="K107" i="4"/>
  <c r="M106" i="4"/>
  <c r="K105" i="4"/>
  <c r="M104" i="4"/>
  <c r="K104" i="4"/>
  <c r="M103" i="4"/>
  <c r="M97" i="4"/>
  <c r="M102" i="4"/>
  <c r="M96" i="4"/>
  <c r="M99" i="4"/>
  <c r="M98" i="4"/>
  <c r="M101" i="4"/>
  <c r="M95" i="4"/>
  <c r="K102" i="4"/>
  <c r="M100" i="4"/>
  <c r="K103" i="4"/>
  <c r="K100" i="4"/>
  <c r="K99" i="4"/>
  <c r="K98" i="4"/>
  <c r="K97" i="4"/>
  <c r="K96" i="4"/>
  <c r="K95" i="4"/>
  <c r="K94" i="4"/>
  <c r="I92" i="4"/>
  <c r="I91" i="4" l="1"/>
  <c r="I90" i="4" l="1"/>
  <c r="L79" i="4" l="1"/>
  <c r="J79" i="4"/>
  <c r="I79" i="4"/>
  <c r="L81" i="3" l="1"/>
  <c r="L82" i="3"/>
  <c r="L83" i="3"/>
  <c r="L84" i="3"/>
  <c r="L85" i="3"/>
  <c r="L86" i="3"/>
  <c r="L87" i="3"/>
  <c r="L88" i="3"/>
  <c r="L89" i="3"/>
  <c r="L90" i="3"/>
  <c r="L91" i="3"/>
  <c r="L92" i="3"/>
  <c r="L93" i="3"/>
  <c r="I91" i="1" s="1"/>
  <c r="L94" i="3"/>
  <c r="L80" i="3"/>
  <c r="L79" i="3"/>
  <c r="J80" i="4" l="1"/>
  <c r="J81" i="4"/>
  <c r="J82" i="4"/>
  <c r="J83" i="4"/>
  <c r="J84" i="4"/>
  <c r="J85" i="4"/>
  <c r="J86" i="4"/>
  <c r="J87" i="4"/>
  <c r="J88" i="4"/>
  <c r="J89" i="4"/>
  <c r="J90" i="4"/>
  <c r="J91" i="4"/>
  <c r="J92" i="4"/>
  <c r="I80" i="4"/>
  <c r="I81" i="4"/>
  <c r="I82" i="4"/>
  <c r="I83" i="4"/>
  <c r="I84" i="4"/>
  <c r="I85" i="4"/>
  <c r="I86" i="4"/>
  <c r="I87" i="4"/>
  <c r="I88" i="4"/>
  <c r="I89" i="4"/>
  <c r="J78" i="4"/>
  <c r="I78" i="4"/>
  <c r="J77" i="4" l="1"/>
  <c r="I77" i="4"/>
  <c r="L78" i="3"/>
  <c r="O76" i="4" l="1"/>
  <c r="L76" i="4"/>
  <c r="J76" i="4"/>
  <c r="I76" i="4"/>
  <c r="M76" i="4" s="1"/>
  <c r="O75" i="4"/>
  <c r="L75" i="4"/>
  <c r="J75" i="4"/>
  <c r="I75" i="4"/>
  <c r="O74" i="4"/>
  <c r="L74" i="4"/>
  <c r="J74" i="4"/>
  <c r="I74" i="4"/>
  <c r="O73" i="4"/>
  <c r="L73" i="4"/>
  <c r="J73" i="4"/>
  <c r="I73" i="4"/>
  <c r="O72" i="4"/>
  <c r="L72" i="4"/>
  <c r="J72" i="4"/>
  <c r="I72" i="4"/>
  <c r="O71" i="4"/>
  <c r="L71" i="4"/>
  <c r="J71" i="4"/>
  <c r="I71" i="4"/>
  <c r="O70" i="4"/>
  <c r="L70" i="4"/>
  <c r="J70" i="4"/>
  <c r="I70" i="4"/>
  <c r="O69" i="4"/>
  <c r="L69" i="4"/>
  <c r="J69" i="4"/>
  <c r="I69" i="4"/>
  <c r="O68" i="4"/>
  <c r="L68" i="4"/>
  <c r="J68" i="4"/>
  <c r="I68" i="4"/>
  <c r="O67" i="4"/>
  <c r="L67" i="4"/>
  <c r="J67" i="4"/>
  <c r="I67" i="4"/>
  <c r="O66" i="4"/>
  <c r="L66" i="4"/>
  <c r="M66" i="4" s="1"/>
  <c r="J66" i="4"/>
  <c r="I66" i="4"/>
  <c r="O65" i="4"/>
  <c r="L65" i="4"/>
  <c r="J65" i="4"/>
  <c r="I65" i="4"/>
  <c r="O64" i="4"/>
  <c r="L64" i="4"/>
  <c r="J64" i="4"/>
  <c r="I64" i="4"/>
  <c r="M64" i="4" s="1"/>
  <c r="O63" i="4"/>
  <c r="L63" i="4"/>
  <c r="M63" i="4" s="1"/>
  <c r="J63" i="4"/>
  <c r="I63" i="4"/>
  <c r="O62" i="4"/>
  <c r="L62" i="4"/>
  <c r="J62" i="4"/>
  <c r="I62" i="4"/>
  <c r="M68" i="4" l="1"/>
  <c r="K67" i="4"/>
  <c r="K73" i="4"/>
  <c r="K63" i="4"/>
  <c r="M70" i="4"/>
  <c r="M72" i="4"/>
  <c r="M73" i="4"/>
  <c r="K71" i="4"/>
  <c r="M67" i="4"/>
  <c r="K66" i="4"/>
  <c r="K75" i="4"/>
  <c r="K62" i="4"/>
  <c r="K69" i="4"/>
  <c r="K76" i="4"/>
  <c r="M62" i="4"/>
  <c r="K65" i="4"/>
  <c r="M69" i="4"/>
  <c r="K72" i="4"/>
  <c r="M65" i="4"/>
  <c r="K68" i="4"/>
  <c r="K64" i="4"/>
  <c r="K74" i="4"/>
  <c r="M75" i="4"/>
  <c r="K70" i="4"/>
  <c r="M71" i="4"/>
  <c r="M74" i="4"/>
  <c r="L221" i="3"/>
  <c r="I219" i="1" s="1"/>
  <c r="L222" i="3"/>
  <c r="I220" i="1" s="1"/>
  <c r="L223" i="3"/>
  <c r="L224" i="3"/>
  <c r="I150" i="1"/>
  <c r="H83" i="3"/>
  <c r="I83" i="3"/>
  <c r="J83" i="3"/>
  <c r="K83" i="3"/>
  <c r="M83" i="3" l="1"/>
  <c r="G81" i="1" s="1"/>
  <c r="S368" i="4"/>
  <c r="R368" i="4"/>
  <c r="O368" i="4"/>
  <c r="L368" i="4"/>
  <c r="M368" i="4" s="1"/>
  <c r="J368" i="4"/>
  <c r="I368" i="4"/>
  <c r="S367" i="4"/>
  <c r="R367" i="4"/>
  <c r="O367" i="4"/>
  <c r="L367" i="4"/>
  <c r="M367" i="4" s="1"/>
  <c r="J367" i="4"/>
  <c r="I367" i="4"/>
  <c r="S366" i="4"/>
  <c r="R366" i="4"/>
  <c r="O366" i="4"/>
  <c r="L366" i="4"/>
  <c r="M366" i="4" s="1"/>
  <c r="J366" i="4"/>
  <c r="K366" i="4" s="1"/>
  <c r="I366" i="4"/>
  <c r="S365" i="4"/>
  <c r="R365" i="4"/>
  <c r="O365" i="4"/>
  <c r="L365" i="4"/>
  <c r="M365" i="4" s="1"/>
  <c r="J365" i="4"/>
  <c r="K365" i="4" s="1"/>
  <c r="I365" i="4"/>
  <c r="S364" i="4"/>
  <c r="R364" i="4"/>
  <c r="P364" i="4"/>
  <c r="P366" i="4" s="1"/>
  <c r="O364" i="4"/>
  <c r="L364" i="4"/>
  <c r="M364" i="4" s="1"/>
  <c r="J364" i="4"/>
  <c r="K364" i="4" s="1"/>
  <c r="I364" i="4"/>
  <c r="S363" i="4"/>
  <c r="R363" i="4"/>
  <c r="O363" i="4"/>
  <c r="L363" i="4"/>
  <c r="J363" i="4"/>
  <c r="K363" i="4" s="1"/>
  <c r="I363" i="4"/>
  <c r="S362" i="4"/>
  <c r="R362" i="4"/>
  <c r="P362" i="4"/>
  <c r="O362" i="4"/>
  <c r="L362" i="4"/>
  <c r="M362" i="4" s="1"/>
  <c r="J362" i="4"/>
  <c r="K362" i="4" s="1"/>
  <c r="I362" i="4"/>
  <c r="S361" i="4"/>
  <c r="R361" i="4"/>
  <c r="O361" i="4"/>
  <c r="L361" i="4"/>
  <c r="M361" i="4" s="1"/>
  <c r="J361" i="4"/>
  <c r="K361" i="4" s="1"/>
  <c r="I361" i="4"/>
  <c r="S360" i="4"/>
  <c r="R360" i="4"/>
  <c r="O360" i="4"/>
  <c r="L360" i="4"/>
  <c r="M360" i="4" s="1"/>
  <c r="J360" i="4"/>
  <c r="I360" i="4"/>
  <c r="S359" i="4"/>
  <c r="R359" i="4"/>
  <c r="O359" i="4"/>
  <c r="L359" i="4"/>
  <c r="M359" i="4" s="1"/>
  <c r="J359" i="4"/>
  <c r="K359" i="4" s="1"/>
  <c r="I359" i="4"/>
  <c r="S358" i="4"/>
  <c r="R358" i="4"/>
  <c r="O358" i="4"/>
  <c r="L358" i="4"/>
  <c r="M358" i="4" s="1"/>
  <c r="J358" i="4"/>
  <c r="K358" i="4" s="1"/>
  <c r="I358" i="4"/>
  <c r="S357" i="4"/>
  <c r="R357" i="4"/>
  <c r="O357" i="4"/>
  <c r="L357" i="4"/>
  <c r="M357" i="4" s="1"/>
  <c r="J357" i="4"/>
  <c r="K357" i="4" s="1"/>
  <c r="I357" i="4"/>
  <c r="S356" i="4"/>
  <c r="R356" i="4"/>
  <c r="O356" i="4"/>
  <c r="L356" i="4"/>
  <c r="M356" i="4" s="1"/>
  <c r="J356" i="4"/>
  <c r="K356" i="4" s="1"/>
  <c r="I356" i="4"/>
  <c r="S355" i="4"/>
  <c r="R355" i="4"/>
  <c r="L355" i="4"/>
  <c r="M355" i="4" s="1"/>
  <c r="J355" i="4"/>
  <c r="K355" i="4" s="1"/>
  <c r="I355" i="4"/>
  <c r="E354" i="1" s="1"/>
  <c r="S354" i="4"/>
  <c r="R354" i="4"/>
  <c r="O354" i="4"/>
  <c r="L354" i="4"/>
  <c r="M354" i="4" s="1"/>
  <c r="J354" i="4"/>
  <c r="K354" i="4" s="1"/>
  <c r="I354" i="4"/>
  <c r="S353" i="4"/>
  <c r="R353" i="4"/>
  <c r="O353" i="4"/>
  <c r="L353" i="4"/>
  <c r="M353" i="4" s="1"/>
  <c r="J353" i="4"/>
  <c r="K353" i="4" s="1"/>
  <c r="I353" i="4"/>
  <c r="S352" i="4"/>
  <c r="R352" i="4"/>
  <c r="O352" i="4"/>
  <c r="L352" i="4"/>
  <c r="M352" i="4" s="1"/>
  <c r="J352" i="4"/>
  <c r="K352" i="4" s="1"/>
  <c r="I352" i="4"/>
  <c r="S351" i="4"/>
  <c r="R351" i="4"/>
  <c r="O351" i="4"/>
  <c r="L351" i="4"/>
  <c r="M351" i="4" s="1"/>
  <c r="J351" i="4"/>
  <c r="K351" i="4" s="1"/>
  <c r="I351" i="4"/>
  <c r="S350" i="4"/>
  <c r="R350" i="4"/>
  <c r="O350" i="4"/>
  <c r="L350" i="4"/>
  <c r="M350" i="4" s="1"/>
  <c r="J350" i="4"/>
  <c r="K350" i="4" s="1"/>
  <c r="I350" i="4"/>
  <c r="S349" i="4"/>
  <c r="R349" i="4"/>
  <c r="O349" i="4"/>
  <c r="L349" i="4"/>
  <c r="M349" i="4" s="1"/>
  <c r="J349" i="4"/>
  <c r="K349" i="4" s="1"/>
  <c r="I349" i="4"/>
  <c r="S348" i="4"/>
  <c r="R348" i="4"/>
  <c r="O348" i="4"/>
  <c r="L348" i="4"/>
  <c r="M348" i="4" s="1"/>
  <c r="J348" i="4"/>
  <c r="K348" i="4" s="1"/>
  <c r="I348" i="4"/>
  <c r="S347" i="4"/>
  <c r="R347" i="4"/>
  <c r="O347" i="4"/>
  <c r="L347" i="4"/>
  <c r="M347" i="4" s="1"/>
  <c r="J347" i="4"/>
  <c r="K347" i="4" s="1"/>
  <c r="I347" i="4"/>
  <c r="S346" i="4"/>
  <c r="R346" i="4"/>
  <c r="O346" i="4"/>
  <c r="L346" i="4"/>
  <c r="M346" i="4" s="1"/>
  <c r="J346" i="4"/>
  <c r="K346" i="4" s="1"/>
  <c r="I346" i="4"/>
  <c r="S345" i="4"/>
  <c r="R345" i="4"/>
  <c r="O345" i="4"/>
  <c r="L345" i="4"/>
  <c r="M345" i="4" s="1"/>
  <c r="J345" i="4"/>
  <c r="K345" i="4" s="1"/>
  <c r="I345" i="4"/>
  <c r="S344" i="4"/>
  <c r="R344" i="4"/>
  <c r="O344" i="4"/>
  <c r="L344" i="4"/>
  <c r="M344" i="4" s="1"/>
  <c r="J344" i="4"/>
  <c r="K344" i="4" s="1"/>
  <c r="I344" i="4"/>
  <c r="S343" i="4"/>
  <c r="R343" i="4"/>
  <c r="O343" i="4"/>
  <c r="L343" i="4"/>
  <c r="M343" i="4" s="1"/>
  <c r="J343" i="4"/>
  <c r="K343" i="4" s="1"/>
  <c r="I343" i="4"/>
  <c r="S342" i="4"/>
  <c r="R342" i="4"/>
  <c r="O342" i="4"/>
  <c r="L342" i="4"/>
  <c r="M342" i="4" s="1"/>
  <c r="J342" i="4"/>
  <c r="K342" i="4" s="1"/>
  <c r="I342" i="4"/>
  <c r="S341" i="4"/>
  <c r="R341" i="4"/>
  <c r="O341" i="4"/>
  <c r="L341" i="4"/>
  <c r="M341" i="4" s="1"/>
  <c r="J341" i="4"/>
  <c r="K341" i="4" s="1"/>
  <c r="I341" i="4"/>
  <c r="S340" i="4"/>
  <c r="R340" i="4"/>
  <c r="O340" i="4"/>
  <c r="L340" i="4"/>
  <c r="M340" i="4" s="1"/>
  <c r="J340" i="4"/>
  <c r="K340" i="4" s="1"/>
  <c r="I340" i="4"/>
  <c r="S339" i="4"/>
  <c r="R339" i="4"/>
  <c r="O339" i="4"/>
  <c r="L339" i="4"/>
  <c r="M339" i="4" s="1"/>
  <c r="J339" i="4"/>
  <c r="K339" i="4" s="1"/>
  <c r="I339" i="4"/>
  <c r="S338" i="4"/>
  <c r="R338" i="4"/>
  <c r="O338" i="4"/>
  <c r="L338" i="4"/>
  <c r="J338" i="4"/>
  <c r="P360" i="4" s="1"/>
  <c r="I338" i="4"/>
  <c r="S337" i="4"/>
  <c r="R337" i="4"/>
  <c r="O337" i="4"/>
  <c r="L337" i="4"/>
  <c r="M337" i="4" s="1"/>
  <c r="J337" i="4"/>
  <c r="K337" i="4" s="1"/>
  <c r="I337" i="4"/>
  <c r="S336" i="4"/>
  <c r="R336" i="4"/>
  <c r="O336" i="4"/>
  <c r="L336" i="4"/>
  <c r="M336" i="4" s="1"/>
  <c r="J336" i="4"/>
  <c r="K336" i="4" s="1"/>
  <c r="I336" i="4"/>
  <c r="S335" i="4"/>
  <c r="R335" i="4"/>
  <c r="O335" i="4"/>
  <c r="L335" i="4"/>
  <c r="M335" i="4" s="1"/>
  <c r="J335" i="4"/>
  <c r="K335" i="4" s="1"/>
  <c r="I335" i="4"/>
  <c r="S334" i="4"/>
  <c r="R334" i="4"/>
  <c r="O334" i="4"/>
  <c r="L334" i="4"/>
  <c r="M334" i="4" s="1"/>
  <c r="J334" i="4"/>
  <c r="K334" i="4" s="1"/>
  <c r="I334" i="4"/>
  <c r="S333" i="4"/>
  <c r="R333" i="4"/>
  <c r="P333" i="4"/>
  <c r="P335" i="4" s="1"/>
  <c r="O333" i="4"/>
  <c r="L333" i="4"/>
  <c r="M333" i="4" s="1"/>
  <c r="J333" i="4"/>
  <c r="K333" i="4" s="1"/>
  <c r="I333" i="4"/>
  <c r="S332" i="4"/>
  <c r="R332" i="4"/>
  <c r="O332" i="4"/>
  <c r="L332" i="4"/>
  <c r="M332" i="4" s="1"/>
  <c r="J332" i="4"/>
  <c r="K332" i="4" s="1"/>
  <c r="I332" i="4"/>
  <c r="S331" i="4"/>
  <c r="R331" i="4"/>
  <c r="P331" i="4"/>
  <c r="O331" i="4"/>
  <c r="L331" i="4"/>
  <c r="M331" i="4" s="1"/>
  <c r="J331" i="4"/>
  <c r="K331" i="4" s="1"/>
  <c r="I331" i="4"/>
  <c r="S330" i="4"/>
  <c r="R330" i="4"/>
  <c r="O330" i="4"/>
  <c r="L330" i="4"/>
  <c r="M330" i="4" s="1"/>
  <c r="J330" i="4"/>
  <c r="K330" i="4" s="1"/>
  <c r="I330" i="4"/>
  <c r="S329" i="4"/>
  <c r="R329" i="4"/>
  <c r="O329" i="4"/>
  <c r="L329" i="4"/>
  <c r="M329" i="4" s="1"/>
  <c r="J329" i="4"/>
  <c r="K329" i="4" s="1"/>
  <c r="I329" i="4"/>
  <c r="S328" i="4"/>
  <c r="R328" i="4"/>
  <c r="O328" i="4"/>
  <c r="L328" i="4"/>
  <c r="M328" i="4" s="1"/>
  <c r="J328" i="4"/>
  <c r="K328" i="4" s="1"/>
  <c r="I328" i="4"/>
  <c r="S327" i="4"/>
  <c r="R327" i="4"/>
  <c r="O327" i="4"/>
  <c r="L327" i="4"/>
  <c r="M327" i="4" s="1"/>
  <c r="J327" i="4"/>
  <c r="K327" i="4" s="1"/>
  <c r="I327" i="4"/>
  <c r="S326" i="4"/>
  <c r="R326" i="4"/>
  <c r="O326" i="4"/>
  <c r="L326" i="4"/>
  <c r="M326" i="4" s="1"/>
  <c r="J326" i="4"/>
  <c r="K326" i="4" s="1"/>
  <c r="I326" i="4"/>
  <c r="S325" i="4"/>
  <c r="R325" i="4"/>
  <c r="O325" i="4"/>
  <c r="L325" i="4"/>
  <c r="M325" i="4" s="1"/>
  <c r="J325" i="4"/>
  <c r="K325" i="4" s="1"/>
  <c r="I325" i="4"/>
  <c r="S324" i="4"/>
  <c r="R324" i="4"/>
  <c r="O324" i="4"/>
  <c r="L324" i="4"/>
  <c r="M324" i="4" s="1"/>
  <c r="J324" i="4"/>
  <c r="K324" i="4" s="1"/>
  <c r="I324" i="4"/>
  <c r="S323" i="4"/>
  <c r="R323" i="4"/>
  <c r="O323" i="4"/>
  <c r="L323" i="4"/>
  <c r="M323" i="4" s="1"/>
  <c r="J323" i="4"/>
  <c r="K323" i="4" s="1"/>
  <c r="I323" i="4"/>
  <c r="S322" i="4"/>
  <c r="R322" i="4"/>
  <c r="O322" i="4"/>
  <c r="L322" i="4"/>
  <c r="M322" i="4" s="1"/>
  <c r="J322" i="4"/>
  <c r="K322" i="4" s="1"/>
  <c r="I322" i="4"/>
  <c r="S321" i="4"/>
  <c r="R321" i="4"/>
  <c r="O321" i="4"/>
  <c r="L321" i="4"/>
  <c r="M321" i="4" s="1"/>
  <c r="J321" i="4"/>
  <c r="K321" i="4" s="1"/>
  <c r="I321" i="4"/>
  <c r="S320" i="4"/>
  <c r="R320" i="4"/>
  <c r="O320" i="4"/>
  <c r="L320" i="4"/>
  <c r="M320" i="4" s="1"/>
  <c r="J320" i="4"/>
  <c r="K320" i="4" s="1"/>
  <c r="I320" i="4"/>
  <c r="S319" i="4"/>
  <c r="R319" i="4"/>
  <c r="O319" i="4"/>
  <c r="L319" i="4"/>
  <c r="M319" i="4" s="1"/>
  <c r="J319" i="4"/>
  <c r="K319" i="4" s="1"/>
  <c r="I319" i="4"/>
  <c r="S318" i="4"/>
  <c r="R318" i="4"/>
  <c r="O318" i="4"/>
  <c r="L318" i="4"/>
  <c r="M318" i="4" s="1"/>
  <c r="J318" i="4"/>
  <c r="K318" i="4" s="1"/>
  <c r="I318" i="4"/>
  <c r="S317" i="4"/>
  <c r="R317" i="4"/>
  <c r="O317" i="4"/>
  <c r="L317" i="4"/>
  <c r="M317" i="4" s="1"/>
  <c r="J317" i="4"/>
  <c r="K317" i="4" s="1"/>
  <c r="I317" i="4"/>
  <c r="S316" i="4"/>
  <c r="R316" i="4"/>
  <c r="O316" i="4"/>
  <c r="L316" i="4"/>
  <c r="M316" i="4" s="1"/>
  <c r="J316" i="4"/>
  <c r="K316" i="4" s="1"/>
  <c r="I316" i="4"/>
  <c r="S315" i="4"/>
  <c r="R315" i="4"/>
  <c r="O315" i="4"/>
  <c r="L315" i="4"/>
  <c r="M315" i="4" s="1"/>
  <c r="J315" i="4"/>
  <c r="K315" i="4" s="1"/>
  <c r="I315" i="4"/>
  <c r="S314" i="4"/>
  <c r="R314" i="4"/>
  <c r="O314" i="4"/>
  <c r="L314" i="4"/>
  <c r="M314" i="4" s="1"/>
  <c r="J314" i="4"/>
  <c r="K314" i="4" s="1"/>
  <c r="I314" i="4"/>
  <c r="S313" i="4"/>
  <c r="R313" i="4"/>
  <c r="O313" i="4"/>
  <c r="L313" i="4"/>
  <c r="M313" i="4" s="1"/>
  <c r="J313" i="4"/>
  <c r="K313" i="4" s="1"/>
  <c r="I313" i="4"/>
  <c r="S312" i="4"/>
  <c r="R312" i="4"/>
  <c r="O312" i="4"/>
  <c r="L312" i="4"/>
  <c r="M312" i="4" s="1"/>
  <c r="J312" i="4"/>
  <c r="K312" i="4" s="1"/>
  <c r="I312" i="4"/>
  <c r="S311" i="4"/>
  <c r="R311" i="4"/>
  <c r="O311" i="4"/>
  <c r="L311" i="4"/>
  <c r="M311" i="4" s="1"/>
  <c r="J311" i="4"/>
  <c r="K311" i="4" s="1"/>
  <c r="I311" i="4"/>
  <c r="S310" i="4"/>
  <c r="R310" i="4"/>
  <c r="O310" i="4"/>
  <c r="L310" i="4"/>
  <c r="M310" i="4" s="1"/>
  <c r="J310" i="4"/>
  <c r="K310" i="4" s="1"/>
  <c r="I310" i="4"/>
  <c r="S309" i="4"/>
  <c r="R309" i="4"/>
  <c r="O309" i="4"/>
  <c r="L309" i="4"/>
  <c r="M309" i="4" s="1"/>
  <c r="J309" i="4"/>
  <c r="K309" i="4" s="1"/>
  <c r="I309" i="4"/>
  <c r="S308" i="4"/>
  <c r="R308" i="4"/>
  <c r="O308" i="4"/>
  <c r="L308" i="4"/>
  <c r="J308" i="4"/>
  <c r="I308" i="4"/>
  <c r="S307" i="4"/>
  <c r="R307" i="4"/>
  <c r="O307" i="4"/>
  <c r="L307" i="4"/>
  <c r="M307" i="4" s="1"/>
  <c r="J307" i="4"/>
  <c r="K307" i="4" s="1"/>
  <c r="I307" i="4"/>
  <c r="S306" i="4"/>
  <c r="R306" i="4"/>
  <c r="O306" i="4"/>
  <c r="L306" i="4"/>
  <c r="M306" i="4" s="1"/>
  <c r="J306" i="4"/>
  <c r="K306" i="4" s="1"/>
  <c r="I306" i="4"/>
  <c r="S305" i="4"/>
  <c r="R305" i="4"/>
  <c r="O305" i="4"/>
  <c r="L305" i="4"/>
  <c r="M305" i="4" s="1"/>
  <c r="J305" i="4"/>
  <c r="K305" i="4" s="1"/>
  <c r="I305" i="4"/>
  <c r="S304" i="4"/>
  <c r="R304" i="4"/>
  <c r="O304" i="4"/>
  <c r="L304" i="4"/>
  <c r="M304" i="4" s="1"/>
  <c r="J304" i="4"/>
  <c r="K304" i="4" s="1"/>
  <c r="I304" i="4"/>
  <c r="S303" i="4"/>
  <c r="R303" i="4"/>
  <c r="P303" i="4"/>
  <c r="P305" i="4" s="1"/>
  <c r="O303" i="4"/>
  <c r="L303" i="4"/>
  <c r="M303" i="4" s="1"/>
  <c r="J303" i="4"/>
  <c r="K303" i="4" s="1"/>
  <c r="I303" i="4"/>
  <c r="S302" i="4"/>
  <c r="R302" i="4"/>
  <c r="O302" i="4"/>
  <c r="L302" i="4"/>
  <c r="M302" i="4" s="1"/>
  <c r="J302" i="4"/>
  <c r="K302" i="4" s="1"/>
  <c r="I302" i="4"/>
  <c r="S301" i="4"/>
  <c r="R301" i="4"/>
  <c r="P301" i="4"/>
  <c r="O301" i="4"/>
  <c r="L301" i="4"/>
  <c r="M301" i="4" s="1"/>
  <c r="J301" i="4"/>
  <c r="K301" i="4" s="1"/>
  <c r="I301" i="4"/>
  <c r="S300" i="4"/>
  <c r="R300" i="4"/>
  <c r="O300" i="4"/>
  <c r="L300" i="4"/>
  <c r="M300" i="4" s="1"/>
  <c r="J300" i="4"/>
  <c r="K300" i="4" s="1"/>
  <c r="I300" i="4"/>
  <c r="S299" i="4"/>
  <c r="R299" i="4"/>
  <c r="O299" i="4"/>
  <c r="L299" i="4"/>
  <c r="M299" i="4" s="1"/>
  <c r="J299" i="4"/>
  <c r="K299" i="4" s="1"/>
  <c r="I299" i="4"/>
  <c r="S298" i="4"/>
  <c r="R298" i="4"/>
  <c r="O298" i="4"/>
  <c r="L298" i="4"/>
  <c r="M298" i="4" s="1"/>
  <c r="J298" i="4"/>
  <c r="K298" i="4" s="1"/>
  <c r="I298" i="4"/>
  <c r="S297" i="4"/>
  <c r="R297" i="4"/>
  <c r="O297" i="4"/>
  <c r="L297" i="4"/>
  <c r="M297" i="4" s="1"/>
  <c r="J297" i="4"/>
  <c r="K297" i="4" s="1"/>
  <c r="I297" i="4"/>
  <c r="S296" i="4"/>
  <c r="R296" i="4"/>
  <c r="O296" i="4"/>
  <c r="L296" i="4"/>
  <c r="M296" i="4" s="1"/>
  <c r="J296" i="4"/>
  <c r="K296" i="4" s="1"/>
  <c r="I296" i="4"/>
  <c r="S295" i="4"/>
  <c r="R295" i="4"/>
  <c r="O295" i="4"/>
  <c r="L295" i="4"/>
  <c r="M295" i="4" s="1"/>
  <c r="J295" i="4"/>
  <c r="K295" i="4" s="1"/>
  <c r="I295" i="4"/>
  <c r="S294" i="4"/>
  <c r="R294" i="4"/>
  <c r="O294" i="4"/>
  <c r="L294" i="4"/>
  <c r="M294" i="4" s="1"/>
  <c r="J294" i="4"/>
  <c r="K294" i="4" s="1"/>
  <c r="I294" i="4"/>
  <c r="S293" i="4"/>
  <c r="R293" i="4"/>
  <c r="O293" i="4"/>
  <c r="L293" i="4"/>
  <c r="M293" i="4" s="1"/>
  <c r="J293" i="4"/>
  <c r="K293" i="4" s="1"/>
  <c r="I293" i="4"/>
  <c r="S292" i="4"/>
  <c r="R292" i="4"/>
  <c r="O292" i="4"/>
  <c r="L292" i="4"/>
  <c r="M292" i="4" s="1"/>
  <c r="J292" i="4"/>
  <c r="K292" i="4" s="1"/>
  <c r="I292" i="4"/>
  <c r="S291" i="4"/>
  <c r="R291" i="4"/>
  <c r="O291" i="4"/>
  <c r="L291" i="4"/>
  <c r="M291" i="4" s="1"/>
  <c r="J291" i="4"/>
  <c r="K291" i="4" s="1"/>
  <c r="I291" i="4"/>
  <c r="S290" i="4"/>
  <c r="R290" i="4"/>
  <c r="O290" i="4"/>
  <c r="L290" i="4"/>
  <c r="M290" i="4" s="1"/>
  <c r="J290" i="4"/>
  <c r="K290" i="4" s="1"/>
  <c r="I290" i="4"/>
  <c r="S289" i="4"/>
  <c r="R289" i="4"/>
  <c r="O289" i="4"/>
  <c r="L289" i="4"/>
  <c r="M289" i="4" s="1"/>
  <c r="J289" i="4"/>
  <c r="K289" i="4" s="1"/>
  <c r="I289" i="4"/>
  <c r="S288" i="4"/>
  <c r="R288" i="4"/>
  <c r="O288" i="4"/>
  <c r="L288" i="4"/>
  <c r="M288" i="4" s="1"/>
  <c r="J288" i="4"/>
  <c r="K288" i="4" s="1"/>
  <c r="I288" i="4"/>
  <c r="S287" i="4"/>
  <c r="R287" i="4"/>
  <c r="O287" i="4"/>
  <c r="L287" i="4"/>
  <c r="M287" i="4" s="1"/>
  <c r="J287" i="4"/>
  <c r="K287" i="4" s="1"/>
  <c r="I287" i="4"/>
  <c r="S286" i="4"/>
  <c r="R286" i="4"/>
  <c r="O286" i="4"/>
  <c r="L286" i="4"/>
  <c r="M286" i="4" s="1"/>
  <c r="J286" i="4"/>
  <c r="K286" i="4" s="1"/>
  <c r="I286" i="4"/>
  <c r="S285" i="4"/>
  <c r="R285" i="4"/>
  <c r="O285" i="4"/>
  <c r="L285" i="4"/>
  <c r="M285" i="4" s="1"/>
  <c r="J285" i="4"/>
  <c r="K285" i="4" s="1"/>
  <c r="I285" i="4"/>
  <c r="S284" i="4"/>
  <c r="R284" i="4"/>
  <c r="O284" i="4"/>
  <c r="L284" i="4"/>
  <c r="M284" i="4" s="1"/>
  <c r="J284" i="4"/>
  <c r="K284" i="4" s="1"/>
  <c r="I284" i="4"/>
  <c r="S283" i="4"/>
  <c r="R283" i="4"/>
  <c r="O283" i="4"/>
  <c r="L283" i="4"/>
  <c r="M283" i="4" s="1"/>
  <c r="J283" i="4"/>
  <c r="K283" i="4" s="1"/>
  <c r="I283" i="4"/>
  <c r="S282" i="4"/>
  <c r="R282" i="4"/>
  <c r="O282" i="4"/>
  <c r="L282" i="4"/>
  <c r="M282" i="4" s="1"/>
  <c r="J282" i="4"/>
  <c r="K282" i="4" s="1"/>
  <c r="I282" i="4"/>
  <c r="S281" i="4"/>
  <c r="R281" i="4"/>
  <c r="O281" i="4"/>
  <c r="L281" i="4"/>
  <c r="M281" i="4" s="1"/>
  <c r="J281" i="4"/>
  <c r="K281" i="4" s="1"/>
  <c r="I281" i="4"/>
  <c r="E280" i="1" s="1"/>
  <c r="S280" i="4"/>
  <c r="R280" i="4"/>
  <c r="O280" i="4"/>
  <c r="L280" i="4"/>
  <c r="M280" i="4" s="1"/>
  <c r="J280" i="4"/>
  <c r="K280" i="4" s="1"/>
  <c r="I280" i="4"/>
  <c r="E279" i="1" s="1"/>
  <c r="S279" i="4"/>
  <c r="R279" i="4"/>
  <c r="O279" i="4"/>
  <c r="L279" i="4"/>
  <c r="M279" i="4" s="1"/>
  <c r="J279" i="4"/>
  <c r="K279" i="4" s="1"/>
  <c r="I279" i="4"/>
  <c r="S278" i="4"/>
  <c r="R278" i="4"/>
  <c r="O278" i="4"/>
  <c r="L278" i="4"/>
  <c r="M278" i="4" s="1"/>
  <c r="J278" i="4"/>
  <c r="K278" i="4" s="1"/>
  <c r="I278" i="4"/>
  <c r="S277" i="4"/>
  <c r="R277" i="4"/>
  <c r="O277" i="4"/>
  <c r="L277" i="4"/>
  <c r="M277" i="4" s="1"/>
  <c r="J277" i="4"/>
  <c r="K277" i="4" s="1"/>
  <c r="I277" i="4"/>
  <c r="E276" i="1" s="1"/>
  <c r="S276" i="4"/>
  <c r="R276" i="4"/>
  <c r="O276" i="4"/>
  <c r="L276" i="4"/>
  <c r="M276" i="4" s="1"/>
  <c r="J276" i="4"/>
  <c r="K276" i="4" s="1"/>
  <c r="I276" i="4"/>
  <c r="E275" i="1" s="1"/>
  <c r="S275" i="4"/>
  <c r="R275" i="4"/>
  <c r="O275" i="4"/>
  <c r="L275" i="4"/>
  <c r="M275" i="4" s="1"/>
  <c r="J275" i="4"/>
  <c r="K275" i="4" s="1"/>
  <c r="I275" i="4"/>
  <c r="S274" i="4"/>
  <c r="R274" i="4"/>
  <c r="O274" i="4"/>
  <c r="L274" i="4"/>
  <c r="M274" i="4" s="1"/>
  <c r="J274" i="4"/>
  <c r="K274" i="4" s="1"/>
  <c r="I274" i="4"/>
  <c r="E273" i="1" s="1"/>
  <c r="S273" i="4"/>
  <c r="R273" i="4"/>
  <c r="O273" i="4"/>
  <c r="L273" i="4"/>
  <c r="M273" i="4" s="1"/>
  <c r="J273" i="4"/>
  <c r="K273" i="4" s="1"/>
  <c r="I273" i="4"/>
  <c r="E272" i="1" s="1"/>
  <c r="S272" i="4"/>
  <c r="R272" i="4"/>
  <c r="P272" i="4"/>
  <c r="P274" i="4" s="1"/>
  <c r="O272" i="4"/>
  <c r="L272" i="4"/>
  <c r="M272" i="4" s="1"/>
  <c r="J272" i="4"/>
  <c r="K272" i="4" s="1"/>
  <c r="I272" i="4"/>
  <c r="S271" i="4"/>
  <c r="R271" i="4"/>
  <c r="O271" i="4"/>
  <c r="L271" i="4"/>
  <c r="M271" i="4" s="1"/>
  <c r="J271" i="4"/>
  <c r="K271" i="4" s="1"/>
  <c r="I271" i="4"/>
  <c r="S270" i="4"/>
  <c r="R270" i="4"/>
  <c r="P270" i="4"/>
  <c r="O270" i="4"/>
  <c r="L270" i="4"/>
  <c r="M270" i="4" s="1"/>
  <c r="J270" i="4"/>
  <c r="K270" i="4" s="1"/>
  <c r="I270" i="4"/>
  <c r="S269" i="4"/>
  <c r="R269" i="4"/>
  <c r="O269" i="4"/>
  <c r="L269" i="4"/>
  <c r="M269" i="4" s="1"/>
  <c r="J269" i="4"/>
  <c r="K269" i="4" s="1"/>
  <c r="I269" i="4"/>
  <c r="S268" i="4"/>
  <c r="R268" i="4"/>
  <c r="O268" i="4"/>
  <c r="L268" i="4"/>
  <c r="M268" i="4" s="1"/>
  <c r="J268" i="4"/>
  <c r="K268" i="4" s="1"/>
  <c r="I268" i="4"/>
  <c r="S267" i="4"/>
  <c r="R267" i="4"/>
  <c r="O267" i="4"/>
  <c r="L267" i="4"/>
  <c r="M267" i="4" s="1"/>
  <c r="J267" i="4"/>
  <c r="K267" i="4" s="1"/>
  <c r="I267" i="4"/>
  <c r="S266" i="4"/>
  <c r="R266" i="4"/>
  <c r="O266" i="4"/>
  <c r="L266" i="4"/>
  <c r="M266" i="4" s="1"/>
  <c r="J266" i="4"/>
  <c r="K266" i="4" s="1"/>
  <c r="I266" i="4"/>
  <c r="S265" i="4"/>
  <c r="R265" i="4"/>
  <c r="O265" i="4"/>
  <c r="L265" i="4"/>
  <c r="M265" i="4" s="1"/>
  <c r="J265" i="4"/>
  <c r="K265" i="4" s="1"/>
  <c r="I265" i="4"/>
  <c r="S264" i="4"/>
  <c r="R264" i="4"/>
  <c r="O264" i="4"/>
  <c r="L264" i="4"/>
  <c r="M264" i="4" s="1"/>
  <c r="J264" i="4"/>
  <c r="K264" i="4" s="1"/>
  <c r="I264" i="4"/>
  <c r="S263" i="4"/>
  <c r="R263" i="4"/>
  <c r="O263" i="4"/>
  <c r="L263" i="4"/>
  <c r="M263" i="4" s="1"/>
  <c r="J263" i="4"/>
  <c r="K263" i="4" s="1"/>
  <c r="I263" i="4"/>
  <c r="S262" i="4"/>
  <c r="R262" i="4"/>
  <c r="O262" i="4"/>
  <c r="L262" i="4"/>
  <c r="M262" i="4" s="1"/>
  <c r="J262" i="4"/>
  <c r="K262" i="4" s="1"/>
  <c r="I262" i="4"/>
  <c r="S261" i="4"/>
  <c r="R261" i="4"/>
  <c r="O261" i="4"/>
  <c r="L261" i="4"/>
  <c r="M261" i="4" s="1"/>
  <c r="J261" i="4"/>
  <c r="K261" i="4" s="1"/>
  <c r="I261" i="4"/>
  <c r="S260" i="4"/>
  <c r="R260" i="4"/>
  <c r="O260" i="4"/>
  <c r="L260" i="4"/>
  <c r="M260" i="4" s="1"/>
  <c r="J260" i="4"/>
  <c r="K260" i="4" s="1"/>
  <c r="I260" i="4"/>
  <c r="S259" i="4"/>
  <c r="R259" i="4"/>
  <c r="O259" i="4"/>
  <c r="L259" i="4"/>
  <c r="M259" i="4" s="1"/>
  <c r="J259" i="4"/>
  <c r="K259" i="4" s="1"/>
  <c r="I259" i="4"/>
  <c r="S258" i="4"/>
  <c r="R258" i="4"/>
  <c r="O258" i="4"/>
  <c r="L258" i="4"/>
  <c r="M258" i="4" s="1"/>
  <c r="J258" i="4"/>
  <c r="K258" i="4" s="1"/>
  <c r="I258" i="4"/>
  <c r="S257" i="4"/>
  <c r="R257" i="4"/>
  <c r="O257" i="4"/>
  <c r="L257" i="4"/>
  <c r="M257" i="4" s="1"/>
  <c r="J257" i="4"/>
  <c r="K257" i="4" s="1"/>
  <c r="I257" i="4"/>
  <c r="S256" i="4"/>
  <c r="R256" i="4"/>
  <c r="O256" i="4"/>
  <c r="L256" i="4"/>
  <c r="M256" i="4" s="1"/>
  <c r="J256" i="4"/>
  <c r="K256" i="4" s="1"/>
  <c r="I256" i="4"/>
  <c r="S255" i="4"/>
  <c r="R255" i="4"/>
  <c r="O255" i="4"/>
  <c r="L255" i="4"/>
  <c r="M255" i="4" s="1"/>
  <c r="J255" i="4"/>
  <c r="K255" i="4" s="1"/>
  <c r="I255" i="4"/>
  <c r="S254" i="4"/>
  <c r="R254" i="4"/>
  <c r="O254" i="4"/>
  <c r="L254" i="4"/>
  <c r="M254" i="4" s="1"/>
  <c r="J254" i="4"/>
  <c r="K254" i="4" s="1"/>
  <c r="I254" i="4"/>
  <c r="S253" i="4"/>
  <c r="R253" i="4"/>
  <c r="O253" i="4"/>
  <c r="L253" i="4"/>
  <c r="M253" i="4" s="1"/>
  <c r="J253" i="4"/>
  <c r="K253" i="4" s="1"/>
  <c r="I253" i="4"/>
  <c r="S252" i="4"/>
  <c r="R252" i="4"/>
  <c r="O252" i="4"/>
  <c r="L252" i="4"/>
  <c r="M252" i="4" s="1"/>
  <c r="J252" i="4"/>
  <c r="K252" i="4" s="1"/>
  <c r="I252" i="4"/>
  <c r="S251" i="4"/>
  <c r="R251" i="4"/>
  <c r="O251" i="4"/>
  <c r="L251" i="4"/>
  <c r="M251" i="4" s="1"/>
  <c r="J251" i="4"/>
  <c r="K251" i="4" s="1"/>
  <c r="I251" i="4"/>
  <c r="S250" i="4"/>
  <c r="R250" i="4"/>
  <c r="O250" i="4"/>
  <c r="L250" i="4"/>
  <c r="M250" i="4" s="1"/>
  <c r="J250" i="4"/>
  <c r="K250" i="4" s="1"/>
  <c r="I250" i="4"/>
  <c r="S249" i="4"/>
  <c r="R249" i="4"/>
  <c r="O249" i="4"/>
  <c r="L249" i="4"/>
  <c r="M249" i="4" s="1"/>
  <c r="J249" i="4"/>
  <c r="K249" i="4" s="1"/>
  <c r="I249" i="4"/>
  <c r="S248" i="4"/>
  <c r="R248" i="4"/>
  <c r="O248" i="4"/>
  <c r="L248" i="4"/>
  <c r="M248" i="4" s="1"/>
  <c r="J248" i="4"/>
  <c r="K248" i="4" s="1"/>
  <c r="I248" i="4"/>
  <c r="S247" i="4"/>
  <c r="R247" i="4"/>
  <c r="O247" i="4"/>
  <c r="L247" i="4"/>
  <c r="M247" i="4" s="1"/>
  <c r="J247" i="4"/>
  <c r="K247" i="4" s="1"/>
  <c r="I247" i="4"/>
  <c r="S246" i="4"/>
  <c r="R246" i="4"/>
  <c r="O246" i="4"/>
  <c r="L246" i="4"/>
  <c r="M246" i="4" s="1"/>
  <c r="J246" i="4"/>
  <c r="K246" i="4" s="1"/>
  <c r="I246" i="4"/>
  <c r="S245" i="4"/>
  <c r="R245" i="4"/>
  <c r="O245" i="4"/>
  <c r="L245" i="4"/>
  <c r="M245" i="4" s="1"/>
  <c r="J245" i="4"/>
  <c r="K245" i="4" s="1"/>
  <c r="I245" i="4"/>
  <c r="S244" i="4"/>
  <c r="R244" i="4"/>
  <c r="O244" i="4"/>
  <c r="L244" i="4"/>
  <c r="M244" i="4" s="1"/>
  <c r="J244" i="4"/>
  <c r="K244" i="4" s="1"/>
  <c r="I244" i="4"/>
  <c r="S243" i="4"/>
  <c r="R243" i="4"/>
  <c r="O243" i="4"/>
  <c r="L243" i="4"/>
  <c r="M243" i="4" s="1"/>
  <c r="J243" i="4"/>
  <c r="K243" i="4" s="1"/>
  <c r="I243" i="4"/>
  <c r="S242" i="4"/>
  <c r="R242" i="4"/>
  <c r="P242" i="4"/>
  <c r="P244" i="4" s="1"/>
  <c r="O242" i="4"/>
  <c r="L242" i="4"/>
  <c r="M242" i="4" s="1"/>
  <c r="J242" i="4"/>
  <c r="K242" i="4" s="1"/>
  <c r="I242" i="4"/>
  <c r="S241" i="4"/>
  <c r="R241" i="4"/>
  <c r="O241" i="4"/>
  <c r="L241" i="4"/>
  <c r="M241" i="4" s="1"/>
  <c r="J241" i="4"/>
  <c r="K241" i="4" s="1"/>
  <c r="I241" i="4"/>
  <c r="S240" i="4"/>
  <c r="R240" i="4"/>
  <c r="P240" i="4"/>
  <c r="O240" i="4"/>
  <c r="L240" i="4"/>
  <c r="M240" i="4" s="1"/>
  <c r="J240" i="4"/>
  <c r="K240" i="4" s="1"/>
  <c r="I240" i="4"/>
  <c r="S239" i="4"/>
  <c r="R239" i="4"/>
  <c r="O239" i="4"/>
  <c r="L239" i="4"/>
  <c r="M239" i="4" s="1"/>
  <c r="J239" i="4"/>
  <c r="K239" i="4" s="1"/>
  <c r="I239" i="4"/>
  <c r="S238" i="4"/>
  <c r="R238" i="4"/>
  <c r="O238" i="4"/>
  <c r="L238" i="4"/>
  <c r="M238" i="4" s="1"/>
  <c r="J238" i="4"/>
  <c r="K238" i="4" s="1"/>
  <c r="I238" i="4"/>
  <c r="S237" i="4"/>
  <c r="R237" i="4"/>
  <c r="O237" i="4"/>
  <c r="L237" i="4"/>
  <c r="M237" i="4" s="1"/>
  <c r="J237" i="4"/>
  <c r="K237" i="4" s="1"/>
  <c r="I237" i="4"/>
  <c r="S236" i="4"/>
  <c r="R236" i="4"/>
  <c r="O236" i="4"/>
  <c r="L236" i="4"/>
  <c r="M236" i="4" s="1"/>
  <c r="J236" i="4"/>
  <c r="K236" i="4" s="1"/>
  <c r="I236" i="4"/>
  <c r="S235" i="4"/>
  <c r="R235" i="4"/>
  <c r="O235" i="4"/>
  <c r="L235" i="4"/>
  <c r="M235" i="4" s="1"/>
  <c r="J235" i="4"/>
  <c r="K235" i="4" s="1"/>
  <c r="I235" i="4"/>
  <c r="S234" i="4"/>
  <c r="R234" i="4"/>
  <c r="O234" i="4"/>
  <c r="L234" i="4"/>
  <c r="M234" i="4" s="1"/>
  <c r="J234" i="4"/>
  <c r="K234" i="4" s="1"/>
  <c r="I234" i="4"/>
  <c r="S233" i="4"/>
  <c r="R233" i="4"/>
  <c r="O233" i="4"/>
  <c r="L233" i="4"/>
  <c r="M233" i="4" s="1"/>
  <c r="J233" i="4"/>
  <c r="K233" i="4" s="1"/>
  <c r="I233" i="4"/>
  <c r="S232" i="4"/>
  <c r="R232" i="4"/>
  <c r="O232" i="4"/>
  <c r="L232" i="4"/>
  <c r="M232" i="4" s="1"/>
  <c r="J232" i="4"/>
  <c r="K232" i="4" s="1"/>
  <c r="I232" i="4"/>
  <c r="S231" i="4"/>
  <c r="R231" i="4"/>
  <c r="O231" i="4"/>
  <c r="L231" i="4"/>
  <c r="M231" i="4" s="1"/>
  <c r="J231" i="4"/>
  <c r="K231" i="4" s="1"/>
  <c r="I231" i="4"/>
  <c r="S230" i="4"/>
  <c r="R230" i="4"/>
  <c r="O230" i="4"/>
  <c r="L230" i="4"/>
  <c r="M230" i="4" s="1"/>
  <c r="J230" i="4"/>
  <c r="K230" i="4" s="1"/>
  <c r="I230" i="4"/>
  <c r="S229" i="4"/>
  <c r="R229" i="4"/>
  <c r="O229" i="4"/>
  <c r="L229" i="4"/>
  <c r="M229" i="4" s="1"/>
  <c r="J229" i="4"/>
  <c r="K229" i="4" s="1"/>
  <c r="I229" i="4"/>
  <c r="S228" i="4"/>
  <c r="R228" i="4"/>
  <c r="O228" i="4"/>
  <c r="L228" i="4"/>
  <c r="M228" i="4" s="1"/>
  <c r="J228" i="4"/>
  <c r="K228" i="4" s="1"/>
  <c r="I228" i="4"/>
  <c r="S227" i="4"/>
  <c r="R227" i="4"/>
  <c r="O227" i="4"/>
  <c r="L227" i="4"/>
  <c r="M227" i="4" s="1"/>
  <c r="J227" i="4"/>
  <c r="K227" i="4" s="1"/>
  <c r="I227" i="4"/>
  <c r="S226" i="4"/>
  <c r="R226" i="4"/>
  <c r="O226" i="4"/>
  <c r="L226" i="4"/>
  <c r="M226" i="4" s="1"/>
  <c r="J226" i="4"/>
  <c r="K226" i="4" s="1"/>
  <c r="I226" i="4"/>
  <c r="S225" i="4"/>
  <c r="R225" i="4"/>
  <c r="O225" i="4"/>
  <c r="L225" i="4"/>
  <c r="M225" i="4" s="1"/>
  <c r="J225" i="4"/>
  <c r="K225" i="4" s="1"/>
  <c r="I225" i="4"/>
  <c r="S224" i="4"/>
  <c r="R224" i="4"/>
  <c r="O224" i="4"/>
  <c r="L224" i="4"/>
  <c r="M224" i="4" s="1"/>
  <c r="J224" i="4"/>
  <c r="K224" i="4" s="1"/>
  <c r="I224" i="4"/>
  <c r="S223" i="4"/>
  <c r="R223" i="4"/>
  <c r="O223" i="4"/>
  <c r="J223" i="4"/>
  <c r="K223" i="4" s="1"/>
  <c r="I223" i="4"/>
  <c r="S222" i="4"/>
  <c r="R222" i="4"/>
  <c r="O222" i="4"/>
  <c r="J222" i="4"/>
  <c r="K222" i="4" s="1"/>
  <c r="I222" i="4"/>
  <c r="S221" i="4"/>
  <c r="R221" i="4"/>
  <c r="O221" i="4"/>
  <c r="J221" i="4"/>
  <c r="K221" i="4" s="1"/>
  <c r="I221" i="4"/>
  <c r="S220" i="4"/>
  <c r="R220" i="4"/>
  <c r="O220" i="4"/>
  <c r="J220" i="4"/>
  <c r="K220" i="4" s="1"/>
  <c r="I220" i="4"/>
  <c r="S219" i="4"/>
  <c r="R219" i="4"/>
  <c r="O219" i="4"/>
  <c r="J219" i="4"/>
  <c r="K219" i="4" s="1"/>
  <c r="I219" i="4"/>
  <c r="S218" i="4"/>
  <c r="R218" i="4"/>
  <c r="O218" i="4"/>
  <c r="K218" i="4"/>
  <c r="S217" i="4"/>
  <c r="R217" i="4"/>
  <c r="O217" i="4"/>
  <c r="K217" i="4"/>
  <c r="M217" i="4"/>
  <c r="S216" i="4"/>
  <c r="R216" i="4"/>
  <c r="O216" i="4"/>
  <c r="K216" i="4"/>
  <c r="S215" i="4"/>
  <c r="R215" i="4"/>
  <c r="O215" i="4"/>
  <c r="K215" i="4"/>
  <c r="S214" i="4"/>
  <c r="R214" i="4"/>
  <c r="O214" i="4"/>
  <c r="K214" i="4"/>
  <c r="S213" i="4"/>
  <c r="R213" i="4"/>
  <c r="O213" i="4"/>
  <c r="M213" i="4"/>
  <c r="S212" i="4"/>
  <c r="R212" i="4"/>
  <c r="O212" i="4"/>
  <c r="M212" i="4"/>
  <c r="S211" i="4"/>
  <c r="R211" i="4"/>
  <c r="P211" i="4"/>
  <c r="P213" i="4" s="1"/>
  <c r="O211" i="4"/>
  <c r="K211" i="4"/>
  <c r="M211" i="4"/>
  <c r="S210" i="4"/>
  <c r="R210" i="4"/>
  <c r="O210" i="4"/>
  <c r="K210" i="4"/>
  <c r="S209" i="4"/>
  <c r="R209" i="4"/>
  <c r="P209" i="4"/>
  <c r="O209" i="4"/>
  <c r="K209" i="4"/>
  <c r="S208" i="4"/>
  <c r="R208" i="4"/>
  <c r="O208" i="4"/>
  <c r="K208" i="4"/>
  <c r="S207" i="4"/>
  <c r="R207" i="4"/>
  <c r="O207" i="4"/>
  <c r="K207" i="4"/>
  <c r="S206" i="4"/>
  <c r="R206" i="4"/>
  <c r="O206" i="4"/>
  <c r="K206" i="4"/>
  <c r="S205" i="4"/>
  <c r="R205" i="4"/>
  <c r="O205" i="4"/>
  <c r="K205" i="4"/>
  <c r="S204" i="4"/>
  <c r="R204" i="4"/>
  <c r="O204" i="4"/>
  <c r="S203" i="4"/>
  <c r="R203" i="4"/>
  <c r="O203" i="4"/>
  <c r="S202" i="4"/>
  <c r="R202" i="4"/>
  <c r="O202" i="4"/>
  <c r="S201" i="4"/>
  <c r="R201" i="4"/>
  <c r="O201" i="4"/>
  <c r="S200" i="4"/>
  <c r="R200" i="4"/>
  <c r="O200" i="4"/>
  <c r="S199" i="4"/>
  <c r="R199" i="4"/>
  <c r="O199" i="4"/>
  <c r="K199" i="4"/>
  <c r="S198" i="4"/>
  <c r="R198" i="4"/>
  <c r="O198" i="4"/>
  <c r="K198" i="4"/>
  <c r="S197" i="4"/>
  <c r="R197" i="4"/>
  <c r="O197" i="4"/>
  <c r="K197" i="4"/>
  <c r="S196" i="4"/>
  <c r="R196" i="4"/>
  <c r="O196" i="4"/>
  <c r="K196" i="4"/>
  <c r="S195" i="4"/>
  <c r="R195" i="4"/>
  <c r="O195" i="4"/>
  <c r="K195" i="4"/>
  <c r="S194" i="4"/>
  <c r="R194" i="4"/>
  <c r="O194" i="4"/>
  <c r="K194" i="4"/>
  <c r="S193" i="4"/>
  <c r="R193" i="4"/>
  <c r="O193" i="4"/>
  <c r="K193" i="4"/>
  <c r="S192" i="4"/>
  <c r="R192" i="4"/>
  <c r="O192" i="4"/>
  <c r="K192" i="4"/>
  <c r="S191" i="4"/>
  <c r="R191" i="4"/>
  <c r="O191" i="4"/>
  <c r="K191" i="4"/>
  <c r="S190" i="4"/>
  <c r="R190" i="4"/>
  <c r="O190" i="4"/>
  <c r="K190" i="4"/>
  <c r="S189" i="4"/>
  <c r="R189" i="4"/>
  <c r="O189" i="4"/>
  <c r="K189" i="4"/>
  <c r="S188" i="4"/>
  <c r="R188" i="4"/>
  <c r="O188" i="4"/>
  <c r="M188" i="4"/>
  <c r="S187" i="4"/>
  <c r="R187" i="4"/>
  <c r="O187" i="4"/>
  <c r="S186" i="4"/>
  <c r="R186" i="4"/>
  <c r="O186" i="4"/>
  <c r="S185" i="4"/>
  <c r="R185" i="4"/>
  <c r="O185" i="4"/>
  <c r="Q207" i="4"/>
  <c r="S184" i="4"/>
  <c r="R184" i="4"/>
  <c r="O184" i="4"/>
  <c r="S183" i="4"/>
  <c r="R183" i="4"/>
  <c r="O183" i="4"/>
  <c r="S182" i="4"/>
  <c r="R182" i="4"/>
  <c r="O182" i="4"/>
  <c r="S181" i="4"/>
  <c r="R181" i="4"/>
  <c r="O181" i="4"/>
  <c r="S180" i="4"/>
  <c r="R180" i="4"/>
  <c r="P180" i="4"/>
  <c r="P182" i="4" s="1"/>
  <c r="O180" i="4"/>
  <c r="S179" i="4"/>
  <c r="R179" i="4"/>
  <c r="O179" i="4"/>
  <c r="S178" i="4"/>
  <c r="R178" i="4"/>
  <c r="P178" i="4"/>
  <c r="O178" i="4"/>
  <c r="S177" i="4"/>
  <c r="R177" i="4"/>
  <c r="O177" i="4"/>
  <c r="S176" i="4"/>
  <c r="R176" i="4"/>
  <c r="O176" i="4"/>
  <c r="E175" i="1" s="1"/>
  <c r="S175" i="4"/>
  <c r="R175" i="4"/>
  <c r="O175" i="4"/>
  <c r="S174" i="4"/>
  <c r="R174" i="4"/>
  <c r="O174" i="4"/>
  <c r="S173" i="4"/>
  <c r="R173" i="4"/>
  <c r="O173" i="4"/>
  <c r="E172" i="1" s="1"/>
  <c r="S172" i="4"/>
  <c r="R172" i="4"/>
  <c r="O172" i="4"/>
  <c r="S171" i="4"/>
  <c r="R171" i="4"/>
  <c r="O171" i="4"/>
  <c r="S170" i="4"/>
  <c r="R170" i="4"/>
  <c r="O170" i="4"/>
  <c r="S169" i="4"/>
  <c r="R169" i="4"/>
  <c r="O169" i="4"/>
  <c r="S168" i="4"/>
  <c r="R168" i="4"/>
  <c r="O168" i="4"/>
  <c r="S167" i="4"/>
  <c r="R167" i="4"/>
  <c r="O167" i="4"/>
  <c r="S166" i="4"/>
  <c r="R166" i="4"/>
  <c r="O166" i="4"/>
  <c r="S165" i="4"/>
  <c r="R165" i="4"/>
  <c r="O165" i="4"/>
  <c r="S164" i="4"/>
  <c r="R164" i="4"/>
  <c r="O164" i="4"/>
  <c r="S163" i="4"/>
  <c r="R163" i="4"/>
  <c r="O163" i="4"/>
  <c r="S162" i="4"/>
  <c r="R162" i="4"/>
  <c r="O162" i="4"/>
  <c r="S161" i="4"/>
  <c r="R161" i="4"/>
  <c r="O161" i="4"/>
  <c r="S160" i="4"/>
  <c r="R160" i="4"/>
  <c r="O160" i="4"/>
  <c r="S159" i="4"/>
  <c r="R159" i="4"/>
  <c r="O159" i="4"/>
  <c r="S158" i="4"/>
  <c r="R158" i="4"/>
  <c r="O158" i="4"/>
  <c r="S157" i="4"/>
  <c r="R157" i="4"/>
  <c r="O157" i="4"/>
  <c r="S156" i="4"/>
  <c r="R156" i="4"/>
  <c r="O156" i="4"/>
  <c r="S155" i="4"/>
  <c r="R155" i="4"/>
  <c r="O155" i="4"/>
  <c r="P176" i="4"/>
  <c r="S154" i="4"/>
  <c r="R154" i="4"/>
  <c r="O154" i="4"/>
  <c r="S153" i="4"/>
  <c r="R153" i="4"/>
  <c r="O153" i="4"/>
  <c r="S152" i="4"/>
  <c r="R152" i="4"/>
  <c r="O152" i="4"/>
  <c r="S151" i="4"/>
  <c r="R151" i="4"/>
  <c r="O151" i="4"/>
  <c r="S150" i="4"/>
  <c r="R150" i="4"/>
  <c r="P150" i="4"/>
  <c r="P152" i="4" s="1"/>
  <c r="O150" i="4"/>
  <c r="S149" i="4"/>
  <c r="R149" i="4"/>
  <c r="O149" i="4"/>
  <c r="S148" i="4"/>
  <c r="R148" i="4"/>
  <c r="P148" i="4"/>
  <c r="O148" i="4"/>
  <c r="S147" i="4"/>
  <c r="R147" i="4"/>
  <c r="O147" i="4"/>
  <c r="S146" i="4"/>
  <c r="R146" i="4"/>
  <c r="O146" i="4"/>
  <c r="S145" i="4"/>
  <c r="R145" i="4"/>
  <c r="O145" i="4"/>
  <c r="S144" i="4"/>
  <c r="R144" i="4"/>
  <c r="O144" i="4"/>
  <c r="S143" i="4"/>
  <c r="R143" i="4"/>
  <c r="O143" i="4"/>
  <c r="S142" i="4"/>
  <c r="R142" i="4"/>
  <c r="O142" i="4"/>
  <c r="S141" i="4"/>
  <c r="R141" i="4"/>
  <c r="O141" i="4"/>
  <c r="S140" i="4"/>
  <c r="R140" i="4"/>
  <c r="O140" i="4"/>
  <c r="S139" i="4"/>
  <c r="R139" i="4"/>
  <c r="O139" i="4"/>
  <c r="S138" i="4"/>
  <c r="R138" i="4"/>
  <c r="O138" i="4"/>
  <c r="S137" i="4"/>
  <c r="R137" i="4"/>
  <c r="O137" i="4"/>
  <c r="S136" i="4"/>
  <c r="R136" i="4"/>
  <c r="O136" i="4"/>
  <c r="S135" i="4"/>
  <c r="R135" i="4"/>
  <c r="O135" i="4"/>
  <c r="S134" i="4"/>
  <c r="R134" i="4"/>
  <c r="O134" i="4"/>
  <c r="S133" i="4"/>
  <c r="R133" i="4"/>
  <c r="O133" i="4"/>
  <c r="S132" i="4"/>
  <c r="R132" i="4"/>
  <c r="O132" i="4"/>
  <c r="S131" i="4"/>
  <c r="R131" i="4"/>
  <c r="O131" i="4"/>
  <c r="S130" i="4"/>
  <c r="R130" i="4"/>
  <c r="O130" i="4"/>
  <c r="S129" i="4"/>
  <c r="R129" i="4"/>
  <c r="O129" i="4"/>
  <c r="S128" i="4"/>
  <c r="R128" i="4"/>
  <c r="O128" i="4"/>
  <c r="S127" i="4"/>
  <c r="R127" i="4"/>
  <c r="O127" i="4"/>
  <c r="S126" i="4"/>
  <c r="R126" i="4"/>
  <c r="O126" i="4"/>
  <c r="S125" i="4"/>
  <c r="R125" i="4"/>
  <c r="O125" i="4"/>
  <c r="S124" i="4"/>
  <c r="R124" i="4"/>
  <c r="O124" i="4"/>
  <c r="Q145" i="4"/>
  <c r="P145" i="4"/>
  <c r="S123" i="4"/>
  <c r="R123" i="4"/>
  <c r="O123" i="4"/>
  <c r="S122" i="4"/>
  <c r="R122" i="4"/>
  <c r="O122" i="4"/>
  <c r="S121" i="4"/>
  <c r="R121" i="4"/>
  <c r="O121" i="4"/>
  <c r="S120" i="4"/>
  <c r="R120" i="4"/>
  <c r="O120" i="4"/>
  <c r="S119" i="4"/>
  <c r="R119" i="4"/>
  <c r="P119" i="4"/>
  <c r="P121" i="4" s="1"/>
  <c r="O119" i="4"/>
  <c r="S118" i="4"/>
  <c r="R118" i="4"/>
  <c r="O118" i="4"/>
  <c r="S117" i="4"/>
  <c r="R117" i="4"/>
  <c r="P117" i="4"/>
  <c r="O117" i="4"/>
  <c r="S116" i="4"/>
  <c r="R116" i="4"/>
  <c r="O116" i="4"/>
  <c r="E115" i="1" s="1"/>
  <c r="S115" i="4"/>
  <c r="R115" i="4"/>
  <c r="O115" i="4"/>
  <c r="S114" i="4"/>
  <c r="R114" i="4"/>
  <c r="O114" i="4"/>
  <c r="S113" i="4"/>
  <c r="R113" i="4"/>
  <c r="O113" i="4"/>
  <c r="S112" i="4"/>
  <c r="R112" i="4"/>
  <c r="O112" i="4"/>
  <c r="E111" i="1" s="1"/>
  <c r="S111" i="4"/>
  <c r="R111" i="4"/>
  <c r="O111" i="4"/>
  <c r="S110" i="4"/>
  <c r="R110" i="4"/>
  <c r="O110" i="4"/>
  <c r="S109" i="4"/>
  <c r="R109" i="4"/>
  <c r="O109" i="4"/>
  <c r="S108" i="4"/>
  <c r="R108" i="4"/>
  <c r="O108" i="4"/>
  <c r="S107" i="4"/>
  <c r="R107" i="4"/>
  <c r="O107" i="4"/>
  <c r="S106" i="4"/>
  <c r="R106" i="4"/>
  <c r="O106" i="4"/>
  <c r="S105" i="4"/>
  <c r="R105" i="4"/>
  <c r="O105" i="4"/>
  <c r="S104" i="4"/>
  <c r="R104" i="4"/>
  <c r="O104" i="4"/>
  <c r="S103" i="4"/>
  <c r="R103" i="4"/>
  <c r="O103" i="4"/>
  <c r="S102" i="4"/>
  <c r="R102" i="4"/>
  <c r="O102" i="4"/>
  <c r="E101" i="1" s="1"/>
  <c r="S101" i="4"/>
  <c r="R101" i="4"/>
  <c r="O101" i="4"/>
  <c r="S100" i="4"/>
  <c r="R100" i="4"/>
  <c r="O100" i="4"/>
  <c r="S99" i="4"/>
  <c r="R99" i="4"/>
  <c r="O99" i="4"/>
  <c r="S98" i="4"/>
  <c r="R98" i="4"/>
  <c r="O98" i="4"/>
  <c r="S97" i="4"/>
  <c r="R97" i="4"/>
  <c r="O97" i="4"/>
  <c r="S96" i="4"/>
  <c r="R96" i="4"/>
  <c r="O96" i="4"/>
  <c r="S95" i="4"/>
  <c r="R95" i="4"/>
  <c r="O95" i="4"/>
  <c r="S94" i="4"/>
  <c r="R94" i="4"/>
  <c r="O94" i="4"/>
  <c r="Q115" i="4"/>
  <c r="P115" i="4"/>
  <c r="S93" i="4"/>
  <c r="R93" i="4"/>
  <c r="S92" i="4"/>
  <c r="R92" i="4"/>
  <c r="O92" i="4"/>
  <c r="L92" i="4"/>
  <c r="M92" i="4" s="1"/>
  <c r="K92" i="4"/>
  <c r="S91" i="4"/>
  <c r="R91" i="4"/>
  <c r="O91" i="4"/>
  <c r="L91" i="4"/>
  <c r="M91" i="4" s="1"/>
  <c r="K91" i="4"/>
  <c r="S90" i="4"/>
  <c r="R90" i="4"/>
  <c r="O90" i="4"/>
  <c r="L90" i="4"/>
  <c r="K90" i="4"/>
  <c r="S89" i="4"/>
  <c r="R89" i="4"/>
  <c r="P89" i="4"/>
  <c r="O89" i="4"/>
  <c r="L89" i="4"/>
  <c r="M89" i="4" s="1"/>
  <c r="K89" i="4"/>
  <c r="S88" i="4"/>
  <c r="R88" i="4"/>
  <c r="O88" i="4"/>
  <c r="L88" i="4"/>
  <c r="M88" i="4" s="1"/>
  <c r="K88" i="4"/>
  <c r="S87" i="4"/>
  <c r="R87" i="4"/>
  <c r="P87" i="4"/>
  <c r="O87" i="4"/>
  <c r="L87" i="4"/>
  <c r="S86" i="4"/>
  <c r="R86" i="4"/>
  <c r="O86" i="4"/>
  <c r="L86" i="4"/>
  <c r="M86" i="4" s="1"/>
  <c r="S85" i="4"/>
  <c r="R85" i="4"/>
  <c r="O85" i="4"/>
  <c r="L85" i="4"/>
  <c r="M85" i="4" s="1"/>
  <c r="K85" i="4"/>
  <c r="S84" i="4"/>
  <c r="R84" i="4"/>
  <c r="O84" i="4"/>
  <c r="L84" i="4"/>
  <c r="M84" i="4" s="1"/>
  <c r="S83" i="4"/>
  <c r="R83" i="4"/>
  <c r="O83" i="4"/>
  <c r="L83" i="4"/>
  <c r="M83" i="4" s="1"/>
  <c r="K83" i="4"/>
  <c r="S82" i="4"/>
  <c r="R82" i="4"/>
  <c r="O82" i="4"/>
  <c r="L82" i="4"/>
  <c r="K82" i="4"/>
  <c r="S81" i="4"/>
  <c r="R81" i="4"/>
  <c r="O81" i="4"/>
  <c r="L81" i="4"/>
  <c r="S80" i="4"/>
  <c r="R80" i="4"/>
  <c r="O80" i="4"/>
  <c r="L80" i="4"/>
  <c r="M80" i="4" s="1"/>
  <c r="S79" i="4"/>
  <c r="R79" i="4"/>
  <c r="O79" i="4"/>
  <c r="M79" i="4"/>
  <c r="K79" i="4"/>
  <c r="S78" i="4"/>
  <c r="R78" i="4"/>
  <c r="O78" i="4"/>
  <c r="L78" i="4"/>
  <c r="K78" i="4"/>
  <c r="S77" i="4"/>
  <c r="R77" i="4"/>
  <c r="O77" i="4"/>
  <c r="L77" i="4"/>
  <c r="S76" i="4"/>
  <c r="R76" i="4"/>
  <c r="E75" i="1"/>
  <c r="F75" i="1" s="1"/>
  <c r="S75" i="4"/>
  <c r="R75" i="4"/>
  <c r="S74" i="4"/>
  <c r="R74" i="4"/>
  <c r="S73" i="4"/>
  <c r="R73" i="4"/>
  <c r="S72" i="4"/>
  <c r="R72" i="4"/>
  <c r="S71" i="4"/>
  <c r="R71" i="4"/>
  <c r="S70" i="4"/>
  <c r="R70" i="4"/>
  <c r="S69" i="4"/>
  <c r="R69" i="4"/>
  <c r="S68" i="4"/>
  <c r="R68" i="4"/>
  <c r="S67" i="4"/>
  <c r="R67" i="4"/>
  <c r="E66" i="1"/>
  <c r="F66" i="1" s="1"/>
  <c r="S66" i="4"/>
  <c r="R66" i="4"/>
  <c r="S65" i="4"/>
  <c r="R65" i="4"/>
  <c r="S64" i="4"/>
  <c r="R64" i="4"/>
  <c r="S63" i="4"/>
  <c r="R63" i="4"/>
  <c r="P85" i="4"/>
  <c r="E62" i="1"/>
  <c r="F62" i="1" s="1"/>
  <c r="S62" i="4"/>
  <c r="R62" i="4"/>
  <c r="S61" i="4"/>
  <c r="R61" i="4"/>
  <c r="S60" i="4"/>
  <c r="R60" i="4"/>
  <c r="S59" i="4"/>
  <c r="R59" i="4"/>
  <c r="E58" i="1"/>
  <c r="F58" i="1" s="1"/>
  <c r="S58" i="4"/>
  <c r="R58" i="4"/>
  <c r="S57" i="4"/>
  <c r="R57" i="4"/>
  <c r="P57" i="4"/>
  <c r="E56" i="1"/>
  <c r="F56" i="1" s="1"/>
  <c r="S56" i="4"/>
  <c r="R56" i="4"/>
  <c r="S55" i="4"/>
  <c r="R55" i="4"/>
  <c r="P55" i="4"/>
  <c r="S54" i="4"/>
  <c r="R54" i="4"/>
  <c r="S53" i="4"/>
  <c r="R53" i="4"/>
  <c r="E52" i="1"/>
  <c r="F52" i="1" s="1"/>
  <c r="S52" i="4"/>
  <c r="R52" i="4"/>
  <c r="S51" i="4"/>
  <c r="R51" i="4"/>
  <c r="S50" i="4"/>
  <c r="R50" i="4"/>
  <c r="E49" i="1"/>
  <c r="F49" i="1" s="1"/>
  <c r="S49" i="4"/>
  <c r="R49" i="4"/>
  <c r="S48" i="4"/>
  <c r="R48" i="4"/>
  <c r="S47" i="4"/>
  <c r="R47" i="4"/>
  <c r="E46" i="1"/>
  <c r="F46" i="1" s="1"/>
  <c r="S46" i="4"/>
  <c r="R46" i="4"/>
  <c r="S45" i="4"/>
  <c r="R45" i="4"/>
  <c r="S44" i="4"/>
  <c r="R44" i="4"/>
  <c r="S43" i="4"/>
  <c r="R43" i="4"/>
  <c r="S42" i="4"/>
  <c r="R42" i="4"/>
  <c r="E41" i="1"/>
  <c r="F41" i="1" s="1"/>
  <c r="S41" i="4"/>
  <c r="R41" i="4"/>
  <c r="S40" i="4"/>
  <c r="R40" i="4"/>
  <c r="S39" i="4"/>
  <c r="R39" i="4"/>
  <c r="E38" i="1"/>
  <c r="F38" i="1" s="1"/>
  <c r="S38" i="4"/>
  <c r="R38" i="4"/>
  <c r="E37" i="1"/>
  <c r="F37" i="1" s="1"/>
  <c r="S37" i="4"/>
  <c r="R37" i="4"/>
  <c r="S36" i="4"/>
  <c r="R36" i="4"/>
  <c r="S35" i="4"/>
  <c r="R35" i="4"/>
  <c r="E34" i="1"/>
  <c r="F34" i="1" s="1"/>
  <c r="S34" i="4"/>
  <c r="R34" i="4"/>
  <c r="Q52" i="4"/>
  <c r="P53" i="4"/>
  <c r="E33" i="1"/>
  <c r="F33" i="1" s="1"/>
  <c r="S33" i="4"/>
  <c r="R33" i="4"/>
  <c r="E32" i="1"/>
  <c r="S32" i="4"/>
  <c r="R32" i="4"/>
  <c r="E31" i="1"/>
  <c r="S31" i="4"/>
  <c r="R31" i="4"/>
  <c r="S30" i="4"/>
  <c r="R30" i="4"/>
  <c r="E29" i="1"/>
  <c r="S29" i="4"/>
  <c r="R29" i="4"/>
  <c r="P29" i="4"/>
  <c r="S28" i="4"/>
  <c r="R28" i="4"/>
  <c r="S27" i="4"/>
  <c r="R27" i="4"/>
  <c r="P27" i="4"/>
  <c r="S26" i="4"/>
  <c r="R26" i="4"/>
  <c r="S25" i="4"/>
  <c r="R25" i="4"/>
  <c r="E24" i="1"/>
  <c r="S24" i="4"/>
  <c r="R24" i="4"/>
  <c r="S23" i="4"/>
  <c r="R23" i="4"/>
  <c r="S22" i="4"/>
  <c r="R22" i="4"/>
  <c r="S21" i="4"/>
  <c r="R21" i="4"/>
  <c r="S20" i="4"/>
  <c r="R20" i="4"/>
  <c r="S19" i="4"/>
  <c r="R19" i="4"/>
  <c r="S18" i="4"/>
  <c r="R18" i="4"/>
  <c r="S17" i="4"/>
  <c r="R17" i="4"/>
  <c r="S16" i="4"/>
  <c r="R16" i="4"/>
  <c r="S15" i="4"/>
  <c r="R15" i="4"/>
  <c r="S14" i="4"/>
  <c r="R14" i="4"/>
  <c r="S13" i="4"/>
  <c r="R13" i="4"/>
  <c r="S12" i="4"/>
  <c r="R12" i="4"/>
  <c r="S11" i="4"/>
  <c r="R11" i="4"/>
  <c r="S10" i="4"/>
  <c r="R10" i="4"/>
  <c r="S9" i="4"/>
  <c r="R9" i="4"/>
  <c r="S8" i="4"/>
  <c r="R8" i="4"/>
  <c r="Q7" i="4"/>
  <c r="P7" i="4"/>
  <c r="Q6" i="4"/>
  <c r="P6" i="4"/>
  <c r="Q5" i="4"/>
  <c r="P5" i="4"/>
  <c r="Q4" i="4"/>
  <c r="P4" i="4"/>
  <c r="Q3" i="4"/>
  <c r="P3" i="4"/>
  <c r="Q25" i="4"/>
  <c r="P25" i="4"/>
  <c r="I370" i="3"/>
  <c r="L369" i="3"/>
  <c r="Q369" i="3" s="1"/>
  <c r="K369" i="3"/>
  <c r="J369" i="3"/>
  <c r="I369" i="3"/>
  <c r="H369" i="3"/>
  <c r="M369" i="3" s="1"/>
  <c r="L368" i="3"/>
  <c r="I366" i="1" s="1"/>
  <c r="K368" i="3"/>
  <c r="J368" i="3"/>
  <c r="I368" i="3"/>
  <c r="H368" i="3"/>
  <c r="L367" i="3"/>
  <c r="K367" i="3"/>
  <c r="J367" i="3"/>
  <c r="I367" i="3"/>
  <c r="H367" i="3"/>
  <c r="L366" i="3"/>
  <c r="K366" i="3"/>
  <c r="J366" i="3"/>
  <c r="I366" i="3"/>
  <c r="H366" i="3"/>
  <c r="L365" i="3"/>
  <c r="K365" i="3"/>
  <c r="J365" i="3"/>
  <c r="I365" i="3"/>
  <c r="H365" i="3"/>
  <c r="L364" i="3"/>
  <c r="I362" i="1" s="1"/>
  <c r="K364" i="3"/>
  <c r="J364" i="3"/>
  <c r="I364" i="3"/>
  <c r="H364" i="3"/>
  <c r="L363" i="3"/>
  <c r="I361" i="1" s="1"/>
  <c r="K363" i="3"/>
  <c r="J363" i="3"/>
  <c r="I363" i="3"/>
  <c r="H363" i="3"/>
  <c r="L362" i="3"/>
  <c r="K362" i="3"/>
  <c r="J362" i="3"/>
  <c r="I362" i="3"/>
  <c r="H362" i="3"/>
  <c r="L361" i="3"/>
  <c r="I359" i="1" s="1"/>
  <c r="K361" i="3"/>
  <c r="J361" i="3"/>
  <c r="I361" i="3"/>
  <c r="H361" i="3"/>
  <c r="L360" i="3"/>
  <c r="K360" i="3"/>
  <c r="J360" i="3"/>
  <c r="I360" i="3"/>
  <c r="H360" i="3"/>
  <c r="L359" i="3"/>
  <c r="K359" i="3"/>
  <c r="J359" i="3"/>
  <c r="I359" i="3"/>
  <c r="H359" i="3"/>
  <c r="L358" i="3"/>
  <c r="I356" i="1" s="1"/>
  <c r="K358" i="3"/>
  <c r="J358" i="3"/>
  <c r="I358" i="3"/>
  <c r="H358" i="3"/>
  <c r="L357" i="3"/>
  <c r="I355" i="1" s="1"/>
  <c r="K357" i="3"/>
  <c r="J357" i="3"/>
  <c r="I357" i="3"/>
  <c r="H357" i="3"/>
  <c r="L356" i="3"/>
  <c r="K356" i="3"/>
  <c r="J356" i="3"/>
  <c r="I356" i="3"/>
  <c r="H356" i="3"/>
  <c r="F354" i="1" s="1"/>
  <c r="L355" i="3"/>
  <c r="K355" i="3"/>
  <c r="J355" i="3"/>
  <c r="I355" i="3"/>
  <c r="H355" i="3"/>
  <c r="L354" i="3"/>
  <c r="I352" i="1" s="1"/>
  <c r="K354" i="3"/>
  <c r="J354" i="3"/>
  <c r="I354" i="3"/>
  <c r="H354" i="3"/>
  <c r="L353" i="3"/>
  <c r="I351" i="1" s="1"/>
  <c r="K353" i="3"/>
  <c r="J353" i="3"/>
  <c r="I353" i="3"/>
  <c r="H353" i="3"/>
  <c r="L352" i="3"/>
  <c r="K352" i="3"/>
  <c r="J352" i="3"/>
  <c r="I352" i="3"/>
  <c r="H352" i="3"/>
  <c r="L351" i="3"/>
  <c r="K351" i="3"/>
  <c r="J351" i="3"/>
  <c r="I351" i="3"/>
  <c r="H351" i="3"/>
  <c r="L350" i="3"/>
  <c r="I348" i="1" s="1"/>
  <c r="K350" i="3"/>
  <c r="J350" i="3"/>
  <c r="I350" i="3"/>
  <c r="H350" i="3"/>
  <c r="L349" i="3"/>
  <c r="I347" i="1" s="1"/>
  <c r="K349" i="3"/>
  <c r="J349" i="3"/>
  <c r="I349" i="3"/>
  <c r="H349" i="3"/>
  <c r="L348" i="3"/>
  <c r="K348" i="3"/>
  <c r="J348" i="3"/>
  <c r="I348" i="3"/>
  <c r="H348" i="3"/>
  <c r="L347" i="3"/>
  <c r="K347" i="3"/>
  <c r="J347" i="3"/>
  <c r="I347" i="3"/>
  <c r="H347" i="3"/>
  <c r="L346" i="3"/>
  <c r="I344" i="1" s="1"/>
  <c r="K346" i="3"/>
  <c r="J346" i="3"/>
  <c r="I346" i="3"/>
  <c r="H346" i="3"/>
  <c r="L345" i="3"/>
  <c r="I343" i="1" s="1"/>
  <c r="K345" i="3"/>
  <c r="J345" i="3"/>
  <c r="I345" i="3"/>
  <c r="H345" i="3"/>
  <c r="L344" i="3"/>
  <c r="K344" i="3"/>
  <c r="J344" i="3"/>
  <c r="I344" i="3"/>
  <c r="H344" i="3"/>
  <c r="L343" i="3"/>
  <c r="K343" i="3"/>
  <c r="J343" i="3"/>
  <c r="I343" i="3"/>
  <c r="H343" i="3"/>
  <c r="L342" i="3"/>
  <c r="I340" i="1" s="1"/>
  <c r="K342" i="3"/>
  <c r="J342" i="3"/>
  <c r="I342" i="3"/>
  <c r="H342" i="3"/>
  <c r="L341" i="3"/>
  <c r="I339" i="1" s="1"/>
  <c r="K341" i="3"/>
  <c r="J341" i="3"/>
  <c r="I341" i="3"/>
  <c r="H341" i="3"/>
  <c r="L340" i="3"/>
  <c r="K340" i="3"/>
  <c r="J340" i="3"/>
  <c r="I340" i="3"/>
  <c r="H340" i="3"/>
  <c r="L339" i="3"/>
  <c r="I337" i="1" s="1"/>
  <c r="K339" i="3"/>
  <c r="J339" i="3"/>
  <c r="I339" i="3"/>
  <c r="H339" i="3"/>
  <c r="L338" i="3"/>
  <c r="K338" i="3"/>
  <c r="J338" i="3"/>
  <c r="I338" i="3"/>
  <c r="H338" i="3"/>
  <c r="L337" i="3"/>
  <c r="I335" i="1" s="1"/>
  <c r="K337" i="3"/>
  <c r="J337" i="3"/>
  <c r="I337" i="3"/>
  <c r="H337" i="3"/>
  <c r="L336" i="3"/>
  <c r="I334" i="1" s="1"/>
  <c r="K336" i="3"/>
  <c r="J336" i="3"/>
  <c r="I336" i="3"/>
  <c r="H336" i="3"/>
  <c r="L335" i="3"/>
  <c r="K335" i="3"/>
  <c r="J335" i="3"/>
  <c r="I335" i="3"/>
  <c r="H335" i="3"/>
  <c r="L334" i="3"/>
  <c r="K334" i="3"/>
  <c r="J334" i="3"/>
  <c r="I334" i="3"/>
  <c r="H334" i="3"/>
  <c r="L333" i="3"/>
  <c r="K333" i="3"/>
  <c r="J333" i="3"/>
  <c r="I333" i="3"/>
  <c r="H333" i="3"/>
  <c r="L332" i="3"/>
  <c r="K332" i="3"/>
  <c r="J332" i="3"/>
  <c r="I332" i="3"/>
  <c r="H332" i="3"/>
  <c r="L331" i="3"/>
  <c r="K331" i="3"/>
  <c r="J331" i="3"/>
  <c r="I331" i="3"/>
  <c r="H331" i="3"/>
  <c r="L330" i="3"/>
  <c r="K330" i="3"/>
  <c r="J330" i="3"/>
  <c r="I330" i="3"/>
  <c r="H330" i="3"/>
  <c r="L329" i="3"/>
  <c r="I327" i="1" s="1"/>
  <c r="K329" i="3"/>
  <c r="J329" i="3"/>
  <c r="I329" i="3"/>
  <c r="H329" i="3"/>
  <c r="L328" i="3"/>
  <c r="I326" i="1" s="1"/>
  <c r="K328" i="3"/>
  <c r="J328" i="3"/>
  <c r="I328" i="3"/>
  <c r="H328" i="3"/>
  <c r="L327" i="3"/>
  <c r="K327" i="3"/>
  <c r="J327" i="3"/>
  <c r="I327" i="3"/>
  <c r="H327" i="3"/>
  <c r="L326" i="3"/>
  <c r="K326" i="3"/>
  <c r="J326" i="3"/>
  <c r="I326" i="3"/>
  <c r="H326" i="3"/>
  <c r="L325" i="3"/>
  <c r="I323" i="1" s="1"/>
  <c r="K325" i="3"/>
  <c r="J325" i="3"/>
  <c r="I325" i="3"/>
  <c r="H325" i="3"/>
  <c r="L324" i="3"/>
  <c r="I322" i="1" s="1"/>
  <c r="K324" i="3"/>
  <c r="J324" i="3"/>
  <c r="I324" i="3"/>
  <c r="H324" i="3"/>
  <c r="L323" i="3"/>
  <c r="K323" i="3"/>
  <c r="J323" i="3"/>
  <c r="I323" i="3"/>
  <c r="H323" i="3"/>
  <c r="L322" i="3"/>
  <c r="K322" i="3"/>
  <c r="J322" i="3"/>
  <c r="I322" i="3"/>
  <c r="H322" i="3"/>
  <c r="L321" i="3"/>
  <c r="I319" i="1" s="1"/>
  <c r="K321" i="3"/>
  <c r="J321" i="3"/>
  <c r="I321" i="3"/>
  <c r="H321" i="3"/>
  <c r="L320" i="3"/>
  <c r="I318" i="1" s="1"/>
  <c r="K320" i="3"/>
  <c r="J320" i="3"/>
  <c r="I320" i="3"/>
  <c r="H320" i="3"/>
  <c r="L319" i="3"/>
  <c r="K319" i="3"/>
  <c r="J319" i="3"/>
  <c r="I319" i="3"/>
  <c r="H319" i="3"/>
  <c r="L318" i="3"/>
  <c r="K318" i="3"/>
  <c r="J318" i="3"/>
  <c r="I318" i="3"/>
  <c r="H318" i="3"/>
  <c r="L317" i="3"/>
  <c r="I315" i="1" s="1"/>
  <c r="K317" i="3"/>
  <c r="J317" i="3"/>
  <c r="I317" i="3"/>
  <c r="H317" i="3"/>
  <c r="L316" i="3"/>
  <c r="I314" i="1" s="1"/>
  <c r="K316" i="3"/>
  <c r="J316" i="3"/>
  <c r="I316" i="3"/>
  <c r="H316" i="3"/>
  <c r="L315" i="3"/>
  <c r="K315" i="3"/>
  <c r="J315" i="3"/>
  <c r="I315" i="3"/>
  <c r="H315" i="3"/>
  <c r="L314" i="3"/>
  <c r="K314" i="3"/>
  <c r="J314" i="3"/>
  <c r="I314" i="3"/>
  <c r="H314" i="3"/>
  <c r="L313" i="3"/>
  <c r="I311" i="1" s="1"/>
  <c r="K313" i="3"/>
  <c r="J313" i="3"/>
  <c r="I313" i="3"/>
  <c r="H313" i="3"/>
  <c r="L312" i="3"/>
  <c r="I310" i="1" s="1"/>
  <c r="K312" i="3"/>
  <c r="J312" i="3"/>
  <c r="I312" i="3"/>
  <c r="H312" i="3"/>
  <c r="L311" i="3"/>
  <c r="K311" i="3"/>
  <c r="J311" i="3"/>
  <c r="I311" i="3"/>
  <c r="H311" i="3"/>
  <c r="L310" i="3"/>
  <c r="K310" i="3"/>
  <c r="J310" i="3"/>
  <c r="I310" i="3"/>
  <c r="H310" i="3"/>
  <c r="L309" i="3"/>
  <c r="I307" i="1" s="1"/>
  <c r="K309" i="3"/>
  <c r="J309" i="3"/>
  <c r="I309" i="3"/>
  <c r="H309" i="3"/>
  <c r="L308" i="3"/>
  <c r="I306" i="1" s="1"/>
  <c r="K308" i="3"/>
  <c r="J308" i="3"/>
  <c r="I308" i="3"/>
  <c r="H308" i="3"/>
  <c r="L307" i="3"/>
  <c r="K307" i="3"/>
  <c r="J307" i="3"/>
  <c r="I307" i="3"/>
  <c r="H307" i="3"/>
  <c r="L306" i="3"/>
  <c r="K306" i="3"/>
  <c r="J306" i="3"/>
  <c r="I306" i="3"/>
  <c r="H306" i="3"/>
  <c r="L305" i="3"/>
  <c r="I303" i="1" s="1"/>
  <c r="K305" i="3"/>
  <c r="J305" i="3"/>
  <c r="I305" i="3"/>
  <c r="H305" i="3"/>
  <c r="L304" i="3"/>
  <c r="I302" i="1" s="1"/>
  <c r="K304" i="3"/>
  <c r="J304" i="3"/>
  <c r="I304" i="3"/>
  <c r="H304" i="3"/>
  <c r="L303" i="3"/>
  <c r="I301" i="1" s="1"/>
  <c r="K303" i="3"/>
  <c r="J303" i="3"/>
  <c r="I303" i="3"/>
  <c r="H303" i="3"/>
  <c r="L302" i="3"/>
  <c r="I300" i="1" s="1"/>
  <c r="K302" i="3"/>
  <c r="J302" i="3"/>
  <c r="I302" i="3"/>
  <c r="H302" i="3"/>
  <c r="L301" i="3"/>
  <c r="K301" i="3"/>
  <c r="J301" i="3"/>
  <c r="I301" i="3"/>
  <c r="H301" i="3"/>
  <c r="L300" i="3"/>
  <c r="I298" i="1" s="1"/>
  <c r="K300" i="3"/>
  <c r="J300" i="3"/>
  <c r="I300" i="3"/>
  <c r="H300" i="3"/>
  <c r="L299" i="3"/>
  <c r="K299" i="3"/>
  <c r="J299" i="3"/>
  <c r="I299" i="3"/>
  <c r="H299" i="3"/>
  <c r="L298" i="3"/>
  <c r="K298" i="3"/>
  <c r="J298" i="3"/>
  <c r="I298" i="3"/>
  <c r="H298" i="3"/>
  <c r="L297" i="3"/>
  <c r="I295" i="1" s="1"/>
  <c r="K297" i="3"/>
  <c r="J297" i="3"/>
  <c r="I297" i="3"/>
  <c r="H297" i="3"/>
  <c r="L296" i="3"/>
  <c r="I294" i="1" s="1"/>
  <c r="K296" i="3"/>
  <c r="J296" i="3"/>
  <c r="I296" i="3"/>
  <c r="H296" i="3"/>
  <c r="L295" i="3"/>
  <c r="K295" i="3"/>
  <c r="J295" i="3"/>
  <c r="I295" i="3"/>
  <c r="H295" i="3"/>
  <c r="L294" i="3"/>
  <c r="K294" i="3"/>
  <c r="J294" i="3"/>
  <c r="I294" i="3"/>
  <c r="H294" i="3"/>
  <c r="L293" i="3"/>
  <c r="I291" i="1" s="1"/>
  <c r="K293" i="3"/>
  <c r="J293" i="3"/>
  <c r="I293" i="3"/>
  <c r="H293" i="3"/>
  <c r="L292" i="3"/>
  <c r="I290" i="1" s="1"/>
  <c r="K292" i="3"/>
  <c r="J292" i="3"/>
  <c r="I292" i="3"/>
  <c r="H292" i="3"/>
  <c r="L291" i="3"/>
  <c r="K291" i="3"/>
  <c r="J291" i="3"/>
  <c r="I291" i="3"/>
  <c r="H291" i="3"/>
  <c r="L290" i="3"/>
  <c r="K290" i="3"/>
  <c r="J290" i="3"/>
  <c r="I290" i="3"/>
  <c r="H290" i="3"/>
  <c r="L289" i="3"/>
  <c r="I287" i="1" s="1"/>
  <c r="K289" i="3"/>
  <c r="J289" i="3"/>
  <c r="I289" i="3"/>
  <c r="H289" i="3"/>
  <c r="Q288" i="3"/>
  <c r="L288" i="3"/>
  <c r="I286" i="1" s="1"/>
  <c r="K288" i="3"/>
  <c r="J288" i="3"/>
  <c r="I288" i="3"/>
  <c r="H288" i="3"/>
  <c r="L287" i="3"/>
  <c r="K287" i="3"/>
  <c r="J287" i="3"/>
  <c r="I287" i="3"/>
  <c r="H287" i="3"/>
  <c r="L286" i="3"/>
  <c r="K286" i="3"/>
  <c r="J286" i="3"/>
  <c r="I286" i="3"/>
  <c r="H286" i="3"/>
  <c r="Q285" i="3"/>
  <c r="L285" i="3"/>
  <c r="I283" i="1" s="1"/>
  <c r="K285" i="3"/>
  <c r="J285" i="3"/>
  <c r="I285" i="3"/>
  <c r="H285" i="3"/>
  <c r="Q284" i="3"/>
  <c r="L284" i="3"/>
  <c r="I282" i="1" s="1"/>
  <c r="K284" i="3"/>
  <c r="J284" i="3"/>
  <c r="I284" i="3"/>
  <c r="H284" i="3"/>
  <c r="L283" i="3"/>
  <c r="K283" i="3"/>
  <c r="J283" i="3"/>
  <c r="I283" i="3"/>
  <c r="H283" i="3"/>
  <c r="L282" i="3"/>
  <c r="K282" i="3"/>
  <c r="J282" i="3"/>
  <c r="I282" i="3"/>
  <c r="H282" i="3"/>
  <c r="Q281" i="3"/>
  <c r="L281" i="3"/>
  <c r="I279" i="1" s="1"/>
  <c r="K281" i="3"/>
  <c r="J281" i="3"/>
  <c r="I281" i="3"/>
  <c r="H281" i="3"/>
  <c r="L280" i="3"/>
  <c r="I278" i="1" s="1"/>
  <c r="K280" i="3"/>
  <c r="J280" i="3"/>
  <c r="I280" i="3"/>
  <c r="H280" i="3"/>
  <c r="L279" i="3"/>
  <c r="K279" i="3"/>
  <c r="J279" i="3"/>
  <c r="I279" i="3"/>
  <c r="H279" i="3"/>
  <c r="L278" i="3"/>
  <c r="I276" i="1" s="1"/>
  <c r="K278" i="3"/>
  <c r="J278" i="3"/>
  <c r="I278" i="3"/>
  <c r="H278" i="3"/>
  <c r="L277" i="3"/>
  <c r="I275" i="1" s="1"/>
  <c r="K277" i="3"/>
  <c r="J277" i="3"/>
  <c r="I277" i="3"/>
  <c r="H277" i="3"/>
  <c r="L276" i="3"/>
  <c r="I274" i="1" s="1"/>
  <c r="K276" i="3"/>
  <c r="J276" i="3"/>
  <c r="I276" i="3"/>
  <c r="H276" i="3"/>
  <c r="L275" i="3"/>
  <c r="K275" i="3"/>
  <c r="J275" i="3"/>
  <c r="I275" i="3"/>
  <c r="H275" i="3"/>
  <c r="L274" i="3"/>
  <c r="K274" i="3"/>
  <c r="J274" i="3"/>
  <c r="I274" i="3"/>
  <c r="H274" i="3"/>
  <c r="L273" i="3"/>
  <c r="K273" i="3"/>
  <c r="J273" i="3"/>
  <c r="I273" i="3"/>
  <c r="H273" i="3"/>
  <c r="L272" i="3"/>
  <c r="K272" i="3"/>
  <c r="J272" i="3"/>
  <c r="I272" i="3"/>
  <c r="H272" i="3"/>
  <c r="L271" i="3"/>
  <c r="I269" i="1" s="1"/>
  <c r="K271" i="3"/>
  <c r="J271" i="3"/>
  <c r="I271" i="3"/>
  <c r="H271" i="3"/>
  <c r="L270" i="3"/>
  <c r="I268" i="1" s="1"/>
  <c r="K270" i="3"/>
  <c r="J270" i="3"/>
  <c r="I270" i="3"/>
  <c r="H270" i="3"/>
  <c r="L269" i="3"/>
  <c r="I267" i="1" s="1"/>
  <c r="K269" i="3"/>
  <c r="J269" i="3"/>
  <c r="I269" i="3"/>
  <c r="H269" i="3"/>
  <c r="Q268" i="3"/>
  <c r="L268" i="3"/>
  <c r="I266" i="1" s="1"/>
  <c r="K268" i="3"/>
  <c r="J268" i="3"/>
  <c r="I268" i="3"/>
  <c r="H268" i="3"/>
  <c r="L267" i="3"/>
  <c r="K267" i="3"/>
  <c r="J267" i="3"/>
  <c r="I267" i="3"/>
  <c r="H267" i="3"/>
  <c r="L266" i="3"/>
  <c r="K266" i="3"/>
  <c r="J266" i="3"/>
  <c r="I266" i="3"/>
  <c r="H266" i="3"/>
  <c r="L265" i="3"/>
  <c r="I263" i="1" s="1"/>
  <c r="K265" i="3"/>
  <c r="J265" i="3"/>
  <c r="I265" i="3"/>
  <c r="H265" i="3"/>
  <c r="L264" i="3"/>
  <c r="I262" i="1" s="1"/>
  <c r="K264" i="3"/>
  <c r="J264" i="3"/>
  <c r="I264" i="3"/>
  <c r="H264" i="3"/>
  <c r="L263" i="3"/>
  <c r="K263" i="3"/>
  <c r="J263" i="3"/>
  <c r="I263" i="3"/>
  <c r="H263" i="3"/>
  <c r="L262" i="3"/>
  <c r="K262" i="3"/>
  <c r="J262" i="3"/>
  <c r="I262" i="3"/>
  <c r="H262" i="3"/>
  <c r="L261" i="3"/>
  <c r="I259" i="1" s="1"/>
  <c r="K261" i="3"/>
  <c r="J261" i="3"/>
  <c r="I261" i="3"/>
  <c r="H261" i="3"/>
  <c r="L260" i="3"/>
  <c r="I258" i="1" s="1"/>
  <c r="K260" i="3"/>
  <c r="J260" i="3"/>
  <c r="I260" i="3"/>
  <c r="H260" i="3"/>
  <c r="L259" i="3"/>
  <c r="K259" i="3"/>
  <c r="J259" i="3"/>
  <c r="I259" i="3"/>
  <c r="H259" i="3"/>
  <c r="L258" i="3"/>
  <c r="K258" i="3"/>
  <c r="J258" i="3"/>
  <c r="I258" i="3"/>
  <c r="H258" i="3"/>
  <c r="L257" i="3"/>
  <c r="I255" i="1" s="1"/>
  <c r="K257" i="3"/>
  <c r="J257" i="3"/>
  <c r="I257" i="3"/>
  <c r="H257" i="3"/>
  <c r="L256" i="3"/>
  <c r="I254" i="1" s="1"/>
  <c r="K256" i="3"/>
  <c r="J256" i="3"/>
  <c r="I256" i="3"/>
  <c r="H256" i="3"/>
  <c r="L255" i="3"/>
  <c r="K255" i="3"/>
  <c r="J255" i="3"/>
  <c r="I255" i="3"/>
  <c r="H255" i="3"/>
  <c r="L254" i="3"/>
  <c r="K254" i="3"/>
  <c r="J254" i="3"/>
  <c r="I254" i="3"/>
  <c r="H254" i="3"/>
  <c r="L253" i="3"/>
  <c r="I251" i="1" s="1"/>
  <c r="K253" i="3"/>
  <c r="J253" i="3"/>
  <c r="I253" i="3"/>
  <c r="H253" i="3"/>
  <c r="L252" i="3"/>
  <c r="I250" i="1" s="1"/>
  <c r="K252" i="3"/>
  <c r="J252" i="3"/>
  <c r="I252" i="3"/>
  <c r="H252" i="3"/>
  <c r="L251" i="3"/>
  <c r="K251" i="3"/>
  <c r="J251" i="3"/>
  <c r="I251" i="3"/>
  <c r="H251" i="3"/>
  <c r="L250" i="3"/>
  <c r="K250" i="3"/>
  <c r="J250" i="3"/>
  <c r="I250" i="3"/>
  <c r="H250" i="3"/>
  <c r="L249" i="3"/>
  <c r="I247" i="1" s="1"/>
  <c r="K249" i="3"/>
  <c r="J249" i="3"/>
  <c r="I249" i="3"/>
  <c r="H249" i="3"/>
  <c r="L248" i="3"/>
  <c r="I246" i="1" s="1"/>
  <c r="K248" i="3"/>
  <c r="J248" i="3"/>
  <c r="I248" i="3"/>
  <c r="H248" i="3"/>
  <c r="L247" i="3"/>
  <c r="K247" i="3"/>
  <c r="J247" i="3"/>
  <c r="I247" i="3"/>
  <c r="H247" i="3"/>
  <c r="L246" i="3"/>
  <c r="K246" i="3"/>
  <c r="J246" i="3"/>
  <c r="I246" i="3"/>
  <c r="H246" i="3"/>
  <c r="L245" i="3"/>
  <c r="I243" i="1" s="1"/>
  <c r="K245" i="3"/>
  <c r="J245" i="3"/>
  <c r="I245" i="3"/>
  <c r="H245" i="3"/>
  <c r="L244" i="3"/>
  <c r="I242" i="1" s="1"/>
  <c r="K244" i="3"/>
  <c r="J244" i="3"/>
  <c r="I244" i="3"/>
  <c r="H244" i="3"/>
  <c r="L243" i="3"/>
  <c r="K243" i="3"/>
  <c r="J243" i="3"/>
  <c r="I243" i="3"/>
  <c r="H243" i="3"/>
  <c r="L242" i="3"/>
  <c r="I240" i="1" s="1"/>
  <c r="K242" i="3"/>
  <c r="J242" i="3"/>
  <c r="I242" i="3"/>
  <c r="H242" i="3"/>
  <c r="L241" i="3"/>
  <c r="K241" i="3"/>
  <c r="J241" i="3"/>
  <c r="I241" i="3"/>
  <c r="H241" i="3"/>
  <c r="L240" i="3"/>
  <c r="K240" i="3"/>
  <c r="J240" i="3"/>
  <c r="I240" i="3"/>
  <c r="H240" i="3"/>
  <c r="L239" i="3"/>
  <c r="K239" i="3"/>
  <c r="J239" i="3"/>
  <c r="I239" i="3"/>
  <c r="H239" i="3"/>
  <c r="L238" i="3"/>
  <c r="K238" i="3"/>
  <c r="J238" i="3"/>
  <c r="I238" i="3"/>
  <c r="H238" i="3"/>
  <c r="L237" i="3"/>
  <c r="I235" i="1" s="1"/>
  <c r="K237" i="3"/>
  <c r="J237" i="3"/>
  <c r="I237" i="3"/>
  <c r="H237" i="3"/>
  <c r="L236" i="3"/>
  <c r="I234" i="1" s="1"/>
  <c r="K236" i="3"/>
  <c r="J236" i="3"/>
  <c r="I236" i="3"/>
  <c r="M236" i="3" s="1"/>
  <c r="G234" i="1" s="1"/>
  <c r="H236" i="3"/>
  <c r="L235" i="3"/>
  <c r="K235" i="3"/>
  <c r="J235" i="3"/>
  <c r="I235" i="3"/>
  <c r="H235" i="3"/>
  <c r="L234" i="3"/>
  <c r="K234" i="3"/>
  <c r="J234" i="3"/>
  <c r="I234" i="3"/>
  <c r="H234" i="3"/>
  <c r="L233" i="3"/>
  <c r="I231" i="1" s="1"/>
  <c r="K233" i="3"/>
  <c r="J233" i="3"/>
  <c r="I233" i="3"/>
  <c r="H233" i="3"/>
  <c r="L232" i="3"/>
  <c r="I230" i="1" s="1"/>
  <c r="K232" i="3"/>
  <c r="J232" i="3"/>
  <c r="I232" i="3"/>
  <c r="H232" i="3"/>
  <c r="L231" i="3"/>
  <c r="K231" i="3"/>
  <c r="J231" i="3"/>
  <c r="I231" i="3"/>
  <c r="H231" i="3"/>
  <c r="L230" i="3"/>
  <c r="K230" i="3"/>
  <c r="J230" i="3"/>
  <c r="I230" i="3"/>
  <c r="H230" i="3"/>
  <c r="L229" i="3"/>
  <c r="I227" i="1" s="1"/>
  <c r="K229" i="3"/>
  <c r="J229" i="3"/>
  <c r="I229" i="3"/>
  <c r="H229" i="3"/>
  <c r="L228" i="3"/>
  <c r="I226" i="1" s="1"/>
  <c r="K228" i="3"/>
  <c r="J228" i="3"/>
  <c r="I228" i="3"/>
  <c r="H228" i="3"/>
  <c r="L227" i="3"/>
  <c r="K227" i="3"/>
  <c r="J227" i="3"/>
  <c r="I227" i="3"/>
  <c r="H227" i="3"/>
  <c r="L226" i="3"/>
  <c r="K226" i="3"/>
  <c r="J226" i="3"/>
  <c r="I226" i="3"/>
  <c r="H226" i="3"/>
  <c r="L225" i="3"/>
  <c r="I223" i="1" s="1"/>
  <c r="K225" i="3"/>
  <c r="J225" i="3"/>
  <c r="I225" i="3"/>
  <c r="H225" i="3"/>
  <c r="Q224" i="3"/>
  <c r="I222" i="1"/>
  <c r="K224" i="3"/>
  <c r="J224" i="3"/>
  <c r="I224" i="3"/>
  <c r="H224" i="3"/>
  <c r="K223" i="3"/>
  <c r="J223" i="3"/>
  <c r="I223" i="3"/>
  <c r="H223" i="3"/>
  <c r="Q222" i="3"/>
  <c r="K222" i="3"/>
  <c r="J222" i="3"/>
  <c r="I222" i="3"/>
  <c r="H222" i="3"/>
  <c r="Q221" i="3"/>
  <c r="K221" i="3"/>
  <c r="J221" i="3"/>
  <c r="I221" i="3"/>
  <c r="H221" i="3"/>
  <c r="L220" i="3"/>
  <c r="K220" i="3"/>
  <c r="J220" i="3"/>
  <c r="I220" i="3"/>
  <c r="H220" i="3"/>
  <c r="L219" i="3"/>
  <c r="I217" i="1" s="1"/>
  <c r="K219" i="3"/>
  <c r="J219" i="3"/>
  <c r="I219" i="3"/>
  <c r="H219" i="3"/>
  <c r="L218" i="3"/>
  <c r="I216" i="1" s="1"/>
  <c r="K218" i="3"/>
  <c r="J218" i="3"/>
  <c r="I218" i="3"/>
  <c r="H218" i="3"/>
  <c r="L217" i="3"/>
  <c r="I215" i="1" s="1"/>
  <c r="K217" i="3"/>
  <c r="J217" i="3"/>
  <c r="I217" i="3"/>
  <c r="H217" i="3"/>
  <c r="L216" i="3"/>
  <c r="K216" i="3"/>
  <c r="J216" i="3"/>
  <c r="I216" i="3"/>
  <c r="H216" i="3"/>
  <c r="L215" i="3"/>
  <c r="I213" i="1" s="1"/>
  <c r="K215" i="3"/>
  <c r="J215" i="3"/>
  <c r="I215" i="3"/>
  <c r="H215" i="3"/>
  <c r="L214" i="3"/>
  <c r="K214" i="3"/>
  <c r="J214" i="3"/>
  <c r="I214" i="3"/>
  <c r="H214" i="3"/>
  <c r="L213" i="3"/>
  <c r="I211" i="1" s="1"/>
  <c r="K213" i="3"/>
  <c r="J213" i="3"/>
  <c r="I213" i="3"/>
  <c r="H213" i="3"/>
  <c r="L212" i="3"/>
  <c r="I210" i="1" s="1"/>
  <c r="K212" i="3"/>
  <c r="J212" i="3"/>
  <c r="I212" i="3"/>
  <c r="H212" i="3"/>
  <c r="L211" i="3"/>
  <c r="K211" i="3"/>
  <c r="J211" i="3"/>
  <c r="I211" i="3"/>
  <c r="H211" i="3"/>
  <c r="L210" i="3"/>
  <c r="I208" i="1" s="1"/>
  <c r="K210" i="3"/>
  <c r="J210" i="3"/>
  <c r="I210" i="3"/>
  <c r="H210" i="3"/>
  <c r="L209" i="3"/>
  <c r="I207" i="1" s="1"/>
  <c r="K209" i="3"/>
  <c r="J209" i="3"/>
  <c r="I209" i="3"/>
  <c r="H209" i="3"/>
  <c r="L208" i="3"/>
  <c r="I206" i="1" s="1"/>
  <c r="K208" i="3"/>
  <c r="J208" i="3"/>
  <c r="I208" i="3"/>
  <c r="H208" i="3"/>
  <c r="L207" i="3"/>
  <c r="K207" i="3"/>
  <c r="J207" i="3"/>
  <c r="I207" i="3"/>
  <c r="H207" i="3"/>
  <c r="L206" i="3"/>
  <c r="K206" i="3"/>
  <c r="J206" i="3"/>
  <c r="I206" i="3"/>
  <c r="H206" i="3"/>
  <c r="L205" i="3"/>
  <c r="I203" i="1" s="1"/>
  <c r="K205" i="3"/>
  <c r="J205" i="3"/>
  <c r="I205" i="3"/>
  <c r="H205" i="3"/>
  <c r="L204" i="3"/>
  <c r="K204" i="3"/>
  <c r="J204" i="3"/>
  <c r="I204" i="3"/>
  <c r="H204" i="3"/>
  <c r="L203" i="3"/>
  <c r="I201" i="1" s="1"/>
  <c r="K203" i="3"/>
  <c r="J203" i="3"/>
  <c r="I203" i="3"/>
  <c r="H203" i="3"/>
  <c r="L202" i="3"/>
  <c r="I200" i="1" s="1"/>
  <c r="K202" i="3"/>
  <c r="J202" i="3"/>
  <c r="I202" i="3"/>
  <c r="H202" i="3"/>
  <c r="L201" i="3"/>
  <c r="K201" i="3"/>
  <c r="J201" i="3"/>
  <c r="I201" i="3"/>
  <c r="H201" i="3"/>
  <c r="K200" i="3"/>
  <c r="J200" i="3"/>
  <c r="I200" i="3"/>
  <c r="H200" i="3"/>
  <c r="K199" i="3"/>
  <c r="J199" i="3"/>
  <c r="I199" i="3"/>
  <c r="H199" i="3"/>
  <c r="I196" i="1"/>
  <c r="K198" i="3"/>
  <c r="J198" i="3"/>
  <c r="I198" i="3"/>
  <c r="H198" i="3"/>
  <c r="I195" i="1"/>
  <c r="K197" i="3"/>
  <c r="J197" i="3"/>
  <c r="I197" i="3"/>
  <c r="H197" i="3"/>
  <c r="K196" i="3"/>
  <c r="J196" i="3"/>
  <c r="I196" i="3"/>
  <c r="H196" i="3"/>
  <c r="K195" i="3"/>
  <c r="J195" i="3"/>
  <c r="I195" i="3"/>
  <c r="H195" i="3"/>
  <c r="I192" i="1"/>
  <c r="K194" i="3"/>
  <c r="I194" i="3"/>
  <c r="H194" i="3"/>
  <c r="K193" i="3"/>
  <c r="I193" i="3"/>
  <c r="H193" i="3"/>
  <c r="K192" i="3"/>
  <c r="I192" i="3"/>
  <c r="H192" i="3"/>
  <c r="K191" i="3"/>
  <c r="J191" i="3"/>
  <c r="I191" i="3"/>
  <c r="H191" i="3"/>
  <c r="I188" i="1"/>
  <c r="K190" i="3"/>
  <c r="J190" i="3"/>
  <c r="I190" i="3"/>
  <c r="H190" i="3"/>
  <c r="I187" i="1"/>
  <c r="K189" i="3"/>
  <c r="J189" i="3"/>
  <c r="I189" i="3"/>
  <c r="H189" i="3"/>
  <c r="K188" i="3"/>
  <c r="J188" i="3"/>
  <c r="I188" i="3"/>
  <c r="H188" i="3"/>
  <c r="K187" i="3"/>
  <c r="J187" i="3"/>
  <c r="I187" i="3"/>
  <c r="H187" i="3"/>
  <c r="I184" i="1"/>
  <c r="K186" i="3"/>
  <c r="J186" i="3"/>
  <c r="I186" i="3"/>
  <c r="H186" i="3"/>
  <c r="K185" i="3"/>
  <c r="J185" i="3"/>
  <c r="I185" i="3"/>
  <c r="H185" i="3"/>
  <c r="K184" i="3"/>
  <c r="J184" i="3"/>
  <c r="I184" i="3"/>
  <c r="H184" i="3"/>
  <c r="K183" i="3"/>
  <c r="J183" i="3"/>
  <c r="I183" i="3"/>
  <c r="H183" i="3"/>
  <c r="I180" i="1"/>
  <c r="K182" i="3"/>
  <c r="J182" i="3"/>
  <c r="I182" i="3"/>
  <c r="H182" i="3"/>
  <c r="I179" i="1"/>
  <c r="K181" i="3"/>
  <c r="J181" i="3"/>
  <c r="I181" i="3"/>
  <c r="H181" i="3"/>
  <c r="I178" i="1"/>
  <c r="K180" i="3"/>
  <c r="J180" i="3"/>
  <c r="I180" i="3"/>
  <c r="H180" i="3"/>
  <c r="I177" i="1"/>
  <c r="K179" i="3"/>
  <c r="J179" i="3"/>
  <c r="I179" i="3"/>
  <c r="H179" i="3"/>
  <c r="K178" i="3"/>
  <c r="J178" i="3"/>
  <c r="I178" i="3"/>
  <c r="H178" i="3"/>
  <c r="K177" i="3"/>
  <c r="J177" i="3"/>
  <c r="H177" i="3"/>
  <c r="K176" i="3"/>
  <c r="J176" i="3"/>
  <c r="I176" i="3"/>
  <c r="H176" i="3"/>
  <c r="K175" i="3"/>
  <c r="J175" i="3"/>
  <c r="I175" i="3"/>
  <c r="H175" i="3"/>
  <c r="I172" i="1"/>
  <c r="K174" i="3"/>
  <c r="J174" i="3"/>
  <c r="I174" i="3"/>
  <c r="H174" i="3"/>
  <c r="I171" i="1"/>
  <c r="K173" i="3"/>
  <c r="J173" i="3"/>
  <c r="I173" i="3"/>
  <c r="H173" i="3"/>
  <c r="K172" i="3"/>
  <c r="J172" i="3"/>
  <c r="I172" i="3"/>
  <c r="H172" i="3"/>
  <c r="I169" i="1"/>
  <c r="K171" i="3"/>
  <c r="J171" i="3"/>
  <c r="I171" i="3"/>
  <c r="H171" i="3"/>
  <c r="I168" i="1"/>
  <c r="K170" i="3"/>
  <c r="J170" i="3"/>
  <c r="I170" i="3"/>
  <c r="H170" i="3"/>
  <c r="K169" i="3"/>
  <c r="J169" i="3"/>
  <c r="I169" i="3"/>
  <c r="H169" i="3"/>
  <c r="K168" i="3"/>
  <c r="J168" i="3"/>
  <c r="I168" i="3"/>
  <c r="H168" i="3"/>
  <c r="K167" i="3"/>
  <c r="J167" i="3"/>
  <c r="I167" i="3"/>
  <c r="H167" i="3"/>
  <c r="I164" i="1"/>
  <c r="K166" i="3"/>
  <c r="J166" i="3"/>
  <c r="I166" i="3"/>
  <c r="H166" i="3"/>
  <c r="I163" i="1"/>
  <c r="K165" i="3"/>
  <c r="J165" i="3"/>
  <c r="I165" i="3"/>
  <c r="H165" i="3"/>
  <c r="K164" i="3"/>
  <c r="J164" i="3"/>
  <c r="I164" i="3"/>
  <c r="H164" i="3"/>
  <c r="I161" i="1"/>
  <c r="K163" i="3"/>
  <c r="J163" i="3"/>
  <c r="I163" i="3"/>
  <c r="H163" i="3"/>
  <c r="I160" i="1"/>
  <c r="K162" i="3"/>
  <c r="J162" i="3"/>
  <c r="I162" i="3"/>
  <c r="H162" i="3"/>
  <c r="K161" i="3"/>
  <c r="J161" i="3"/>
  <c r="I161" i="3"/>
  <c r="H161" i="3"/>
  <c r="K160" i="3"/>
  <c r="J160" i="3"/>
  <c r="I160" i="3"/>
  <c r="H160" i="3"/>
  <c r="K159" i="3"/>
  <c r="J159" i="3"/>
  <c r="I159" i="3"/>
  <c r="H159" i="3"/>
  <c r="I156" i="1"/>
  <c r="K158" i="3"/>
  <c r="J158" i="3"/>
  <c r="I158" i="3"/>
  <c r="H158" i="3"/>
  <c r="I155" i="1"/>
  <c r="K157" i="3"/>
  <c r="J157" i="3"/>
  <c r="I157" i="3"/>
  <c r="H157" i="3"/>
  <c r="I154" i="1"/>
  <c r="K156" i="3"/>
  <c r="J156" i="3"/>
  <c r="I156" i="3"/>
  <c r="H156" i="3"/>
  <c r="I153" i="1"/>
  <c r="K155" i="3"/>
  <c r="J155" i="3"/>
  <c r="I155" i="3"/>
  <c r="H155" i="3"/>
  <c r="I152" i="1"/>
  <c r="K154" i="3"/>
  <c r="J154" i="3"/>
  <c r="I154" i="3"/>
  <c r="H154" i="3"/>
  <c r="K153" i="3"/>
  <c r="J153" i="3"/>
  <c r="I153" i="3"/>
  <c r="H153" i="3"/>
  <c r="O152" i="3"/>
  <c r="K152" i="3"/>
  <c r="J152" i="3"/>
  <c r="I152" i="3"/>
  <c r="H152" i="3"/>
  <c r="I149" i="1"/>
  <c r="K151" i="3"/>
  <c r="J151" i="3"/>
  <c r="I151" i="3"/>
  <c r="H151" i="3"/>
  <c r="K150" i="3"/>
  <c r="J150" i="3"/>
  <c r="I150" i="3"/>
  <c r="H150" i="3"/>
  <c r="I147" i="1"/>
  <c r="K149" i="3"/>
  <c r="J149" i="3"/>
  <c r="I149" i="3"/>
  <c r="H149" i="3"/>
  <c r="I146" i="1"/>
  <c r="K148" i="3"/>
  <c r="J148" i="3"/>
  <c r="I148" i="3"/>
  <c r="H148" i="3"/>
  <c r="I145" i="1"/>
  <c r="K147" i="3"/>
  <c r="J147" i="3"/>
  <c r="I147" i="3"/>
  <c r="H147" i="3"/>
  <c r="K146" i="3"/>
  <c r="J146" i="3"/>
  <c r="I146" i="3"/>
  <c r="H146" i="3"/>
  <c r="K145" i="3"/>
  <c r="J145" i="3"/>
  <c r="I145" i="3"/>
  <c r="H145" i="3"/>
  <c r="I142" i="1"/>
  <c r="K144" i="3"/>
  <c r="J144" i="3"/>
  <c r="I144" i="3"/>
  <c r="H144" i="3"/>
  <c r="I141" i="1"/>
  <c r="K143" i="3"/>
  <c r="J143" i="3"/>
  <c r="I143" i="3"/>
  <c r="H143" i="3"/>
  <c r="I140" i="1"/>
  <c r="K142" i="3"/>
  <c r="J142" i="3"/>
  <c r="I142" i="3"/>
  <c r="H142" i="3"/>
  <c r="K141" i="3"/>
  <c r="J141" i="3"/>
  <c r="I141" i="3"/>
  <c r="H141" i="3"/>
  <c r="K140" i="3"/>
  <c r="J140" i="3"/>
  <c r="I140" i="3"/>
  <c r="H140" i="3"/>
  <c r="I137" i="1"/>
  <c r="K139" i="3"/>
  <c r="J139" i="3"/>
  <c r="I139" i="3"/>
  <c r="H139" i="3"/>
  <c r="K138" i="3"/>
  <c r="J138" i="3"/>
  <c r="I138" i="3"/>
  <c r="H138" i="3"/>
  <c r="K137" i="3"/>
  <c r="J137" i="3"/>
  <c r="I137" i="3"/>
  <c r="H137" i="3"/>
  <c r="I134" i="1"/>
  <c r="K136" i="3"/>
  <c r="J136" i="3"/>
  <c r="I136" i="3"/>
  <c r="H136" i="3"/>
  <c r="I133" i="1"/>
  <c r="K135" i="3"/>
  <c r="J135" i="3"/>
  <c r="I135" i="3"/>
  <c r="H135" i="3"/>
  <c r="I132" i="1"/>
  <c r="K134" i="3"/>
  <c r="J134" i="3"/>
  <c r="I134" i="3"/>
  <c r="H134" i="3"/>
  <c r="K133" i="3"/>
  <c r="J133" i="3"/>
  <c r="I133" i="3"/>
  <c r="H133" i="3"/>
  <c r="K132" i="3"/>
  <c r="J132" i="3"/>
  <c r="I132" i="3"/>
  <c r="H132" i="3"/>
  <c r="I129" i="1"/>
  <c r="K131" i="3"/>
  <c r="J131" i="3"/>
  <c r="I131" i="3"/>
  <c r="H131" i="3"/>
  <c r="K130" i="3"/>
  <c r="J130" i="3"/>
  <c r="I130" i="3"/>
  <c r="H130" i="3"/>
  <c r="K129" i="3"/>
  <c r="J129" i="3"/>
  <c r="I129" i="3"/>
  <c r="H129" i="3"/>
  <c r="I126" i="1"/>
  <c r="K128" i="3"/>
  <c r="J128" i="3"/>
  <c r="I128" i="3"/>
  <c r="H128" i="3"/>
  <c r="I125" i="1"/>
  <c r="K127" i="3"/>
  <c r="J127" i="3"/>
  <c r="I127" i="3"/>
  <c r="H127" i="3"/>
  <c r="I124" i="1"/>
  <c r="K126" i="3"/>
  <c r="J126" i="3"/>
  <c r="I126" i="3"/>
  <c r="H126" i="3"/>
  <c r="I123" i="1"/>
  <c r="K125" i="3"/>
  <c r="J125" i="3"/>
  <c r="I125" i="3"/>
  <c r="H125" i="3"/>
  <c r="K124" i="3"/>
  <c r="J124" i="3"/>
  <c r="I124" i="3"/>
  <c r="H124" i="3"/>
  <c r="I121" i="1"/>
  <c r="K123" i="3"/>
  <c r="J123" i="3"/>
  <c r="I123" i="3"/>
  <c r="H123" i="3"/>
  <c r="K122" i="3"/>
  <c r="J122" i="3"/>
  <c r="I122" i="3"/>
  <c r="H122" i="3"/>
  <c r="K121" i="3"/>
  <c r="J121" i="3"/>
  <c r="I121" i="3"/>
  <c r="H121" i="3"/>
  <c r="I118" i="1"/>
  <c r="K120" i="3"/>
  <c r="J120" i="3"/>
  <c r="I120" i="3"/>
  <c r="H120" i="3"/>
  <c r="K119" i="3"/>
  <c r="J119" i="3"/>
  <c r="I119" i="3"/>
  <c r="H119" i="3"/>
  <c r="K118" i="3"/>
  <c r="J118" i="3"/>
  <c r="I118" i="3"/>
  <c r="H118" i="3"/>
  <c r="I115" i="1"/>
  <c r="K117" i="3"/>
  <c r="J117" i="3"/>
  <c r="I117" i="3"/>
  <c r="H117" i="3"/>
  <c r="I114" i="1"/>
  <c r="K116" i="3"/>
  <c r="J116" i="3"/>
  <c r="I116" i="3"/>
  <c r="H116" i="3"/>
  <c r="I113" i="1"/>
  <c r="K115" i="3"/>
  <c r="J115" i="3"/>
  <c r="I115" i="3"/>
  <c r="H115" i="3"/>
  <c r="I112" i="1"/>
  <c r="K114" i="3"/>
  <c r="J114" i="3"/>
  <c r="I114" i="3"/>
  <c r="H114" i="3"/>
  <c r="K113" i="3"/>
  <c r="J113" i="3"/>
  <c r="I113" i="3"/>
  <c r="H113" i="3"/>
  <c r="K112" i="3"/>
  <c r="J112" i="3"/>
  <c r="I112" i="3"/>
  <c r="H112" i="3"/>
  <c r="I109" i="1"/>
  <c r="K111" i="3"/>
  <c r="J111" i="3"/>
  <c r="I111" i="3"/>
  <c r="H111" i="3"/>
  <c r="K110" i="3"/>
  <c r="J110" i="3"/>
  <c r="I110" i="3"/>
  <c r="H110" i="3"/>
  <c r="K109" i="3"/>
  <c r="J109" i="3"/>
  <c r="I109" i="3"/>
  <c r="H109" i="3"/>
  <c r="Q108" i="3"/>
  <c r="I106" i="1"/>
  <c r="K108" i="3"/>
  <c r="J108" i="3"/>
  <c r="I108" i="3"/>
  <c r="H108" i="3"/>
  <c r="I105" i="1"/>
  <c r="K107" i="3"/>
  <c r="J107" i="3"/>
  <c r="I107" i="3"/>
  <c r="H107" i="3"/>
  <c r="I104" i="1"/>
  <c r="K106" i="3"/>
  <c r="J106" i="3"/>
  <c r="I106" i="3"/>
  <c r="H106" i="3"/>
  <c r="K105" i="3"/>
  <c r="J105" i="3"/>
  <c r="I105" i="3"/>
  <c r="H105" i="3"/>
  <c r="K104" i="3"/>
  <c r="J104" i="3"/>
  <c r="I104" i="3"/>
  <c r="H104" i="3"/>
  <c r="I101" i="1"/>
  <c r="K103" i="3"/>
  <c r="J103" i="3"/>
  <c r="I103" i="3"/>
  <c r="H103" i="3"/>
  <c r="K102" i="3"/>
  <c r="J102" i="3"/>
  <c r="I102" i="3"/>
  <c r="H102" i="3"/>
  <c r="K101" i="3"/>
  <c r="J101" i="3"/>
  <c r="I101" i="3"/>
  <c r="H101" i="3"/>
  <c r="I98" i="1"/>
  <c r="K100" i="3"/>
  <c r="J100" i="3"/>
  <c r="I100" i="3"/>
  <c r="H100" i="3"/>
  <c r="I97" i="1"/>
  <c r="K99" i="3"/>
  <c r="J99" i="3"/>
  <c r="I99" i="3"/>
  <c r="H99" i="3"/>
  <c r="I96" i="1"/>
  <c r="K98" i="3"/>
  <c r="J98" i="3"/>
  <c r="I98" i="3"/>
  <c r="H98" i="3"/>
  <c r="K97" i="3"/>
  <c r="J97" i="3"/>
  <c r="I97" i="3"/>
  <c r="H97" i="3"/>
  <c r="K96" i="3"/>
  <c r="J96" i="3"/>
  <c r="I96" i="3"/>
  <c r="H96" i="3"/>
  <c r="I93" i="1"/>
  <c r="K95" i="3"/>
  <c r="J95" i="3"/>
  <c r="I95" i="3"/>
  <c r="H95" i="3"/>
  <c r="K94" i="3"/>
  <c r="J94" i="3"/>
  <c r="I94" i="3"/>
  <c r="H94" i="3"/>
  <c r="K93" i="3"/>
  <c r="J93" i="3"/>
  <c r="I93" i="3"/>
  <c r="H93" i="3"/>
  <c r="K92" i="3"/>
  <c r="J92" i="3"/>
  <c r="I92" i="3"/>
  <c r="H92" i="3"/>
  <c r="K91" i="3"/>
  <c r="J91" i="3"/>
  <c r="I91" i="3"/>
  <c r="H91" i="3"/>
  <c r="K90" i="3"/>
  <c r="J90" i="3"/>
  <c r="I90" i="3"/>
  <c r="H90" i="3"/>
  <c r="K89" i="3"/>
  <c r="J89" i="3"/>
  <c r="I89" i="3"/>
  <c r="H89" i="3"/>
  <c r="K88" i="3"/>
  <c r="J88" i="3"/>
  <c r="I88" i="3"/>
  <c r="H88" i="3"/>
  <c r="I85" i="1"/>
  <c r="K87" i="3"/>
  <c r="J87" i="3"/>
  <c r="I87" i="3"/>
  <c r="H87" i="3"/>
  <c r="K86" i="3"/>
  <c r="J86" i="3"/>
  <c r="I86" i="3"/>
  <c r="H86" i="3"/>
  <c r="I83" i="1"/>
  <c r="K85" i="3"/>
  <c r="J85" i="3"/>
  <c r="I85" i="3"/>
  <c r="H85" i="3"/>
  <c r="I82" i="1"/>
  <c r="K84" i="3"/>
  <c r="J84" i="3"/>
  <c r="I84" i="3"/>
  <c r="H84" i="3"/>
  <c r="K82" i="3"/>
  <c r="J82" i="3"/>
  <c r="I82" i="3"/>
  <c r="H82" i="3"/>
  <c r="K81" i="3"/>
  <c r="J81" i="3"/>
  <c r="I81" i="3"/>
  <c r="H81" i="3"/>
  <c r="K80" i="3"/>
  <c r="J80" i="3"/>
  <c r="I80" i="3"/>
  <c r="H80" i="3"/>
  <c r="K79" i="3"/>
  <c r="J79" i="3"/>
  <c r="I79" i="3"/>
  <c r="H79" i="3"/>
  <c r="K78" i="3"/>
  <c r="J78" i="3"/>
  <c r="I78" i="3"/>
  <c r="H78" i="3"/>
  <c r="I75" i="1"/>
  <c r="I74" i="1"/>
  <c r="I72" i="1"/>
  <c r="I71" i="1"/>
  <c r="I67" i="1"/>
  <c r="I66" i="1"/>
  <c r="I64" i="1"/>
  <c r="I63" i="1"/>
  <c r="I60" i="1"/>
  <c r="I58" i="1"/>
  <c r="Q59" i="3"/>
  <c r="I57" i="1"/>
  <c r="I56" i="1"/>
  <c r="I55" i="1"/>
  <c r="I53" i="1"/>
  <c r="I52" i="1"/>
  <c r="I49" i="1"/>
  <c r="I48" i="1"/>
  <c r="I45" i="1"/>
  <c r="I44" i="1"/>
  <c r="G44" i="1"/>
  <c r="I42" i="1"/>
  <c r="Q43" i="3"/>
  <c r="I41" i="1"/>
  <c r="I40" i="1"/>
  <c r="I37" i="1"/>
  <c r="I34" i="1"/>
  <c r="I33" i="1"/>
  <c r="I30" i="1"/>
  <c r="I29" i="1"/>
  <c r="I28" i="1"/>
  <c r="Q24" i="3"/>
  <c r="I22" i="1"/>
  <c r="I21" i="1"/>
  <c r="G21" i="1"/>
  <c r="I19" i="1"/>
  <c r="I18" i="1"/>
  <c r="I14" i="1"/>
  <c r="G14" i="1"/>
  <c r="I13" i="1"/>
  <c r="Q13" i="3"/>
  <c r="I11" i="1"/>
  <c r="I10" i="1"/>
  <c r="I6" i="1"/>
  <c r="I5" i="1"/>
  <c r="G5" i="1"/>
  <c r="Q4" i="3"/>
  <c r="G2" i="1"/>
  <c r="I2" i="1"/>
  <c r="Q219" i="3" l="1"/>
  <c r="K213" i="4"/>
  <c r="K212" i="4"/>
  <c r="K188" i="4"/>
  <c r="E181" i="1"/>
  <c r="E203" i="1"/>
  <c r="E228" i="1"/>
  <c r="F228" i="1" s="1"/>
  <c r="E229" i="1"/>
  <c r="E230" i="1"/>
  <c r="E232" i="1"/>
  <c r="E233" i="1"/>
  <c r="E234" i="1"/>
  <c r="F234" i="1" s="1"/>
  <c r="E236" i="1"/>
  <c r="F236" i="1" s="1"/>
  <c r="E237" i="1"/>
  <c r="E238" i="1"/>
  <c r="E305" i="1"/>
  <c r="F305" i="1" s="1"/>
  <c r="E314" i="1"/>
  <c r="E315" i="1"/>
  <c r="F315" i="1" s="1"/>
  <c r="E319" i="1"/>
  <c r="E321" i="1"/>
  <c r="E176" i="1"/>
  <c r="E207" i="1"/>
  <c r="E221" i="1"/>
  <c r="Q114" i="3"/>
  <c r="M160" i="3"/>
  <c r="G158" i="1" s="1"/>
  <c r="Q170" i="3"/>
  <c r="M346" i="3"/>
  <c r="G344" i="1" s="1"/>
  <c r="Q357" i="3"/>
  <c r="M360" i="3"/>
  <c r="G358" i="1" s="1"/>
  <c r="Q364" i="3"/>
  <c r="Q111" i="3"/>
  <c r="Q149" i="3"/>
  <c r="M344" i="3"/>
  <c r="G342" i="1" s="1"/>
  <c r="Q354" i="3"/>
  <c r="E193" i="1"/>
  <c r="E292" i="1"/>
  <c r="F292" i="1" s="1"/>
  <c r="E296" i="1"/>
  <c r="E300" i="1"/>
  <c r="F300" i="1" s="1"/>
  <c r="Q360" i="4"/>
  <c r="M338" i="4"/>
  <c r="P207" i="4"/>
  <c r="P329" i="4"/>
  <c r="K308" i="4"/>
  <c r="E361" i="1"/>
  <c r="E242" i="1"/>
  <c r="E243" i="1"/>
  <c r="F243" i="1" s="1"/>
  <c r="E245" i="1"/>
  <c r="F245" i="1" s="1"/>
  <c r="E246" i="1"/>
  <c r="F246" i="1" s="1"/>
  <c r="E247" i="1"/>
  <c r="E249" i="1"/>
  <c r="E250" i="1"/>
  <c r="E251" i="1"/>
  <c r="E252" i="1"/>
  <c r="E254" i="1"/>
  <c r="F254" i="1" s="1"/>
  <c r="E255" i="1"/>
  <c r="F255" i="1" s="1"/>
  <c r="E256" i="1"/>
  <c r="E258" i="1"/>
  <c r="F258" i="1" s="1"/>
  <c r="E259" i="1"/>
  <c r="E260" i="1"/>
  <c r="F260" i="1" s="1"/>
  <c r="E262" i="1"/>
  <c r="F262" i="1" s="1"/>
  <c r="E263" i="1"/>
  <c r="F263" i="1" s="1"/>
  <c r="E264" i="1"/>
  <c r="E266" i="1"/>
  <c r="F266" i="1" s="1"/>
  <c r="E267" i="1"/>
  <c r="E268" i="1"/>
  <c r="F268" i="1" s="1"/>
  <c r="Q329" i="4"/>
  <c r="M308" i="4"/>
  <c r="E333" i="1"/>
  <c r="E336" i="1"/>
  <c r="E338" i="1"/>
  <c r="F338" i="1" s="1"/>
  <c r="E339" i="1"/>
  <c r="F339" i="1" s="1"/>
  <c r="E366" i="1"/>
  <c r="F366" i="1" s="1"/>
  <c r="F272" i="1"/>
  <c r="Q165" i="3"/>
  <c r="M194" i="3"/>
  <c r="G192" i="1" s="1"/>
  <c r="Q205" i="3"/>
  <c r="M208" i="3"/>
  <c r="G206" i="1" s="1"/>
  <c r="M241" i="3"/>
  <c r="G239" i="1" s="1"/>
  <c r="Q252" i="3"/>
  <c r="M296" i="3"/>
  <c r="G294" i="1" s="1"/>
  <c r="M320" i="3"/>
  <c r="G318" i="1" s="1"/>
  <c r="Q325" i="3"/>
  <c r="M328" i="3"/>
  <c r="G326" i="1" s="1"/>
  <c r="Q197" i="3"/>
  <c r="Q249" i="3"/>
  <c r="O182" i="3"/>
  <c r="Q210" i="3"/>
  <c r="M364" i="3"/>
  <c r="G362" i="1" s="1"/>
  <c r="M157" i="3"/>
  <c r="G155" i="1" s="1"/>
  <c r="Q194" i="3"/>
  <c r="Q208" i="3"/>
  <c r="M218" i="3"/>
  <c r="G216" i="1" s="1"/>
  <c r="M276" i="3"/>
  <c r="G274" i="1" s="1"/>
  <c r="M316" i="3"/>
  <c r="G314" i="1" s="1"/>
  <c r="Q320" i="3"/>
  <c r="Q328" i="3"/>
  <c r="M130" i="3"/>
  <c r="G128" i="1" s="1"/>
  <c r="E107" i="1"/>
  <c r="E152" i="1"/>
  <c r="E190" i="1"/>
  <c r="E288" i="1"/>
  <c r="F288" i="1" s="1"/>
  <c r="E323" i="1"/>
  <c r="F323" i="1" s="1"/>
  <c r="E329" i="1"/>
  <c r="E330" i="1"/>
  <c r="E162" i="1"/>
  <c r="E163" i="1"/>
  <c r="E301" i="1"/>
  <c r="F301" i="1" s="1"/>
  <c r="F314" i="1"/>
  <c r="E122" i="1"/>
  <c r="E310" i="1"/>
  <c r="F310" i="1" s="1"/>
  <c r="E340" i="1"/>
  <c r="F340" i="1" s="1"/>
  <c r="E341" i="1"/>
  <c r="F341" i="1" s="1"/>
  <c r="E343" i="1"/>
  <c r="F343" i="1" s="1"/>
  <c r="E345" i="1"/>
  <c r="F345" i="1" s="1"/>
  <c r="E349" i="1"/>
  <c r="E353" i="1"/>
  <c r="F276" i="1"/>
  <c r="M79" i="3"/>
  <c r="G77" i="1" s="1"/>
  <c r="Q143" i="3"/>
  <c r="Q155" i="3"/>
  <c r="Q158" i="3"/>
  <c r="Q181" i="3"/>
  <c r="F319" i="1"/>
  <c r="Q146" i="4"/>
  <c r="E157" i="1"/>
  <c r="E188" i="1"/>
  <c r="E201" i="1"/>
  <c r="E270" i="1"/>
  <c r="E332" i="1"/>
  <c r="F332" i="1" s="1"/>
  <c r="E350" i="1"/>
  <c r="F350" i="1" s="1"/>
  <c r="E358" i="1"/>
  <c r="F358" i="1" s="1"/>
  <c r="E363" i="1"/>
  <c r="F363" i="1" s="1"/>
  <c r="F279" i="1"/>
  <c r="E67" i="1"/>
  <c r="F67" i="1" s="1"/>
  <c r="E205" i="1"/>
  <c r="E253" i="1"/>
  <c r="F253" i="1" s="1"/>
  <c r="E257" i="1"/>
  <c r="F257" i="1" s="1"/>
  <c r="E261" i="1"/>
  <c r="F261" i="1" s="1"/>
  <c r="E265" i="1"/>
  <c r="E269" i="1"/>
  <c r="F269" i="1" s="1"/>
  <c r="E274" i="1"/>
  <c r="F274" i="1" s="1"/>
  <c r="E278" i="1"/>
  <c r="F278" i="1" s="1"/>
  <c r="E282" i="1"/>
  <c r="F282" i="1" s="1"/>
  <c r="Q76" i="3"/>
  <c r="Q151" i="3"/>
  <c r="O154" i="3"/>
  <c r="Q166" i="3"/>
  <c r="Q180" i="3"/>
  <c r="M240" i="3"/>
  <c r="G238" i="1" s="1"/>
  <c r="Q297" i="3"/>
  <c r="Q300" i="3"/>
  <c r="E117" i="1"/>
  <c r="E178" i="1"/>
  <c r="E187" i="1"/>
  <c r="E200" i="1"/>
  <c r="E286" i="1"/>
  <c r="F286" i="1" s="1"/>
  <c r="E291" i="1"/>
  <c r="F291" i="1" s="1"/>
  <c r="E295" i="1"/>
  <c r="F295" i="1" s="1"/>
  <c r="E299" i="1"/>
  <c r="F299" i="1" s="1"/>
  <c r="E309" i="1"/>
  <c r="F309" i="1" s="1"/>
  <c r="K338" i="4"/>
  <c r="E357" i="1"/>
  <c r="F357" i="1" s="1"/>
  <c r="E70" i="1"/>
  <c r="F70" i="1" s="1"/>
  <c r="E108" i="1"/>
  <c r="E121" i="1"/>
  <c r="Q152" i="4"/>
  <c r="E173" i="1"/>
  <c r="E182" i="1"/>
  <c r="E195" i="1"/>
  <c r="E222" i="1"/>
  <c r="F222" i="1" s="1"/>
  <c r="E227" i="1"/>
  <c r="F227" i="1" s="1"/>
  <c r="E231" i="1"/>
  <c r="F231" i="1" s="1"/>
  <c r="E235" i="1"/>
  <c r="F235" i="1" s="1"/>
  <c r="E239" i="1"/>
  <c r="F239" i="1" s="1"/>
  <c r="E244" i="1"/>
  <c r="F244" i="1" s="1"/>
  <c r="E248" i="1"/>
  <c r="E277" i="1"/>
  <c r="E281" i="1"/>
  <c r="F281" i="1" s="1"/>
  <c r="E304" i="1"/>
  <c r="E344" i="1"/>
  <c r="F344" i="1" s="1"/>
  <c r="M127" i="3"/>
  <c r="G125" i="1" s="1"/>
  <c r="M135" i="3"/>
  <c r="G133" i="1" s="1"/>
  <c r="E78" i="1"/>
  <c r="E95" i="1"/>
  <c r="E99" i="1"/>
  <c r="E103" i="1"/>
  <c r="E168" i="1"/>
  <c r="E217" i="1"/>
  <c r="E290" i="1"/>
  <c r="F290" i="1" s="1"/>
  <c r="E294" i="1"/>
  <c r="F294" i="1" s="1"/>
  <c r="E298" i="1"/>
  <c r="E325" i="1"/>
  <c r="F325" i="1" s="1"/>
  <c r="E335" i="1"/>
  <c r="F335" i="1" s="1"/>
  <c r="E348" i="1"/>
  <c r="F348" i="1" s="1"/>
  <c r="E352" i="1"/>
  <c r="F352" i="1" s="1"/>
  <c r="F242" i="1"/>
  <c r="F275" i="1"/>
  <c r="Q321" i="3"/>
  <c r="Q324" i="3"/>
  <c r="Q341" i="3"/>
  <c r="M348" i="3"/>
  <c r="G346" i="1" s="1"/>
  <c r="M362" i="3"/>
  <c r="G360" i="1" s="1"/>
  <c r="E185" i="1"/>
  <c r="E316" i="1"/>
  <c r="F316" i="1" s="1"/>
  <c r="E320" i="1"/>
  <c r="F320" i="1" s="1"/>
  <c r="E334" i="1"/>
  <c r="F334" i="1" s="1"/>
  <c r="F250" i="1"/>
  <c r="Q84" i="4"/>
  <c r="E85" i="1"/>
  <c r="E158" i="1"/>
  <c r="E167" i="1"/>
  <c r="E198" i="1"/>
  <c r="E212" i="1"/>
  <c r="E216" i="1"/>
  <c r="E293" i="1"/>
  <c r="F293" i="1" s="1"/>
  <c r="E297" i="1"/>
  <c r="F297" i="1" s="1"/>
  <c r="E302" i="1"/>
  <c r="F302" i="1" s="1"/>
  <c r="E311" i="1"/>
  <c r="F311" i="1" s="1"/>
  <c r="E324" i="1"/>
  <c r="F324" i="1" s="1"/>
  <c r="E347" i="1"/>
  <c r="E63" i="1"/>
  <c r="F63" i="1" s="1"/>
  <c r="Q98" i="3"/>
  <c r="M105" i="3"/>
  <c r="G103" i="1" s="1"/>
  <c r="F232" i="1"/>
  <c r="O336" i="3"/>
  <c r="E91" i="1"/>
  <c r="E140" i="1"/>
  <c r="E149" i="1"/>
  <c r="E154" i="1"/>
  <c r="E214" i="1"/>
  <c r="E219" i="1"/>
  <c r="F219" i="1" s="1"/>
  <c r="E224" i="1"/>
  <c r="F224" i="1" s="1"/>
  <c r="E241" i="1"/>
  <c r="F241" i="1" s="1"/>
  <c r="E118" i="1"/>
  <c r="E177" i="1"/>
  <c r="E218" i="1"/>
  <c r="F218" i="1" s="1"/>
  <c r="E223" i="1"/>
  <c r="E287" i="1"/>
  <c r="F287" i="1" s="1"/>
  <c r="E42" i="1"/>
  <c r="F42" i="1" s="1"/>
  <c r="E71" i="1"/>
  <c r="F71" i="1" s="1"/>
  <c r="G55" i="1"/>
  <c r="G61" i="1"/>
  <c r="Q88" i="3"/>
  <c r="Q136" i="3"/>
  <c r="Q139" i="3"/>
  <c r="Q142" i="3"/>
  <c r="Q148" i="3"/>
  <c r="M162" i="3"/>
  <c r="G160" i="1" s="1"/>
  <c r="M174" i="3"/>
  <c r="G172" i="1" s="1"/>
  <c r="M224" i="3"/>
  <c r="G222" i="1" s="1"/>
  <c r="Q229" i="3"/>
  <c r="Q232" i="3"/>
  <c r="M242" i="3"/>
  <c r="G240" i="1" s="1"/>
  <c r="F296" i="1"/>
  <c r="Q309" i="3"/>
  <c r="Q312" i="3"/>
  <c r="M334" i="3"/>
  <c r="G332" i="1" s="1"/>
  <c r="M340" i="3"/>
  <c r="G338" i="1" s="1"/>
  <c r="M368" i="3"/>
  <c r="G366" i="1" s="1"/>
  <c r="E28" i="1"/>
  <c r="E57" i="1"/>
  <c r="F57" i="1" s="1"/>
  <c r="E84" i="1"/>
  <c r="E90" i="1"/>
  <c r="E112" i="1"/>
  <c r="E148" i="1"/>
  <c r="Q213" i="4"/>
  <c r="E192" i="1"/>
  <c r="E197" i="1"/>
  <c r="E202" i="1"/>
  <c r="Q244" i="4"/>
  <c r="E240" i="1"/>
  <c r="F240" i="1" s="1"/>
  <c r="O32" i="3"/>
  <c r="G66" i="1"/>
  <c r="Q265" i="3"/>
  <c r="Q182" i="4"/>
  <c r="Q211" i="4"/>
  <c r="Q215" i="4" s="1"/>
  <c r="Q270" i="4"/>
  <c r="E356" i="1"/>
  <c r="F356" i="1" s="1"/>
  <c r="Q15" i="3"/>
  <c r="G28" i="1"/>
  <c r="Q69" i="3"/>
  <c r="Q87" i="3"/>
  <c r="M103" i="3"/>
  <c r="G101" i="1" s="1"/>
  <c r="Q127" i="3"/>
  <c r="M143" i="3"/>
  <c r="G141" i="1" s="1"/>
  <c r="M146" i="3"/>
  <c r="G144" i="1" s="1"/>
  <c r="M179" i="3"/>
  <c r="G177" i="1" s="1"/>
  <c r="Q190" i="3"/>
  <c r="Q225" i="3"/>
  <c r="Q228" i="3"/>
  <c r="Q237" i="3"/>
  <c r="M280" i="3"/>
  <c r="G278" i="1" s="1"/>
  <c r="M292" i="3"/>
  <c r="G290" i="1" s="1"/>
  <c r="Q302" i="3"/>
  <c r="O305" i="3"/>
  <c r="Q308" i="3"/>
  <c r="M356" i="3"/>
  <c r="G354" i="1" s="1"/>
  <c r="E27" i="1"/>
  <c r="E45" i="1"/>
  <c r="F45" i="1" s="1"/>
  <c r="E50" i="1"/>
  <c r="F50" i="1" s="1"/>
  <c r="E55" i="1"/>
  <c r="F55" i="1" s="1"/>
  <c r="E74" i="1"/>
  <c r="F74" i="1" s="1"/>
  <c r="E79" i="1"/>
  <c r="E83" i="1"/>
  <c r="E88" i="1"/>
  <c r="E156" i="1"/>
  <c r="E161" i="1"/>
  <c r="E166" i="1"/>
  <c r="E171" i="1"/>
  <c r="E186" i="1"/>
  <c r="E191" i="1"/>
  <c r="E196" i="1"/>
  <c r="E210" i="1"/>
  <c r="E211" i="1"/>
  <c r="E226" i="1"/>
  <c r="F226" i="1" s="1"/>
  <c r="E285" i="1"/>
  <c r="F285" i="1" s="1"/>
  <c r="E313" i="1"/>
  <c r="F313" i="1" s="1"/>
  <c r="E318" i="1"/>
  <c r="F318" i="1" s="1"/>
  <c r="E360" i="1"/>
  <c r="F360" i="1" s="1"/>
  <c r="E308" i="1"/>
  <c r="F308" i="1" s="1"/>
  <c r="E322" i="1"/>
  <c r="F322" i="1" s="1"/>
  <c r="E327" i="1"/>
  <c r="F327" i="1" s="1"/>
  <c r="E337" i="1"/>
  <c r="F337" i="1" s="1"/>
  <c r="E342" i="1"/>
  <c r="F342" i="1" s="1"/>
  <c r="E351" i="1"/>
  <c r="F351" i="1" s="1"/>
  <c r="E355" i="1"/>
  <c r="F355" i="1" s="1"/>
  <c r="Q171" i="3"/>
  <c r="Q174" i="3"/>
  <c r="Q186" i="3"/>
  <c r="Q189" i="3"/>
  <c r="M232" i="3"/>
  <c r="G230" i="1" s="1"/>
  <c r="F280" i="1"/>
  <c r="M312" i="3"/>
  <c r="G310" i="1" s="1"/>
  <c r="O337" i="3"/>
  <c r="E5" i="1"/>
  <c r="Q27" i="4"/>
  <c r="E9" i="1"/>
  <c r="E13" i="1"/>
  <c r="Q59" i="4"/>
  <c r="E60" i="1"/>
  <c r="F60" i="1" s="1"/>
  <c r="Q91" i="4"/>
  <c r="E82" i="1"/>
  <c r="Q85" i="4"/>
  <c r="E87" i="1"/>
  <c r="E92" i="1"/>
  <c r="E114" i="1"/>
  <c r="E145" i="1"/>
  <c r="E155" i="1"/>
  <c r="E160" i="1"/>
  <c r="E165" i="1"/>
  <c r="E170" i="1"/>
  <c r="E215" i="1"/>
  <c r="E220" i="1"/>
  <c r="F220" i="1" s="1"/>
  <c r="E225" i="1"/>
  <c r="F225" i="1" s="1"/>
  <c r="E271" i="1"/>
  <c r="F271" i="1" s="1"/>
  <c r="E284" i="1"/>
  <c r="E289" i="1"/>
  <c r="F289" i="1" s="1"/>
  <c r="E303" i="1"/>
  <c r="F303" i="1" s="1"/>
  <c r="E307" i="1"/>
  <c r="F307" i="1" s="1"/>
  <c r="E312" i="1"/>
  <c r="F312" i="1" s="1"/>
  <c r="E317" i="1"/>
  <c r="E326" i="1"/>
  <c r="F326" i="1" s="1"/>
  <c r="Q362" i="4"/>
  <c r="E346" i="1"/>
  <c r="F346" i="1" s="1"/>
  <c r="E365" i="1"/>
  <c r="F365" i="1" s="1"/>
  <c r="Q8" i="3"/>
  <c r="Q51" i="3"/>
  <c r="Q54" i="3"/>
  <c r="Q60" i="3"/>
  <c r="Q74" i="3"/>
  <c r="M91" i="3"/>
  <c r="G89" i="1" s="1"/>
  <c r="Q95" i="3"/>
  <c r="Q126" i="3"/>
  <c r="G16" i="1"/>
  <c r="Q36" i="3"/>
  <c r="Q39" i="3"/>
  <c r="Q42" i="3"/>
  <c r="M102" i="3"/>
  <c r="G100" i="1" s="1"/>
  <c r="M133" i="3"/>
  <c r="G131" i="1" s="1"/>
  <c r="M178" i="3"/>
  <c r="G176" i="1" s="1"/>
  <c r="Q209" i="3"/>
  <c r="O215" i="3"/>
  <c r="Q218" i="3"/>
  <c r="F223" i="1"/>
  <c r="O371" i="4"/>
  <c r="E17" i="1"/>
  <c r="E21" i="1"/>
  <c r="E59" i="1"/>
  <c r="F59" i="1" s="1"/>
  <c r="Q121" i="4"/>
  <c r="E96" i="1"/>
  <c r="E100" i="1"/>
  <c r="E104" i="1"/>
  <c r="Q148" i="4"/>
  <c r="E159" i="1"/>
  <c r="E164" i="1"/>
  <c r="E169" i="1"/>
  <c r="E174" i="1"/>
  <c r="E179" i="1"/>
  <c r="E180" i="1"/>
  <c r="E184" i="1"/>
  <c r="E189" i="1"/>
  <c r="E194" i="1"/>
  <c r="E199" i="1"/>
  <c r="E204" i="1"/>
  <c r="E208" i="1"/>
  <c r="E283" i="1"/>
  <c r="F283" i="1" s="1"/>
  <c r="E364" i="1"/>
  <c r="F364" i="1" s="1"/>
  <c r="E10" i="1"/>
  <c r="E128" i="1"/>
  <c r="E359" i="1"/>
  <c r="F359" i="1" s="1"/>
  <c r="F238" i="1"/>
  <c r="E14" i="1"/>
  <c r="E23" i="1"/>
  <c r="E43" i="1"/>
  <c r="F43" i="1" s="1"/>
  <c r="E48" i="1"/>
  <c r="F48" i="1" s="1"/>
  <c r="Q53" i="4"/>
  <c r="E94" i="1"/>
  <c r="E105" i="1"/>
  <c r="E110" i="1"/>
  <c r="E144" i="1"/>
  <c r="E209" i="1"/>
  <c r="E19" i="1"/>
  <c r="E69" i="1"/>
  <c r="F69" i="1" s="1"/>
  <c r="E136" i="1"/>
  <c r="E4" i="1"/>
  <c r="E54" i="1"/>
  <c r="F54" i="1" s="1"/>
  <c r="E68" i="1"/>
  <c r="F68" i="1" s="1"/>
  <c r="E73" i="1"/>
  <c r="F73" i="1" s="1"/>
  <c r="M87" i="4"/>
  <c r="E86" i="1"/>
  <c r="E116" i="1"/>
  <c r="E123" i="1"/>
  <c r="E127" i="1"/>
  <c r="E131" i="1"/>
  <c r="E135" i="1"/>
  <c r="E139" i="1"/>
  <c r="E151" i="1"/>
  <c r="E64" i="1"/>
  <c r="F64" i="1" s="1"/>
  <c r="M81" i="4"/>
  <c r="E80" i="1"/>
  <c r="E124" i="1"/>
  <c r="E306" i="1"/>
  <c r="F306" i="1" s="1"/>
  <c r="E18" i="1"/>
  <c r="E8" i="1"/>
  <c r="E22" i="1"/>
  <c r="E30" i="1"/>
  <c r="E36" i="1"/>
  <c r="F36" i="1" s="1"/>
  <c r="E47" i="1"/>
  <c r="F47" i="1" s="1"/>
  <c r="E93" i="1"/>
  <c r="E98" i="1"/>
  <c r="E109" i="1"/>
  <c r="E143" i="1"/>
  <c r="E183" i="1"/>
  <c r="P206" i="4"/>
  <c r="E206" i="1"/>
  <c r="E25" i="1"/>
  <c r="E119" i="1"/>
  <c r="E132" i="1"/>
  <c r="E146" i="1"/>
  <c r="F251" i="1"/>
  <c r="F259" i="1"/>
  <c r="E3" i="1"/>
  <c r="E12" i="1"/>
  <c r="E53" i="1"/>
  <c r="F53" i="1" s="1"/>
  <c r="E61" i="1"/>
  <c r="F61" i="1" s="1"/>
  <c r="E72" i="1"/>
  <c r="F72" i="1" s="1"/>
  <c r="M78" i="4"/>
  <c r="E77" i="1"/>
  <c r="E126" i="1"/>
  <c r="E130" i="1"/>
  <c r="E134" i="1"/>
  <c r="E138" i="1"/>
  <c r="P146" i="4"/>
  <c r="E150" i="1"/>
  <c r="E328" i="1"/>
  <c r="M90" i="4"/>
  <c r="E89" i="1"/>
  <c r="E7" i="1"/>
  <c r="E16" i="1"/>
  <c r="E35" i="1"/>
  <c r="F35" i="1" s="1"/>
  <c r="E40" i="1"/>
  <c r="F40" i="1" s="1"/>
  <c r="E51" i="1"/>
  <c r="F51" i="1" s="1"/>
  <c r="E97" i="1"/>
  <c r="E102" i="1"/>
  <c r="E113" i="1"/>
  <c r="E142" i="1"/>
  <c r="M363" i="4"/>
  <c r="E362" i="1"/>
  <c r="F362" i="1" s="1"/>
  <c r="F247" i="1"/>
  <c r="F267" i="1"/>
  <c r="F298" i="1"/>
  <c r="I371" i="4"/>
  <c r="E2" i="1"/>
  <c r="E11" i="1"/>
  <c r="E20" i="1"/>
  <c r="E26" i="1"/>
  <c r="E65" i="1"/>
  <c r="F65" i="1" s="1"/>
  <c r="M77" i="4"/>
  <c r="E76" i="1"/>
  <c r="M82" i="4"/>
  <c r="E81" i="1"/>
  <c r="E120" i="1"/>
  <c r="E125" i="1"/>
  <c r="E129" i="1"/>
  <c r="E133" i="1"/>
  <c r="E137" i="1"/>
  <c r="E147" i="1"/>
  <c r="E213" i="1"/>
  <c r="Q272" i="4"/>
  <c r="Q276" i="4" s="1"/>
  <c r="E331" i="1"/>
  <c r="F331" i="1" s="1"/>
  <c r="F230" i="1"/>
  <c r="E6" i="1"/>
  <c r="E15" i="1"/>
  <c r="E39" i="1"/>
  <c r="F39" i="1" s="1"/>
  <c r="E44" i="1"/>
  <c r="F44" i="1" s="1"/>
  <c r="E106" i="1"/>
  <c r="E141" i="1"/>
  <c r="E153" i="1"/>
  <c r="Q333" i="4"/>
  <c r="Q337" i="4" s="1"/>
  <c r="G4" i="1"/>
  <c r="G20" i="1"/>
  <c r="Q112" i="3"/>
  <c r="I110" i="1"/>
  <c r="M175" i="3"/>
  <c r="G173" i="1" s="1"/>
  <c r="Q211" i="3"/>
  <c r="I209" i="1"/>
  <c r="M219" i="3"/>
  <c r="G217" i="1" s="1"/>
  <c r="Q255" i="3"/>
  <c r="I253" i="1"/>
  <c r="M305" i="3"/>
  <c r="G303" i="1" s="1"/>
  <c r="Q326" i="3"/>
  <c r="I324" i="1"/>
  <c r="G33" i="1"/>
  <c r="G36" i="1"/>
  <c r="Q63" i="3"/>
  <c r="I61" i="1"/>
  <c r="M121" i="3"/>
  <c r="G119" i="1" s="1"/>
  <c r="Q129" i="3"/>
  <c r="I127" i="1"/>
  <c r="Q132" i="3"/>
  <c r="I130" i="1"/>
  <c r="M137" i="3"/>
  <c r="G135" i="1" s="1"/>
  <c r="Q145" i="3"/>
  <c r="I143" i="1"/>
  <c r="M150" i="3"/>
  <c r="G148" i="1" s="1"/>
  <c r="M153" i="3"/>
  <c r="G151" i="1" s="1"/>
  <c r="Q161" i="3"/>
  <c r="I159" i="1"/>
  <c r="M169" i="3"/>
  <c r="G167" i="1" s="1"/>
  <c r="Q177" i="3"/>
  <c r="I175" i="1"/>
  <c r="M185" i="3"/>
  <c r="G183" i="1" s="1"/>
  <c r="M188" i="3"/>
  <c r="G186" i="1" s="1"/>
  <c r="Q199" i="3"/>
  <c r="I197" i="1"/>
  <c r="Q202" i="3"/>
  <c r="Q212" i="3"/>
  <c r="M226" i="3"/>
  <c r="G224" i="1" s="1"/>
  <c r="Q234" i="3"/>
  <c r="I232" i="1"/>
  <c r="Q240" i="3"/>
  <c r="I238" i="1"/>
  <c r="Q243" i="3"/>
  <c r="I241" i="1"/>
  <c r="M248" i="3"/>
  <c r="G246" i="1" s="1"/>
  <c r="M251" i="3"/>
  <c r="G249" i="1" s="1"/>
  <c r="F249" i="1"/>
  <c r="Q253" i="3"/>
  <c r="Q256" i="3"/>
  <c r="Q259" i="3"/>
  <c r="I257" i="1"/>
  <c r="M264" i="3"/>
  <c r="G262" i="1" s="1"/>
  <c r="M267" i="3"/>
  <c r="G265" i="1" s="1"/>
  <c r="F265" i="1"/>
  <c r="Q269" i="3"/>
  <c r="O275" i="3"/>
  <c r="I273" i="1"/>
  <c r="M283" i="3"/>
  <c r="G281" i="1" s="1"/>
  <c r="Q291" i="3"/>
  <c r="I289" i="1"/>
  <c r="M299" i="3"/>
  <c r="G297" i="1" s="1"/>
  <c r="M306" i="3"/>
  <c r="G304" i="1" s="1"/>
  <c r="F304" i="1"/>
  <c r="M309" i="3"/>
  <c r="G307" i="1" s="1"/>
  <c r="Q314" i="3"/>
  <c r="I312" i="1"/>
  <c r="M322" i="3"/>
  <c r="G320" i="1" s="1"/>
  <c r="Q330" i="3"/>
  <c r="I328" i="1"/>
  <c r="Q342" i="3"/>
  <c r="Q345" i="3"/>
  <c r="Q348" i="3"/>
  <c r="I346" i="1"/>
  <c r="Q358" i="3"/>
  <c r="Q361" i="3"/>
  <c r="O367" i="3"/>
  <c r="I365" i="1"/>
  <c r="Q14" i="3"/>
  <c r="I12" i="1"/>
  <c r="M159" i="3"/>
  <c r="G157" i="1" s="1"/>
  <c r="Q167" i="3"/>
  <c r="I165" i="1"/>
  <c r="M273" i="3"/>
  <c r="G271" i="1" s="1"/>
  <c r="Q344" i="3"/>
  <c r="I342" i="1"/>
  <c r="Q45" i="3"/>
  <c r="I43" i="1"/>
  <c r="N31" i="3"/>
  <c r="I3" i="1"/>
  <c r="Q18" i="3"/>
  <c r="I16" i="1"/>
  <c r="G39" i="1"/>
  <c r="G46" i="1"/>
  <c r="Q56" i="3"/>
  <c r="I54" i="1"/>
  <c r="Q79" i="3"/>
  <c r="I77" i="1"/>
  <c r="M86" i="3"/>
  <c r="G84" i="1" s="1"/>
  <c r="Q91" i="3"/>
  <c r="I89" i="1"/>
  <c r="M98" i="3"/>
  <c r="G96" i="1" s="1"/>
  <c r="M108" i="3"/>
  <c r="G106" i="1" s="1"/>
  <c r="M114" i="3"/>
  <c r="G112" i="1" s="1"/>
  <c r="Q5" i="3"/>
  <c r="G8" i="1"/>
  <c r="Q11" i="3"/>
  <c r="I9" i="1"/>
  <c r="G17" i="1"/>
  <c r="Q21" i="3"/>
  <c r="G24" i="1"/>
  <c r="Q27" i="3"/>
  <c r="I25" i="1"/>
  <c r="Q30" i="3"/>
  <c r="G30" i="1"/>
  <c r="Q46" i="3"/>
  <c r="Q49" i="3"/>
  <c r="I47" i="1"/>
  <c r="G49" i="1"/>
  <c r="G52" i="1"/>
  <c r="G62" i="1"/>
  <c r="Q66" i="3"/>
  <c r="G69" i="1"/>
  <c r="Q72" i="3"/>
  <c r="I70" i="1"/>
  <c r="M80" i="3"/>
  <c r="G78" i="1" s="1"/>
  <c r="Q82" i="3"/>
  <c r="Q84" i="3"/>
  <c r="M89" i="3"/>
  <c r="G87" i="1" s="1"/>
  <c r="M92" i="3"/>
  <c r="G90" i="1" s="1"/>
  <c r="Q100" i="3"/>
  <c r="Q103" i="3"/>
  <c r="Q106" i="3"/>
  <c r="Q116" i="3"/>
  <c r="Q119" i="3"/>
  <c r="I117" i="1"/>
  <c r="O122" i="3"/>
  <c r="I120" i="1"/>
  <c r="Q135" i="3"/>
  <c r="Q138" i="3"/>
  <c r="I136" i="1"/>
  <c r="Q141" i="3"/>
  <c r="I139" i="1"/>
  <c r="M156" i="3"/>
  <c r="G154" i="1" s="1"/>
  <c r="Q164" i="3"/>
  <c r="I162" i="1"/>
  <c r="M172" i="3"/>
  <c r="G170" i="1" s="1"/>
  <c r="M191" i="3"/>
  <c r="G189" i="1" s="1"/>
  <c r="M200" i="3"/>
  <c r="G198" i="1" s="1"/>
  <c r="Q227" i="3"/>
  <c r="I225" i="1"/>
  <c r="M235" i="3"/>
  <c r="G233" i="1" s="1"/>
  <c r="F233" i="1"/>
  <c r="O246" i="3"/>
  <c r="I244" i="1"/>
  <c r="M254" i="3"/>
  <c r="G252" i="1" s="1"/>
  <c r="F252" i="1"/>
  <c r="Q262" i="3"/>
  <c r="I260" i="1"/>
  <c r="M270" i="3"/>
  <c r="G268" i="1" s="1"/>
  <c r="Q272" i="3"/>
  <c r="I270" i="1"/>
  <c r="M286" i="3"/>
  <c r="G284" i="1" s="1"/>
  <c r="F284" i="1"/>
  <c r="Q294" i="3"/>
  <c r="I292" i="1"/>
  <c r="M302" i="3"/>
  <c r="G300" i="1" s="1"/>
  <c r="Q304" i="3"/>
  <c r="O307" i="3"/>
  <c r="I305" i="1"/>
  <c r="Q317" i="3"/>
  <c r="Q323" i="3"/>
  <c r="I321" i="1"/>
  <c r="M331" i="3"/>
  <c r="G329" i="1" s="1"/>
  <c r="F329" i="1"/>
  <c r="O335" i="3"/>
  <c r="I333" i="1"/>
  <c r="M343" i="3"/>
  <c r="G341" i="1" s="1"/>
  <c r="M349" i="3"/>
  <c r="G347" i="1" s="1"/>
  <c r="F347" i="1"/>
  <c r="Q351" i="3"/>
  <c r="I349" i="1"/>
  <c r="M359" i="3"/>
  <c r="G357" i="1" s="1"/>
  <c r="Q319" i="3"/>
  <c r="I317" i="1"/>
  <c r="M327" i="3"/>
  <c r="G325" i="1" s="1"/>
  <c r="Q329" i="3"/>
  <c r="M333" i="3"/>
  <c r="G331" i="1" s="1"/>
  <c r="M336" i="3"/>
  <c r="G334" i="1" s="1"/>
  <c r="M339" i="3"/>
  <c r="G337" i="1" s="1"/>
  <c r="Q347" i="3"/>
  <c r="I345" i="1"/>
  <c r="M352" i="3"/>
  <c r="G350" i="1" s="1"/>
  <c r="M355" i="3"/>
  <c r="G353" i="1" s="1"/>
  <c r="F353" i="1"/>
  <c r="M361" i="3"/>
  <c r="G359" i="1" s="1"/>
  <c r="Q363" i="3"/>
  <c r="O366" i="3"/>
  <c r="I364" i="1"/>
  <c r="N120" i="3"/>
  <c r="I94" i="1"/>
  <c r="M142" i="3"/>
  <c r="G140" i="1" s="1"/>
  <c r="O183" i="3"/>
  <c r="I181" i="1"/>
  <c r="Q192" i="3"/>
  <c r="I190" i="1"/>
  <c r="Q201" i="3"/>
  <c r="I199" i="1"/>
  <c r="Q230" i="3"/>
  <c r="I228" i="1"/>
  <c r="M263" i="3"/>
  <c r="G261" i="1" s="1"/>
  <c r="M279" i="3"/>
  <c r="G277" i="1" s="1"/>
  <c r="F277" i="1"/>
  <c r="M318" i="3"/>
  <c r="G316" i="1" s="1"/>
  <c r="Q332" i="3"/>
  <c r="I330" i="1"/>
  <c r="Q29" i="3"/>
  <c r="I27" i="1"/>
  <c r="G45" i="1"/>
  <c r="Q65" i="3"/>
  <c r="Q102" i="3"/>
  <c r="I100" i="1"/>
  <c r="Q105" i="3"/>
  <c r="I103" i="1"/>
  <c r="M107" i="3"/>
  <c r="G105" i="1" s="1"/>
  <c r="Q144" i="3"/>
  <c r="Q157" i="3"/>
  <c r="Q160" i="3"/>
  <c r="I158" i="1"/>
  <c r="M165" i="3"/>
  <c r="G163" i="1" s="1"/>
  <c r="Q179" i="3"/>
  <c r="M184" i="3"/>
  <c r="G182" i="1" s="1"/>
  <c r="M193" i="3"/>
  <c r="G191" i="1" s="1"/>
  <c r="Q204" i="3"/>
  <c r="I202" i="1"/>
  <c r="Q207" i="3"/>
  <c r="I205" i="1"/>
  <c r="Q233" i="3"/>
  <c r="Q236" i="3"/>
  <c r="O274" i="3"/>
  <c r="I272" i="1"/>
  <c r="Q290" i="3"/>
  <c r="I288" i="1"/>
  <c r="Q303" i="3"/>
  <c r="M308" i="3"/>
  <c r="G306" i="1" s="1"/>
  <c r="Q316" i="3"/>
  <c r="Q7" i="3"/>
  <c r="Q10" i="3"/>
  <c r="I8" i="1"/>
  <c r="G13" i="1"/>
  <c r="Q23" i="3"/>
  <c r="Q26" i="3"/>
  <c r="I24" i="1"/>
  <c r="G32" i="1"/>
  <c r="Q38" i="3"/>
  <c r="I36" i="1"/>
  <c r="Q41" i="3"/>
  <c r="I39" i="1"/>
  <c r="G41" i="1"/>
  <c r="Q48" i="3"/>
  <c r="I46" i="1"/>
  <c r="Q58" i="3"/>
  <c r="Q68" i="3"/>
  <c r="Q71" i="3"/>
  <c r="I69" i="1"/>
  <c r="G74" i="1"/>
  <c r="Q86" i="3"/>
  <c r="I84" i="1"/>
  <c r="M94" i="3"/>
  <c r="G92" i="1" s="1"/>
  <c r="M97" i="3"/>
  <c r="G95" i="1" s="1"/>
  <c r="M100" i="3"/>
  <c r="G98" i="1" s="1"/>
  <c r="M106" i="3"/>
  <c r="G104" i="1" s="1"/>
  <c r="M110" i="3"/>
  <c r="G108" i="1" s="1"/>
  <c r="M113" i="3"/>
  <c r="G111" i="1" s="1"/>
  <c r="M116" i="3"/>
  <c r="G114" i="1" s="1"/>
  <c r="Q118" i="3"/>
  <c r="I116" i="1"/>
  <c r="O121" i="3"/>
  <c r="I119" i="1"/>
  <c r="Q124" i="3"/>
  <c r="I122" i="1"/>
  <c r="Q137" i="3"/>
  <c r="I135" i="1"/>
  <c r="Q140" i="3"/>
  <c r="I138" i="1"/>
  <c r="Q150" i="3"/>
  <c r="I148" i="1"/>
  <c r="O153" i="3"/>
  <c r="I151" i="1"/>
  <c r="M161" i="3"/>
  <c r="G159" i="1" s="1"/>
  <c r="Q163" i="3"/>
  <c r="M168" i="3"/>
  <c r="G166" i="1" s="1"/>
  <c r="Q169" i="3"/>
  <c r="I167" i="1"/>
  <c r="M177" i="3"/>
  <c r="G175" i="1" s="1"/>
  <c r="Q185" i="3"/>
  <c r="I183" i="1"/>
  <c r="Q188" i="3"/>
  <c r="I186" i="1"/>
  <c r="M199" i="3"/>
  <c r="G197" i="1" s="1"/>
  <c r="M202" i="3"/>
  <c r="G200" i="1" s="1"/>
  <c r="M212" i="3"/>
  <c r="G210" i="1" s="1"/>
  <c r="Q220" i="3"/>
  <c r="I218" i="1"/>
  <c r="Q226" i="3"/>
  <c r="I224" i="1"/>
  <c r="O245" i="3"/>
  <c r="Q248" i="3"/>
  <c r="Q251" i="3"/>
  <c r="I249" i="1"/>
  <c r="M256" i="3"/>
  <c r="G254" i="1" s="1"/>
  <c r="M259" i="3"/>
  <c r="G257" i="1" s="1"/>
  <c r="Q261" i="3"/>
  <c r="Q264" i="3"/>
  <c r="Q267" i="3"/>
  <c r="I265" i="1"/>
  <c r="Q271" i="3"/>
  <c r="M275" i="3"/>
  <c r="G273" i="1" s="1"/>
  <c r="F273" i="1"/>
  <c r="Q277" i="3"/>
  <c r="Q280" i="3"/>
  <c r="Q283" i="3"/>
  <c r="I281" i="1"/>
  <c r="M291" i="3"/>
  <c r="G289" i="1" s="1"/>
  <c r="Q293" i="3"/>
  <c r="Q296" i="3"/>
  <c r="Q299" i="3"/>
  <c r="I297" i="1"/>
  <c r="O306" i="3"/>
  <c r="I304" i="1"/>
  <c r="M311" i="3"/>
  <c r="G309" i="1" s="1"/>
  <c r="M314" i="3"/>
  <c r="G312" i="1" s="1"/>
  <c r="Q322" i="3"/>
  <c r="I320" i="1"/>
  <c r="M330" i="3"/>
  <c r="G328" i="1" s="1"/>
  <c r="F328" i="1"/>
  <c r="Q334" i="3"/>
  <c r="I332" i="1"/>
  <c r="Q340" i="3"/>
  <c r="I338" i="1"/>
  <c r="M342" i="3"/>
  <c r="G340" i="1" s="1"/>
  <c r="M345" i="3"/>
  <c r="G343" i="1" s="1"/>
  <c r="Q350" i="3"/>
  <c r="Q353" i="3"/>
  <c r="Q356" i="3"/>
  <c r="I354" i="1"/>
  <c r="M358" i="3"/>
  <c r="G356" i="1" s="1"/>
  <c r="M367" i="3"/>
  <c r="G365" i="1" s="1"/>
  <c r="Q75" i="3"/>
  <c r="I73" i="1"/>
  <c r="M206" i="3"/>
  <c r="G204" i="1" s="1"/>
  <c r="Q17" i="3"/>
  <c r="I15" i="1"/>
  <c r="Q20" i="3"/>
  <c r="G26" i="1"/>
  <c r="Q62" i="3"/>
  <c r="Q78" i="3"/>
  <c r="I76" i="1"/>
  <c r="M85" i="3"/>
  <c r="G83" i="1" s="1"/>
  <c r="Q99" i="3"/>
  <c r="M123" i="3"/>
  <c r="G121" i="1" s="1"/>
  <c r="Q147" i="3"/>
  <c r="M196" i="3"/>
  <c r="G194" i="1" s="1"/>
  <c r="Q223" i="3"/>
  <c r="I221" i="1"/>
  <c r="Q239" i="3"/>
  <c r="I237" i="1"/>
  <c r="Q242" i="3"/>
  <c r="M250" i="3"/>
  <c r="G248" i="1" s="1"/>
  <c r="F248" i="1"/>
  <c r="G9" i="1"/>
  <c r="G25" i="1"/>
  <c r="G47" i="1"/>
  <c r="Q61" i="3"/>
  <c r="I59" i="1"/>
  <c r="N90" i="3"/>
  <c r="I62" i="1"/>
  <c r="G70" i="1"/>
  <c r="Q80" i="3"/>
  <c r="I78" i="1"/>
  <c r="Q89" i="3"/>
  <c r="I87" i="1"/>
  <c r="Q92" i="3"/>
  <c r="I90" i="1"/>
  <c r="Q130" i="3"/>
  <c r="I128" i="1"/>
  <c r="Q133" i="3"/>
  <c r="I131" i="1"/>
  <c r="Q146" i="3"/>
  <c r="I144" i="1"/>
  <c r="M164" i="3"/>
  <c r="G162" i="1" s="1"/>
  <c r="Q172" i="3"/>
  <c r="I170" i="1"/>
  <c r="Q178" i="3"/>
  <c r="I176" i="1"/>
  <c r="Q191" i="3"/>
  <c r="I189" i="1"/>
  <c r="Q200" i="3"/>
  <c r="I198" i="1"/>
  <c r="M221" i="3"/>
  <c r="G219" i="1" s="1"/>
  <c r="M227" i="3"/>
  <c r="G225" i="1" s="1"/>
  <c r="Q235" i="3"/>
  <c r="I233" i="1"/>
  <c r="Q241" i="3"/>
  <c r="I239" i="1"/>
  <c r="M246" i="3"/>
  <c r="G244" i="1" s="1"/>
  <c r="Q254" i="3"/>
  <c r="I252" i="1"/>
  <c r="M262" i="3"/>
  <c r="G260" i="1" s="1"/>
  <c r="M272" i="3"/>
  <c r="G270" i="1" s="1"/>
  <c r="F270" i="1"/>
  <c r="Q286" i="3"/>
  <c r="I284" i="1"/>
  <c r="Q315" i="3"/>
  <c r="I313" i="1"/>
  <c r="M323" i="3"/>
  <c r="G321" i="1" s="1"/>
  <c r="F321" i="1"/>
  <c r="Q331" i="3"/>
  <c r="I329" i="1"/>
  <c r="M335" i="3"/>
  <c r="G333" i="1" s="1"/>
  <c r="F333" i="1"/>
  <c r="Q343" i="3"/>
  <c r="I341" i="1"/>
  <c r="M351" i="3"/>
  <c r="G349" i="1" s="1"/>
  <c r="F349" i="1"/>
  <c r="Q359" i="3"/>
  <c r="I357" i="1"/>
  <c r="Q362" i="3"/>
  <c r="I360" i="1"/>
  <c r="Q52" i="3"/>
  <c r="I50" i="1"/>
  <c r="Q83" i="3"/>
  <c r="I81" i="1"/>
  <c r="Q93" i="3"/>
  <c r="M120" i="3"/>
  <c r="G118" i="1" s="1"/>
  <c r="M136" i="3"/>
  <c r="G134" i="1" s="1"/>
  <c r="Q195" i="3"/>
  <c r="I193" i="1"/>
  <c r="M247" i="3"/>
  <c r="G245" i="1" s="1"/>
  <c r="Q287" i="3"/>
  <c r="I285" i="1"/>
  <c r="M295" i="3"/>
  <c r="G293" i="1" s="1"/>
  <c r="Q310" i="3"/>
  <c r="I308" i="1"/>
  <c r="Q338" i="3"/>
  <c r="I336" i="1"/>
  <c r="Q360" i="3"/>
  <c r="I358" i="1"/>
  <c r="M365" i="3"/>
  <c r="G363" i="1" s="1"/>
  <c r="G10" i="1"/>
  <c r="G35" i="1"/>
  <c r="Q55" i="3"/>
  <c r="G71" i="1"/>
  <c r="Q81" i="3"/>
  <c r="Q90" i="3"/>
  <c r="Q115" i="3"/>
  <c r="Q128" i="3"/>
  <c r="Q131" i="3"/>
  <c r="Q134" i="3"/>
  <c r="M139" i="3"/>
  <c r="G137" i="1" s="1"/>
  <c r="Q173" i="3"/>
  <c r="Q176" i="3"/>
  <c r="I174" i="1"/>
  <c r="Q198" i="3"/>
  <c r="O214" i="3"/>
  <c r="I212" i="1"/>
  <c r="M231" i="3"/>
  <c r="G229" i="1" s="1"/>
  <c r="F229" i="1"/>
  <c r="Q258" i="3"/>
  <c r="I256" i="1"/>
  <c r="M266" i="3"/>
  <c r="G264" i="1" s="1"/>
  <c r="F264" i="1"/>
  <c r="Q313" i="3"/>
  <c r="Q6" i="3"/>
  <c r="I4" i="1"/>
  <c r="G12" i="1"/>
  <c r="Q22" i="3"/>
  <c r="I20" i="1"/>
  <c r="G22" i="1"/>
  <c r="Q28" i="3"/>
  <c r="I26" i="1"/>
  <c r="G37" i="1"/>
  <c r="Q44" i="3"/>
  <c r="G50" i="1"/>
  <c r="Q57" i="3"/>
  <c r="G57" i="1"/>
  <c r="Q67" i="3"/>
  <c r="I65" i="1"/>
  <c r="G67" i="1"/>
  <c r="Q77" i="3"/>
  <c r="M87" i="3"/>
  <c r="G85" i="1" s="1"/>
  <c r="Q101" i="3"/>
  <c r="I99" i="1"/>
  <c r="Q104" i="3"/>
  <c r="I102" i="1"/>
  <c r="M109" i="3"/>
  <c r="G107" i="1" s="1"/>
  <c r="M119" i="3"/>
  <c r="G117" i="1" s="1"/>
  <c r="M122" i="3"/>
  <c r="G120" i="1" s="1"/>
  <c r="M125" i="3"/>
  <c r="G123" i="1" s="1"/>
  <c r="M128" i="3"/>
  <c r="G126" i="1" s="1"/>
  <c r="M134" i="3"/>
  <c r="G132" i="1" s="1"/>
  <c r="M138" i="3"/>
  <c r="G136" i="1" s="1"/>
  <c r="M141" i="3"/>
  <c r="G139" i="1" s="1"/>
  <c r="M144" i="3"/>
  <c r="G142" i="1" s="1"/>
  <c r="M151" i="3"/>
  <c r="G149" i="1" s="1"/>
  <c r="M154" i="3"/>
  <c r="G152" i="1" s="1"/>
  <c r="Q159" i="3"/>
  <c r="I157" i="1"/>
  <c r="Q162" i="3"/>
  <c r="M167" i="3"/>
  <c r="G165" i="1" s="1"/>
  <c r="M170" i="3"/>
  <c r="G168" i="1" s="1"/>
  <c r="Q175" i="3"/>
  <c r="I173" i="1"/>
  <c r="M183" i="3"/>
  <c r="G181" i="1" s="1"/>
  <c r="M186" i="3"/>
  <c r="G184" i="1" s="1"/>
  <c r="M192" i="3"/>
  <c r="G190" i="1" s="1"/>
  <c r="M201" i="3"/>
  <c r="G199" i="1" s="1"/>
  <c r="Q203" i="3"/>
  <c r="Q206" i="3"/>
  <c r="I204" i="1"/>
  <c r="M211" i="3"/>
  <c r="G209" i="1" s="1"/>
  <c r="O213" i="3"/>
  <c r="Q216" i="3"/>
  <c r="I214" i="1"/>
  <c r="Q238" i="3"/>
  <c r="I236" i="1"/>
  <c r="O244" i="3"/>
  <c r="Q247" i="3"/>
  <c r="I245" i="1"/>
  <c r="M255" i="3"/>
  <c r="G253" i="1" s="1"/>
  <c r="Q257" i="3"/>
  <c r="Q260" i="3"/>
  <c r="Q263" i="3"/>
  <c r="I261" i="1"/>
  <c r="Q270" i="3"/>
  <c r="Q273" i="3"/>
  <c r="I271" i="1"/>
  <c r="O276" i="3"/>
  <c r="Q279" i="3"/>
  <c r="I277" i="1"/>
  <c r="M284" i="3"/>
  <c r="G282" i="1" s="1"/>
  <c r="M287" i="3"/>
  <c r="G285" i="1" s="1"/>
  <c r="Q289" i="3"/>
  <c r="Q292" i="3"/>
  <c r="Q295" i="3"/>
  <c r="I293" i="1"/>
  <c r="M300" i="3"/>
  <c r="G298" i="1" s="1"/>
  <c r="M307" i="3"/>
  <c r="G305" i="1" s="1"/>
  <c r="M310" i="3"/>
  <c r="G308" i="1" s="1"/>
  <c r="M313" i="3"/>
  <c r="G311" i="1" s="1"/>
  <c r="Q318" i="3"/>
  <c r="I316" i="1"/>
  <c r="M326" i="3"/>
  <c r="G324" i="1" s="1"/>
  <c r="M332" i="3"/>
  <c r="G330" i="1" s="1"/>
  <c r="F330" i="1"/>
  <c r="M338" i="3"/>
  <c r="G336" i="1" s="1"/>
  <c r="F336" i="1"/>
  <c r="Q346" i="3"/>
  <c r="Q349" i="3"/>
  <c r="Q352" i="3"/>
  <c r="I350" i="1"/>
  <c r="M363" i="3"/>
  <c r="G361" i="1" s="1"/>
  <c r="F361" i="1"/>
  <c r="Q365" i="3"/>
  <c r="I363" i="1"/>
  <c r="O368" i="3"/>
  <c r="O33" i="3"/>
  <c r="I31" i="1"/>
  <c r="G65" i="1"/>
  <c r="Q109" i="3"/>
  <c r="I107" i="1"/>
  <c r="M126" i="3"/>
  <c r="G124" i="1" s="1"/>
  <c r="Q19" i="3"/>
  <c r="I17" i="1"/>
  <c r="G6" i="1"/>
  <c r="Q16" i="3"/>
  <c r="Q9" i="3"/>
  <c r="I7" i="1"/>
  <c r="Q12" i="3"/>
  <c r="G18" i="1"/>
  <c r="Q25" i="3"/>
  <c r="I23" i="1"/>
  <c r="G27" i="1"/>
  <c r="Q31" i="3"/>
  <c r="Q34" i="3"/>
  <c r="I32" i="1"/>
  <c r="Q37" i="3"/>
  <c r="I35" i="1"/>
  <c r="Q40" i="3"/>
  <c r="I38" i="1"/>
  <c r="Q47" i="3"/>
  <c r="Q50" i="3"/>
  <c r="Q53" i="3"/>
  <c r="I51" i="1"/>
  <c r="G53" i="1"/>
  <c r="G60" i="1"/>
  <c r="G63" i="1"/>
  <c r="Q70" i="3"/>
  <c r="I68" i="1"/>
  <c r="Q73" i="3"/>
  <c r="M78" i="3"/>
  <c r="G76" i="1" s="1"/>
  <c r="M81" i="3"/>
  <c r="Q85" i="3"/>
  <c r="M93" i="3"/>
  <c r="G91" i="1" s="1"/>
  <c r="Q94" i="3"/>
  <c r="I92" i="1"/>
  <c r="Q97" i="3"/>
  <c r="I95" i="1"/>
  <c r="M99" i="3"/>
  <c r="G97" i="1" s="1"/>
  <c r="Q107" i="3"/>
  <c r="Q110" i="3"/>
  <c r="I108" i="1"/>
  <c r="Q113" i="3"/>
  <c r="I111" i="1"/>
  <c r="M115" i="3"/>
  <c r="G113" i="1" s="1"/>
  <c r="Q117" i="3"/>
  <c r="Q120" i="3"/>
  <c r="O123" i="3"/>
  <c r="Q168" i="3"/>
  <c r="I166" i="1"/>
  <c r="M176" i="3"/>
  <c r="G174" i="1" s="1"/>
  <c r="O184" i="3"/>
  <c r="I182" i="1"/>
  <c r="Q187" i="3"/>
  <c r="I185" i="1"/>
  <c r="Q193" i="3"/>
  <c r="I191" i="1"/>
  <c r="Q196" i="3"/>
  <c r="I194" i="1"/>
  <c r="M204" i="3"/>
  <c r="G202" i="1" s="1"/>
  <c r="M207" i="3"/>
  <c r="G205" i="1" s="1"/>
  <c r="M214" i="3"/>
  <c r="G212" i="1" s="1"/>
  <c r="M217" i="3"/>
  <c r="G215" i="1" s="1"/>
  <c r="M223" i="3"/>
  <c r="G221" i="1" s="1"/>
  <c r="F221" i="1"/>
  <c r="Q231" i="3"/>
  <c r="I229" i="1"/>
  <c r="M239" i="3"/>
  <c r="G237" i="1" s="1"/>
  <c r="F237" i="1"/>
  <c r="Q250" i="3"/>
  <c r="I248" i="1"/>
  <c r="M258" i="3"/>
  <c r="G256" i="1" s="1"/>
  <c r="F256" i="1"/>
  <c r="Q266" i="3"/>
  <c r="I264" i="1"/>
  <c r="Q282" i="3"/>
  <c r="I280" i="1"/>
  <c r="Q298" i="3"/>
  <c r="I296" i="1"/>
  <c r="Q301" i="3"/>
  <c r="I299" i="1"/>
  <c r="Q311" i="3"/>
  <c r="I309" i="1"/>
  <c r="M319" i="3"/>
  <c r="G317" i="1" s="1"/>
  <c r="F317" i="1"/>
  <c r="Q327" i="3"/>
  <c r="I325" i="1"/>
  <c r="Q333" i="3"/>
  <c r="I331" i="1"/>
  <c r="M347" i="3"/>
  <c r="G345" i="1" s="1"/>
  <c r="Q355" i="3"/>
  <c r="I353" i="1"/>
  <c r="P24" i="4"/>
  <c r="K77" i="4"/>
  <c r="K81" i="4"/>
  <c r="K87" i="4"/>
  <c r="Q87" i="4"/>
  <c r="P114" i="4"/>
  <c r="Q24" i="4"/>
  <c r="P31" i="4"/>
  <c r="Q29" i="4"/>
  <c r="Q33" i="4" s="1"/>
  <c r="K80" i="4"/>
  <c r="K84" i="4"/>
  <c r="K86" i="4"/>
  <c r="Q114" i="4"/>
  <c r="Q117" i="4"/>
  <c r="P91" i="4"/>
  <c r="Q89" i="4"/>
  <c r="Q93" i="4" s="1"/>
  <c r="P52" i="4"/>
  <c r="Q55" i="4"/>
  <c r="P59" i="4"/>
  <c r="Q57" i="4"/>
  <c r="Q61" i="4" s="1"/>
  <c r="P84" i="4"/>
  <c r="Q176" i="4"/>
  <c r="Q175" i="4"/>
  <c r="Q119" i="4"/>
  <c r="Q123" i="4" s="1"/>
  <c r="Q150" i="4"/>
  <c r="Q154" i="4" s="1"/>
  <c r="Q209" i="4"/>
  <c r="Q240" i="4"/>
  <c r="Q242" i="4"/>
  <c r="Q246" i="4" s="1"/>
  <c r="Q267" i="4"/>
  <c r="Q268" i="4"/>
  <c r="P299" i="4"/>
  <c r="P298" i="4"/>
  <c r="P359" i="4"/>
  <c r="P175" i="4"/>
  <c r="Q178" i="4"/>
  <c r="Q31" i="4"/>
  <c r="Q180" i="4"/>
  <c r="Q184" i="4" s="1"/>
  <c r="Q237" i="4"/>
  <c r="Q206" i="4"/>
  <c r="Q238" i="4"/>
  <c r="Q274" i="4"/>
  <c r="P276" i="4"/>
  <c r="Q305" i="4"/>
  <c r="Q331" i="4"/>
  <c r="Q366" i="4"/>
  <c r="P238" i="4"/>
  <c r="P237" i="4"/>
  <c r="P268" i="4"/>
  <c r="P267" i="4"/>
  <c r="Q303" i="4"/>
  <c r="Q307" i="4" s="1"/>
  <c r="Q335" i="4"/>
  <c r="P307" i="4"/>
  <c r="P328" i="4"/>
  <c r="Q359" i="4"/>
  <c r="K360" i="4"/>
  <c r="Q298" i="4"/>
  <c r="Q299" i="4"/>
  <c r="Q301" i="4"/>
  <c r="K368" i="4"/>
  <c r="Q328" i="4"/>
  <c r="Q364" i="4"/>
  <c r="Q368" i="4" s="1"/>
  <c r="K367" i="4"/>
  <c r="G7" i="1"/>
  <c r="G23" i="1"/>
  <c r="G54" i="1"/>
  <c r="N240" i="3"/>
  <c r="Q217" i="3"/>
  <c r="N243" i="3"/>
  <c r="N334" i="3"/>
  <c r="I371" i="3"/>
  <c r="G31" i="1"/>
  <c r="G68" i="1"/>
  <c r="M117" i="3"/>
  <c r="G115" i="1" s="1"/>
  <c r="J371" i="3"/>
  <c r="N28" i="3"/>
  <c r="G29" i="1"/>
  <c r="G40" i="1"/>
  <c r="G51" i="1"/>
  <c r="G56" i="1"/>
  <c r="G59" i="1"/>
  <c r="G73" i="1"/>
  <c r="M90" i="3"/>
  <c r="N148" i="3"/>
  <c r="M129" i="3"/>
  <c r="G127" i="1" s="1"/>
  <c r="M131" i="3"/>
  <c r="G129" i="1" s="1"/>
  <c r="M145" i="3"/>
  <c r="G143" i="1" s="1"/>
  <c r="M147" i="3"/>
  <c r="G145" i="1" s="1"/>
  <c r="M149" i="3"/>
  <c r="G147" i="1" s="1"/>
  <c r="Q156" i="3"/>
  <c r="N181" i="3"/>
  <c r="N178" i="3"/>
  <c r="M158" i="3"/>
  <c r="M173" i="3"/>
  <c r="G171" i="1" s="1"/>
  <c r="M180" i="3"/>
  <c r="G178" i="1" s="1"/>
  <c r="M182" i="3"/>
  <c r="M190" i="3"/>
  <c r="G188" i="1" s="1"/>
  <c r="M198" i="3"/>
  <c r="G196" i="1" s="1"/>
  <c r="M228" i="3"/>
  <c r="G226" i="1" s="1"/>
  <c r="N331" i="3"/>
  <c r="G15" i="1"/>
  <c r="N59" i="3"/>
  <c r="N56" i="3"/>
  <c r="G43" i="1"/>
  <c r="N87" i="3"/>
  <c r="Q64" i="3"/>
  <c r="M101" i="3"/>
  <c r="G99" i="1" s="1"/>
  <c r="K371" i="3"/>
  <c r="G3" i="1"/>
  <c r="G19" i="1"/>
  <c r="G38" i="1"/>
  <c r="G42" i="1"/>
  <c r="G48" i="1"/>
  <c r="G75" i="1"/>
  <c r="M84" i="3"/>
  <c r="G82" i="1" s="1"/>
  <c r="M95" i="3"/>
  <c r="G93" i="1" s="1"/>
  <c r="M111" i="3"/>
  <c r="G109" i="1" s="1"/>
  <c r="M152" i="3"/>
  <c r="G150" i="1" s="1"/>
  <c r="M166" i="3"/>
  <c r="G164" i="1" s="1"/>
  <c r="M189" i="3"/>
  <c r="G187" i="1" s="1"/>
  <c r="M197" i="3"/>
  <c r="G195" i="1" s="1"/>
  <c r="M215" i="3"/>
  <c r="G213" i="1" s="1"/>
  <c r="M244" i="3"/>
  <c r="G242" i="1" s="1"/>
  <c r="M252" i="3"/>
  <c r="M260" i="3"/>
  <c r="G258" i="1" s="1"/>
  <c r="M268" i="3"/>
  <c r="G266" i="1" s="1"/>
  <c r="M288" i="3"/>
  <c r="G286" i="1" s="1"/>
  <c r="M324" i="3"/>
  <c r="G322" i="1" s="1"/>
  <c r="M96" i="3"/>
  <c r="G94" i="1" s="1"/>
  <c r="M104" i="3"/>
  <c r="G102" i="1" s="1"/>
  <c r="M112" i="3"/>
  <c r="G110" i="1" s="1"/>
  <c r="M118" i="3"/>
  <c r="G116" i="1" s="1"/>
  <c r="M124" i="3"/>
  <c r="G122" i="1" s="1"/>
  <c r="M132" i="3"/>
  <c r="G130" i="1" s="1"/>
  <c r="M140" i="3"/>
  <c r="G138" i="1" s="1"/>
  <c r="M148" i="3"/>
  <c r="G146" i="1" s="1"/>
  <c r="M181" i="3"/>
  <c r="G179" i="1" s="1"/>
  <c r="M222" i="3"/>
  <c r="M238" i="3"/>
  <c r="G236" i="1" s="1"/>
  <c r="M245" i="3"/>
  <c r="G243" i="1" s="1"/>
  <c r="M249" i="3"/>
  <c r="G247" i="1" s="1"/>
  <c r="M253" i="3"/>
  <c r="G251" i="1" s="1"/>
  <c r="M257" i="3"/>
  <c r="G255" i="1" s="1"/>
  <c r="M261" i="3"/>
  <c r="G259" i="1" s="1"/>
  <c r="M265" i="3"/>
  <c r="G263" i="1" s="1"/>
  <c r="M269" i="3"/>
  <c r="G267" i="1" s="1"/>
  <c r="M282" i="3"/>
  <c r="G280" i="1" s="1"/>
  <c r="M298" i="3"/>
  <c r="G296" i="1" s="1"/>
  <c r="G58" i="1"/>
  <c r="M82" i="3"/>
  <c r="G80" i="1" s="1"/>
  <c r="M88" i="3"/>
  <c r="N117" i="3"/>
  <c r="Q96" i="3"/>
  <c r="M155" i="3"/>
  <c r="G153" i="1" s="1"/>
  <c r="M163" i="3"/>
  <c r="G161" i="1" s="1"/>
  <c r="M171" i="3"/>
  <c r="G169" i="1" s="1"/>
  <c r="M187" i="3"/>
  <c r="M195" i="3"/>
  <c r="G193" i="1" s="1"/>
  <c r="M203" i="3"/>
  <c r="G201" i="1" s="1"/>
  <c r="M205" i="3"/>
  <c r="G203" i="1" s="1"/>
  <c r="M216" i="3"/>
  <c r="G214" i="1" s="1"/>
  <c r="M234" i="3"/>
  <c r="G232" i="1" s="1"/>
  <c r="M278" i="3"/>
  <c r="G276" i="1" s="1"/>
  <c r="N304" i="3"/>
  <c r="Q278" i="3"/>
  <c r="M294" i="3"/>
  <c r="G292" i="1" s="1"/>
  <c r="N151" i="3"/>
  <c r="Q125" i="3"/>
  <c r="M209" i="3"/>
  <c r="G207" i="1" s="1"/>
  <c r="M210" i="3"/>
  <c r="G208" i="1" s="1"/>
  <c r="M220" i="3"/>
  <c r="G218" i="1" s="1"/>
  <c r="M230" i="3"/>
  <c r="G228" i="1" s="1"/>
  <c r="M243" i="3"/>
  <c r="G241" i="1" s="1"/>
  <c r="M274" i="3"/>
  <c r="G272" i="1" s="1"/>
  <c r="M290" i="3"/>
  <c r="G288" i="1" s="1"/>
  <c r="N301" i="3"/>
  <c r="M303" i="3"/>
  <c r="G301" i="1" s="1"/>
  <c r="M315" i="3"/>
  <c r="M317" i="3"/>
  <c r="G315" i="1" s="1"/>
  <c r="M321" i="3"/>
  <c r="G319" i="1" s="1"/>
  <c r="M325" i="3"/>
  <c r="M329" i="3"/>
  <c r="G327" i="1" s="1"/>
  <c r="N362" i="3"/>
  <c r="N365" i="3"/>
  <c r="Q339" i="3"/>
  <c r="M354" i="3"/>
  <c r="G352" i="1" s="1"/>
  <c r="M357" i="3"/>
  <c r="G355" i="1" s="1"/>
  <c r="H371" i="3"/>
  <c r="L371" i="3"/>
  <c r="N212" i="3"/>
  <c r="N209" i="3"/>
  <c r="M213" i="3"/>
  <c r="G211" i="1" s="1"/>
  <c r="M225" i="3"/>
  <c r="M229" i="3"/>
  <c r="G227" i="1" s="1"/>
  <c r="M233" i="3"/>
  <c r="G231" i="1" s="1"/>
  <c r="M237" i="3"/>
  <c r="G235" i="1" s="1"/>
  <c r="N270" i="3"/>
  <c r="M271" i="3"/>
  <c r="G269" i="1" s="1"/>
  <c r="M277" i="3"/>
  <c r="G275" i="1" s="1"/>
  <c r="M281" i="3"/>
  <c r="G279" i="1" s="1"/>
  <c r="M285" i="3"/>
  <c r="G283" i="1" s="1"/>
  <c r="M289" i="3"/>
  <c r="G287" i="1" s="1"/>
  <c r="M293" i="3"/>
  <c r="G291" i="1" s="1"/>
  <c r="M297" i="3"/>
  <c r="G295" i="1" s="1"/>
  <c r="M301" i="3"/>
  <c r="G299" i="1" s="1"/>
  <c r="M304" i="3"/>
  <c r="G302" i="1" s="1"/>
  <c r="M337" i="3"/>
  <c r="G335" i="1" s="1"/>
  <c r="M341" i="3"/>
  <c r="M350" i="3"/>
  <c r="M353" i="3"/>
  <c r="G351" i="1" s="1"/>
  <c r="M366" i="3"/>
  <c r="G364" i="1" s="1"/>
  <c r="N273" i="3"/>
  <c r="O216" i="3" l="1"/>
  <c r="P246" i="4"/>
  <c r="P215" i="4"/>
  <c r="P93" i="4"/>
  <c r="N216" i="3"/>
  <c r="P154" i="4"/>
  <c r="P337" i="4"/>
  <c r="O334" i="3"/>
  <c r="G313" i="1"/>
  <c r="O270" i="3"/>
  <c r="G250" i="1"/>
  <c r="N62" i="3"/>
  <c r="O181" i="3"/>
  <c r="G180" i="1"/>
  <c r="O362" i="3"/>
  <c r="G348" i="1"/>
  <c r="O243" i="3"/>
  <c r="G223" i="1"/>
  <c r="O365" i="3"/>
  <c r="G339" i="1"/>
  <c r="O240" i="3"/>
  <c r="G220" i="1"/>
  <c r="O178" i="3"/>
  <c r="G156" i="1"/>
  <c r="O151" i="3"/>
  <c r="O56" i="3"/>
  <c r="G34" i="1"/>
  <c r="O148" i="3"/>
  <c r="G11" i="1"/>
  <c r="O331" i="3"/>
  <c r="G323" i="1"/>
  <c r="O212" i="3"/>
  <c r="G185" i="1"/>
  <c r="O90" i="3"/>
  <c r="G72" i="1"/>
  <c r="O87" i="3"/>
  <c r="G64" i="1"/>
  <c r="P123" i="4"/>
  <c r="P368" i="4"/>
  <c r="P61" i="4"/>
  <c r="P33" i="4"/>
  <c r="P184" i="4"/>
  <c r="O273" i="3"/>
  <c r="O31" i="3"/>
  <c r="O120" i="3"/>
  <c r="O117" i="3"/>
  <c r="O209" i="3"/>
  <c r="M371" i="3"/>
  <c r="O304" i="3"/>
  <c r="O301" i="3"/>
  <c r="O28" i="3"/>
  <c r="O59" i="3"/>
  <c r="O62" i="3" s="1"/>
  <c r="N93" i="3"/>
  <c r="O93" i="3" l="1"/>
</calcChain>
</file>

<file path=xl/sharedStrings.xml><?xml version="1.0" encoding="utf-8"?>
<sst xmlns="http://schemas.openxmlformats.org/spreadsheetml/2006/main" count="607" uniqueCount="77">
  <si>
    <t>Site Name</t>
  </si>
  <si>
    <t>Day</t>
  </si>
  <si>
    <t>Month</t>
  </si>
  <si>
    <t>Year</t>
  </si>
  <si>
    <t>Total Electricity Kwh</t>
  </si>
  <si>
    <t>Electricity Tariff ($/Kwh)</t>
  </si>
  <si>
    <t>Natural Gas $/m3</t>
  </si>
  <si>
    <t>Room Nights</t>
  </si>
  <si>
    <t>Total Guests</t>
  </si>
  <si>
    <t>Date</t>
  </si>
  <si>
    <t>CHP Reading m3</t>
  </si>
  <si>
    <t>Boiler Reading m3</t>
  </si>
  <si>
    <t>Kitchen Reading m3</t>
  </si>
  <si>
    <t>Laundry Reading m3</t>
  </si>
  <si>
    <t>Water Supplier Credit m3</t>
  </si>
  <si>
    <t>CHP Diffenece m3</t>
  </si>
  <si>
    <t>Boiler Difference m3</t>
  </si>
  <si>
    <t>Kitchen Difference m3</t>
  </si>
  <si>
    <t>Laundry Difference m3</t>
  </si>
  <si>
    <t>Water Difference m3</t>
  </si>
  <si>
    <t>Total Gas Consumption m3</t>
  </si>
  <si>
    <t>Total Water m3</t>
  </si>
  <si>
    <t>Total Gas m3</t>
  </si>
  <si>
    <t>Daily Average Water Consumption</t>
  </si>
  <si>
    <t>Daily Average Gas Consumption</t>
  </si>
  <si>
    <t>ISKI Aysonu</t>
  </si>
  <si>
    <t>Doğalgaz
Aysonu</t>
  </si>
  <si>
    <t xml:space="preserve">                                                 </t>
  </si>
  <si>
    <t xml:space="preserve">   </t>
  </si>
  <si>
    <t xml:space="preserve">      </t>
  </si>
  <si>
    <t xml:space="preserve">  </t>
  </si>
  <si>
    <t>TR1      (bilgisayarda)</t>
  </si>
  <si>
    <t>TR2        (bilgisayardan)</t>
  </si>
  <si>
    <t>Meter Reading(Active)KWh</t>
  </si>
  <si>
    <t>Reactive Reading KWh</t>
  </si>
  <si>
    <t>Capacitive Reading KWh</t>
  </si>
  <si>
    <t>Şebekeye</t>
  </si>
  <si>
    <t>Meter Multipier</t>
  </si>
  <si>
    <t>Şebekeden (kWh)</t>
  </si>
  <si>
    <t>Endüktif (kVAr)</t>
  </si>
  <si>
    <t>Reaktif Endüktif Oranı</t>
  </si>
  <si>
    <t>Kapasitif (kVAr)</t>
  </si>
  <si>
    <t>Reaktif Kapasitif Oranı</t>
  </si>
  <si>
    <t>Kojen Değeri</t>
  </si>
  <si>
    <t>Kojen (kWh)</t>
  </si>
  <si>
    <t>Ocak / Jan</t>
  </si>
  <si>
    <t>End.</t>
  </si>
  <si>
    <t>Kap.</t>
  </si>
  <si>
    <t>Cat Aylık</t>
  </si>
  <si>
    <t>Cat Günlük</t>
  </si>
  <si>
    <t>Bedaş Aylık</t>
  </si>
  <si>
    <t>Bedaş Günlük</t>
  </si>
  <si>
    <t>Tüketim TL</t>
  </si>
  <si>
    <t>Cat Birim TL</t>
  </si>
  <si>
    <t>Top. Tüketim TL</t>
  </si>
  <si>
    <t>Top. Bedaş kWh</t>
  </si>
  <si>
    <t>Bedaş Birim</t>
  </si>
  <si>
    <t>Şubat / Feb</t>
  </si>
  <si>
    <t>Bedaş Gün</t>
  </si>
  <si>
    <t>Cat Birim</t>
  </si>
  <si>
    <t>Mart / Mar</t>
  </si>
  <si>
    <t>Nisan / Apr</t>
  </si>
  <si>
    <t>Mayıs / May</t>
  </si>
  <si>
    <t>Haziran / Jan</t>
  </si>
  <si>
    <t>Temmuz / Jun</t>
  </si>
  <si>
    <t>Ağustos / Agu</t>
  </si>
  <si>
    <t>Eylül / Sep</t>
  </si>
  <si>
    <t>Ekim / Oct</t>
  </si>
  <si>
    <t>Kasım / Nov</t>
  </si>
  <si>
    <t>Aralık / Dec</t>
  </si>
  <si>
    <t>TOPLAM</t>
  </si>
  <si>
    <t>kWh</t>
  </si>
  <si>
    <t>Water Utility Supply (m3) m3</t>
  </si>
  <si>
    <t>Water Utility Supply (m3) $/m3</t>
  </si>
  <si>
    <t>Natual Gas (m3)</t>
  </si>
  <si>
    <t>Istanbul at the Bosphorus</t>
  </si>
  <si>
    <t>Kitchen sayacı değişti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</si>
</sst>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.000"/>
    <numFmt numFmtId="165" formatCode="#,##0.0"/>
    <numFmt numFmtId="166" formatCode="0.000"/>
    <numFmt numFmtId="167" formatCode="#,##0.00\ _Y_T_L"/>
    <numFmt numFmtId="168" formatCode="0.0000"/>
  </numFmts>
  <fonts count="2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 Narrow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  <charset val="162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10"/>
      <name val="Arial Narrow"/>
      <family val="2"/>
    </font>
    <font>
      <sz val="10"/>
      <color indexed="22"/>
      <name val="Arial"/>
      <family val="2"/>
    </font>
    <font>
      <sz val="9"/>
      <name val="Arial"/>
      <family val="2"/>
    </font>
    <font>
      <sz val="10"/>
      <color indexed="9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10"/>
      <color indexed="16"/>
      <name val="Arial"/>
      <family val="2"/>
    </font>
    <font>
      <b/>
      <sz val="10"/>
      <color indexed="15"/>
      <name val="Arial"/>
      <family val="2"/>
    </font>
    <font>
      <b/>
      <sz val="10"/>
      <name val="Arial"/>
      <family val="2"/>
    </font>
    <font>
      <sz val="10"/>
      <color indexed="59"/>
      <name val="Arial"/>
      <family val="2"/>
    </font>
    <font>
      <sz val="10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b/>
      <vertAlign val="subscript"/>
      <sz val="14"/>
      <name val="Arial"/>
      <family val="2"/>
    </font>
    <font>
      <b/>
      <vertAlign val="subscript"/>
      <sz val="16"/>
      <name val="Arial"/>
      <family val="2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0"/>
      <name val="Arial"/>
      <charset val="162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FFFF00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64"/>
      </right>
      <top style="thin">
        <color indexed="9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25" fillId="0" borderId="0"/>
    <xf numFmtId="0" fontId="26" fillId="0" borderId="0"/>
  </cellStyleXfs>
  <cellXfs count="208">
    <xf numFmtId="0" fontId="0" fillId="0" borderId="0" xfId="0"/>
    <xf numFmtId="0" fontId="0" fillId="0" borderId="0" xfId="0" applyAlignment="1">
      <alignment wrapText="1"/>
    </xf>
    <xf numFmtId="1" fontId="3" fillId="2" borderId="1" xfId="2" applyNumberFormat="1" applyFont="1" applyFill="1" applyBorder="1" applyAlignment="1">
      <alignment horizontal="center" vertical="center"/>
    </xf>
    <xf numFmtId="0" fontId="0" fillId="0" borderId="1" xfId="0" applyBorder="1"/>
    <xf numFmtId="1" fontId="3" fillId="0" borderId="1" xfId="1" applyNumberFormat="1" applyFont="1" applyBorder="1" applyAlignment="1">
      <alignment horizontal="center" wrapText="1"/>
    </xf>
    <xf numFmtId="0" fontId="0" fillId="0" borderId="1" xfId="0" applyFill="1" applyBorder="1" applyAlignment="1">
      <alignment horizontal="center"/>
    </xf>
    <xf numFmtId="0" fontId="0" fillId="0" borderId="0" xfId="0"/>
    <xf numFmtId="0" fontId="5" fillId="0" borderId="0" xfId="0" applyFont="1"/>
    <xf numFmtId="0" fontId="5" fillId="0" borderId="0" xfId="0" applyFont="1" applyAlignment="1">
      <alignment wrapText="1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14" fontId="10" fillId="4" borderId="6" xfId="0" applyNumberFormat="1" applyFont="1" applyFill="1" applyBorder="1" applyAlignment="1">
      <alignment wrapText="1"/>
    </xf>
    <xf numFmtId="0" fontId="10" fillId="4" borderId="7" xfId="0" applyFont="1" applyFill="1" applyBorder="1" applyAlignment="1">
      <alignment wrapText="1"/>
    </xf>
    <xf numFmtId="2" fontId="10" fillId="4" borderId="7" xfId="0" applyNumberFormat="1" applyFont="1" applyFill="1" applyBorder="1" applyAlignment="1">
      <alignment wrapText="1"/>
    </xf>
    <xf numFmtId="10" fontId="10" fillId="4" borderId="7" xfId="0" applyNumberFormat="1" applyFont="1" applyFill="1" applyBorder="1" applyAlignment="1">
      <alignment wrapText="1"/>
    </xf>
    <xf numFmtId="10" fontId="10" fillId="4" borderId="8" xfId="0" applyNumberFormat="1" applyFont="1" applyFill="1" applyBorder="1" applyAlignment="1">
      <alignment wrapText="1"/>
    </xf>
    <xf numFmtId="166" fontId="11" fillId="0" borderId="0" xfId="0" applyNumberFormat="1" applyFont="1" applyAlignment="1">
      <alignment wrapText="1"/>
    </xf>
    <xf numFmtId="0" fontId="12" fillId="0" borderId="0" xfId="0" applyFont="1" applyAlignment="1">
      <alignment wrapText="1"/>
    </xf>
    <xf numFmtId="0" fontId="2" fillId="0" borderId="0" xfId="0" applyFont="1" applyAlignment="1">
      <alignment wrapText="1"/>
    </xf>
    <xf numFmtId="14" fontId="9" fillId="0" borderId="9" xfId="0" applyNumberFormat="1" applyFont="1" applyBorder="1" applyAlignment="1">
      <alignment horizontal="center" vertical="center"/>
    </xf>
    <xf numFmtId="3" fontId="3" fillId="5" borderId="9" xfId="0" applyNumberFormat="1" applyFont="1" applyFill="1" applyBorder="1" applyAlignment="1">
      <alignment horizontal="center" vertical="center"/>
    </xf>
    <xf numFmtId="3" fontId="3" fillId="6" borderId="9" xfId="0" applyNumberFormat="1" applyFont="1" applyFill="1" applyBorder="1" applyAlignment="1">
      <alignment horizontal="center" vertical="center"/>
    </xf>
    <xf numFmtId="3" fontId="3" fillId="7" borderId="9" xfId="0" applyNumberFormat="1" applyFont="1" applyFill="1" applyBorder="1" applyAlignment="1">
      <alignment horizontal="center" vertical="center"/>
    </xf>
    <xf numFmtId="3" fontId="3" fillId="4" borderId="9" xfId="0" applyNumberFormat="1" applyFont="1" applyFill="1" applyBorder="1" applyAlignment="1">
      <alignment horizontal="center" vertical="center"/>
    </xf>
    <xf numFmtId="3" fontId="3" fillId="8" borderId="9" xfId="0" applyNumberFormat="1" applyFont="1" applyFill="1" applyBorder="1" applyAlignment="1">
      <alignment horizontal="center" vertical="center"/>
    </xf>
    <xf numFmtId="165" fontId="3" fillId="0" borderId="9" xfId="0" applyNumberFormat="1" applyFont="1" applyBorder="1" applyAlignment="1">
      <alignment horizontal="center" vertical="center"/>
    </xf>
    <xf numFmtId="1" fontId="9" fillId="9" borderId="1" xfId="0" applyNumberFormat="1" applyFont="1" applyFill="1" applyBorder="1" applyAlignment="1">
      <alignment horizontal="center" vertical="center"/>
    </xf>
    <xf numFmtId="165" fontId="9" fillId="10" borderId="1" xfId="0" applyNumberFormat="1" applyFont="1" applyFill="1" applyBorder="1" applyAlignment="1">
      <alignment horizontal="center" vertical="center"/>
    </xf>
    <xf numFmtId="165" fontId="8" fillId="0" borderId="0" xfId="0" applyNumberFormat="1" applyFont="1" applyAlignment="1">
      <alignment vertical="center"/>
    </xf>
    <xf numFmtId="165" fontId="13" fillId="11" borderId="13" xfId="0" applyNumberFormat="1" applyFont="1" applyFill="1" applyBorder="1" applyAlignment="1">
      <alignment vertical="center"/>
    </xf>
    <xf numFmtId="3" fontId="3" fillId="11" borderId="9" xfId="0" applyNumberFormat="1" applyFont="1" applyFill="1" applyBorder="1" applyAlignment="1">
      <alignment horizontal="center" vertical="center"/>
    </xf>
    <xf numFmtId="3" fontId="3" fillId="11" borderId="1" xfId="0" applyNumberFormat="1" applyFont="1" applyFill="1" applyBorder="1" applyAlignment="1">
      <alignment horizontal="center" vertical="center"/>
    </xf>
    <xf numFmtId="165" fontId="3" fillId="11" borderId="1" xfId="0" applyNumberFormat="1" applyFont="1" applyFill="1" applyBorder="1" applyAlignment="1">
      <alignment horizontal="center" vertical="center"/>
    </xf>
    <xf numFmtId="1" fontId="9" fillId="11" borderId="1" xfId="0" applyNumberFormat="1" applyFont="1" applyFill="1" applyBorder="1" applyAlignment="1">
      <alignment horizontal="center" vertical="center"/>
    </xf>
    <xf numFmtId="165" fontId="9" fillId="11" borderId="1" xfId="0" applyNumberFormat="1" applyFont="1" applyFill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65" fontId="3" fillId="11" borderId="9" xfId="0" applyNumberFormat="1" applyFont="1" applyFill="1" applyBorder="1" applyAlignment="1">
      <alignment horizontal="center" vertical="center"/>
    </xf>
    <xf numFmtId="165" fontId="6" fillId="0" borderId="0" xfId="0" applyNumberFormat="1" applyFont="1" applyAlignment="1">
      <alignment vertical="center"/>
    </xf>
    <xf numFmtId="3" fontId="3" fillId="5" borderId="1" xfId="0" applyNumberFormat="1" applyFont="1" applyFill="1" applyBorder="1" applyAlignment="1">
      <alignment horizontal="center" vertical="center"/>
    </xf>
    <xf numFmtId="3" fontId="9" fillId="11" borderId="9" xfId="0" applyNumberFormat="1" applyFont="1" applyFill="1" applyBorder="1" applyAlignment="1">
      <alignment horizontal="center" vertical="center"/>
    </xf>
    <xf numFmtId="14" fontId="6" fillId="0" borderId="0" xfId="0" applyNumberFormat="1" applyFont="1" applyAlignment="1">
      <alignment vertical="center"/>
    </xf>
    <xf numFmtId="2" fontId="6" fillId="0" borderId="0" xfId="0" applyNumberFormat="1" applyFont="1" applyAlignment="1">
      <alignment vertical="center"/>
    </xf>
    <xf numFmtId="0" fontId="6" fillId="12" borderId="0" xfId="0" applyFont="1" applyFill="1" applyAlignment="1">
      <alignment vertical="center"/>
    </xf>
    <xf numFmtId="165" fontId="3" fillId="0" borderId="0" xfId="0" applyNumberFormat="1" applyFont="1" applyAlignment="1">
      <alignment horizontal="center" vertical="center"/>
    </xf>
    <xf numFmtId="0" fontId="14" fillId="11" borderId="1" xfId="0" applyFont="1" applyFill="1" applyBorder="1" applyAlignment="1">
      <alignment horizontal="center" vertical="center" wrapText="1"/>
    </xf>
    <xf numFmtId="2" fontId="11" fillId="11" borderId="1" xfId="0" applyNumberFormat="1" applyFont="1" applyFill="1" applyBorder="1" applyAlignment="1">
      <alignment wrapText="1"/>
    </xf>
    <xf numFmtId="14" fontId="10" fillId="4" borderId="14" xfId="0" applyNumberFormat="1" applyFont="1" applyFill="1" applyBorder="1" applyAlignment="1">
      <alignment horizontal="center" wrapText="1"/>
    </xf>
    <xf numFmtId="0" fontId="10" fillId="4" borderId="15" xfId="0" applyFont="1" applyFill="1" applyBorder="1" applyAlignment="1">
      <alignment wrapText="1"/>
    </xf>
    <xf numFmtId="164" fontId="10" fillId="4" borderId="7" xfId="0" applyNumberFormat="1" applyFont="1" applyFill="1" applyBorder="1" applyAlignment="1">
      <alignment wrapText="1"/>
    </xf>
    <xf numFmtId="1" fontId="10" fillId="4" borderId="7" xfId="0" applyNumberFormat="1" applyFont="1" applyFill="1" applyBorder="1" applyAlignment="1">
      <alignment wrapText="1"/>
    </xf>
    <xf numFmtId="0" fontId="10" fillId="4" borderId="8" xfId="0" applyFont="1" applyFill="1" applyBorder="1" applyAlignment="1">
      <alignment wrapText="1"/>
    </xf>
    <xf numFmtId="14" fontId="15" fillId="12" borderId="16" xfId="0" applyNumberFormat="1" applyFont="1" applyFill="1" applyBorder="1" applyAlignment="1">
      <alignment horizontal="center" wrapText="1"/>
    </xf>
    <xf numFmtId="0" fontId="0" fillId="0" borderId="15" xfId="0" applyBorder="1" applyAlignment="1">
      <alignment wrapText="1"/>
    </xf>
    <xf numFmtId="164" fontId="3" fillId="13" borderId="9" xfId="0" applyNumberFormat="1" applyFont="1" applyFill="1" applyBorder="1" applyAlignment="1">
      <alignment horizontal="center" wrapText="1"/>
    </xf>
    <xf numFmtId="164" fontId="3" fillId="5" borderId="9" xfId="0" applyNumberFormat="1" applyFont="1" applyFill="1" applyBorder="1" applyAlignment="1">
      <alignment horizontal="center" wrapText="1"/>
    </xf>
    <xf numFmtId="164" fontId="3" fillId="6" borderId="9" xfId="0" applyNumberFormat="1" applyFont="1" applyFill="1" applyBorder="1" applyAlignment="1">
      <alignment horizontal="center" wrapText="1"/>
    </xf>
    <xf numFmtId="2" fontId="3" fillId="0" borderId="0" xfId="0" applyNumberFormat="1" applyFont="1" applyAlignment="1">
      <alignment horizontal="center" wrapText="1"/>
    </xf>
    <xf numFmtId="10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0" fontId="0" fillId="4" borderId="17" xfId="0" applyFill="1" applyBorder="1" applyAlignment="1">
      <alignment wrapText="1"/>
    </xf>
    <xf numFmtId="2" fontId="12" fillId="4" borderId="18" xfId="0" applyNumberFormat="1" applyFont="1" applyFill="1" applyBorder="1" applyAlignment="1">
      <alignment wrapText="1"/>
    </xf>
    <xf numFmtId="0" fontId="12" fillId="4" borderId="18" xfId="0" applyFont="1" applyFill="1" applyBorder="1" applyAlignment="1">
      <alignment wrapText="1"/>
    </xf>
    <xf numFmtId="2" fontId="2" fillId="0" borderId="0" xfId="0" applyNumberFormat="1" applyFont="1" applyAlignment="1">
      <alignment wrapText="1"/>
    </xf>
    <xf numFmtId="2" fontId="0" fillId="0" borderId="0" xfId="0" applyNumberFormat="1" applyAlignment="1">
      <alignment wrapText="1"/>
    </xf>
    <xf numFmtId="0" fontId="0" fillId="4" borderId="19" xfId="0" applyFill="1" applyBorder="1" applyAlignment="1">
      <alignment wrapText="1"/>
    </xf>
    <xf numFmtId="0" fontId="12" fillId="4" borderId="20" xfId="0" applyFont="1" applyFill="1" applyBorder="1" applyAlignment="1">
      <alignment wrapText="1"/>
    </xf>
    <xf numFmtId="0" fontId="17" fillId="15" borderId="9" xfId="0" applyFont="1" applyFill="1" applyBorder="1" applyAlignment="1">
      <alignment wrapText="1"/>
    </xf>
    <xf numFmtId="10" fontId="0" fillId="9" borderId="1" xfId="0" applyNumberFormat="1" applyFill="1" applyBorder="1" applyAlignment="1">
      <alignment wrapText="1"/>
    </xf>
    <xf numFmtId="10" fontId="18" fillId="9" borderId="22" xfId="0" applyNumberFormat="1" applyFont="1" applyFill="1" applyBorder="1" applyAlignment="1">
      <alignment wrapText="1"/>
    </xf>
    <xf numFmtId="0" fontId="19" fillId="16" borderId="23" xfId="0" applyFont="1" applyFill="1" applyBorder="1" applyAlignment="1">
      <alignment wrapText="1"/>
    </xf>
    <xf numFmtId="0" fontId="19" fillId="16" borderId="24" xfId="0" applyFont="1" applyFill="1" applyBorder="1" applyAlignment="1">
      <alignment wrapText="1"/>
    </xf>
    <xf numFmtId="1" fontId="19" fillId="16" borderId="25" xfId="0" applyNumberFormat="1" applyFont="1" applyFill="1" applyBorder="1" applyAlignment="1">
      <alignment wrapText="1"/>
    </xf>
    <xf numFmtId="1" fontId="19" fillId="16" borderId="26" xfId="0" applyNumberFormat="1" applyFont="1" applyFill="1" applyBorder="1" applyAlignment="1">
      <alignment wrapText="1"/>
    </xf>
    <xf numFmtId="0" fontId="19" fillId="14" borderId="23" xfId="0" applyFont="1" applyFill="1" applyBorder="1" applyAlignment="1">
      <alignment wrapText="1"/>
    </xf>
    <xf numFmtId="0" fontId="19" fillId="14" borderId="24" xfId="0" applyFont="1" applyFill="1" applyBorder="1" applyAlignment="1">
      <alignment wrapText="1"/>
    </xf>
    <xf numFmtId="1" fontId="19" fillId="14" borderId="27" xfId="0" applyNumberFormat="1" applyFont="1" applyFill="1" applyBorder="1" applyAlignment="1">
      <alignment wrapText="1"/>
    </xf>
    <xf numFmtId="1" fontId="19" fillId="14" borderId="28" xfId="0" applyNumberFormat="1" applyFont="1" applyFill="1" applyBorder="1" applyAlignment="1">
      <alignment wrapText="1"/>
    </xf>
    <xf numFmtId="0" fontId="2" fillId="11" borderId="6" xfId="0" applyFont="1" applyFill="1" applyBorder="1" applyAlignment="1">
      <alignment wrapText="1"/>
    </xf>
    <xf numFmtId="0" fontId="2" fillId="11" borderId="13" xfId="0" applyFont="1" applyFill="1" applyBorder="1" applyAlignment="1">
      <alignment wrapText="1"/>
    </xf>
    <xf numFmtId="167" fontId="17" fillId="11" borderId="12" xfId="0" applyNumberFormat="1" applyFont="1" applyFill="1" applyBorder="1" applyAlignment="1">
      <alignment wrapText="1"/>
    </xf>
    <xf numFmtId="168" fontId="17" fillId="11" borderId="12" xfId="0" applyNumberFormat="1" applyFont="1" applyFill="1" applyBorder="1" applyAlignment="1">
      <alignment wrapText="1"/>
    </xf>
    <xf numFmtId="10" fontId="18" fillId="0" borderId="0" xfId="0" applyNumberFormat="1" applyFont="1" applyAlignment="1">
      <alignment wrapText="1"/>
    </xf>
    <xf numFmtId="0" fontId="2" fillId="10" borderId="6" xfId="0" applyFont="1" applyFill="1" applyBorder="1" applyAlignment="1">
      <alignment wrapText="1"/>
    </xf>
    <xf numFmtId="0" fontId="2" fillId="10" borderId="13" xfId="0" applyFont="1" applyFill="1" applyBorder="1" applyAlignment="1">
      <alignment wrapText="1"/>
    </xf>
    <xf numFmtId="0" fontId="0" fillId="11" borderId="1" xfId="0" applyFill="1" applyBorder="1" applyAlignment="1">
      <alignment wrapText="1"/>
    </xf>
    <xf numFmtId="0" fontId="0" fillId="11" borderId="29" xfId="0" applyFill="1" applyBorder="1" applyAlignment="1">
      <alignment wrapText="1"/>
    </xf>
    <xf numFmtId="164" fontId="3" fillId="11" borderId="1" xfId="0" applyNumberFormat="1" applyFont="1" applyFill="1" applyBorder="1" applyAlignment="1">
      <alignment horizontal="center" wrapText="1"/>
    </xf>
    <xf numFmtId="2" fontId="3" fillId="11" borderId="1" xfId="0" applyNumberFormat="1" applyFont="1" applyFill="1" applyBorder="1" applyAlignment="1">
      <alignment horizontal="center" wrapText="1"/>
    </xf>
    <xf numFmtId="10" fontId="3" fillId="11" borderId="1" xfId="0" applyNumberFormat="1" applyFont="1" applyFill="1" applyBorder="1" applyAlignment="1">
      <alignment horizontal="center" wrapText="1"/>
    </xf>
    <xf numFmtId="1" fontId="3" fillId="11" borderId="1" xfId="0" applyNumberFormat="1" applyFont="1" applyFill="1" applyBorder="1" applyAlignment="1">
      <alignment horizontal="center" wrapText="1"/>
    </xf>
    <xf numFmtId="0" fontId="3" fillId="11" borderId="1" xfId="0" applyFont="1" applyFill="1" applyBorder="1" applyAlignment="1">
      <alignment horizontal="center" wrapText="1"/>
    </xf>
    <xf numFmtId="167" fontId="17" fillId="10" borderId="12" xfId="0" applyNumberFormat="1" applyFont="1" applyFill="1" applyBorder="1" applyAlignment="1">
      <alignment wrapText="1"/>
    </xf>
    <xf numFmtId="3" fontId="17" fillId="10" borderId="12" xfId="0" applyNumberFormat="1" applyFont="1" applyFill="1" applyBorder="1" applyAlignment="1">
      <alignment wrapText="1"/>
    </xf>
    <xf numFmtId="0" fontId="0" fillId="4" borderId="6" xfId="0" applyFill="1" applyBorder="1" applyAlignment="1">
      <alignment horizontal="left" wrapText="1"/>
    </xf>
    <xf numFmtId="0" fontId="0" fillId="4" borderId="8" xfId="0" applyFill="1" applyBorder="1" applyAlignment="1">
      <alignment horizontal="right" wrapText="1"/>
    </xf>
    <xf numFmtId="0" fontId="0" fillId="4" borderId="14" xfId="0" applyFill="1" applyBorder="1" applyAlignment="1">
      <alignment wrapText="1"/>
    </xf>
    <xf numFmtId="0" fontId="12" fillId="4" borderId="21" xfId="0" applyFont="1" applyFill="1" applyBorder="1" applyAlignment="1">
      <alignment wrapText="1"/>
    </xf>
    <xf numFmtId="0" fontId="20" fillId="4" borderId="1" xfId="0" applyFont="1" applyFill="1" applyBorder="1" applyAlignment="1">
      <alignment horizontal="left" wrapText="1"/>
    </xf>
    <xf numFmtId="0" fontId="17" fillId="4" borderId="1" xfId="0" applyFont="1" applyFill="1" applyBorder="1" applyAlignment="1">
      <alignment horizontal="right" wrapText="1"/>
    </xf>
    <xf numFmtId="0" fontId="20" fillId="4" borderId="1" xfId="0" applyFont="1" applyFill="1" applyBorder="1" applyAlignment="1">
      <alignment wrapText="1"/>
    </xf>
    <xf numFmtId="3" fontId="17" fillId="4" borderId="1" xfId="0" applyNumberFormat="1" applyFont="1" applyFill="1" applyBorder="1" applyAlignment="1">
      <alignment horizontal="right" wrapText="1"/>
    </xf>
    <xf numFmtId="0" fontId="0" fillId="4" borderId="18" xfId="0" applyFill="1" applyBorder="1" applyAlignment="1">
      <alignment wrapText="1"/>
    </xf>
    <xf numFmtId="0" fontId="0" fillId="4" borderId="20" xfId="0" applyFill="1" applyBorder="1" applyAlignment="1">
      <alignment wrapText="1"/>
    </xf>
    <xf numFmtId="0" fontId="0" fillId="11" borderId="0" xfId="0" applyFill="1" applyAlignment="1">
      <alignment wrapText="1"/>
    </xf>
    <xf numFmtId="167" fontId="17" fillId="10" borderId="2" xfId="0" applyNumberFormat="1" applyFont="1" applyFill="1" applyBorder="1" applyAlignment="1">
      <alignment wrapText="1"/>
    </xf>
    <xf numFmtId="3" fontId="17" fillId="10" borderId="20" xfId="0" applyNumberFormat="1" applyFont="1" applyFill="1" applyBorder="1" applyAlignment="1">
      <alignment wrapText="1"/>
    </xf>
    <xf numFmtId="2" fontId="0" fillId="4" borderId="17" xfId="0" applyNumberFormat="1" applyFill="1" applyBorder="1" applyAlignment="1">
      <alignment wrapText="1"/>
    </xf>
    <xf numFmtId="2" fontId="21" fillId="4" borderId="18" xfId="0" applyNumberFormat="1" applyFont="1" applyFill="1" applyBorder="1" applyAlignment="1">
      <alignment wrapText="1"/>
    </xf>
    <xf numFmtId="0" fontId="0" fillId="4" borderId="14" xfId="0" applyFill="1" applyBorder="1" applyAlignment="1">
      <alignment horizontal="left" wrapText="1"/>
    </xf>
    <xf numFmtId="0" fontId="0" fillId="4" borderId="21" xfId="0" applyFill="1" applyBorder="1" applyAlignment="1">
      <alignment horizontal="right" wrapText="1"/>
    </xf>
    <xf numFmtId="0" fontId="0" fillId="4" borderId="30" xfId="0" applyFill="1" applyBorder="1" applyAlignment="1">
      <alignment wrapText="1"/>
    </xf>
    <xf numFmtId="0" fontId="0" fillId="4" borderId="31" xfId="0" applyFill="1" applyBorder="1" applyAlignment="1">
      <alignment wrapText="1"/>
    </xf>
    <xf numFmtId="0" fontId="0" fillId="4" borderId="32" xfId="0" applyFill="1" applyBorder="1" applyAlignment="1">
      <alignment wrapText="1"/>
    </xf>
    <xf numFmtId="0" fontId="0" fillId="4" borderId="33" xfId="0" applyFill="1" applyBorder="1" applyAlignment="1">
      <alignment wrapText="1"/>
    </xf>
    <xf numFmtId="0" fontId="12" fillId="4" borderId="33" xfId="0" applyFont="1" applyFill="1" applyBorder="1" applyAlignment="1">
      <alignment wrapText="1"/>
    </xf>
    <xf numFmtId="2" fontId="12" fillId="4" borderId="33" xfId="0" applyNumberFormat="1" applyFont="1" applyFill="1" applyBorder="1" applyAlignment="1">
      <alignment wrapText="1"/>
    </xf>
    <xf numFmtId="0" fontId="0" fillId="4" borderId="34" xfId="0" applyFill="1" applyBorder="1" applyAlignment="1">
      <alignment wrapText="1"/>
    </xf>
    <xf numFmtId="0" fontId="0" fillId="4" borderId="35" xfId="0" applyFill="1" applyBorder="1" applyAlignment="1">
      <alignment wrapText="1"/>
    </xf>
    <xf numFmtId="0" fontId="20" fillId="4" borderId="36" xfId="0" applyFont="1" applyFill="1" applyBorder="1" applyAlignment="1">
      <alignment horizontal="left" wrapText="1"/>
    </xf>
    <xf numFmtId="0" fontId="17" fillId="4" borderId="37" xfId="0" applyFont="1" applyFill="1" applyBorder="1" applyAlignment="1">
      <alignment horizontal="right" wrapText="1"/>
    </xf>
    <xf numFmtId="0" fontId="20" fillId="4" borderId="38" xfId="0" applyFont="1" applyFill="1" applyBorder="1" applyAlignment="1">
      <alignment wrapText="1"/>
    </xf>
    <xf numFmtId="3" fontId="17" fillId="4" borderId="39" xfId="0" applyNumberFormat="1" applyFont="1" applyFill="1" applyBorder="1" applyAlignment="1">
      <alignment horizontal="right" wrapText="1"/>
    </xf>
    <xf numFmtId="0" fontId="20" fillId="4" borderId="40" xfId="0" applyFont="1" applyFill="1" applyBorder="1" applyAlignment="1">
      <alignment wrapText="1"/>
    </xf>
    <xf numFmtId="0" fontId="17" fillId="4" borderId="41" xfId="0" applyFont="1" applyFill="1" applyBorder="1" applyAlignment="1">
      <alignment horizontal="right" wrapText="1"/>
    </xf>
    <xf numFmtId="167" fontId="17" fillId="10" borderId="20" xfId="0" applyNumberFormat="1" applyFont="1" applyFill="1" applyBorder="1" applyAlignment="1">
      <alignment wrapText="1"/>
    </xf>
    <xf numFmtId="167" fontId="17" fillId="10" borderId="11" xfId="0" applyNumberFormat="1" applyFont="1" applyFill="1" applyBorder="1" applyAlignment="1">
      <alignment wrapText="1"/>
    </xf>
    <xf numFmtId="3" fontId="17" fillId="10" borderId="11" xfId="0" applyNumberFormat="1" applyFont="1" applyFill="1" applyBorder="1" applyAlignment="1">
      <alignment wrapText="1"/>
    </xf>
    <xf numFmtId="0" fontId="0" fillId="4" borderId="1" xfId="0" applyFill="1" applyBorder="1" applyAlignment="1">
      <alignment wrapText="1"/>
    </xf>
    <xf numFmtId="10" fontId="12" fillId="4" borderId="18" xfId="0" applyNumberFormat="1" applyFont="1" applyFill="1" applyBorder="1" applyAlignment="1">
      <alignment wrapText="1"/>
    </xf>
    <xf numFmtId="167" fontId="17" fillId="11" borderId="11" xfId="0" applyNumberFormat="1" applyFont="1" applyFill="1" applyBorder="1" applyAlignment="1">
      <alignment wrapText="1"/>
    </xf>
    <xf numFmtId="168" fontId="17" fillId="11" borderId="11" xfId="0" applyNumberFormat="1" applyFont="1" applyFill="1" applyBorder="1" applyAlignment="1">
      <alignment wrapText="1"/>
    </xf>
    <xf numFmtId="0" fontId="2" fillId="10" borderId="1" xfId="0" applyFont="1" applyFill="1" applyBorder="1" applyAlignment="1">
      <alignment wrapText="1"/>
    </xf>
    <xf numFmtId="0" fontId="3" fillId="11" borderId="29" xfId="0" applyFont="1" applyFill="1" applyBorder="1" applyAlignment="1">
      <alignment horizontal="center" wrapText="1"/>
    </xf>
    <xf numFmtId="167" fontId="17" fillId="10" borderId="1" xfId="0" applyNumberFormat="1" applyFont="1" applyFill="1" applyBorder="1" applyAlignment="1">
      <alignment wrapText="1"/>
    </xf>
    <xf numFmtId="3" fontId="17" fillId="10" borderId="1" xfId="0" applyNumberFormat="1" applyFont="1" applyFill="1" applyBorder="1" applyAlignment="1">
      <alignment wrapText="1"/>
    </xf>
    <xf numFmtId="0" fontId="0" fillId="4" borderId="17" xfId="0" applyFill="1" applyBorder="1" applyAlignment="1">
      <alignment horizontal="left" wrapText="1"/>
    </xf>
    <xf numFmtId="0" fontId="0" fillId="4" borderId="18" xfId="0" applyFill="1" applyBorder="1" applyAlignment="1">
      <alignment horizontal="right" wrapText="1"/>
    </xf>
    <xf numFmtId="14" fontId="15" fillId="12" borderId="0" xfId="0" applyNumberFormat="1" applyFont="1" applyFill="1" applyAlignment="1">
      <alignment horizontal="center" wrapText="1"/>
    </xf>
    <xf numFmtId="164" fontId="0" fillId="0" borderId="0" xfId="0" applyNumberFormat="1" applyAlignment="1">
      <alignment wrapText="1"/>
    </xf>
    <xf numFmtId="10" fontId="0" fillId="0" borderId="0" xfId="0" applyNumberFormat="1" applyAlignment="1">
      <alignment wrapText="1"/>
    </xf>
    <xf numFmtId="1" fontId="0" fillId="0" borderId="0" xfId="0" applyNumberFormat="1" applyAlignment="1">
      <alignment wrapText="1"/>
    </xf>
    <xf numFmtId="2" fontId="22" fillId="0" borderId="0" xfId="0" applyNumberFormat="1" applyFont="1" applyAlignment="1">
      <alignment wrapText="1"/>
    </xf>
    <xf numFmtId="1" fontId="23" fillId="0" borderId="0" xfId="0" applyNumberFormat="1" applyFont="1" applyAlignment="1">
      <alignment horizontal="center" wrapText="1"/>
    </xf>
    <xf numFmtId="164" fontId="17" fillId="0" borderId="0" xfId="0" applyNumberFormat="1" applyFont="1" applyAlignment="1">
      <alignment wrapText="1"/>
    </xf>
    <xf numFmtId="2" fontId="17" fillId="10" borderId="1" xfId="0" applyNumberFormat="1" applyFont="1" applyFill="1" applyBorder="1" applyAlignment="1">
      <alignment horizontal="left" wrapText="1"/>
    </xf>
    <xf numFmtId="3" fontId="17" fillId="10" borderId="29" xfId="0" applyNumberFormat="1" applyFont="1" applyFill="1" applyBorder="1" applyAlignment="1">
      <alignment wrapText="1"/>
    </xf>
    <xf numFmtId="3" fontId="17" fillId="10" borderId="42" xfId="0" applyNumberFormat="1" applyFont="1" applyFill="1" applyBorder="1" applyAlignment="1">
      <alignment wrapText="1"/>
    </xf>
    <xf numFmtId="2" fontId="17" fillId="0" borderId="0" xfId="0" applyNumberFormat="1" applyFont="1" applyAlignment="1">
      <alignment wrapText="1"/>
    </xf>
    <xf numFmtId="0" fontId="0" fillId="0" borderId="0" xfId="0" applyAlignment="1">
      <alignment horizontal="center" wrapText="1"/>
    </xf>
    <xf numFmtId="0" fontId="24" fillId="0" borderId="0" xfId="0" applyFont="1" applyAlignment="1">
      <alignment wrapText="1"/>
    </xf>
    <xf numFmtId="0" fontId="4" fillId="0" borderId="1" xfId="0" applyFont="1" applyBorder="1" applyAlignment="1">
      <alignment horizontal="center"/>
    </xf>
    <xf numFmtId="0" fontId="4" fillId="0" borderId="0" xfId="0" applyFont="1"/>
    <xf numFmtId="0" fontId="5" fillId="0" borderId="43" xfId="0" applyFont="1" applyBorder="1" applyAlignment="1">
      <alignment horizontal="center" vertical="top" wrapText="1"/>
    </xf>
    <xf numFmtId="0" fontId="24" fillId="0" borderId="43" xfId="0" applyFont="1" applyBorder="1" applyAlignment="1">
      <alignment horizontal="center" vertical="top" wrapText="1"/>
    </xf>
    <xf numFmtId="164" fontId="3" fillId="8" borderId="9" xfId="3" applyNumberFormat="1" applyFont="1" applyFill="1" applyBorder="1" applyAlignment="1">
      <alignment horizontal="center" wrapText="1"/>
    </xf>
    <xf numFmtId="164" fontId="3" fillId="13" borderId="9" xfId="3" applyNumberFormat="1" applyFont="1" applyFill="1" applyBorder="1" applyAlignment="1">
      <alignment horizontal="center" wrapText="1"/>
    </xf>
    <xf numFmtId="164" fontId="3" fillId="5" borderId="9" xfId="3" applyNumberFormat="1" applyFont="1" applyFill="1" applyBorder="1" applyAlignment="1">
      <alignment horizontal="center" wrapText="1"/>
    </xf>
    <xf numFmtId="164" fontId="3" fillId="6" borderId="9" xfId="3" applyNumberFormat="1" applyFont="1" applyFill="1" applyBorder="1" applyAlignment="1">
      <alignment horizontal="center" wrapText="1"/>
    </xf>
    <xf numFmtId="2" fontId="3" fillId="0" borderId="0" xfId="3" applyNumberFormat="1" applyFont="1" applyAlignment="1">
      <alignment horizontal="center" wrapText="1"/>
    </xf>
    <xf numFmtId="10" fontId="3" fillId="0" borderId="0" xfId="3" applyNumberFormat="1" applyFont="1" applyAlignment="1">
      <alignment horizontal="center" wrapText="1"/>
    </xf>
    <xf numFmtId="10" fontId="3" fillId="0" borderId="0" xfId="3" applyNumberFormat="1" applyFont="1" applyFill="1" applyAlignment="1">
      <alignment horizontal="center" wrapText="1"/>
    </xf>
    <xf numFmtId="1" fontId="3" fillId="0" borderId="0" xfId="3" applyNumberFormat="1" applyFont="1" applyAlignment="1">
      <alignment horizontal="center" wrapText="1"/>
    </xf>
    <xf numFmtId="164" fontId="3" fillId="11" borderId="1" xfId="3" applyNumberFormat="1" applyFont="1" applyFill="1" applyBorder="1" applyAlignment="1">
      <alignment horizontal="center" wrapText="1"/>
    </xf>
    <xf numFmtId="2" fontId="3" fillId="11" borderId="1" xfId="3" applyNumberFormat="1" applyFont="1" applyFill="1" applyBorder="1" applyAlignment="1">
      <alignment horizontal="center" wrapText="1"/>
    </xf>
    <xf numFmtId="10" fontId="3" fillId="11" borderId="1" xfId="3" applyNumberFormat="1" applyFont="1" applyFill="1" applyBorder="1" applyAlignment="1">
      <alignment horizontal="center" wrapText="1"/>
    </xf>
    <xf numFmtId="1" fontId="3" fillId="11" borderId="1" xfId="3" applyNumberFormat="1" applyFont="1" applyFill="1" applyBorder="1" applyAlignment="1">
      <alignment horizontal="center" wrapText="1"/>
    </xf>
    <xf numFmtId="0" fontId="3" fillId="11" borderId="1" xfId="3" applyFont="1" applyFill="1" applyBorder="1" applyAlignment="1">
      <alignment horizontal="center" wrapText="1"/>
    </xf>
    <xf numFmtId="164" fontId="3" fillId="11" borderId="9" xfId="3" applyNumberFormat="1" applyFont="1" applyFill="1" applyBorder="1" applyAlignment="1">
      <alignment horizontal="center" wrapText="1"/>
    </xf>
    <xf numFmtId="2" fontId="3" fillId="11" borderId="0" xfId="3" applyNumberFormat="1" applyFont="1" applyFill="1" applyAlignment="1">
      <alignment horizontal="center" wrapText="1"/>
    </xf>
    <xf numFmtId="3" fontId="3" fillId="11" borderId="1" xfId="3" applyNumberFormat="1" applyFont="1" applyFill="1" applyBorder="1" applyAlignment="1">
      <alignment horizontal="center" vertical="center"/>
    </xf>
    <xf numFmtId="165" fontId="3" fillId="11" borderId="1" xfId="3" applyNumberFormat="1" applyFont="1" applyFill="1" applyBorder="1" applyAlignment="1">
      <alignment horizontal="center" vertical="center"/>
    </xf>
    <xf numFmtId="3" fontId="3" fillId="5" borderId="9" xfId="3" applyNumberFormat="1" applyFont="1" applyFill="1" applyBorder="1" applyAlignment="1">
      <alignment horizontal="center" vertical="center"/>
    </xf>
    <xf numFmtId="3" fontId="3" fillId="6" borderId="9" xfId="3" applyNumberFormat="1" applyFont="1" applyFill="1" applyBorder="1" applyAlignment="1">
      <alignment horizontal="center" vertical="center"/>
    </xf>
    <xf numFmtId="3" fontId="3" fillId="7" borderId="9" xfId="3" applyNumberFormat="1" applyFont="1" applyFill="1" applyBorder="1" applyAlignment="1">
      <alignment horizontal="center" vertical="center"/>
    </xf>
    <xf numFmtId="3" fontId="3" fillId="4" borderId="9" xfId="3" applyNumberFormat="1" applyFont="1" applyFill="1" applyBorder="1" applyAlignment="1">
      <alignment horizontal="center" vertical="center"/>
    </xf>
    <xf numFmtId="3" fontId="3" fillId="8" borderId="9" xfId="3" applyNumberFormat="1" applyFont="1" applyFill="1" applyBorder="1" applyAlignment="1">
      <alignment horizontal="center" vertical="center"/>
    </xf>
    <xf numFmtId="165" fontId="3" fillId="0" borderId="9" xfId="3" applyNumberFormat="1" applyFont="1" applyBorder="1" applyAlignment="1">
      <alignment horizontal="center" vertical="center"/>
    </xf>
    <xf numFmtId="165" fontId="9" fillId="10" borderId="1" xfId="3" applyNumberFormat="1" applyFont="1" applyFill="1" applyBorder="1" applyAlignment="1">
      <alignment horizontal="center" vertical="center"/>
    </xf>
    <xf numFmtId="1" fontId="9" fillId="9" borderId="1" xfId="3" applyNumberFormat="1" applyFont="1" applyFill="1" applyBorder="1" applyAlignment="1">
      <alignment horizontal="center" vertical="center"/>
    </xf>
    <xf numFmtId="3" fontId="3" fillId="11" borderId="9" xfId="3" applyNumberFormat="1" applyFont="1" applyFill="1" applyBorder="1" applyAlignment="1">
      <alignment horizontal="center" vertical="center"/>
    </xf>
    <xf numFmtId="1" fontId="9" fillId="11" borderId="1" xfId="3" applyNumberFormat="1" applyFont="1" applyFill="1" applyBorder="1" applyAlignment="1">
      <alignment horizontal="center" vertical="center"/>
    </xf>
    <xf numFmtId="165" fontId="9" fillId="11" borderId="1" xfId="3" applyNumberFormat="1" applyFont="1" applyFill="1" applyBorder="1" applyAlignment="1">
      <alignment horizontal="center" vertical="center"/>
    </xf>
    <xf numFmtId="165" fontId="3" fillId="11" borderId="9" xfId="3" applyNumberFormat="1" applyFont="1" applyFill="1" applyBorder="1" applyAlignment="1">
      <alignment horizontal="center" vertical="center"/>
    </xf>
    <xf numFmtId="3" fontId="3" fillId="5" borderId="9" xfId="4" applyNumberFormat="1" applyFont="1" applyFill="1" applyBorder="1" applyAlignment="1">
      <alignment horizontal="center" vertical="center"/>
    </xf>
    <xf numFmtId="3" fontId="3" fillId="6" borderId="9" xfId="4" applyNumberFormat="1" applyFont="1" applyFill="1" applyBorder="1" applyAlignment="1">
      <alignment horizontal="center" vertical="center"/>
    </xf>
    <xf numFmtId="3" fontId="3" fillId="7" borderId="9" xfId="4" applyNumberFormat="1" applyFont="1" applyFill="1" applyBorder="1" applyAlignment="1">
      <alignment horizontal="center" vertical="center"/>
    </xf>
    <xf numFmtId="3" fontId="3" fillId="4" borderId="9" xfId="4" applyNumberFormat="1" applyFont="1" applyFill="1" applyBorder="1" applyAlignment="1">
      <alignment horizontal="center" vertical="center"/>
    </xf>
    <xf numFmtId="3" fontId="3" fillId="8" borderId="9" xfId="4" applyNumberFormat="1" applyFont="1" applyFill="1" applyBorder="1" applyAlignment="1">
      <alignment horizontal="center" vertical="center"/>
    </xf>
    <xf numFmtId="165" fontId="3" fillId="0" borderId="9" xfId="4" applyNumberFormat="1" applyFont="1" applyBorder="1" applyAlignment="1">
      <alignment horizontal="center" vertical="center"/>
    </xf>
    <xf numFmtId="165" fontId="9" fillId="10" borderId="1" xfId="4" applyNumberFormat="1" applyFont="1" applyFill="1" applyBorder="1" applyAlignment="1">
      <alignment horizontal="center" vertical="center"/>
    </xf>
    <xf numFmtId="1" fontId="9" fillId="9" borderId="1" xfId="4" applyNumberFormat="1" applyFont="1" applyFill="1" applyBorder="1" applyAlignment="1">
      <alignment horizontal="center" vertical="center"/>
    </xf>
    <xf numFmtId="164" fontId="3" fillId="8" borderId="9" xfId="0" applyNumberFormat="1" applyFont="1" applyFill="1" applyBorder="1" applyAlignment="1">
      <alignment horizontal="center" wrapText="1"/>
    </xf>
    <xf numFmtId="10" fontId="3" fillId="0" borderId="0" xfId="0" applyNumberFormat="1" applyFont="1" applyFill="1" applyAlignment="1">
      <alignment horizontal="center" wrapText="1"/>
    </xf>
    <xf numFmtId="165" fontId="3" fillId="17" borderId="1" xfId="0" applyNumberFormat="1" applyFont="1" applyFill="1" applyBorder="1" applyAlignment="1">
      <alignment horizontal="center" vertical="center"/>
    </xf>
    <xf numFmtId="165" fontId="3" fillId="17" borderId="9" xfId="0" applyNumberFormat="1" applyFont="1" applyFill="1" applyBorder="1" applyAlignment="1">
      <alignment horizontal="center" vertical="center"/>
    </xf>
    <xf numFmtId="0" fontId="9" fillId="3" borderId="10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16" fillId="14" borderId="14" xfId="0" applyFont="1" applyFill="1" applyBorder="1" applyAlignment="1">
      <alignment horizontal="center" vertical="center" wrapText="1"/>
    </xf>
    <xf numFmtId="0" fontId="16" fillId="14" borderId="21" xfId="0" applyFont="1" applyFill="1" applyBorder="1" applyAlignment="1">
      <alignment horizontal="center" vertical="center" wrapText="1"/>
    </xf>
    <xf numFmtId="0" fontId="16" fillId="14" borderId="19" xfId="0" applyFont="1" applyFill="1" applyBorder="1" applyAlignment="1">
      <alignment horizontal="center" vertical="center" wrapText="1"/>
    </xf>
    <xf numFmtId="0" fontId="16" fillId="14" borderId="20" xfId="0" applyFont="1" applyFill="1" applyBorder="1" applyAlignment="1">
      <alignment horizontal="center" vertical="center" wrapText="1"/>
    </xf>
    <xf numFmtId="0" fontId="16" fillId="14" borderId="17" xfId="0" applyFont="1" applyFill="1" applyBorder="1" applyAlignment="1">
      <alignment horizontal="center" vertical="center" wrapText="1"/>
    </xf>
    <xf numFmtId="0" fontId="16" fillId="14" borderId="18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1"/>
    <cellStyle name="Normal 3" xfId="2"/>
    <cellStyle name="Normal 4" xfId="3"/>
    <cellStyle name="Normal 5" xfId="4"/>
  </cellStyles>
  <dxfs count="7"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DOGALGAZ_SU_Tuketimi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ünlük Tüketim"/>
    </sheetNames>
    <sheetDataSet>
      <sheetData sheetId="0" refreshError="1">
        <row r="4">
          <cell r="H4">
            <v>0</v>
          </cell>
        </row>
        <row r="5">
          <cell r="H5">
            <v>0</v>
          </cell>
        </row>
        <row r="6">
          <cell r="H6">
            <v>0</v>
          </cell>
        </row>
        <row r="7">
          <cell r="H7">
            <v>0</v>
          </cell>
        </row>
        <row r="8">
          <cell r="H8">
            <v>0</v>
          </cell>
        </row>
        <row r="9">
          <cell r="H9">
            <v>0</v>
          </cell>
        </row>
        <row r="10">
          <cell r="H10">
            <v>0</v>
          </cell>
        </row>
        <row r="11">
          <cell r="H11">
            <v>0</v>
          </cell>
        </row>
        <row r="12">
          <cell r="H12">
            <v>0</v>
          </cell>
        </row>
        <row r="13">
          <cell r="H13">
            <v>0</v>
          </cell>
        </row>
        <row r="14">
          <cell r="H14">
            <v>0</v>
          </cell>
        </row>
        <row r="15">
          <cell r="H15">
            <v>0</v>
          </cell>
        </row>
        <row r="16">
          <cell r="H16">
            <v>0</v>
          </cell>
        </row>
        <row r="17">
          <cell r="H17">
            <v>0</v>
          </cell>
        </row>
        <row r="18">
          <cell r="H18">
            <v>0</v>
          </cell>
        </row>
        <row r="19">
          <cell r="H19">
            <v>0</v>
          </cell>
        </row>
        <row r="20">
          <cell r="H20">
            <v>0</v>
          </cell>
        </row>
        <row r="21">
          <cell r="H21">
            <v>0</v>
          </cell>
        </row>
        <row r="22">
          <cell r="H22">
            <v>0</v>
          </cell>
        </row>
        <row r="23">
          <cell r="H23">
            <v>0</v>
          </cell>
        </row>
        <row r="24">
          <cell r="H24">
            <v>0</v>
          </cell>
        </row>
        <row r="25">
          <cell r="H25">
            <v>0</v>
          </cell>
        </row>
        <row r="26">
          <cell r="H26">
            <v>0</v>
          </cell>
        </row>
        <row r="27">
          <cell r="H27">
            <v>0</v>
          </cell>
        </row>
        <row r="28">
          <cell r="H28">
            <v>0</v>
          </cell>
        </row>
        <row r="29">
          <cell r="H29">
            <v>0</v>
          </cell>
        </row>
        <row r="30">
          <cell r="H30">
            <v>0</v>
          </cell>
        </row>
        <row r="31">
          <cell r="H31">
            <v>0</v>
          </cell>
        </row>
        <row r="32">
          <cell r="H32">
            <v>0</v>
          </cell>
        </row>
        <row r="33">
          <cell r="H33">
            <v>0</v>
          </cell>
        </row>
        <row r="34">
          <cell r="H34">
            <v>0</v>
          </cell>
        </row>
        <row r="35">
          <cell r="H35">
            <v>0</v>
          </cell>
        </row>
        <row r="36">
          <cell r="H36">
            <v>0</v>
          </cell>
        </row>
        <row r="37">
          <cell r="H37">
            <v>0</v>
          </cell>
        </row>
        <row r="38">
          <cell r="H38">
            <v>0</v>
          </cell>
        </row>
        <row r="39">
          <cell r="H39">
            <v>0</v>
          </cell>
        </row>
        <row r="40">
          <cell r="H40">
            <v>0</v>
          </cell>
        </row>
        <row r="41">
          <cell r="H41">
            <v>0</v>
          </cell>
        </row>
        <row r="42">
          <cell r="H42">
            <v>0</v>
          </cell>
        </row>
        <row r="43">
          <cell r="H43">
            <v>0</v>
          </cell>
        </row>
        <row r="44">
          <cell r="H44">
            <v>0</v>
          </cell>
        </row>
        <row r="45">
          <cell r="H45">
            <v>0</v>
          </cell>
        </row>
        <row r="46">
          <cell r="H46">
            <v>0</v>
          </cell>
        </row>
        <row r="47">
          <cell r="H47">
            <v>0</v>
          </cell>
        </row>
        <row r="48">
          <cell r="H48">
            <v>0</v>
          </cell>
        </row>
        <row r="49">
          <cell r="H49">
            <v>0</v>
          </cell>
        </row>
        <row r="50">
          <cell r="H50">
            <v>0</v>
          </cell>
        </row>
        <row r="51">
          <cell r="H51">
            <v>0</v>
          </cell>
        </row>
        <row r="52">
          <cell r="H52">
            <v>0</v>
          </cell>
        </row>
        <row r="53">
          <cell r="H53">
            <v>0</v>
          </cell>
        </row>
        <row r="54">
          <cell r="H54">
            <v>0</v>
          </cell>
        </row>
        <row r="55">
          <cell r="H55">
            <v>0</v>
          </cell>
        </row>
        <row r="56">
          <cell r="H56">
            <v>0</v>
          </cell>
        </row>
        <row r="57">
          <cell r="H57">
            <v>0</v>
          </cell>
        </row>
        <row r="58">
          <cell r="H58">
            <v>0</v>
          </cell>
        </row>
        <row r="59">
          <cell r="H59">
            <v>0</v>
          </cell>
        </row>
        <row r="60">
          <cell r="H60">
            <v>0</v>
          </cell>
        </row>
        <row r="61">
          <cell r="H61">
            <v>0</v>
          </cell>
        </row>
        <row r="62">
          <cell r="H62">
            <v>0</v>
          </cell>
        </row>
        <row r="63">
          <cell r="H63">
            <v>0</v>
          </cell>
        </row>
        <row r="64">
          <cell r="H64">
            <v>0</v>
          </cell>
        </row>
        <row r="65">
          <cell r="H65">
            <v>0</v>
          </cell>
        </row>
        <row r="66">
          <cell r="H66">
            <v>0</v>
          </cell>
        </row>
        <row r="67">
          <cell r="H67">
            <v>0</v>
          </cell>
        </row>
        <row r="68">
          <cell r="H68">
            <v>0</v>
          </cell>
        </row>
        <row r="69">
          <cell r="H69">
            <v>0</v>
          </cell>
        </row>
        <row r="70">
          <cell r="H70">
            <v>0</v>
          </cell>
        </row>
        <row r="71">
          <cell r="H71">
            <v>0</v>
          </cell>
        </row>
        <row r="72">
          <cell r="H72">
            <v>0</v>
          </cell>
        </row>
        <row r="73">
          <cell r="H73">
            <v>0</v>
          </cell>
        </row>
        <row r="74">
          <cell r="H74">
            <v>0</v>
          </cell>
        </row>
        <row r="75">
          <cell r="H75">
            <v>0</v>
          </cell>
        </row>
        <row r="76">
          <cell r="H76">
            <v>0</v>
          </cell>
        </row>
        <row r="77">
          <cell r="H77">
            <v>0</v>
          </cell>
        </row>
        <row r="78">
          <cell r="H78">
            <v>0</v>
          </cell>
        </row>
        <row r="79">
          <cell r="H79">
            <v>0</v>
          </cell>
        </row>
        <row r="80">
          <cell r="H80">
            <v>0</v>
          </cell>
        </row>
        <row r="81">
          <cell r="H81">
            <v>0</v>
          </cell>
        </row>
        <row r="82">
          <cell r="H82">
            <v>0</v>
          </cell>
        </row>
        <row r="83">
          <cell r="H83">
            <v>0</v>
          </cell>
        </row>
        <row r="84">
          <cell r="H84">
            <v>0</v>
          </cell>
        </row>
        <row r="85">
          <cell r="H85">
            <v>0</v>
          </cell>
        </row>
        <row r="86">
          <cell r="H86">
            <v>0</v>
          </cell>
        </row>
        <row r="87">
          <cell r="H87">
            <v>0</v>
          </cell>
        </row>
        <row r="88">
          <cell r="H88">
            <v>0</v>
          </cell>
        </row>
        <row r="89">
          <cell r="H89">
            <v>0</v>
          </cell>
        </row>
        <row r="90">
          <cell r="H90">
            <v>0</v>
          </cell>
        </row>
        <row r="91">
          <cell r="H91">
            <v>0</v>
          </cell>
        </row>
        <row r="92">
          <cell r="H92">
            <v>0</v>
          </cell>
        </row>
        <row r="93">
          <cell r="H93">
            <v>0</v>
          </cell>
        </row>
        <row r="94">
          <cell r="H94">
            <v>0</v>
          </cell>
        </row>
        <row r="95">
          <cell r="H95">
            <v>0</v>
          </cell>
        </row>
        <row r="96">
          <cell r="H96">
            <v>0</v>
          </cell>
        </row>
        <row r="97">
          <cell r="H97">
            <v>0</v>
          </cell>
        </row>
        <row r="98">
          <cell r="H98">
            <v>0</v>
          </cell>
        </row>
        <row r="99">
          <cell r="H99">
            <v>0</v>
          </cell>
        </row>
        <row r="100">
          <cell r="H100">
            <v>0</v>
          </cell>
        </row>
        <row r="101">
          <cell r="H101">
            <v>0</v>
          </cell>
        </row>
        <row r="102">
          <cell r="H102">
            <v>0</v>
          </cell>
        </row>
        <row r="103">
          <cell r="H103">
            <v>0</v>
          </cell>
        </row>
        <row r="104">
          <cell r="H104">
            <v>0</v>
          </cell>
        </row>
        <row r="105">
          <cell r="H105">
            <v>0</v>
          </cell>
        </row>
        <row r="106">
          <cell r="H106">
            <v>0</v>
          </cell>
        </row>
        <row r="107">
          <cell r="H107">
            <v>0</v>
          </cell>
        </row>
        <row r="108">
          <cell r="H108">
            <v>0</v>
          </cell>
        </row>
        <row r="109">
          <cell r="H109">
            <v>0</v>
          </cell>
        </row>
        <row r="110">
          <cell r="H110">
            <v>0</v>
          </cell>
        </row>
        <row r="111">
          <cell r="H111">
            <v>0</v>
          </cell>
        </row>
        <row r="112">
          <cell r="H112">
            <v>0</v>
          </cell>
        </row>
        <row r="113">
          <cell r="H113">
            <v>0</v>
          </cell>
        </row>
        <row r="114">
          <cell r="H114">
            <v>0</v>
          </cell>
        </row>
        <row r="115">
          <cell r="H115">
            <v>0</v>
          </cell>
        </row>
        <row r="116">
          <cell r="H116">
            <v>0</v>
          </cell>
        </row>
        <row r="117">
          <cell r="H117">
            <v>0</v>
          </cell>
        </row>
        <row r="118">
          <cell r="H118">
            <v>0</v>
          </cell>
        </row>
        <row r="119">
          <cell r="H119">
            <v>0</v>
          </cell>
        </row>
        <row r="120">
          <cell r="H120">
            <v>0</v>
          </cell>
        </row>
        <row r="121">
          <cell r="H121">
            <v>0</v>
          </cell>
        </row>
        <row r="122">
          <cell r="H122">
            <v>0</v>
          </cell>
        </row>
        <row r="123">
          <cell r="H123">
            <v>0</v>
          </cell>
        </row>
        <row r="124">
          <cell r="H124">
            <v>0</v>
          </cell>
        </row>
        <row r="125">
          <cell r="H125">
            <v>0</v>
          </cell>
        </row>
        <row r="126">
          <cell r="H126">
            <v>0</v>
          </cell>
        </row>
        <row r="127">
          <cell r="H127">
            <v>0</v>
          </cell>
        </row>
        <row r="128">
          <cell r="H128">
            <v>0</v>
          </cell>
        </row>
        <row r="129">
          <cell r="H129">
            <v>0</v>
          </cell>
        </row>
        <row r="130">
          <cell r="H130">
            <v>0</v>
          </cell>
        </row>
        <row r="131">
          <cell r="H131">
            <v>0</v>
          </cell>
        </row>
        <row r="132">
          <cell r="H132">
            <v>0</v>
          </cell>
        </row>
        <row r="133">
          <cell r="H133">
            <v>0</v>
          </cell>
        </row>
        <row r="134">
          <cell r="H134">
            <v>0</v>
          </cell>
        </row>
        <row r="135">
          <cell r="H135">
            <v>0</v>
          </cell>
        </row>
        <row r="136">
          <cell r="H136">
            <v>0</v>
          </cell>
        </row>
        <row r="137">
          <cell r="H137">
            <v>0</v>
          </cell>
        </row>
        <row r="138">
          <cell r="H138">
            <v>0</v>
          </cell>
        </row>
        <row r="139">
          <cell r="H139">
            <v>0</v>
          </cell>
        </row>
        <row r="140">
          <cell r="H140">
            <v>0</v>
          </cell>
        </row>
        <row r="141">
          <cell r="H141">
            <v>0</v>
          </cell>
        </row>
        <row r="142">
          <cell r="H142">
            <v>0</v>
          </cell>
        </row>
        <row r="143">
          <cell r="H143">
            <v>0</v>
          </cell>
        </row>
        <row r="144">
          <cell r="H144">
            <v>0</v>
          </cell>
        </row>
        <row r="145">
          <cell r="H145">
            <v>0</v>
          </cell>
        </row>
        <row r="146">
          <cell r="H146">
            <v>0</v>
          </cell>
        </row>
        <row r="147">
          <cell r="H147">
            <v>0</v>
          </cell>
        </row>
        <row r="148">
          <cell r="H148">
            <v>0</v>
          </cell>
        </row>
        <row r="149">
          <cell r="H149">
            <v>0</v>
          </cell>
        </row>
        <row r="150">
          <cell r="H150">
            <v>0</v>
          </cell>
        </row>
        <row r="151">
          <cell r="H151">
            <v>0</v>
          </cell>
        </row>
        <row r="152">
          <cell r="H152">
            <v>0</v>
          </cell>
        </row>
        <row r="153">
          <cell r="H153">
            <v>0</v>
          </cell>
        </row>
        <row r="154">
          <cell r="H154">
            <v>0</v>
          </cell>
        </row>
        <row r="155">
          <cell r="H155">
            <v>0</v>
          </cell>
        </row>
        <row r="156">
          <cell r="H156">
            <v>0</v>
          </cell>
        </row>
        <row r="157">
          <cell r="H157">
            <v>0</v>
          </cell>
        </row>
        <row r="158">
          <cell r="H158">
            <v>0</v>
          </cell>
        </row>
        <row r="159">
          <cell r="H159">
            <v>0</v>
          </cell>
        </row>
        <row r="160">
          <cell r="H160">
            <v>0</v>
          </cell>
        </row>
        <row r="161">
          <cell r="H161">
            <v>0</v>
          </cell>
        </row>
        <row r="162">
          <cell r="H162">
            <v>0</v>
          </cell>
        </row>
        <row r="163">
          <cell r="H163">
            <v>0</v>
          </cell>
        </row>
        <row r="164">
          <cell r="H164">
            <v>0</v>
          </cell>
        </row>
        <row r="165">
          <cell r="H165">
            <v>0</v>
          </cell>
        </row>
        <row r="166">
          <cell r="H166">
            <v>0</v>
          </cell>
        </row>
        <row r="167">
          <cell r="H167">
            <v>0</v>
          </cell>
        </row>
        <row r="168">
          <cell r="H168">
            <v>0</v>
          </cell>
        </row>
        <row r="169">
          <cell r="H169">
            <v>0</v>
          </cell>
        </row>
        <row r="170">
          <cell r="H170">
            <v>0</v>
          </cell>
        </row>
        <row r="171">
          <cell r="H171">
            <v>0</v>
          </cell>
        </row>
        <row r="172">
          <cell r="H172">
            <v>0</v>
          </cell>
        </row>
        <row r="173">
          <cell r="H173">
            <v>0</v>
          </cell>
        </row>
        <row r="174">
          <cell r="H174">
            <v>0</v>
          </cell>
        </row>
        <row r="175">
          <cell r="H175">
            <v>0</v>
          </cell>
        </row>
        <row r="176">
          <cell r="H176">
            <v>0</v>
          </cell>
        </row>
        <row r="177">
          <cell r="H177">
            <v>0</v>
          </cell>
        </row>
        <row r="178">
          <cell r="H178">
            <v>0</v>
          </cell>
        </row>
        <row r="179">
          <cell r="H179">
            <v>0</v>
          </cell>
        </row>
        <row r="180">
          <cell r="H180">
            <v>0</v>
          </cell>
        </row>
        <row r="181">
          <cell r="H181">
            <v>0</v>
          </cell>
        </row>
        <row r="182">
          <cell r="H182">
            <v>0</v>
          </cell>
        </row>
        <row r="183">
          <cell r="H183">
            <v>0</v>
          </cell>
        </row>
        <row r="184">
          <cell r="H184">
            <v>0</v>
          </cell>
        </row>
        <row r="185">
          <cell r="H185">
            <v>0</v>
          </cell>
        </row>
        <row r="186">
          <cell r="H186">
            <v>0</v>
          </cell>
        </row>
        <row r="187">
          <cell r="H187">
            <v>0</v>
          </cell>
        </row>
        <row r="188">
          <cell r="H188">
            <v>0</v>
          </cell>
        </row>
        <row r="189">
          <cell r="H189">
            <v>0</v>
          </cell>
        </row>
        <row r="190">
          <cell r="H190">
            <v>0</v>
          </cell>
        </row>
        <row r="191">
          <cell r="H191">
            <v>0</v>
          </cell>
        </row>
        <row r="192">
          <cell r="H192">
            <v>2</v>
          </cell>
        </row>
        <row r="193">
          <cell r="H193">
            <v>0</v>
          </cell>
        </row>
        <row r="194">
          <cell r="H194">
            <v>0</v>
          </cell>
        </row>
        <row r="195">
          <cell r="H195">
            <v>0</v>
          </cell>
        </row>
        <row r="196">
          <cell r="H196">
            <v>0</v>
          </cell>
        </row>
        <row r="197">
          <cell r="H197">
            <v>0</v>
          </cell>
        </row>
        <row r="198">
          <cell r="H198">
            <v>0</v>
          </cell>
        </row>
        <row r="199">
          <cell r="H199">
            <v>0</v>
          </cell>
        </row>
        <row r="200">
          <cell r="H200">
            <v>0</v>
          </cell>
        </row>
        <row r="201">
          <cell r="H201">
            <v>0</v>
          </cell>
        </row>
        <row r="202">
          <cell r="H202">
            <v>0</v>
          </cell>
        </row>
        <row r="203">
          <cell r="H203">
            <v>0</v>
          </cell>
        </row>
        <row r="204">
          <cell r="H204">
            <v>0</v>
          </cell>
        </row>
        <row r="205">
          <cell r="H205">
            <v>0</v>
          </cell>
        </row>
        <row r="206">
          <cell r="H206">
            <v>0</v>
          </cell>
        </row>
        <row r="207">
          <cell r="H207">
            <v>0</v>
          </cell>
        </row>
        <row r="208">
          <cell r="H208">
            <v>0</v>
          </cell>
        </row>
        <row r="209">
          <cell r="H209">
            <v>0</v>
          </cell>
        </row>
        <row r="210">
          <cell r="H210">
            <v>0</v>
          </cell>
        </row>
        <row r="211">
          <cell r="H211">
            <v>0</v>
          </cell>
        </row>
        <row r="212">
          <cell r="H212">
            <v>0</v>
          </cell>
        </row>
        <row r="213">
          <cell r="H213">
            <v>0</v>
          </cell>
        </row>
        <row r="214">
          <cell r="H214">
            <v>0</v>
          </cell>
        </row>
        <row r="215">
          <cell r="H215">
            <v>0</v>
          </cell>
        </row>
        <row r="216">
          <cell r="H216">
            <v>0</v>
          </cell>
        </row>
        <row r="217">
          <cell r="H217">
            <v>0</v>
          </cell>
        </row>
        <row r="218">
          <cell r="H218">
            <v>0</v>
          </cell>
        </row>
        <row r="219">
          <cell r="H219">
            <v>0</v>
          </cell>
        </row>
        <row r="220">
          <cell r="H220">
            <v>0</v>
          </cell>
        </row>
        <row r="221">
          <cell r="H221">
            <v>0</v>
          </cell>
        </row>
        <row r="222">
          <cell r="H222">
            <v>0</v>
          </cell>
        </row>
        <row r="223">
          <cell r="H223">
            <v>0</v>
          </cell>
        </row>
        <row r="224">
          <cell r="H224">
            <v>0</v>
          </cell>
        </row>
        <row r="225">
          <cell r="H225">
            <v>0</v>
          </cell>
        </row>
        <row r="226">
          <cell r="H226">
            <v>0</v>
          </cell>
        </row>
        <row r="227">
          <cell r="H227">
            <v>0</v>
          </cell>
        </row>
        <row r="228">
          <cell r="H228">
            <v>0</v>
          </cell>
        </row>
        <row r="229">
          <cell r="H229">
            <v>0</v>
          </cell>
        </row>
        <row r="230">
          <cell r="H230">
            <v>0</v>
          </cell>
        </row>
        <row r="231">
          <cell r="H231">
            <v>0</v>
          </cell>
        </row>
        <row r="232">
          <cell r="H232">
            <v>0</v>
          </cell>
        </row>
        <row r="233">
          <cell r="H233">
            <v>0</v>
          </cell>
        </row>
        <row r="234">
          <cell r="H234">
            <v>0</v>
          </cell>
        </row>
        <row r="235">
          <cell r="H235">
            <v>0</v>
          </cell>
        </row>
        <row r="236">
          <cell r="H236">
            <v>0</v>
          </cell>
        </row>
        <row r="237">
          <cell r="H237">
            <v>0</v>
          </cell>
        </row>
        <row r="238">
          <cell r="H238">
            <v>0</v>
          </cell>
        </row>
        <row r="239">
          <cell r="H239">
            <v>0</v>
          </cell>
        </row>
        <row r="240">
          <cell r="H240">
            <v>0</v>
          </cell>
        </row>
        <row r="241">
          <cell r="H241">
            <v>0</v>
          </cell>
        </row>
        <row r="242">
          <cell r="H242">
            <v>0</v>
          </cell>
        </row>
        <row r="243">
          <cell r="H243">
            <v>0</v>
          </cell>
        </row>
        <row r="244">
          <cell r="H244">
            <v>0</v>
          </cell>
        </row>
        <row r="245">
          <cell r="H245">
            <v>0</v>
          </cell>
        </row>
        <row r="246">
          <cell r="H246">
            <v>0</v>
          </cell>
        </row>
        <row r="247">
          <cell r="H247">
            <v>0</v>
          </cell>
        </row>
        <row r="248">
          <cell r="H248">
            <v>0</v>
          </cell>
        </row>
        <row r="249">
          <cell r="H249">
            <v>0</v>
          </cell>
        </row>
        <row r="250">
          <cell r="H250">
            <v>0</v>
          </cell>
        </row>
        <row r="251">
          <cell r="H251">
            <v>0</v>
          </cell>
        </row>
        <row r="252">
          <cell r="H252">
            <v>0</v>
          </cell>
        </row>
        <row r="253">
          <cell r="H253">
            <v>0</v>
          </cell>
        </row>
        <row r="254">
          <cell r="H254">
            <v>0</v>
          </cell>
        </row>
        <row r="255">
          <cell r="H255">
            <v>0</v>
          </cell>
        </row>
        <row r="256">
          <cell r="H256">
            <v>0</v>
          </cell>
        </row>
        <row r="257">
          <cell r="H257">
            <v>0</v>
          </cell>
        </row>
        <row r="258">
          <cell r="H258">
            <v>0</v>
          </cell>
        </row>
        <row r="259">
          <cell r="H259">
            <v>0</v>
          </cell>
        </row>
        <row r="260">
          <cell r="H260">
            <v>0</v>
          </cell>
        </row>
        <row r="261">
          <cell r="H261">
            <v>0</v>
          </cell>
        </row>
        <row r="262">
          <cell r="H262">
            <v>0</v>
          </cell>
        </row>
        <row r="263">
          <cell r="H263">
            <v>0</v>
          </cell>
        </row>
        <row r="264">
          <cell r="H264">
            <v>0</v>
          </cell>
        </row>
        <row r="265">
          <cell r="H265">
            <v>0</v>
          </cell>
        </row>
        <row r="266">
          <cell r="H266">
            <v>0</v>
          </cell>
        </row>
        <row r="267">
          <cell r="H267">
            <v>0</v>
          </cell>
        </row>
        <row r="268">
          <cell r="H268">
            <v>0</v>
          </cell>
        </row>
        <row r="269">
          <cell r="H269">
            <v>0</v>
          </cell>
        </row>
        <row r="270">
          <cell r="H270">
            <v>0</v>
          </cell>
        </row>
        <row r="271">
          <cell r="H271">
            <v>0</v>
          </cell>
        </row>
        <row r="272">
          <cell r="H272">
            <v>0</v>
          </cell>
        </row>
        <row r="273">
          <cell r="H273">
            <v>0</v>
          </cell>
        </row>
        <row r="274">
          <cell r="H274">
            <v>0</v>
          </cell>
        </row>
        <row r="275">
          <cell r="H275">
            <v>0</v>
          </cell>
        </row>
        <row r="276">
          <cell r="H276">
            <v>0</v>
          </cell>
        </row>
        <row r="277">
          <cell r="H277">
            <v>0</v>
          </cell>
        </row>
        <row r="278">
          <cell r="H278">
            <v>0</v>
          </cell>
        </row>
        <row r="279">
          <cell r="H279">
            <v>0</v>
          </cell>
        </row>
        <row r="280">
          <cell r="H280">
            <v>0</v>
          </cell>
        </row>
        <row r="281">
          <cell r="H281">
            <v>0</v>
          </cell>
        </row>
        <row r="282">
          <cell r="H282">
            <v>0</v>
          </cell>
        </row>
        <row r="283">
          <cell r="H283">
            <v>0</v>
          </cell>
        </row>
        <row r="284">
          <cell r="H284">
            <v>0</v>
          </cell>
        </row>
        <row r="285">
          <cell r="H285">
            <v>0</v>
          </cell>
        </row>
        <row r="286">
          <cell r="H286">
            <v>0</v>
          </cell>
        </row>
        <row r="287">
          <cell r="H287">
            <v>0</v>
          </cell>
        </row>
        <row r="288">
          <cell r="H288">
            <v>0</v>
          </cell>
        </row>
        <row r="289">
          <cell r="H289">
            <v>0</v>
          </cell>
        </row>
        <row r="290">
          <cell r="H290">
            <v>0</v>
          </cell>
        </row>
        <row r="291">
          <cell r="H291">
            <v>0</v>
          </cell>
        </row>
        <row r="292">
          <cell r="H292">
            <v>0</v>
          </cell>
        </row>
        <row r="293">
          <cell r="H293">
            <v>0</v>
          </cell>
        </row>
        <row r="294">
          <cell r="H294">
            <v>0</v>
          </cell>
        </row>
        <row r="295">
          <cell r="H295">
            <v>0</v>
          </cell>
        </row>
        <row r="296">
          <cell r="H296">
            <v>0</v>
          </cell>
        </row>
        <row r="297">
          <cell r="H297">
            <v>0</v>
          </cell>
        </row>
        <row r="298">
          <cell r="H298">
            <v>0</v>
          </cell>
        </row>
        <row r="299">
          <cell r="H299">
            <v>0</v>
          </cell>
        </row>
        <row r="300">
          <cell r="H300">
            <v>0</v>
          </cell>
        </row>
        <row r="301">
          <cell r="H301">
            <v>0</v>
          </cell>
        </row>
        <row r="302">
          <cell r="H302">
            <v>0</v>
          </cell>
        </row>
        <row r="303">
          <cell r="H303">
            <v>0</v>
          </cell>
        </row>
        <row r="304">
          <cell r="H304">
            <v>0</v>
          </cell>
        </row>
        <row r="305">
          <cell r="H305">
            <v>0</v>
          </cell>
        </row>
        <row r="306">
          <cell r="H306">
            <v>0</v>
          </cell>
        </row>
        <row r="307">
          <cell r="H307">
            <v>0</v>
          </cell>
        </row>
        <row r="308">
          <cell r="H308">
            <v>0</v>
          </cell>
        </row>
        <row r="309">
          <cell r="H309">
            <v>0</v>
          </cell>
        </row>
        <row r="310">
          <cell r="H310">
            <v>0</v>
          </cell>
        </row>
        <row r="311">
          <cell r="H311">
            <v>0</v>
          </cell>
        </row>
        <row r="312">
          <cell r="H312">
            <v>0</v>
          </cell>
        </row>
        <row r="313">
          <cell r="H313">
            <v>0</v>
          </cell>
        </row>
        <row r="314">
          <cell r="H314">
            <v>0</v>
          </cell>
        </row>
        <row r="315">
          <cell r="H315">
            <v>0</v>
          </cell>
        </row>
        <row r="316">
          <cell r="H316">
            <v>0</v>
          </cell>
        </row>
        <row r="317">
          <cell r="H317">
            <v>0</v>
          </cell>
        </row>
        <row r="318">
          <cell r="H318">
            <v>0</v>
          </cell>
        </row>
        <row r="319">
          <cell r="H319">
            <v>0</v>
          </cell>
        </row>
        <row r="320">
          <cell r="H320">
            <v>0</v>
          </cell>
        </row>
        <row r="321">
          <cell r="H321">
            <v>0</v>
          </cell>
        </row>
        <row r="322">
          <cell r="H322">
            <v>0</v>
          </cell>
        </row>
        <row r="323">
          <cell r="H323">
            <v>0</v>
          </cell>
        </row>
        <row r="324">
          <cell r="H324">
            <v>0</v>
          </cell>
        </row>
        <row r="325">
          <cell r="H325">
            <v>0</v>
          </cell>
        </row>
        <row r="326">
          <cell r="H326">
            <v>0</v>
          </cell>
        </row>
        <row r="327">
          <cell r="H327">
            <v>0</v>
          </cell>
        </row>
        <row r="328">
          <cell r="H328">
            <v>0</v>
          </cell>
        </row>
        <row r="329">
          <cell r="H329">
            <v>0</v>
          </cell>
        </row>
        <row r="330">
          <cell r="H330">
            <v>0</v>
          </cell>
        </row>
        <row r="331">
          <cell r="H331">
            <v>0</v>
          </cell>
        </row>
        <row r="332">
          <cell r="H332">
            <v>0</v>
          </cell>
        </row>
        <row r="333">
          <cell r="H333">
            <v>0</v>
          </cell>
        </row>
        <row r="334">
          <cell r="H334">
            <v>0</v>
          </cell>
        </row>
        <row r="335">
          <cell r="H335">
            <v>0</v>
          </cell>
        </row>
        <row r="336">
          <cell r="H336">
            <v>0</v>
          </cell>
        </row>
        <row r="337">
          <cell r="H337">
            <v>0</v>
          </cell>
        </row>
        <row r="338">
          <cell r="H338">
            <v>0</v>
          </cell>
        </row>
        <row r="339">
          <cell r="H339">
            <v>0</v>
          </cell>
        </row>
        <row r="340">
          <cell r="H340">
            <v>0</v>
          </cell>
        </row>
        <row r="341">
          <cell r="H341">
            <v>0</v>
          </cell>
        </row>
        <row r="342">
          <cell r="H342">
            <v>0</v>
          </cell>
        </row>
        <row r="343">
          <cell r="H343">
            <v>0</v>
          </cell>
        </row>
        <row r="344">
          <cell r="H344">
            <v>0</v>
          </cell>
        </row>
        <row r="345">
          <cell r="H345">
            <v>0</v>
          </cell>
        </row>
        <row r="346">
          <cell r="H346">
            <v>0</v>
          </cell>
        </row>
        <row r="347">
          <cell r="H347">
            <v>0</v>
          </cell>
        </row>
        <row r="348">
          <cell r="H348">
            <v>0</v>
          </cell>
        </row>
        <row r="349">
          <cell r="H349">
            <v>0</v>
          </cell>
        </row>
        <row r="350">
          <cell r="H350">
            <v>0</v>
          </cell>
        </row>
        <row r="351">
          <cell r="H351">
            <v>0</v>
          </cell>
        </row>
        <row r="352">
          <cell r="H352">
            <v>0</v>
          </cell>
        </row>
        <row r="353">
          <cell r="H353">
            <v>0</v>
          </cell>
        </row>
        <row r="354">
          <cell r="H354">
            <v>0</v>
          </cell>
        </row>
        <row r="355">
          <cell r="H355">
            <v>0</v>
          </cell>
        </row>
        <row r="356">
          <cell r="H356">
            <v>0</v>
          </cell>
        </row>
        <row r="357">
          <cell r="H357">
            <v>0</v>
          </cell>
        </row>
        <row r="358">
          <cell r="H358">
            <v>0</v>
          </cell>
        </row>
        <row r="359">
          <cell r="H359">
            <v>0</v>
          </cell>
        </row>
        <row r="360">
          <cell r="H360">
            <v>0</v>
          </cell>
        </row>
        <row r="361">
          <cell r="H361">
            <v>0</v>
          </cell>
        </row>
        <row r="362">
          <cell r="H362">
            <v>0</v>
          </cell>
        </row>
        <row r="363">
          <cell r="H363">
            <v>0</v>
          </cell>
        </row>
        <row r="364">
          <cell r="H364">
            <v>0</v>
          </cell>
        </row>
        <row r="365">
          <cell r="H365">
            <v>0</v>
          </cell>
        </row>
        <row r="366">
          <cell r="H366">
            <v>0</v>
          </cell>
        </row>
        <row r="367">
          <cell r="H367">
            <v>0</v>
          </cell>
        </row>
        <row r="368">
          <cell r="H368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6"/>
  <sheetViews>
    <sheetView tabSelected="1" topLeftCell="A172" workbookViewId="0">
      <selection activeCell="Q216" sqref="Q216"/>
    </sheetView>
  </sheetViews>
  <sheetFormatPr defaultRowHeight="15" x14ac:dyDescent="0.25"/>
  <cols>
    <col min="1" max="1" width="23.42578125" customWidth="1"/>
    <col min="5" max="5" width="13.5703125" customWidth="1"/>
    <col min="6" max="6" width="11.85546875" style="154" customWidth="1"/>
    <col min="7" max="7" width="11.140625" customWidth="1"/>
    <col min="8" max="8" width="11" style="154" customWidth="1"/>
    <col min="9" max="9" width="11.5703125" customWidth="1"/>
    <col min="10" max="10" width="13.140625" style="154" customWidth="1"/>
    <col min="11" max="11" width="11.140625" customWidth="1"/>
    <col min="12" max="12" width="11.5703125" customWidth="1"/>
  </cols>
  <sheetData>
    <row r="1" spans="1:13" s="7" customFormat="1" ht="60" x14ac:dyDescent="0.25">
      <c r="A1" s="7" t="s">
        <v>0</v>
      </c>
      <c r="B1" s="7" t="s">
        <v>1</v>
      </c>
      <c r="C1" s="7" t="s">
        <v>2</v>
      </c>
      <c r="D1" s="7" t="s">
        <v>3</v>
      </c>
      <c r="E1" s="155" t="s">
        <v>4</v>
      </c>
      <c r="F1" s="156" t="s">
        <v>5</v>
      </c>
      <c r="G1" s="8" t="s">
        <v>74</v>
      </c>
      <c r="H1" s="152" t="s">
        <v>6</v>
      </c>
      <c r="I1" s="155" t="s">
        <v>72</v>
      </c>
      <c r="J1" s="156" t="s">
        <v>73</v>
      </c>
      <c r="K1" s="155" t="s">
        <v>7</v>
      </c>
      <c r="L1" s="155" t="s">
        <v>8</v>
      </c>
      <c r="M1" s="6"/>
    </row>
    <row r="2" spans="1:13" x14ac:dyDescent="0.25">
      <c r="A2" s="3" t="s">
        <v>75</v>
      </c>
      <c r="B2" s="3">
        <v>1</v>
      </c>
      <c r="C2" s="3">
        <v>1</v>
      </c>
      <c r="D2" s="3">
        <v>2021</v>
      </c>
      <c r="E2" s="4">
        <f>'Electricity '!I3+'Electricity '!O3</f>
        <v>20488.859999998404</v>
      </c>
      <c r="F2" s="153">
        <v>0.55000000000000004</v>
      </c>
      <c r="G2" s="4">
        <f>'Gas Water'!M4</f>
        <v>2196</v>
      </c>
      <c r="H2" s="153">
        <v>1.88</v>
      </c>
      <c r="I2" s="2">
        <f>'Gas Water'!L4</f>
        <v>128</v>
      </c>
      <c r="J2" s="153">
        <v>12.05</v>
      </c>
      <c r="K2" s="5">
        <v>88</v>
      </c>
      <c r="L2" s="5">
        <v>175</v>
      </c>
    </row>
    <row r="3" spans="1:13" x14ac:dyDescent="0.25">
      <c r="A3" s="3" t="s">
        <v>75</v>
      </c>
      <c r="B3" s="3">
        <v>2</v>
      </c>
      <c r="C3" s="3">
        <v>1</v>
      </c>
      <c r="D3" s="3">
        <v>2021</v>
      </c>
      <c r="E3" s="4">
        <f>'Electricity '!I4+'Electricity '!O4</f>
        <v>20646.180000000331</v>
      </c>
      <c r="F3" s="153">
        <v>0.55000000000000004</v>
      </c>
      <c r="G3" s="4">
        <f>'Gas Water'!M5</f>
        <v>2142</v>
      </c>
      <c r="H3" s="153">
        <v>1.88</v>
      </c>
      <c r="I3" s="2">
        <f>'Gas Water'!L5</f>
        <v>105</v>
      </c>
      <c r="J3" s="153">
        <v>12.05</v>
      </c>
      <c r="K3" s="5">
        <v>79</v>
      </c>
      <c r="L3" s="5">
        <v>157</v>
      </c>
    </row>
    <row r="4" spans="1:13" x14ac:dyDescent="0.25">
      <c r="A4" s="3" t="s">
        <v>75</v>
      </c>
      <c r="B4" s="3">
        <v>3</v>
      </c>
      <c r="C4" s="3">
        <v>1</v>
      </c>
      <c r="D4" s="3">
        <v>2021</v>
      </c>
      <c r="E4" s="4">
        <f>'Electricity '!I5+'Electricity '!O5</f>
        <v>20273.579999999729</v>
      </c>
      <c r="F4" s="153">
        <v>0.55000000000000004</v>
      </c>
      <c r="G4" s="4">
        <f>'Gas Water'!M6</f>
        <v>2437</v>
      </c>
      <c r="H4" s="153">
        <v>1.88</v>
      </c>
      <c r="I4" s="2">
        <f>'Gas Water'!L6</f>
        <v>104</v>
      </c>
      <c r="J4" s="153">
        <v>12.05</v>
      </c>
      <c r="K4" s="5">
        <v>65</v>
      </c>
      <c r="L4" s="5">
        <v>131</v>
      </c>
    </row>
    <row r="5" spans="1:13" x14ac:dyDescent="0.25">
      <c r="A5" s="3" t="s">
        <v>75</v>
      </c>
      <c r="B5" s="3">
        <v>4</v>
      </c>
      <c r="C5" s="3">
        <v>1</v>
      </c>
      <c r="D5" s="3">
        <v>2021</v>
      </c>
      <c r="E5" s="4">
        <f>'Electricity '!I6+'Electricity '!O6</f>
        <v>19412.460000001265</v>
      </c>
      <c r="F5" s="153">
        <v>0.55000000000000004</v>
      </c>
      <c r="G5" s="4">
        <f>'Gas Water'!M7</f>
        <v>2083</v>
      </c>
      <c r="H5" s="153">
        <v>1.88</v>
      </c>
      <c r="I5" s="2">
        <f>'Gas Water'!L7</f>
        <v>112</v>
      </c>
      <c r="J5" s="153">
        <v>12.05</v>
      </c>
      <c r="K5" s="5">
        <v>62</v>
      </c>
      <c r="L5" s="5">
        <v>118</v>
      </c>
    </row>
    <row r="6" spans="1:13" x14ac:dyDescent="0.25">
      <c r="A6" s="3" t="s">
        <v>75</v>
      </c>
      <c r="B6" s="3">
        <v>5</v>
      </c>
      <c r="C6" s="3">
        <v>1</v>
      </c>
      <c r="D6" s="3">
        <v>2021</v>
      </c>
      <c r="E6" s="4">
        <f>'Electricity '!I7+'Electricity '!O7</f>
        <v>20414.339999998283</v>
      </c>
      <c r="F6" s="153">
        <v>0.55000000000000004</v>
      </c>
      <c r="G6" s="4">
        <f>'Gas Water'!M8</f>
        <v>2135</v>
      </c>
      <c r="H6" s="153">
        <v>1.88</v>
      </c>
      <c r="I6" s="2">
        <f>'Gas Water'!L8</f>
        <v>100</v>
      </c>
      <c r="J6" s="153">
        <v>12.05</v>
      </c>
      <c r="K6" s="5">
        <v>70</v>
      </c>
      <c r="L6" s="5">
        <v>133</v>
      </c>
    </row>
    <row r="7" spans="1:13" x14ac:dyDescent="0.25">
      <c r="A7" s="3" t="s">
        <v>75</v>
      </c>
      <c r="B7" s="3">
        <v>6</v>
      </c>
      <c r="C7" s="3">
        <v>1</v>
      </c>
      <c r="D7" s="3">
        <v>2021</v>
      </c>
      <c r="E7" s="4">
        <f>'Electricity '!I8+'Electricity '!O8</f>
        <v>20815.920000001024</v>
      </c>
      <c r="F7" s="153">
        <v>0.55000000000000004</v>
      </c>
      <c r="G7" s="4">
        <f>'Gas Water'!M9</f>
        <v>2200</v>
      </c>
      <c r="H7" s="153">
        <v>1.88</v>
      </c>
      <c r="I7" s="2">
        <f>'Gas Water'!L9</f>
        <v>113</v>
      </c>
      <c r="J7" s="153">
        <v>12.05</v>
      </c>
      <c r="K7" s="5">
        <v>81</v>
      </c>
      <c r="L7" s="5">
        <v>147</v>
      </c>
    </row>
    <row r="8" spans="1:13" x14ac:dyDescent="0.25">
      <c r="A8" s="3" t="s">
        <v>75</v>
      </c>
      <c r="B8" s="3">
        <v>7</v>
      </c>
      <c r="C8" s="3">
        <v>1</v>
      </c>
      <c r="D8" s="3">
        <v>2021</v>
      </c>
      <c r="E8" s="4">
        <f>'Electricity '!I9+'Electricity '!O9</f>
        <v>21639.779999999428</v>
      </c>
      <c r="F8" s="153">
        <v>0.55000000000000004</v>
      </c>
      <c r="G8" s="4">
        <f>'Gas Water'!M10</f>
        <v>2075</v>
      </c>
      <c r="H8" s="153">
        <v>1.88</v>
      </c>
      <c r="I8" s="2">
        <f>'Gas Water'!L10</f>
        <v>106</v>
      </c>
      <c r="J8" s="153">
        <v>12.05</v>
      </c>
      <c r="K8" s="5">
        <v>82</v>
      </c>
      <c r="L8" s="5">
        <v>142</v>
      </c>
    </row>
    <row r="9" spans="1:13" x14ac:dyDescent="0.25">
      <c r="A9" s="3" t="s">
        <v>75</v>
      </c>
      <c r="B9" s="3">
        <v>8</v>
      </c>
      <c r="C9" s="3">
        <v>1</v>
      </c>
      <c r="D9" s="3">
        <v>2021</v>
      </c>
      <c r="E9" s="4">
        <f>'Electricity '!I10+'Electricity '!O10</f>
        <v>19259.280000000181</v>
      </c>
      <c r="F9" s="153">
        <v>0.55000000000000004</v>
      </c>
      <c r="G9" s="4">
        <f>'Gas Water'!M11</f>
        <v>1785</v>
      </c>
      <c r="H9" s="153">
        <v>1.88</v>
      </c>
      <c r="I9" s="2">
        <f>'Gas Water'!L11</f>
        <v>114</v>
      </c>
      <c r="J9" s="153">
        <v>12.05</v>
      </c>
      <c r="K9" s="5">
        <v>70</v>
      </c>
      <c r="L9" s="5">
        <v>128</v>
      </c>
    </row>
    <row r="10" spans="1:13" x14ac:dyDescent="0.25">
      <c r="A10" s="3" t="s">
        <v>75</v>
      </c>
      <c r="B10" s="3">
        <v>9</v>
      </c>
      <c r="C10" s="3">
        <v>1</v>
      </c>
      <c r="D10" s="3">
        <v>2021</v>
      </c>
      <c r="E10" s="4">
        <f>'Electricity '!I11+'Electricity '!O11</f>
        <v>21904.740000000693</v>
      </c>
      <c r="F10" s="153">
        <v>0.55000000000000004</v>
      </c>
      <c r="G10" s="4">
        <f>'Gas Water'!M12</f>
        <v>2155</v>
      </c>
      <c r="H10" s="153">
        <v>1.88</v>
      </c>
      <c r="I10" s="2">
        <f>'Gas Water'!L12</f>
        <v>76</v>
      </c>
      <c r="J10" s="153">
        <v>12.05</v>
      </c>
      <c r="K10" s="5">
        <v>50</v>
      </c>
      <c r="L10" s="5">
        <v>96</v>
      </c>
    </row>
    <row r="11" spans="1:13" x14ac:dyDescent="0.25">
      <c r="A11" s="3" t="s">
        <v>75</v>
      </c>
      <c r="B11" s="3">
        <v>10</v>
      </c>
      <c r="C11" s="3">
        <v>1</v>
      </c>
      <c r="D11" s="3">
        <v>2021</v>
      </c>
      <c r="E11" s="4">
        <f>'Electricity '!I12+'Electricity '!O12</f>
        <v>19313.099999999849</v>
      </c>
      <c r="F11" s="153">
        <v>0.55000000000000004</v>
      </c>
      <c r="G11" s="4">
        <f>'Gas Water'!M13</f>
        <v>2642</v>
      </c>
      <c r="H11" s="153">
        <v>1.88</v>
      </c>
      <c r="I11" s="2">
        <f>'Gas Water'!L13</f>
        <v>91</v>
      </c>
      <c r="J11" s="153">
        <v>12.05</v>
      </c>
      <c r="K11" s="5">
        <v>46</v>
      </c>
      <c r="L11" s="5">
        <v>86</v>
      </c>
    </row>
    <row r="12" spans="1:13" x14ac:dyDescent="0.25">
      <c r="A12" s="3" t="s">
        <v>75</v>
      </c>
      <c r="B12" s="3">
        <v>11</v>
      </c>
      <c r="C12" s="3">
        <v>1</v>
      </c>
      <c r="D12" s="3">
        <v>2021</v>
      </c>
      <c r="E12" s="4">
        <f>'Electricity '!I13+'Electricity '!O13</f>
        <v>19097.820000001175</v>
      </c>
      <c r="F12" s="153">
        <v>0.55000000000000004</v>
      </c>
      <c r="G12" s="4">
        <f>'Gas Water'!M14</f>
        <v>2005</v>
      </c>
      <c r="H12" s="153">
        <v>1.88</v>
      </c>
      <c r="I12" s="2">
        <f>'Gas Water'!L14</f>
        <v>111</v>
      </c>
      <c r="J12" s="153">
        <v>12.05</v>
      </c>
      <c r="K12" s="5">
        <v>47</v>
      </c>
      <c r="L12" s="5">
        <v>90</v>
      </c>
    </row>
    <row r="13" spans="1:13" x14ac:dyDescent="0.25">
      <c r="A13" s="3" t="s">
        <v>75</v>
      </c>
      <c r="B13" s="3">
        <v>12</v>
      </c>
      <c r="C13" s="3">
        <v>1</v>
      </c>
      <c r="D13" s="3">
        <v>2021</v>
      </c>
      <c r="E13" s="4">
        <f>'Electricity '!I14+'Electricity '!O14</f>
        <v>21420.35999999991</v>
      </c>
      <c r="F13" s="153">
        <v>0.55000000000000004</v>
      </c>
      <c r="G13" s="4">
        <f>'Gas Water'!M15</f>
        <v>2117</v>
      </c>
      <c r="H13" s="153">
        <v>1.88</v>
      </c>
      <c r="I13" s="2">
        <f>'Gas Water'!L15</f>
        <v>87</v>
      </c>
      <c r="J13" s="153">
        <v>12.05</v>
      </c>
      <c r="K13" s="5">
        <v>55</v>
      </c>
      <c r="L13" s="5">
        <v>103</v>
      </c>
    </row>
    <row r="14" spans="1:13" x14ac:dyDescent="0.25">
      <c r="A14" s="3" t="s">
        <v>75</v>
      </c>
      <c r="B14" s="3">
        <v>13</v>
      </c>
      <c r="C14" s="3">
        <v>1</v>
      </c>
      <c r="D14" s="3">
        <v>2021</v>
      </c>
      <c r="E14" s="4">
        <f>'Electricity '!I15+'Electricity '!O15</f>
        <v>21776.399999997138</v>
      </c>
      <c r="F14" s="153">
        <v>0.55000000000000004</v>
      </c>
      <c r="G14" s="4">
        <f>'Gas Water'!M16</f>
        <v>3142</v>
      </c>
      <c r="H14" s="153">
        <v>1.88</v>
      </c>
      <c r="I14" s="2">
        <f>'Gas Water'!L16</f>
        <v>98</v>
      </c>
      <c r="J14" s="153">
        <v>12.05</v>
      </c>
      <c r="K14" s="5">
        <v>72</v>
      </c>
      <c r="L14" s="5">
        <v>124</v>
      </c>
    </row>
    <row r="15" spans="1:13" x14ac:dyDescent="0.25">
      <c r="A15" s="3" t="s">
        <v>75</v>
      </c>
      <c r="B15" s="3">
        <v>14</v>
      </c>
      <c r="C15" s="3">
        <v>1</v>
      </c>
      <c r="D15" s="3">
        <v>2021</v>
      </c>
      <c r="E15" s="4">
        <f>'Electricity '!I16+'Electricity '!O16</f>
        <v>20608.920000000271</v>
      </c>
      <c r="F15" s="153">
        <v>0.55000000000000004</v>
      </c>
      <c r="G15" s="4">
        <f>'Gas Water'!M17</f>
        <v>3603</v>
      </c>
      <c r="H15" s="153">
        <v>1.88</v>
      </c>
      <c r="I15" s="2">
        <f>'Gas Water'!L17</f>
        <v>99</v>
      </c>
      <c r="J15" s="153">
        <v>12.05</v>
      </c>
      <c r="K15" s="5">
        <v>52</v>
      </c>
      <c r="L15" s="5">
        <v>94</v>
      </c>
    </row>
    <row r="16" spans="1:13" x14ac:dyDescent="0.25">
      <c r="A16" s="3" t="s">
        <v>75</v>
      </c>
      <c r="B16" s="3">
        <v>15</v>
      </c>
      <c r="C16" s="3">
        <v>1</v>
      </c>
      <c r="D16" s="3">
        <v>2021</v>
      </c>
      <c r="E16" s="4">
        <f>'Electricity '!I17+'Electricity '!O17</f>
        <v>20521.980000001386</v>
      </c>
      <c r="F16" s="153">
        <v>0.55000000000000004</v>
      </c>
      <c r="G16" s="4">
        <f>'Gas Water'!M18</f>
        <v>3668</v>
      </c>
      <c r="H16" s="153">
        <v>1.88</v>
      </c>
      <c r="I16" s="2">
        <f>'Gas Water'!L18</f>
        <v>88</v>
      </c>
      <c r="J16" s="153">
        <v>12.05</v>
      </c>
      <c r="K16" s="5">
        <v>49</v>
      </c>
      <c r="L16" s="5">
        <v>90</v>
      </c>
    </row>
    <row r="17" spans="1:12" x14ac:dyDescent="0.25">
      <c r="A17" s="3" t="s">
        <v>75</v>
      </c>
      <c r="B17" s="3">
        <v>16</v>
      </c>
      <c r="C17" s="3">
        <v>1</v>
      </c>
      <c r="D17" s="3">
        <v>2021</v>
      </c>
      <c r="E17" s="4">
        <f>'Electricity '!I18+'Electricity '!O18</f>
        <v>20178.359999999157</v>
      </c>
      <c r="F17" s="153">
        <v>0.55000000000000004</v>
      </c>
      <c r="G17" s="4">
        <f>'Gas Water'!M19</f>
        <v>3714</v>
      </c>
      <c r="H17" s="153">
        <v>1.88</v>
      </c>
      <c r="I17" s="2">
        <f>'Gas Water'!L19</f>
        <v>84</v>
      </c>
      <c r="J17" s="153">
        <v>12.05</v>
      </c>
      <c r="K17" s="5">
        <v>49</v>
      </c>
      <c r="L17" s="5">
        <v>90</v>
      </c>
    </row>
    <row r="18" spans="1:12" x14ac:dyDescent="0.25">
      <c r="A18" s="3" t="s">
        <v>75</v>
      </c>
      <c r="B18" s="3">
        <v>17</v>
      </c>
      <c r="C18" s="3">
        <v>1</v>
      </c>
      <c r="D18" s="3">
        <v>2021</v>
      </c>
      <c r="E18" s="4">
        <f>'Electricity '!I19+'Electricity '!O19</f>
        <v>19457.999999999247</v>
      </c>
      <c r="F18" s="153">
        <v>0.55000000000000004</v>
      </c>
      <c r="G18" s="4">
        <f>'Gas Water'!M20</f>
        <v>4504</v>
      </c>
      <c r="H18" s="153">
        <v>1.88</v>
      </c>
      <c r="I18" s="2">
        <f>'Gas Water'!L20</f>
        <v>67</v>
      </c>
      <c r="J18" s="153">
        <v>12.05</v>
      </c>
      <c r="K18" s="5">
        <v>42</v>
      </c>
      <c r="L18" s="5">
        <v>73</v>
      </c>
    </row>
    <row r="19" spans="1:12" x14ac:dyDescent="0.25">
      <c r="A19" s="3" t="s">
        <v>75</v>
      </c>
      <c r="B19" s="3">
        <v>18</v>
      </c>
      <c r="C19" s="3">
        <v>1</v>
      </c>
      <c r="D19" s="3">
        <v>2021</v>
      </c>
      <c r="E19" s="4">
        <f>'Electricity '!I20+'Electricity '!O20</f>
        <v>19379.340000002048</v>
      </c>
      <c r="F19" s="153">
        <v>0.55000000000000004</v>
      </c>
      <c r="G19" s="4">
        <f>'Gas Water'!M21</f>
        <v>4581</v>
      </c>
      <c r="H19" s="153">
        <v>1.88</v>
      </c>
      <c r="I19" s="2">
        <f>'Gas Water'!L21</f>
        <v>95</v>
      </c>
      <c r="J19" s="153">
        <v>12.05</v>
      </c>
      <c r="K19" s="5">
        <v>48</v>
      </c>
      <c r="L19" s="5">
        <v>78</v>
      </c>
    </row>
    <row r="20" spans="1:12" x14ac:dyDescent="0.25">
      <c r="A20" s="3" t="s">
        <v>75</v>
      </c>
      <c r="B20" s="3">
        <v>19</v>
      </c>
      <c r="C20" s="3">
        <v>1</v>
      </c>
      <c r="D20" s="3">
        <v>2021</v>
      </c>
      <c r="E20" s="4">
        <f>'Electricity '!I21+'Electricity '!O21</f>
        <v>20041.739999997681</v>
      </c>
      <c r="F20" s="153">
        <v>0.55000000000000004</v>
      </c>
      <c r="G20" s="4">
        <f>'Gas Water'!M22</f>
        <v>4505</v>
      </c>
      <c r="H20" s="153">
        <v>1.88</v>
      </c>
      <c r="I20" s="2">
        <f>'Gas Water'!L22</f>
        <v>84</v>
      </c>
      <c r="J20" s="153">
        <v>12.05</v>
      </c>
      <c r="K20" s="5">
        <v>51</v>
      </c>
      <c r="L20" s="5">
        <v>80</v>
      </c>
    </row>
    <row r="21" spans="1:12" x14ac:dyDescent="0.25">
      <c r="A21" s="3" t="s">
        <v>75</v>
      </c>
      <c r="B21" s="3">
        <v>20</v>
      </c>
      <c r="C21" s="3">
        <v>1</v>
      </c>
      <c r="D21" s="3">
        <v>2021</v>
      </c>
      <c r="E21" s="4">
        <f>'Electricity '!I22+'Electricity '!O22</f>
        <v>19975.500000003012</v>
      </c>
      <c r="F21" s="153">
        <v>0.55000000000000004</v>
      </c>
      <c r="G21" s="4">
        <f>'Gas Water'!M23</f>
        <v>3654</v>
      </c>
      <c r="H21" s="153">
        <v>1.88</v>
      </c>
      <c r="I21" s="2">
        <f>'Gas Water'!L23</f>
        <v>89</v>
      </c>
      <c r="J21" s="153">
        <v>12.05</v>
      </c>
      <c r="K21" s="5">
        <v>63</v>
      </c>
      <c r="L21" s="5">
        <v>98</v>
      </c>
    </row>
    <row r="22" spans="1:12" x14ac:dyDescent="0.25">
      <c r="A22" s="3" t="s">
        <v>75</v>
      </c>
      <c r="B22" s="3">
        <v>21</v>
      </c>
      <c r="C22" s="3">
        <v>1</v>
      </c>
      <c r="D22" s="3">
        <v>2021</v>
      </c>
      <c r="E22" s="4">
        <f>'Electricity '!I23+'Electricity '!O23</f>
        <v>20526.119999998464</v>
      </c>
      <c r="F22" s="153">
        <v>0.55000000000000004</v>
      </c>
      <c r="G22" s="4">
        <f>'Gas Water'!M24</f>
        <v>3456</v>
      </c>
      <c r="H22" s="153">
        <v>1.88</v>
      </c>
      <c r="I22" s="2">
        <f>'Gas Water'!L24</f>
        <v>101</v>
      </c>
      <c r="J22" s="153">
        <v>12.05</v>
      </c>
      <c r="K22" s="5">
        <v>65</v>
      </c>
      <c r="L22" s="5">
        <v>104</v>
      </c>
    </row>
    <row r="23" spans="1:12" x14ac:dyDescent="0.25">
      <c r="A23" s="3" t="s">
        <v>75</v>
      </c>
      <c r="B23" s="3">
        <v>22</v>
      </c>
      <c r="C23" s="3">
        <v>1</v>
      </c>
      <c r="D23" s="3">
        <v>2021</v>
      </c>
      <c r="E23" s="4">
        <f>'Electricity '!I24+'Electricity '!O24</f>
        <v>20157.659999998705</v>
      </c>
      <c r="F23" s="153">
        <v>0.55000000000000004</v>
      </c>
      <c r="G23" s="4">
        <f>'Gas Water'!M25</f>
        <v>2533</v>
      </c>
      <c r="H23" s="153">
        <v>1.88</v>
      </c>
      <c r="I23" s="2">
        <f>'Gas Water'!L25</f>
        <v>107</v>
      </c>
      <c r="J23" s="153">
        <v>12.05</v>
      </c>
      <c r="K23" s="5">
        <v>75</v>
      </c>
      <c r="L23" s="5">
        <v>142</v>
      </c>
    </row>
    <row r="24" spans="1:12" x14ac:dyDescent="0.25">
      <c r="A24" s="3" t="s">
        <v>75</v>
      </c>
      <c r="B24" s="3">
        <v>23</v>
      </c>
      <c r="C24" s="3">
        <v>1</v>
      </c>
      <c r="D24" s="3">
        <v>2021</v>
      </c>
      <c r="E24" s="4">
        <f>'Electricity '!I25+'Electricity '!O25</f>
        <v>19300.680000001084</v>
      </c>
      <c r="F24" s="153">
        <v>0.55000000000000004</v>
      </c>
      <c r="G24" s="4">
        <f>'Gas Water'!M26</f>
        <v>2686</v>
      </c>
      <c r="H24" s="153">
        <v>1.88</v>
      </c>
      <c r="I24" s="2">
        <f>'Gas Water'!L26</f>
        <v>115</v>
      </c>
      <c r="J24" s="153">
        <v>12.05</v>
      </c>
      <c r="K24" s="5">
        <v>67</v>
      </c>
      <c r="L24" s="5">
        <v>129</v>
      </c>
    </row>
    <row r="25" spans="1:12" x14ac:dyDescent="0.25">
      <c r="A25" s="3" t="s">
        <v>75</v>
      </c>
      <c r="B25" s="3">
        <v>24</v>
      </c>
      <c r="C25" s="3">
        <v>1</v>
      </c>
      <c r="D25" s="3">
        <v>2021</v>
      </c>
      <c r="E25" s="4">
        <f>'Electricity '!I26+'Electricity '!O26</f>
        <v>19847.159999999458</v>
      </c>
      <c r="F25" s="153">
        <v>0.55000000000000004</v>
      </c>
      <c r="G25" s="4">
        <f>'Gas Water'!M27</f>
        <v>2531</v>
      </c>
      <c r="H25" s="153">
        <v>1.88</v>
      </c>
      <c r="I25" s="2">
        <f>'Gas Water'!L27</f>
        <v>88</v>
      </c>
      <c r="J25" s="153">
        <v>12.05</v>
      </c>
      <c r="K25" s="5">
        <v>63</v>
      </c>
      <c r="L25" s="5">
        <v>121</v>
      </c>
    </row>
    <row r="26" spans="1:12" x14ac:dyDescent="0.25">
      <c r="A26" s="3" t="s">
        <v>75</v>
      </c>
      <c r="B26" s="3">
        <v>25</v>
      </c>
      <c r="C26" s="3">
        <v>1</v>
      </c>
      <c r="D26" s="3">
        <v>2021</v>
      </c>
      <c r="E26" s="4">
        <f>'Electricity '!I27+'Electricity '!O27</f>
        <v>21022.920000001777</v>
      </c>
      <c r="F26" s="153">
        <v>0.55000000000000004</v>
      </c>
      <c r="G26" s="4">
        <f>'Gas Water'!M28</f>
        <v>2751</v>
      </c>
      <c r="H26" s="153">
        <v>1.88</v>
      </c>
      <c r="I26" s="2">
        <f>'Gas Water'!L28</f>
        <v>87</v>
      </c>
      <c r="J26" s="153">
        <v>12.05</v>
      </c>
      <c r="K26" s="5">
        <v>74</v>
      </c>
      <c r="L26" s="5">
        <v>133</v>
      </c>
    </row>
    <row r="27" spans="1:12" x14ac:dyDescent="0.25">
      <c r="A27" s="3" t="s">
        <v>75</v>
      </c>
      <c r="B27" s="3">
        <v>26</v>
      </c>
      <c r="C27" s="3">
        <v>1</v>
      </c>
      <c r="D27" s="3">
        <v>2021</v>
      </c>
      <c r="E27" s="4">
        <f>'Electricity '!I28+'Electricity '!O28</f>
        <v>20472.299999998795</v>
      </c>
      <c r="F27" s="153">
        <v>0.55000000000000004</v>
      </c>
      <c r="G27" s="4">
        <f>'Gas Water'!M29</f>
        <v>2576</v>
      </c>
      <c r="H27" s="153">
        <v>1.88</v>
      </c>
      <c r="I27" s="2">
        <f>'Gas Water'!L29</f>
        <v>104</v>
      </c>
      <c r="J27" s="153">
        <v>12.05</v>
      </c>
      <c r="K27" s="5">
        <v>82</v>
      </c>
      <c r="L27" s="5">
        <v>140</v>
      </c>
    </row>
    <row r="28" spans="1:12" x14ac:dyDescent="0.25">
      <c r="A28" s="3" t="s">
        <v>75</v>
      </c>
      <c r="B28" s="3">
        <v>27</v>
      </c>
      <c r="C28" s="3">
        <v>1</v>
      </c>
      <c r="D28" s="3">
        <v>2021</v>
      </c>
      <c r="E28" s="4">
        <f>'Electricity '!I29+'Electricity '!O29</f>
        <v>20977.38000000003</v>
      </c>
      <c r="F28" s="153">
        <v>0.55000000000000004</v>
      </c>
      <c r="G28" s="4">
        <f>'Gas Water'!M30</f>
        <v>3910</v>
      </c>
      <c r="H28" s="153">
        <v>1.88</v>
      </c>
      <c r="I28" s="2">
        <f>'Gas Water'!L30</f>
        <v>91</v>
      </c>
      <c r="J28" s="153">
        <v>12.05</v>
      </c>
      <c r="K28" s="5">
        <v>95</v>
      </c>
      <c r="L28" s="5">
        <v>162</v>
      </c>
    </row>
    <row r="29" spans="1:12" x14ac:dyDescent="0.25">
      <c r="A29" s="3" t="s">
        <v>75</v>
      </c>
      <c r="B29" s="3">
        <v>28</v>
      </c>
      <c r="C29" s="3">
        <v>1</v>
      </c>
      <c r="D29" s="3">
        <v>2021</v>
      </c>
      <c r="E29" s="4">
        <f>'Electricity '!I30+'Electricity '!O30</f>
        <v>20447.460000001265</v>
      </c>
      <c r="F29" s="153">
        <v>0.55000000000000004</v>
      </c>
      <c r="G29" s="4">
        <f>'Gas Water'!M31</f>
        <v>3924</v>
      </c>
      <c r="H29" s="153">
        <v>1.88</v>
      </c>
      <c r="I29" s="2">
        <f>'Gas Water'!L31</f>
        <v>114</v>
      </c>
      <c r="J29" s="153">
        <v>12.05</v>
      </c>
      <c r="K29" s="5">
        <v>94</v>
      </c>
      <c r="L29" s="5">
        <v>183</v>
      </c>
    </row>
    <row r="30" spans="1:12" x14ac:dyDescent="0.25">
      <c r="A30" s="3" t="s">
        <v>75</v>
      </c>
      <c r="B30" s="3">
        <v>29</v>
      </c>
      <c r="C30" s="3">
        <v>1</v>
      </c>
      <c r="D30" s="3">
        <v>2021</v>
      </c>
      <c r="E30" s="4">
        <f>'Electricity '!I31+'Electricity '!O31</f>
        <v>21060.179999998072</v>
      </c>
      <c r="F30" s="153">
        <v>0.55000000000000004</v>
      </c>
      <c r="G30" s="4">
        <f>'Gas Water'!M32</f>
        <v>3489</v>
      </c>
      <c r="H30" s="153">
        <v>1.88</v>
      </c>
      <c r="I30" s="2">
        <f>'Gas Water'!L32</f>
        <v>111</v>
      </c>
      <c r="J30" s="153">
        <v>12.05</v>
      </c>
      <c r="K30" s="5">
        <v>58</v>
      </c>
      <c r="L30" s="5">
        <v>107</v>
      </c>
    </row>
    <row r="31" spans="1:12" x14ac:dyDescent="0.25">
      <c r="A31" s="3" t="s">
        <v>75</v>
      </c>
      <c r="B31" s="3">
        <v>30</v>
      </c>
      <c r="C31" s="3">
        <v>1</v>
      </c>
      <c r="D31" s="3">
        <v>2021</v>
      </c>
      <c r="E31" s="4">
        <f>'Electricity '!I32+'Electricity '!O32</f>
        <v>19805.760000002319</v>
      </c>
      <c r="F31" s="153">
        <v>0.55000000000000004</v>
      </c>
      <c r="G31" s="4">
        <f>'Gas Water'!M33</f>
        <v>2821</v>
      </c>
      <c r="H31" s="153">
        <v>1.88</v>
      </c>
      <c r="I31" s="2">
        <f>'Gas Water'!L33</f>
        <v>86</v>
      </c>
      <c r="J31" s="153">
        <v>12.05</v>
      </c>
      <c r="K31" s="5">
        <v>62</v>
      </c>
      <c r="L31" s="5">
        <v>115</v>
      </c>
    </row>
    <row r="32" spans="1:12" x14ac:dyDescent="0.25">
      <c r="A32" s="3" t="s">
        <v>75</v>
      </c>
      <c r="B32" s="3">
        <v>31</v>
      </c>
      <c r="C32" s="3">
        <v>1</v>
      </c>
      <c r="D32" s="3">
        <v>2021</v>
      </c>
      <c r="E32" s="4">
        <f>'Electricity '!I33+'Electricity '!O33</f>
        <v>18592.73999999994</v>
      </c>
      <c r="F32" s="153">
        <v>0.55000000000000004</v>
      </c>
      <c r="G32" s="4">
        <f>'Gas Water'!M34</f>
        <v>2609</v>
      </c>
      <c r="H32" s="153">
        <v>1.88</v>
      </c>
      <c r="I32" s="2">
        <f>'Gas Water'!L34</f>
        <v>79</v>
      </c>
      <c r="J32" s="153">
        <v>12.05</v>
      </c>
      <c r="K32" s="5">
        <v>42</v>
      </c>
      <c r="L32" s="5">
        <v>81</v>
      </c>
    </row>
    <row r="33" spans="1:12" x14ac:dyDescent="0.25">
      <c r="A33" s="3" t="s">
        <v>75</v>
      </c>
      <c r="B33" s="3">
        <v>1</v>
      </c>
      <c r="C33" s="3">
        <v>2</v>
      </c>
      <c r="D33" s="3">
        <v>2021</v>
      </c>
      <c r="E33" s="4">
        <f>'Electricity '!I34+'Electricity '!O34</f>
        <v>20236.319999999669</v>
      </c>
      <c r="F33" s="153">
        <f>('Electricity '!I34*0.58+'Gas Water'!H35*1.88)/(Total!E33)</f>
        <v>0.57999999999999996</v>
      </c>
      <c r="G33" s="4">
        <f>'Gas Water'!M35</f>
        <v>2117</v>
      </c>
      <c r="H33" s="153">
        <v>1.72</v>
      </c>
      <c r="I33" s="2">
        <f>'Gas Water'!L35</f>
        <v>88</v>
      </c>
      <c r="J33" s="153">
        <v>12.85</v>
      </c>
      <c r="K33" s="5">
        <v>43</v>
      </c>
      <c r="L33" s="5">
        <v>75</v>
      </c>
    </row>
    <row r="34" spans="1:12" x14ac:dyDescent="0.25">
      <c r="A34" s="3" t="s">
        <v>75</v>
      </c>
      <c r="B34" s="3">
        <v>2</v>
      </c>
      <c r="C34" s="3">
        <v>2</v>
      </c>
      <c r="D34" s="3">
        <v>2021</v>
      </c>
      <c r="E34" s="4">
        <f>'Electricity '!I35+'Electricity '!O35</f>
        <v>19913.399999997891</v>
      </c>
      <c r="F34" s="153">
        <f>('Electricity '!I35*0.58+'Gas Water'!H36*1.88)/(Total!E34)</f>
        <v>0.57999999999999996</v>
      </c>
      <c r="G34" s="4">
        <f>'Gas Water'!M36</f>
        <v>2297</v>
      </c>
      <c r="H34" s="153">
        <v>1.72</v>
      </c>
      <c r="I34" s="2">
        <f>'Gas Water'!L36</f>
        <v>126</v>
      </c>
      <c r="J34" s="153">
        <v>12.85</v>
      </c>
      <c r="K34" s="5">
        <v>59</v>
      </c>
      <c r="L34" s="5">
        <v>104</v>
      </c>
    </row>
    <row r="35" spans="1:12" x14ac:dyDescent="0.25">
      <c r="A35" s="3" t="s">
        <v>75</v>
      </c>
      <c r="B35" s="3">
        <v>3</v>
      </c>
      <c r="C35" s="3">
        <v>2</v>
      </c>
      <c r="D35" s="3">
        <v>2021</v>
      </c>
      <c r="E35" s="4">
        <f>'Electricity '!I36+'Electricity '!O36</f>
        <v>20989.80000000256</v>
      </c>
      <c r="F35" s="153">
        <f>('Electricity '!I36*0.58+'Gas Water'!H37*1.88)/(Total!E35)</f>
        <v>0.57999999999999996</v>
      </c>
      <c r="G35" s="4">
        <f>'Gas Water'!M37</f>
        <v>2397</v>
      </c>
      <c r="H35" s="153">
        <v>1.72</v>
      </c>
      <c r="I35" s="2">
        <f>'Gas Water'!L37</f>
        <v>171</v>
      </c>
      <c r="J35" s="153">
        <v>12.85</v>
      </c>
      <c r="K35" s="5">
        <v>84</v>
      </c>
      <c r="L35" s="5">
        <v>142</v>
      </c>
    </row>
    <row r="36" spans="1:12" x14ac:dyDescent="0.25">
      <c r="A36" s="3" t="s">
        <v>75</v>
      </c>
      <c r="B36" s="3">
        <v>4</v>
      </c>
      <c r="C36" s="3">
        <v>2</v>
      </c>
      <c r="D36" s="3">
        <v>2021</v>
      </c>
      <c r="E36" s="4">
        <f>'Electricity '!I37+'Electricity '!O37</f>
        <v>20356.379999997771</v>
      </c>
      <c r="F36" s="153">
        <f>('Electricity '!I37*0.58+'Gas Water'!H38*1.88)/(Total!E36)</f>
        <v>0.57999999999999996</v>
      </c>
      <c r="G36" s="4">
        <f>'Gas Water'!M38</f>
        <v>2456</v>
      </c>
      <c r="H36" s="153">
        <v>1.72</v>
      </c>
      <c r="I36" s="2">
        <f>'Gas Water'!L38</f>
        <v>154</v>
      </c>
      <c r="J36" s="153">
        <v>12.85</v>
      </c>
      <c r="K36" s="5">
        <v>90</v>
      </c>
      <c r="L36" s="5">
        <v>148</v>
      </c>
    </row>
    <row r="37" spans="1:12" x14ac:dyDescent="0.25">
      <c r="A37" s="3" t="s">
        <v>75</v>
      </c>
      <c r="B37" s="3">
        <v>5</v>
      </c>
      <c r="C37" s="3">
        <v>2</v>
      </c>
      <c r="D37" s="3">
        <v>2021</v>
      </c>
      <c r="E37" s="4">
        <f>'Electricity '!I38+'Electricity '!O38</f>
        <v>20459.88000000003</v>
      </c>
      <c r="F37" s="153">
        <f>('Electricity '!I38*0.58+'Gas Water'!H39*1.88)/(Total!E37)</f>
        <v>0.57999999999999996</v>
      </c>
      <c r="G37" s="4">
        <f>'Gas Water'!M39</f>
        <v>2549</v>
      </c>
      <c r="H37" s="153">
        <v>1.72</v>
      </c>
      <c r="I37" s="2">
        <f>'Gas Water'!L39</f>
        <v>131</v>
      </c>
      <c r="J37" s="153">
        <v>12.85</v>
      </c>
      <c r="K37" s="5">
        <v>103</v>
      </c>
      <c r="L37" s="5">
        <v>176</v>
      </c>
    </row>
    <row r="38" spans="1:12" x14ac:dyDescent="0.25">
      <c r="A38" s="3" t="s">
        <v>75</v>
      </c>
      <c r="B38" s="3">
        <v>6</v>
      </c>
      <c r="C38" s="3">
        <v>2</v>
      </c>
      <c r="D38" s="3">
        <v>2021</v>
      </c>
      <c r="E38" s="4">
        <f>'Electricity '!I39+'Electricity '!O39</f>
        <v>18480.959999999759</v>
      </c>
      <c r="F38" s="153">
        <f>('Electricity '!I39*0.58+'Gas Water'!H40*1.88)/(Total!E38)</f>
        <v>0.57999999999999996</v>
      </c>
      <c r="G38" s="4">
        <f>'Gas Water'!M40</f>
        <v>2543</v>
      </c>
      <c r="H38" s="153">
        <v>1.72</v>
      </c>
      <c r="I38" s="2">
        <f>'Gas Water'!L40</f>
        <v>131</v>
      </c>
      <c r="J38" s="153">
        <v>12.85</v>
      </c>
      <c r="K38" s="5">
        <v>99</v>
      </c>
      <c r="L38" s="5">
        <v>171</v>
      </c>
    </row>
    <row r="39" spans="1:12" x14ac:dyDescent="0.25">
      <c r="A39" s="3" t="s">
        <v>75</v>
      </c>
      <c r="B39" s="3">
        <v>7</v>
      </c>
      <c r="C39" s="3">
        <v>2</v>
      </c>
      <c r="D39" s="3">
        <v>2021</v>
      </c>
      <c r="E39" s="4">
        <f>'Electricity '!I40+'Electricity '!O40</f>
        <v>19648.440000000392</v>
      </c>
      <c r="F39" s="153">
        <f>('Electricity '!I40*0.58+'Gas Water'!H41*1.88)/(Total!E39)</f>
        <v>0.57999999999999996</v>
      </c>
      <c r="G39" s="4">
        <f>'Gas Water'!M41</f>
        <v>2280</v>
      </c>
      <c r="H39" s="153">
        <v>1.72</v>
      </c>
      <c r="I39" s="2">
        <f>'Gas Water'!L41</f>
        <v>123</v>
      </c>
      <c r="J39" s="153">
        <v>12.85</v>
      </c>
      <c r="K39" s="5">
        <v>64</v>
      </c>
      <c r="L39" s="5">
        <v>116</v>
      </c>
    </row>
    <row r="40" spans="1:12" x14ac:dyDescent="0.25">
      <c r="A40" s="3" t="s">
        <v>75</v>
      </c>
      <c r="B40" s="3">
        <v>8</v>
      </c>
      <c r="C40" s="3">
        <v>2</v>
      </c>
      <c r="D40" s="3">
        <v>2021</v>
      </c>
      <c r="E40" s="4">
        <f>'Electricity '!I41+'Electricity '!O41</f>
        <v>19457.999999999247</v>
      </c>
      <c r="F40" s="153">
        <f>('Electricity '!I41*0.58+'Gas Water'!H42*1.88)/(Total!E40)</f>
        <v>0.57999999999999996</v>
      </c>
      <c r="G40" s="4">
        <f>'Gas Water'!M42</f>
        <v>1872</v>
      </c>
      <c r="H40" s="153">
        <v>1.72</v>
      </c>
      <c r="I40" s="2">
        <f>'Gas Water'!L42</f>
        <v>95</v>
      </c>
      <c r="J40" s="153">
        <v>12.85</v>
      </c>
      <c r="K40" s="5">
        <v>74</v>
      </c>
      <c r="L40" s="5">
        <v>138</v>
      </c>
    </row>
    <row r="41" spans="1:12" x14ac:dyDescent="0.25">
      <c r="A41" s="3" t="s">
        <v>75</v>
      </c>
      <c r="B41" s="3">
        <v>9</v>
      </c>
      <c r="C41" s="3">
        <v>2</v>
      </c>
      <c r="D41" s="3">
        <v>2021</v>
      </c>
      <c r="E41" s="4">
        <f>'Electricity '!I42+'Electricity '!O42</f>
        <v>20232.180000002591</v>
      </c>
      <c r="F41" s="153">
        <f>('Electricity '!I42*0.58+'Gas Water'!H43*1.88)/(Total!E41)</f>
        <v>0.57999999999999996</v>
      </c>
      <c r="G41" s="4">
        <f>'Gas Water'!M43</f>
        <v>1976</v>
      </c>
      <c r="H41" s="153">
        <v>1.72</v>
      </c>
      <c r="I41" s="2">
        <f>'Gas Water'!L43</f>
        <v>99</v>
      </c>
      <c r="J41" s="153">
        <v>12.85</v>
      </c>
      <c r="K41" s="5">
        <v>76</v>
      </c>
      <c r="L41" s="5">
        <v>139</v>
      </c>
    </row>
    <row r="42" spans="1:12" x14ac:dyDescent="0.25">
      <c r="A42" s="3" t="s">
        <v>75</v>
      </c>
      <c r="B42" s="3">
        <v>10</v>
      </c>
      <c r="C42" s="3">
        <v>2</v>
      </c>
      <c r="D42" s="3">
        <v>2021</v>
      </c>
      <c r="E42" s="4">
        <f>'Electricity '!I43+'Electricity '!O43</f>
        <v>16746.300000000301</v>
      </c>
      <c r="F42" s="153">
        <f>('Electricity '!I43*0.58+'Gas Water'!H44*1.88)/(Total!E42)</f>
        <v>0.57999999999999996</v>
      </c>
      <c r="G42" s="4">
        <f>'Gas Water'!M44</f>
        <v>2160</v>
      </c>
      <c r="H42" s="153">
        <v>1.72</v>
      </c>
      <c r="I42" s="2">
        <f>'Gas Water'!L44</f>
        <v>102</v>
      </c>
      <c r="J42" s="153">
        <v>12.85</v>
      </c>
      <c r="K42" s="5">
        <v>85</v>
      </c>
      <c r="L42" s="5">
        <v>157</v>
      </c>
    </row>
    <row r="43" spans="1:12" x14ac:dyDescent="0.25">
      <c r="A43" s="3" t="s">
        <v>75</v>
      </c>
      <c r="B43" s="3">
        <v>11</v>
      </c>
      <c r="C43" s="3">
        <v>2</v>
      </c>
      <c r="D43" s="3">
        <v>2021</v>
      </c>
      <c r="E43" s="4">
        <f>'Electricity '!I44+'Electricity '!O44</f>
        <v>23540.039999998735</v>
      </c>
      <c r="F43" s="153">
        <f>('Electricity '!I44*0.58+'Gas Water'!H45*1.88)/(Total!E43)</f>
        <v>0.57999999999999996</v>
      </c>
      <c r="G43" s="4">
        <f>'Gas Water'!M45</f>
        <v>2024</v>
      </c>
      <c r="H43" s="153">
        <v>1.72</v>
      </c>
      <c r="I43" s="2">
        <f>'Gas Water'!L45</f>
        <v>172</v>
      </c>
      <c r="J43" s="153">
        <v>12.85</v>
      </c>
      <c r="K43" s="5">
        <v>93</v>
      </c>
      <c r="L43" s="5">
        <v>172</v>
      </c>
    </row>
    <row r="44" spans="1:12" x14ac:dyDescent="0.25">
      <c r="A44" s="3" t="s">
        <v>75</v>
      </c>
      <c r="B44" s="3">
        <v>12</v>
      </c>
      <c r="C44" s="3">
        <v>2</v>
      </c>
      <c r="D44" s="3">
        <v>2021</v>
      </c>
      <c r="E44" s="4">
        <f>'Electricity '!I45+'Electricity '!O45</f>
        <v>21527.999999999247</v>
      </c>
      <c r="F44" s="153">
        <f>('Electricity '!I45*0.58+'Gas Water'!H46*1.88)/(Total!E44)</f>
        <v>0.57999999999999996</v>
      </c>
      <c r="G44" s="4">
        <f>'Gas Water'!M46</f>
        <v>3716</v>
      </c>
      <c r="H44" s="153">
        <v>1.72</v>
      </c>
      <c r="I44" s="2">
        <f>'Gas Water'!L46</f>
        <v>122</v>
      </c>
      <c r="J44" s="153">
        <v>12.85</v>
      </c>
      <c r="K44" s="5">
        <v>86</v>
      </c>
      <c r="L44" s="5">
        <v>164</v>
      </c>
    </row>
    <row r="45" spans="1:12" x14ac:dyDescent="0.25">
      <c r="A45" s="3" t="s">
        <v>75</v>
      </c>
      <c r="B45" s="3">
        <v>13</v>
      </c>
      <c r="C45" s="3">
        <v>2</v>
      </c>
      <c r="D45" s="3">
        <v>2021</v>
      </c>
      <c r="E45" s="4">
        <f>'Electricity '!I46+'Electricity '!O46</f>
        <v>21006.359999998404</v>
      </c>
      <c r="F45" s="153">
        <f>('Electricity '!I46*0.58+'Gas Water'!H47*1.88)/(Total!E45)</f>
        <v>0.57999999999999996</v>
      </c>
      <c r="G45" s="4">
        <f>'Gas Water'!M47</f>
        <v>3813</v>
      </c>
      <c r="H45" s="153">
        <v>1.72</v>
      </c>
      <c r="I45" s="2">
        <f>'Gas Water'!L47</f>
        <v>189</v>
      </c>
      <c r="J45" s="153">
        <v>12.85</v>
      </c>
      <c r="K45" s="5">
        <v>132</v>
      </c>
      <c r="L45" s="5">
        <v>251</v>
      </c>
    </row>
    <row r="46" spans="1:12" x14ac:dyDescent="0.25">
      <c r="A46" s="3" t="s">
        <v>75</v>
      </c>
      <c r="B46" s="3">
        <v>14</v>
      </c>
      <c r="C46" s="3">
        <v>2</v>
      </c>
      <c r="D46" s="3">
        <v>2021</v>
      </c>
      <c r="E46" s="4">
        <f>'Electricity '!I47+'Electricity '!O47</f>
        <v>21114.000000001506</v>
      </c>
      <c r="F46" s="153">
        <f>('Electricity '!I47*0.58+'Gas Water'!H48*1.88)/(Total!E46)</f>
        <v>0.57999999999999996</v>
      </c>
      <c r="G46" s="4">
        <f>'Gas Water'!M48</f>
        <v>4589</v>
      </c>
      <c r="H46" s="153">
        <v>1.72</v>
      </c>
      <c r="I46" s="2">
        <f>'Gas Water'!L48</f>
        <v>78</v>
      </c>
      <c r="J46" s="153">
        <v>12.85</v>
      </c>
      <c r="K46" s="5">
        <v>123</v>
      </c>
      <c r="L46" s="5">
        <v>228</v>
      </c>
    </row>
    <row r="47" spans="1:12" x14ac:dyDescent="0.25">
      <c r="A47" s="3" t="s">
        <v>75</v>
      </c>
      <c r="B47" s="3">
        <v>15</v>
      </c>
      <c r="C47" s="3">
        <v>2</v>
      </c>
      <c r="D47" s="3">
        <v>2021</v>
      </c>
      <c r="E47" s="4">
        <f>'Electricity '!I48+'Electricity '!O48</f>
        <v>21527.999999999247</v>
      </c>
      <c r="F47" s="153">
        <f>('Electricity '!I48*0.58+'Gas Water'!H49*1.88)/(Total!E47)</f>
        <v>0.57999999999999996</v>
      </c>
      <c r="G47" s="4">
        <f>'Gas Water'!M49</f>
        <v>4540</v>
      </c>
      <c r="H47" s="153">
        <v>1.72</v>
      </c>
      <c r="I47" s="2">
        <f>'Gas Water'!L49</f>
        <v>19</v>
      </c>
      <c r="J47" s="153">
        <v>12.85</v>
      </c>
      <c r="K47" s="5">
        <v>72</v>
      </c>
      <c r="L47" s="5">
        <v>131</v>
      </c>
    </row>
    <row r="48" spans="1:12" x14ac:dyDescent="0.25">
      <c r="A48" s="3" t="s">
        <v>75</v>
      </c>
      <c r="B48" s="3">
        <v>16</v>
      </c>
      <c r="C48" s="3">
        <v>2</v>
      </c>
      <c r="D48" s="3">
        <v>2021</v>
      </c>
      <c r="E48" s="4">
        <f>'Electricity '!I49+'Electricity '!O49</f>
        <v>21022.920000001777</v>
      </c>
      <c r="F48" s="153">
        <f>('Electricity '!I49*0.58+'Gas Water'!H50*1.88)/(Total!E48)</f>
        <v>0.57999999999999996</v>
      </c>
      <c r="G48" s="4">
        <f>'Gas Water'!M50</f>
        <v>4482</v>
      </c>
      <c r="H48" s="153">
        <v>1.72</v>
      </c>
      <c r="I48" s="2">
        <f>'Gas Water'!L50</f>
        <v>9</v>
      </c>
      <c r="J48" s="153">
        <v>12.85</v>
      </c>
      <c r="K48" s="5">
        <v>75</v>
      </c>
      <c r="L48" s="5">
        <v>136</v>
      </c>
    </row>
    <row r="49" spans="1:12" x14ac:dyDescent="0.25">
      <c r="A49" s="3" t="s">
        <v>75</v>
      </c>
      <c r="B49" s="3">
        <v>17</v>
      </c>
      <c r="C49" s="3">
        <v>2</v>
      </c>
      <c r="D49" s="3">
        <v>2021</v>
      </c>
      <c r="E49" s="4">
        <f>'Electricity '!I50+'Electricity '!O50</f>
        <v>21176.099999999096</v>
      </c>
      <c r="F49" s="153">
        <f>('Electricity '!I50*0.58+'Gas Water'!H51*1.88)/(Total!E49)</f>
        <v>0.57999999999999996</v>
      </c>
      <c r="G49" s="4">
        <f>'Gas Water'!M51</f>
        <v>4562</v>
      </c>
      <c r="H49" s="153">
        <v>1.72</v>
      </c>
      <c r="I49" s="2">
        <f>'Gas Water'!L51</f>
        <v>179</v>
      </c>
      <c r="J49" s="153">
        <v>12.85</v>
      </c>
      <c r="K49" s="5">
        <v>78</v>
      </c>
      <c r="L49" s="5">
        <v>135</v>
      </c>
    </row>
    <row r="50" spans="1:12" x14ac:dyDescent="0.25">
      <c r="A50" s="3" t="s">
        <v>75</v>
      </c>
      <c r="B50" s="3">
        <v>18</v>
      </c>
      <c r="C50" s="3">
        <v>2</v>
      </c>
      <c r="D50" s="3">
        <v>2021</v>
      </c>
      <c r="E50" s="4">
        <f>'Electricity '!I51+'Electricity '!O51</f>
        <v>21523.859999998404</v>
      </c>
      <c r="F50" s="153">
        <f>('Electricity '!I51*0.58+'Gas Water'!H52*1.88)/(Total!E50)</f>
        <v>0.57999999999999996</v>
      </c>
      <c r="G50" s="4">
        <f>'Gas Water'!M52</f>
        <v>4290</v>
      </c>
      <c r="H50" s="153">
        <v>1.72</v>
      </c>
      <c r="I50" s="2">
        <f>'Gas Water'!L52</f>
        <v>346</v>
      </c>
      <c r="J50" s="153">
        <v>12.85</v>
      </c>
      <c r="K50" s="5">
        <v>74</v>
      </c>
      <c r="L50" s="5">
        <v>132</v>
      </c>
    </row>
    <row r="51" spans="1:12" x14ac:dyDescent="0.25">
      <c r="A51" s="3" t="s">
        <v>75</v>
      </c>
      <c r="B51" s="3">
        <v>19</v>
      </c>
      <c r="C51" s="3">
        <v>2</v>
      </c>
      <c r="D51" s="3">
        <v>2021</v>
      </c>
      <c r="E51" s="4">
        <f>'Electricity '!I52+'Electricity '!O52</f>
        <v>22484.340000002048</v>
      </c>
      <c r="F51" s="153">
        <f>('Electricity '!I52*0.58+'Gas Water'!H53*1.88)/(Total!E51)</f>
        <v>0.57999999999999996</v>
      </c>
      <c r="G51" s="4">
        <f>'Gas Water'!M53</f>
        <v>3856</v>
      </c>
      <c r="H51" s="153">
        <v>1.72</v>
      </c>
      <c r="I51" s="2">
        <f>'Gas Water'!L53</f>
        <v>20</v>
      </c>
      <c r="J51" s="153">
        <v>12.85</v>
      </c>
      <c r="K51" s="5">
        <v>74</v>
      </c>
      <c r="L51" s="5">
        <v>131</v>
      </c>
    </row>
    <row r="52" spans="1:12" x14ac:dyDescent="0.25">
      <c r="A52" s="3" t="s">
        <v>75</v>
      </c>
      <c r="B52" s="3">
        <v>20</v>
      </c>
      <c r="C52" s="3">
        <v>2</v>
      </c>
      <c r="D52" s="3">
        <v>2021</v>
      </c>
      <c r="E52" s="4">
        <f>'Electricity '!I53+'Electricity '!O53</f>
        <v>19814.040000000241</v>
      </c>
      <c r="F52" s="153">
        <f>('Electricity '!I53*0.58+'Gas Water'!H54*1.88)/(Total!E52)</f>
        <v>0.57999999999999996</v>
      </c>
      <c r="G52" s="4">
        <f>'Gas Water'!M54</f>
        <v>4592</v>
      </c>
      <c r="H52" s="153">
        <v>1.72</v>
      </c>
      <c r="I52" s="2">
        <f>'Gas Water'!L54</f>
        <v>214</v>
      </c>
      <c r="J52" s="153">
        <v>12.85</v>
      </c>
      <c r="K52" s="5">
        <v>90</v>
      </c>
      <c r="L52" s="5">
        <v>154</v>
      </c>
    </row>
    <row r="53" spans="1:12" x14ac:dyDescent="0.25">
      <c r="A53" s="3" t="s">
        <v>75</v>
      </c>
      <c r="B53" s="3">
        <v>21</v>
      </c>
      <c r="C53" s="3">
        <v>2</v>
      </c>
      <c r="D53" s="3">
        <v>2021</v>
      </c>
      <c r="E53" s="4">
        <f>'Electricity '!I54+'Electricity '!O54</f>
        <v>19379.339999998283</v>
      </c>
      <c r="F53" s="153">
        <f>('Electricity '!I54*0.58+'Gas Water'!H55*1.88)/(Total!E53)</f>
        <v>0.57999999999999996</v>
      </c>
      <c r="G53" s="4">
        <f>'Gas Water'!M55</f>
        <v>3740</v>
      </c>
      <c r="H53" s="153">
        <v>1.72</v>
      </c>
      <c r="I53" s="2">
        <f>'Gas Water'!L55</f>
        <v>197</v>
      </c>
      <c r="J53" s="153">
        <v>12.85</v>
      </c>
      <c r="K53" s="5">
        <v>98</v>
      </c>
      <c r="L53" s="5">
        <v>165</v>
      </c>
    </row>
    <row r="54" spans="1:12" x14ac:dyDescent="0.25">
      <c r="A54" s="3" t="s">
        <v>75</v>
      </c>
      <c r="B54" s="3">
        <v>22</v>
      </c>
      <c r="C54" s="3">
        <v>2</v>
      </c>
      <c r="D54" s="3">
        <v>2021</v>
      </c>
      <c r="E54" s="4">
        <f>'Electricity '!I55+'Electricity '!O55</f>
        <v>21275.460000000512</v>
      </c>
      <c r="F54" s="153">
        <f>('Electricity '!I55*0.58+'Gas Water'!H56*1.88)/(Total!E54)</f>
        <v>0.57999999999999996</v>
      </c>
      <c r="G54" s="4">
        <f>'Gas Water'!M56</f>
        <v>3772</v>
      </c>
      <c r="H54" s="153">
        <v>1.72</v>
      </c>
      <c r="I54" s="2">
        <f>'Gas Water'!L56</f>
        <v>178</v>
      </c>
      <c r="J54" s="153">
        <v>12.85</v>
      </c>
      <c r="K54" s="5">
        <v>126</v>
      </c>
      <c r="L54" s="5">
        <v>208</v>
      </c>
    </row>
    <row r="55" spans="1:12" x14ac:dyDescent="0.25">
      <c r="A55" s="3" t="s">
        <v>75</v>
      </c>
      <c r="B55" s="3">
        <v>23</v>
      </c>
      <c r="C55" s="3">
        <v>2</v>
      </c>
      <c r="D55" s="3">
        <v>2021</v>
      </c>
      <c r="E55" s="4">
        <f>'Electricity '!I56+'Electricity '!O56</f>
        <v>21109.860000000663</v>
      </c>
      <c r="F55" s="153">
        <f>('Electricity '!I56*0.58+'Gas Water'!H57*1.88)/(Total!E55)</f>
        <v>0.57999999999999996</v>
      </c>
      <c r="G55" s="4">
        <f>'Gas Water'!M57</f>
        <v>3562</v>
      </c>
      <c r="H55" s="153">
        <v>1.72</v>
      </c>
      <c r="I55" s="2">
        <f>'Gas Water'!L57</f>
        <v>184</v>
      </c>
      <c r="J55" s="153">
        <v>12.85</v>
      </c>
      <c r="K55" s="5">
        <v>122</v>
      </c>
      <c r="L55" s="5">
        <v>209</v>
      </c>
    </row>
    <row r="56" spans="1:12" x14ac:dyDescent="0.25">
      <c r="A56" s="3" t="s">
        <v>75</v>
      </c>
      <c r="B56" s="3">
        <v>24</v>
      </c>
      <c r="C56" s="3">
        <v>2</v>
      </c>
      <c r="D56" s="3">
        <v>2021</v>
      </c>
      <c r="E56" s="4">
        <f>'Electricity '!I57+'Electricity '!O57</f>
        <v>22538.160000001717</v>
      </c>
      <c r="F56" s="153">
        <f>('Electricity '!I57*0.58+'Gas Water'!H58*1.88)/(Total!E56)</f>
        <v>0.57999999999999996</v>
      </c>
      <c r="G56" s="4">
        <f>'Gas Water'!M58</f>
        <v>3732</v>
      </c>
      <c r="H56" s="153">
        <v>1.72</v>
      </c>
      <c r="I56" s="2">
        <f>'Gas Water'!L58</f>
        <v>128</v>
      </c>
      <c r="J56" s="153">
        <v>12.85</v>
      </c>
      <c r="K56" s="5">
        <v>111</v>
      </c>
      <c r="L56" s="5">
        <v>184</v>
      </c>
    </row>
    <row r="57" spans="1:12" x14ac:dyDescent="0.25">
      <c r="A57" s="3" t="s">
        <v>75</v>
      </c>
      <c r="B57" s="3">
        <v>25</v>
      </c>
      <c r="C57" s="3">
        <v>2</v>
      </c>
      <c r="D57" s="3">
        <v>2021</v>
      </c>
      <c r="E57" s="4">
        <f>'Electricity '!I58+'Electricity '!O58</f>
        <v>19532.519999999367</v>
      </c>
      <c r="F57" s="153">
        <f>('Electricity '!I58*0.58+'Gas Water'!H59*1.88)/(Total!E57)</f>
        <v>0.57999999999999996</v>
      </c>
      <c r="G57" s="4">
        <f>'Gas Water'!M59</f>
        <v>3641</v>
      </c>
      <c r="H57" s="153">
        <v>1.72</v>
      </c>
      <c r="I57" s="2">
        <f>'Gas Water'!L59</f>
        <v>134</v>
      </c>
      <c r="J57" s="153">
        <v>12.85</v>
      </c>
      <c r="K57" s="5">
        <v>118</v>
      </c>
      <c r="L57" s="5">
        <v>197</v>
      </c>
    </row>
    <row r="58" spans="1:12" x14ac:dyDescent="0.25">
      <c r="A58" s="3" t="s">
        <v>75</v>
      </c>
      <c r="B58" s="3">
        <v>26</v>
      </c>
      <c r="C58" s="3">
        <v>2</v>
      </c>
      <c r="D58" s="3">
        <v>2021</v>
      </c>
      <c r="E58" s="4">
        <f>'Electricity '!I59+'Electricity '!O59</f>
        <v>21499.019999997108</v>
      </c>
      <c r="F58" s="153">
        <f>('Electricity '!I59*0.58+'Gas Water'!H60*1.88)/(Total!E58)</f>
        <v>0.57999999999999996</v>
      </c>
      <c r="G58" s="4">
        <f>'Gas Water'!M60</f>
        <v>3247</v>
      </c>
      <c r="H58" s="153">
        <v>1.72</v>
      </c>
      <c r="I58" s="2">
        <f>'Gas Water'!L60</f>
        <v>122</v>
      </c>
      <c r="J58" s="153">
        <v>12.85</v>
      </c>
      <c r="K58" s="5">
        <v>120</v>
      </c>
      <c r="L58" s="5">
        <v>204</v>
      </c>
    </row>
    <row r="59" spans="1:12" x14ac:dyDescent="0.25">
      <c r="A59" s="3" t="s">
        <v>75</v>
      </c>
      <c r="B59" s="3">
        <v>27</v>
      </c>
      <c r="C59" s="3">
        <v>2</v>
      </c>
      <c r="D59" s="3">
        <v>2021</v>
      </c>
      <c r="E59" s="4">
        <f>'Electricity '!I60+'Electricity '!O60</f>
        <v>20563.380000002289</v>
      </c>
      <c r="F59" s="153">
        <f>('Electricity '!I60*0.58+'Gas Water'!H61*1.88)/(Total!E59)</f>
        <v>0.57999999999999996</v>
      </c>
      <c r="G59" s="4">
        <f>'Gas Water'!M61</f>
        <v>3359</v>
      </c>
      <c r="H59" s="153">
        <v>1.72</v>
      </c>
      <c r="I59" s="2">
        <f>'Gas Water'!L61</f>
        <v>143</v>
      </c>
      <c r="J59" s="153">
        <v>12.85</v>
      </c>
      <c r="K59" s="5">
        <v>136</v>
      </c>
      <c r="L59" s="5">
        <v>247</v>
      </c>
    </row>
    <row r="60" spans="1:12" x14ac:dyDescent="0.25">
      <c r="A60" s="3" t="s">
        <v>75</v>
      </c>
      <c r="B60" s="3">
        <v>28</v>
      </c>
      <c r="C60" s="3">
        <v>2</v>
      </c>
      <c r="D60" s="3">
        <v>2021</v>
      </c>
      <c r="E60" s="4">
        <f>'Electricity '!I61+'Electricity '!O61</f>
        <v>23043.239999999187</v>
      </c>
      <c r="F60" s="153">
        <f>('Electricity '!I61*0.58+'Gas Water'!H62*1.88)/(Total!E60)</f>
        <v>0.57999999999999996</v>
      </c>
      <c r="G60" s="4">
        <f>'Gas Water'!M62</f>
        <v>3496</v>
      </c>
      <c r="H60" s="153">
        <v>1.72</v>
      </c>
      <c r="I60" s="2">
        <f>'Gas Water'!L62</f>
        <v>153</v>
      </c>
      <c r="J60" s="153">
        <v>12.85</v>
      </c>
      <c r="K60" s="5">
        <v>122</v>
      </c>
      <c r="L60" s="5">
        <v>212</v>
      </c>
    </row>
    <row r="61" spans="1:12" x14ac:dyDescent="0.25">
      <c r="A61" s="3" t="s">
        <v>75</v>
      </c>
      <c r="B61" s="3">
        <v>1</v>
      </c>
      <c r="C61" s="3">
        <v>3</v>
      </c>
      <c r="D61" s="3">
        <v>2021</v>
      </c>
      <c r="E61" s="4">
        <f>'Electricity '!I62+'Electricity '!O62</f>
        <v>21416.219999999066</v>
      </c>
      <c r="F61" s="153">
        <f>('Electricity '!I62*0.58+'Gas Water'!H63*1.88)/(Total!E61)</f>
        <v>0.57999999999999996</v>
      </c>
      <c r="G61" s="4">
        <f>'Gas Water'!M63</f>
        <v>3402</v>
      </c>
      <c r="H61" s="153">
        <v>1.76</v>
      </c>
      <c r="I61" s="2">
        <f>'Gas Water'!L63</f>
        <v>130</v>
      </c>
      <c r="J61" s="153">
        <v>12.85</v>
      </c>
      <c r="K61" s="5">
        <v>100</v>
      </c>
      <c r="L61" s="5">
        <v>167</v>
      </c>
    </row>
    <row r="62" spans="1:12" x14ac:dyDescent="0.25">
      <c r="A62" s="3" t="s">
        <v>75</v>
      </c>
      <c r="B62" s="3">
        <v>2</v>
      </c>
      <c r="C62" s="3">
        <v>3</v>
      </c>
      <c r="D62" s="3">
        <v>2021</v>
      </c>
      <c r="E62" s="4">
        <f>'Electricity '!I63+'Electricity '!O63</f>
        <v>22285.620000002982</v>
      </c>
      <c r="F62" s="153">
        <f>('Electricity '!I63*0.58+'Gas Water'!H64*1.88)/(Total!E62)</f>
        <v>0.57999999999999996</v>
      </c>
      <c r="G62" s="4">
        <f>'Gas Water'!M64</f>
        <v>3548</v>
      </c>
      <c r="H62" s="153">
        <v>1.76</v>
      </c>
      <c r="I62" s="2">
        <f>'Gas Water'!L64</f>
        <v>108</v>
      </c>
      <c r="J62" s="153">
        <v>12.85</v>
      </c>
      <c r="K62" s="5">
        <v>72</v>
      </c>
      <c r="L62" s="5">
        <v>118</v>
      </c>
    </row>
    <row r="63" spans="1:12" x14ac:dyDescent="0.25">
      <c r="A63" s="3" t="s">
        <v>75</v>
      </c>
      <c r="B63" s="3">
        <v>3</v>
      </c>
      <c r="C63" s="3">
        <v>3</v>
      </c>
      <c r="D63" s="3">
        <v>2021</v>
      </c>
      <c r="E63" s="4">
        <f>'Electricity '!I64+'Electricity '!O64</f>
        <v>22728.599999999096</v>
      </c>
      <c r="F63" s="153">
        <f>('Electricity '!I64*0.58+'Gas Water'!H65*1.72)/(Total!E63)</f>
        <v>0.57999999999999996</v>
      </c>
      <c r="G63" s="4">
        <f>'Gas Water'!M65</f>
        <v>3407</v>
      </c>
      <c r="H63" s="153">
        <v>1.76</v>
      </c>
      <c r="I63" s="2">
        <f>'Gas Water'!L65</f>
        <v>128</v>
      </c>
      <c r="J63" s="153">
        <v>12.85</v>
      </c>
      <c r="K63" s="5">
        <v>102</v>
      </c>
      <c r="L63" s="5">
        <v>184</v>
      </c>
    </row>
    <row r="64" spans="1:12" x14ac:dyDescent="0.25">
      <c r="A64" s="3" t="s">
        <v>75</v>
      </c>
      <c r="B64" s="3">
        <v>4</v>
      </c>
      <c r="C64" s="3">
        <v>3</v>
      </c>
      <c r="D64" s="3">
        <v>2021</v>
      </c>
      <c r="E64" s="4">
        <f>'Electricity '!I65+'Electricity '!O65</f>
        <v>21701.880000000783</v>
      </c>
      <c r="F64" s="153">
        <f>('Electricity '!I65*0.58+'Gas Water'!H66*1.88)/(Total!E64)</f>
        <v>0.57999999999999996</v>
      </c>
      <c r="G64" s="4">
        <f>'Gas Water'!M66</f>
        <v>3183</v>
      </c>
      <c r="H64" s="153">
        <v>1.76</v>
      </c>
      <c r="I64" s="2">
        <f>'Gas Water'!L66</f>
        <v>140</v>
      </c>
      <c r="J64" s="153">
        <v>12.85</v>
      </c>
      <c r="K64" s="5">
        <v>115</v>
      </c>
      <c r="L64" s="5">
        <v>189</v>
      </c>
    </row>
    <row r="65" spans="1:12" x14ac:dyDescent="0.25">
      <c r="A65" s="3" t="s">
        <v>75</v>
      </c>
      <c r="B65" s="3">
        <v>5</v>
      </c>
      <c r="C65" s="3">
        <v>3</v>
      </c>
      <c r="D65" s="3">
        <v>2021</v>
      </c>
      <c r="E65" s="4">
        <f>'Electricity '!I66+'Electricity '!O66</f>
        <v>20894.579999998223</v>
      </c>
      <c r="F65" s="153">
        <f>('Electricity '!I66*0.58+'Gas Water'!H67*1.88)/(Total!E65)</f>
        <v>0.57999999999999996</v>
      </c>
      <c r="G65" s="4">
        <f>'Gas Water'!M67</f>
        <v>2739</v>
      </c>
      <c r="H65" s="153">
        <v>1.76</v>
      </c>
      <c r="I65" s="2">
        <f>'Gas Water'!L67</f>
        <v>305</v>
      </c>
      <c r="J65" s="153">
        <v>12.85</v>
      </c>
      <c r="K65" s="5">
        <v>131</v>
      </c>
      <c r="L65" s="5">
        <v>225</v>
      </c>
    </row>
    <row r="66" spans="1:12" x14ac:dyDescent="0.25">
      <c r="A66" s="3" t="s">
        <v>75</v>
      </c>
      <c r="B66" s="3">
        <v>6</v>
      </c>
      <c r="C66" s="3">
        <v>3</v>
      </c>
      <c r="D66" s="3">
        <v>2021</v>
      </c>
      <c r="E66" s="4">
        <f>'Electricity '!I67+'Electricity '!O67</f>
        <v>20840.759999998554</v>
      </c>
      <c r="F66" s="153">
        <f>('Electricity '!I67*0.58+'Gas Water'!H68*1.88)/(Total!E66)</f>
        <v>0.57999999999999996</v>
      </c>
      <c r="G66" s="4">
        <f>'Gas Water'!M68</f>
        <v>3255</v>
      </c>
      <c r="H66" s="153">
        <v>1.76</v>
      </c>
      <c r="I66" s="2">
        <f>'Gas Water'!L68</f>
        <v>168</v>
      </c>
      <c r="J66" s="153">
        <v>12.85</v>
      </c>
      <c r="K66" s="5">
        <v>129</v>
      </c>
      <c r="L66" s="5">
        <v>237</v>
      </c>
    </row>
    <row r="67" spans="1:12" x14ac:dyDescent="0.25">
      <c r="A67" s="3" t="s">
        <v>75</v>
      </c>
      <c r="B67" s="3">
        <v>7</v>
      </c>
      <c r="C67" s="3">
        <v>3</v>
      </c>
      <c r="D67" s="3">
        <v>2021</v>
      </c>
      <c r="E67" s="4">
        <f>'Electricity '!I68+'Electricity '!O68</f>
        <v>21788.820000003434</v>
      </c>
      <c r="F67" s="153">
        <f>('Electricity '!I68*0.58+'Gas Water'!H69*1.88)/(Total!E67)</f>
        <v>0.57999999999999996</v>
      </c>
      <c r="G67" s="4">
        <f>'Gas Water'!M69</f>
        <v>3750</v>
      </c>
      <c r="H67" s="153">
        <v>1.76</v>
      </c>
      <c r="I67" s="2">
        <f>'Gas Water'!L69</f>
        <v>155</v>
      </c>
      <c r="J67" s="153">
        <v>12.85</v>
      </c>
      <c r="K67" s="5">
        <v>107</v>
      </c>
      <c r="L67" s="5">
        <v>197</v>
      </c>
    </row>
    <row r="68" spans="1:12" x14ac:dyDescent="0.25">
      <c r="A68" s="3" t="s">
        <v>75</v>
      </c>
      <c r="B68" s="3">
        <v>8</v>
      </c>
      <c r="C68" s="3">
        <v>3</v>
      </c>
      <c r="D68" s="3">
        <v>2021</v>
      </c>
      <c r="E68" s="4">
        <f>'Electricity '!I69+'Electricity '!O69</f>
        <v>22086.899999996385</v>
      </c>
      <c r="F68" s="153">
        <f>('Electricity '!I69*0.58+'Gas Water'!H70*1.88)/(Total!E68)</f>
        <v>0.57999999999999996</v>
      </c>
      <c r="G68" s="4">
        <f>'Gas Water'!M70</f>
        <v>3482</v>
      </c>
      <c r="H68" s="153">
        <v>1.76</v>
      </c>
      <c r="I68" s="2">
        <f>'Gas Water'!L70</f>
        <v>143</v>
      </c>
      <c r="J68" s="153">
        <v>12.85</v>
      </c>
      <c r="K68" s="5">
        <v>89</v>
      </c>
      <c r="L68" s="5">
        <v>159</v>
      </c>
    </row>
    <row r="69" spans="1:12" x14ac:dyDescent="0.25">
      <c r="A69" s="3" t="s">
        <v>75</v>
      </c>
      <c r="B69" s="3">
        <v>9</v>
      </c>
      <c r="C69" s="3">
        <v>3</v>
      </c>
      <c r="D69" s="3">
        <v>2021</v>
      </c>
      <c r="E69" s="4">
        <f>'Electricity '!I70+'Electricity '!O70</f>
        <v>22074.480000001386</v>
      </c>
      <c r="F69" s="153">
        <f>('Electricity '!I70*0.58+'Gas Water'!H71*1.88)/(Total!E69)</f>
        <v>0.57999999999999996</v>
      </c>
      <c r="G69" s="4">
        <f>'Gas Water'!M71</f>
        <v>3037</v>
      </c>
      <c r="H69" s="153">
        <v>1.76</v>
      </c>
      <c r="I69" s="2">
        <f>'Gas Water'!L71</f>
        <v>141</v>
      </c>
      <c r="J69" s="153">
        <v>12.85</v>
      </c>
      <c r="K69" s="5">
        <v>115</v>
      </c>
      <c r="L69" s="5">
        <v>187</v>
      </c>
    </row>
    <row r="70" spans="1:12" x14ac:dyDescent="0.25">
      <c r="A70" s="3" t="s">
        <v>75</v>
      </c>
      <c r="B70" s="3">
        <v>10</v>
      </c>
      <c r="C70" s="3">
        <v>3</v>
      </c>
      <c r="D70" s="3">
        <v>2021</v>
      </c>
      <c r="E70" s="4">
        <f>'Electricity '!I71+'Electricity '!O71</f>
        <v>22240.080000001235</v>
      </c>
      <c r="F70" s="153">
        <f>('Electricity '!I71*0.58+'Gas Water'!H72*1.88)/(Total!E70)</f>
        <v>0.57999999999999996</v>
      </c>
      <c r="G70" s="4">
        <f>'Gas Water'!M72</f>
        <v>3049</v>
      </c>
      <c r="H70" s="153">
        <v>1.76</v>
      </c>
      <c r="I70" s="2">
        <f>'Gas Water'!L72</f>
        <v>147</v>
      </c>
      <c r="J70" s="153">
        <v>12.85</v>
      </c>
      <c r="K70" s="5">
        <v>121</v>
      </c>
      <c r="L70" s="5">
        <v>199</v>
      </c>
    </row>
    <row r="71" spans="1:12" x14ac:dyDescent="0.25">
      <c r="A71" s="3" t="s">
        <v>75</v>
      </c>
      <c r="B71" s="3">
        <v>11</v>
      </c>
      <c r="C71" s="3">
        <v>3</v>
      </c>
      <c r="D71" s="3">
        <v>2021</v>
      </c>
      <c r="E71" s="4">
        <f>'Electricity '!I72+'Electricity '!O72</f>
        <v>23519.339999998283</v>
      </c>
      <c r="F71" s="153">
        <f>('Electricity '!I72*0.58+'Gas Water'!H73*1.88)/(Total!E71)</f>
        <v>0.57999999999999996</v>
      </c>
      <c r="G71" s="4">
        <f>'Gas Water'!M73</f>
        <v>3802</v>
      </c>
      <c r="H71" s="153">
        <v>1.76</v>
      </c>
      <c r="I71" s="2">
        <f>'Gas Water'!L73</f>
        <v>142</v>
      </c>
      <c r="J71" s="153">
        <v>12.85</v>
      </c>
      <c r="K71" s="5">
        <v>107</v>
      </c>
      <c r="L71" s="5">
        <v>184</v>
      </c>
    </row>
    <row r="72" spans="1:12" x14ac:dyDescent="0.25">
      <c r="A72" s="3" t="s">
        <v>75</v>
      </c>
      <c r="B72" s="3">
        <v>12</v>
      </c>
      <c r="C72" s="3">
        <v>3</v>
      </c>
      <c r="D72" s="3">
        <v>2021</v>
      </c>
      <c r="E72" s="4">
        <f>'Electricity '!I73+'Electricity '!O73</f>
        <v>21850.920000001024</v>
      </c>
      <c r="F72" s="153">
        <f>('Electricity '!I73*0.58+'Gas Water'!H74*1.88)/(Total!E72)</f>
        <v>0.57999999999999996</v>
      </c>
      <c r="G72" s="4">
        <f>'Gas Water'!M74</f>
        <v>3566</v>
      </c>
      <c r="H72" s="153">
        <v>1.76</v>
      </c>
      <c r="I72" s="2">
        <f>'Gas Water'!L74</f>
        <v>160</v>
      </c>
      <c r="J72" s="153">
        <v>12.85</v>
      </c>
      <c r="K72" s="5">
        <v>115</v>
      </c>
      <c r="L72" s="5">
        <v>195</v>
      </c>
    </row>
    <row r="73" spans="1:12" x14ac:dyDescent="0.25">
      <c r="A73" s="3" t="s">
        <v>75</v>
      </c>
      <c r="B73" s="3">
        <v>13</v>
      </c>
      <c r="C73" s="3">
        <v>3</v>
      </c>
      <c r="D73" s="3">
        <v>2021</v>
      </c>
      <c r="E73" s="4">
        <f>'Electricity '!I74+'Electricity '!O74</f>
        <v>22364.280000000181</v>
      </c>
      <c r="F73" s="153">
        <f>('Electricity '!I74*0.58+'Gas Water'!H75*1.88)/(Total!E73)</f>
        <v>0.57999999999999996</v>
      </c>
      <c r="G73" s="4">
        <f>'Gas Water'!M75</f>
        <v>3112</v>
      </c>
      <c r="H73" s="153">
        <v>1.76</v>
      </c>
      <c r="I73" s="2">
        <f>'Gas Water'!L75</f>
        <v>135</v>
      </c>
      <c r="J73" s="153">
        <v>12.85</v>
      </c>
      <c r="K73" s="5">
        <v>117</v>
      </c>
      <c r="L73" s="5">
        <v>214</v>
      </c>
    </row>
    <row r="74" spans="1:12" x14ac:dyDescent="0.25">
      <c r="A74" s="3" t="s">
        <v>75</v>
      </c>
      <c r="B74" s="3">
        <v>14</v>
      </c>
      <c r="C74" s="3">
        <v>3</v>
      </c>
      <c r="D74" s="3">
        <v>2021</v>
      </c>
      <c r="E74" s="4">
        <f>'Electricity '!I75+'Electricity '!O75</f>
        <v>20857.319999998163</v>
      </c>
      <c r="F74" s="153">
        <f>('Electricity '!I75*0.58+'Gas Water'!H76*1.88)/(Total!E74)</f>
        <v>0.57999999999999996</v>
      </c>
      <c r="G74" s="4">
        <f>'Gas Water'!M76</f>
        <v>2984</v>
      </c>
      <c r="H74" s="153">
        <v>1.76</v>
      </c>
      <c r="I74" s="2">
        <f>'Gas Water'!L76</f>
        <v>156</v>
      </c>
      <c r="J74" s="153">
        <v>12.85</v>
      </c>
      <c r="K74" s="5">
        <v>88</v>
      </c>
      <c r="L74" s="5">
        <v>154</v>
      </c>
    </row>
    <row r="75" spans="1:12" x14ac:dyDescent="0.25">
      <c r="A75" s="3" t="s">
        <v>75</v>
      </c>
      <c r="B75" s="3">
        <v>15</v>
      </c>
      <c r="C75" s="3">
        <v>3</v>
      </c>
      <c r="D75" s="3">
        <v>2021</v>
      </c>
      <c r="E75" s="4">
        <f>'Electricity '!I76+'Electricity '!O76</f>
        <v>22211.100000002862</v>
      </c>
      <c r="F75" s="153">
        <f>('Electricity '!I76*0.58+'Gas Water'!H77*1.88)/(Total!E75)</f>
        <v>0.57999999999999996</v>
      </c>
      <c r="G75" s="4">
        <f>'Gas Water'!M77</f>
        <v>2571</v>
      </c>
      <c r="H75" s="153">
        <v>1.76</v>
      </c>
      <c r="I75" s="2">
        <f>'Gas Water'!L77</f>
        <v>143</v>
      </c>
      <c r="J75" s="153">
        <v>12.85</v>
      </c>
      <c r="K75" s="5">
        <v>91</v>
      </c>
      <c r="L75" s="5">
        <v>160</v>
      </c>
    </row>
    <row r="76" spans="1:12" x14ac:dyDescent="0.25">
      <c r="A76" s="3" t="s">
        <v>75</v>
      </c>
      <c r="B76" s="3">
        <v>16</v>
      </c>
      <c r="C76" s="3">
        <v>3</v>
      </c>
      <c r="D76" s="3">
        <v>2021</v>
      </c>
      <c r="E76" s="4">
        <f>'Electricity '!I77+'Electricity '!O77</f>
        <v>21900.599999999849</v>
      </c>
      <c r="F76" s="153">
        <v>0.57999999999999996</v>
      </c>
      <c r="G76" s="4">
        <f>'Gas Water'!M78</f>
        <v>2924</v>
      </c>
      <c r="H76" s="153">
        <v>1.76</v>
      </c>
      <c r="I76" s="2">
        <f>'Gas Water'!L78</f>
        <v>159</v>
      </c>
      <c r="J76" s="153">
        <v>12.85</v>
      </c>
      <c r="K76" s="5">
        <v>90</v>
      </c>
      <c r="L76" s="5">
        <v>157</v>
      </c>
    </row>
    <row r="77" spans="1:12" x14ac:dyDescent="0.25">
      <c r="A77" s="3" t="s">
        <v>75</v>
      </c>
      <c r="B77" s="3">
        <v>17</v>
      </c>
      <c r="C77" s="3">
        <v>3</v>
      </c>
      <c r="D77" s="3">
        <v>2021</v>
      </c>
      <c r="E77" s="4">
        <f>'Electricity '!I78+'Electricity '!O78</f>
        <v>23436.540000000241</v>
      </c>
      <c r="F77" s="153">
        <v>0.57999999999999996</v>
      </c>
      <c r="G77" s="4">
        <f>'Gas Water'!M79</f>
        <v>3416</v>
      </c>
      <c r="H77" s="153">
        <v>1.76</v>
      </c>
      <c r="I77" s="2">
        <f>'Gas Water'!L79</f>
        <v>121</v>
      </c>
      <c r="J77" s="153">
        <v>12.85</v>
      </c>
      <c r="K77" s="5">
        <v>90</v>
      </c>
      <c r="L77" s="5">
        <v>160</v>
      </c>
    </row>
    <row r="78" spans="1:12" x14ac:dyDescent="0.25">
      <c r="A78" s="3" t="s">
        <v>75</v>
      </c>
      <c r="B78" s="3">
        <v>18</v>
      </c>
      <c r="C78" s="3">
        <v>3</v>
      </c>
      <c r="D78" s="3">
        <v>2021</v>
      </c>
      <c r="E78" s="4">
        <f>'Electricity '!I79+'Electricity '!O79</f>
        <v>21527.519999995828</v>
      </c>
      <c r="F78" s="153">
        <v>0.57999999999999996</v>
      </c>
      <c r="G78" s="4">
        <f>'Gas Water'!M80</f>
        <v>3113</v>
      </c>
      <c r="H78" s="153">
        <v>1.76</v>
      </c>
      <c r="I78" s="2">
        <f>'Gas Water'!L80</f>
        <v>122</v>
      </c>
      <c r="J78" s="153">
        <v>12.85</v>
      </c>
      <c r="K78" s="5">
        <v>96</v>
      </c>
      <c r="L78" s="5">
        <v>176</v>
      </c>
    </row>
    <row r="79" spans="1:12" x14ac:dyDescent="0.25">
      <c r="A79" s="3" t="s">
        <v>75</v>
      </c>
      <c r="B79" s="3">
        <v>19</v>
      </c>
      <c r="C79" s="3">
        <v>3</v>
      </c>
      <c r="D79" s="3">
        <v>2021</v>
      </c>
      <c r="E79" s="4">
        <f>'Electricity '!I80+'Electricity '!O80</f>
        <v>23142.6</v>
      </c>
      <c r="F79" s="153">
        <v>0.57999999999999996</v>
      </c>
      <c r="G79" s="4">
        <v>3403</v>
      </c>
      <c r="H79" s="153">
        <v>1.76</v>
      </c>
      <c r="I79" s="2">
        <v>153</v>
      </c>
      <c r="J79" s="153">
        <v>12.85</v>
      </c>
      <c r="K79" s="5">
        <v>106</v>
      </c>
      <c r="L79" s="5">
        <v>196</v>
      </c>
    </row>
    <row r="80" spans="1:12" x14ac:dyDescent="0.25">
      <c r="A80" s="3" t="s">
        <v>75</v>
      </c>
      <c r="B80" s="3">
        <v>20</v>
      </c>
      <c r="C80" s="3">
        <v>3</v>
      </c>
      <c r="D80" s="3">
        <v>2021</v>
      </c>
      <c r="E80" s="4">
        <f>'Electricity '!I81+'Electricity '!O81</f>
        <v>20430.900000000001</v>
      </c>
      <c r="F80" s="153">
        <v>0.57999999999999996</v>
      </c>
      <c r="G80" s="4">
        <f>'Gas Water'!M82</f>
        <v>2997</v>
      </c>
      <c r="H80" s="153">
        <v>1.76</v>
      </c>
      <c r="I80" s="2">
        <v>155</v>
      </c>
      <c r="J80" s="153">
        <v>12.85</v>
      </c>
      <c r="K80" s="5">
        <v>98</v>
      </c>
      <c r="L80" s="5">
        <v>183</v>
      </c>
    </row>
    <row r="81" spans="1:12" x14ac:dyDescent="0.25">
      <c r="A81" s="3" t="s">
        <v>75</v>
      </c>
      <c r="B81" s="3">
        <v>21</v>
      </c>
      <c r="C81" s="3">
        <v>3</v>
      </c>
      <c r="D81" s="3">
        <v>2021</v>
      </c>
      <c r="E81" s="4">
        <f>'Electricity '!I82+'Electricity '!O82</f>
        <v>21523.859999999993</v>
      </c>
      <c r="F81" s="153">
        <v>0.57999999999999996</v>
      </c>
      <c r="G81" s="4">
        <f>'Gas Water'!M83</f>
        <v>3217</v>
      </c>
      <c r="H81" s="153">
        <v>1.76</v>
      </c>
      <c r="I81" s="2">
        <f>'Gas Water'!L83</f>
        <v>141</v>
      </c>
      <c r="J81" s="153">
        <v>12.85</v>
      </c>
      <c r="K81" s="5">
        <v>102</v>
      </c>
      <c r="L81" s="5">
        <v>197</v>
      </c>
    </row>
    <row r="82" spans="1:12" x14ac:dyDescent="0.25">
      <c r="A82" s="3" t="s">
        <v>75</v>
      </c>
      <c r="B82" s="3">
        <v>22</v>
      </c>
      <c r="C82" s="3">
        <v>3</v>
      </c>
      <c r="D82" s="3">
        <v>2021</v>
      </c>
      <c r="E82" s="4">
        <f>'Electricity '!I83+'Electricity '!O83</f>
        <v>21896.460000000006</v>
      </c>
      <c r="F82" s="153">
        <v>0.57999999999999996</v>
      </c>
      <c r="G82" s="4">
        <f>'Gas Water'!M84</f>
        <v>3146</v>
      </c>
      <c r="H82" s="153">
        <v>1.76</v>
      </c>
      <c r="I82" s="2">
        <f>'Gas Water'!L84</f>
        <v>143</v>
      </c>
      <c r="J82" s="153">
        <v>12.85</v>
      </c>
      <c r="K82" s="5">
        <v>106</v>
      </c>
      <c r="L82" s="5">
        <v>199</v>
      </c>
    </row>
    <row r="83" spans="1:12" x14ac:dyDescent="0.25">
      <c r="A83" s="3" t="s">
        <v>75</v>
      </c>
      <c r="B83" s="3">
        <v>23</v>
      </c>
      <c r="C83" s="3">
        <v>3</v>
      </c>
      <c r="D83" s="3">
        <v>2021</v>
      </c>
      <c r="E83" s="4">
        <f>'Electricity '!I84+'Electricity '!O84</f>
        <v>22736.880000000005</v>
      </c>
      <c r="F83" s="153">
        <v>0.57999999999999996</v>
      </c>
      <c r="G83" s="4">
        <f>'Gas Water'!M85</f>
        <v>3823</v>
      </c>
      <c r="H83" s="153">
        <v>1.76</v>
      </c>
      <c r="I83" s="2">
        <f>'Gas Water'!L85</f>
        <v>164</v>
      </c>
      <c r="J83" s="153">
        <v>12.85</v>
      </c>
      <c r="K83" s="5">
        <v>116</v>
      </c>
      <c r="L83" s="5">
        <v>198</v>
      </c>
    </row>
    <row r="84" spans="1:12" x14ac:dyDescent="0.25">
      <c r="A84" s="3" t="s">
        <v>75</v>
      </c>
      <c r="B84" s="3">
        <v>24</v>
      </c>
      <c r="C84" s="3">
        <v>3</v>
      </c>
      <c r="D84" s="3">
        <v>2021</v>
      </c>
      <c r="E84" s="4">
        <f>'Electricity '!I85+'Electricity '!O85</f>
        <v>21254.760000000002</v>
      </c>
      <c r="F84" s="153">
        <v>0.57999999999999996</v>
      </c>
      <c r="G84" s="4">
        <f>'Gas Water'!M86</f>
        <v>3982</v>
      </c>
      <c r="H84" s="153">
        <v>1.76</v>
      </c>
      <c r="I84" s="2">
        <f>'Gas Water'!L86</f>
        <v>150</v>
      </c>
      <c r="J84" s="153">
        <v>12.85</v>
      </c>
      <c r="K84" s="5">
        <v>124</v>
      </c>
      <c r="L84" s="5">
        <v>210</v>
      </c>
    </row>
    <row r="85" spans="1:12" x14ac:dyDescent="0.25">
      <c r="A85" s="3" t="s">
        <v>75</v>
      </c>
      <c r="B85" s="3">
        <v>25</v>
      </c>
      <c r="C85" s="3">
        <v>3</v>
      </c>
      <c r="D85" s="3">
        <v>2021</v>
      </c>
      <c r="E85" s="4">
        <f>'Electricity '!I86+'Electricity '!O86</f>
        <v>23146.740000000005</v>
      </c>
      <c r="F85" s="153">
        <v>0.57999999999999996</v>
      </c>
      <c r="G85" s="4">
        <f>'Gas Water'!M87</f>
        <v>3769</v>
      </c>
      <c r="H85" s="153">
        <v>1.76</v>
      </c>
      <c r="I85" s="2">
        <f>'Gas Water'!L87</f>
        <v>139</v>
      </c>
      <c r="J85" s="153">
        <v>12.85</v>
      </c>
      <c r="K85" s="5">
        <v>128</v>
      </c>
      <c r="L85" s="5">
        <v>215</v>
      </c>
    </row>
    <row r="86" spans="1:12" x14ac:dyDescent="0.25">
      <c r="A86" s="3" t="s">
        <v>75</v>
      </c>
      <c r="B86" s="3">
        <v>26</v>
      </c>
      <c r="C86" s="3">
        <v>3</v>
      </c>
      <c r="D86" s="3">
        <v>2021</v>
      </c>
      <c r="E86" s="4">
        <f>'Electricity '!I87+'Electricity '!O87</f>
        <v>22906.619999999977</v>
      </c>
      <c r="F86" s="153">
        <v>0.57999999999999996</v>
      </c>
      <c r="G86" s="4">
        <v>3386</v>
      </c>
      <c r="H86" s="153">
        <v>1.76</v>
      </c>
      <c r="I86" s="2">
        <v>160</v>
      </c>
      <c r="J86" s="153">
        <v>12.85</v>
      </c>
      <c r="K86" s="5">
        <v>139</v>
      </c>
      <c r="L86" s="5">
        <v>252</v>
      </c>
    </row>
    <row r="87" spans="1:12" x14ac:dyDescent="0.25">
      <c r="A87" s="3" t="s">
        <v>75</v>
      </c>
      <c r="B87" s="3">
        <v>27</v>
      </c>
      <c r="C87" s="3">
        <v>3</v>
      </c>
      <c r="D87" s="3">
        <v>2021</v>
      </c>
      <c r="E87" s="4">
        <f>'Electricity '!I88+'Electricity '!O88</f>
        <v>21648.060000000027</v>
      </c>
      <c r="F87" s="153">
        <v>0.57999999999999996</v>
      </c>
      <c r="G87" s="4">
        <f>'Gas Water'!M89</f>
        <v>3322</v>
      </c>
      <c r="H87" s="153">
        <v>1.76</v>
      </c>
      <c r="I87" s="2">
        <f>'Gas Water'!L89</f>
        <v>168</v>
      </c>
      <c r="J87" s="153">
        <v>12.85</v>
      </c>
      <c r="K87" s="5">
        <v>156</v>
      </c>
      <c r="L87" s="5">
        <v>282</v>
      </c>
    </row>
    <row r="88" spans="1:12" x14ac:dyDescent="0.25">
      <c r="A88" s="3" t="s">
        <v>75</v>
      </c>
      <c r="B88" s="3">
        <v>28</v>
      </c>
      <c r="C88" s="3">
        <v>3</v>
      </c>
      <c r="D88" s="3">
        <v>2021</v>
      </c>
      <c r="E88" s="4">
        <f>'Electricity '!I89+'Electricity '!O89</f>
        <v>20414.339999999989</v>
      </c>
      <c r="F88" s="153">
        <v>0.57999999999999996</v>
      </c>
      <c r="G88" s="4">
        <v>2762</v>
      </c>
      <c r="H88" s="153">
        <v>1.76</v>
      </c>
      <c r="I88" s="2">
        <v>143</v>
      </c>
      <c r="J88" s="153">
        <v>12.85</v>
      </c>
      <c r="K88" s="5">
        <v>152</v>
      </c>
      <c r="L88" s="5">
        <v>283</v>
      </c>
    </row>
    <row r="89" spans="1:12" x14ac:dyDescent="0.25">
      <c r="A89" s="3" t="s">
        <v>75</v>
      </c>
      <c r="B89" s="3">
        <v>29</v>
      </c>
      <c r="C89" s="3">
        <v>3</v>
      </c>
      <c r="D89" s="3">
        <v>2021</v>
      </c>
      <c r="E89" s="4">
        <f>'Electricity '!I90+'Electricity '!O90</f>
        <v>20232.18</v>
      </c>
      <c r="F89" s="153">
        <v>0.57999999999999996</v>
      </c>
      <c r="G89" s="4">
        <f>'Gas Water'!M91</f>
        <v>2893</v>
      </c>
      <c r="H89" s="153">
        <v>1.76</v>
      </c>
      <c r="I89" s="2">
        <f>'Gas Water'!L91</f>
        <v>161</v>
      </c>
      <c r="J89" s="153">
        <v>12.85</v>
      </c>
      <c r="K89" s="5">
        <v>152</v>
      </c>
      <c r="L89" s="5">
        <v>275</v>
      </c>
    </row>
    <row r="90" spans="1:12" x14ac:dyDescent="0.25">
      <c r="A90" s="3" t="s">
        <v>75</v>
      </c>
      <c r="B90" s="3">
        <v>30</v>
      </c>
      <c r="C90" s="3">
        <v>3</v>
      </c>
      <c r="D90" s="3">
        <v>2021</v>
      </c>
      <c r="E90" s="4">
        <f>'Electricity '!I91+'Electricity '!O91</f>
        <v>21532.140000000003</v>
      </c>
      <c r="F90" s="153">
        <v>0.57999999999999996</v>
      </c>
      <c r="G90" s="4">
        <f>'Gas Water'!M92</f>
        <v>3217</v>
      </c>
      <c r="H90" s="153">
        <v>1.76</v>
      </c>
      <c r="I90" s="2">
        <f>'Gas Water'!L92</f>
        <v>156</v>
      </c>
      <c r="J90" s="153">
        <v>12.85</v>
      </c>
      <c r="K90" s="5">
        <v>145</v>
      </c>
      <c r="L90" s="5">
        <v>269</v>
      </c>
    </row>
    <row r="91" spans="1:12" x14ac:dyDescent="0.25">
      <c r="A91" s="3" t="s">
        <v>75</v>
      </c>
      <c r="B91" s="3">
        <v>31</v>
      </c>
      <c r="C91" s="3">
        <v>3</v>
      </c>
      <c r="D91" s="3">
        <v>2021</v>
      </c>
      <c r="E91" s="4">
        <f>'Electricity '!I92+'Electricity '!O92</f>
        <v>22749.300000000017</v>
      </c>
      <c r="F91" s="153">
        <v>0.57999999999999996</v>
      </c>
      <c r="G91" s="4">
        <f>'Gas Water'!M93</f>
        <v>3340</v>
      </c>
      <c r="H91" s="153">
        <v>1.76</v>
      </c>
      <c r="I91" s="2">
        <f>'Gas Water'!L93</f>
        <v>163</v>
      </c>
      <c r="J91" s="153">
        <v>12.85</v>
      </c>
      <c r="K91" s="5">
        <v>148</v>
      </c>
      <c r="L91" s="5">
        <v>290</v>
      </c>
    </row>
    <row r="92" spans="1:12" x14ac:dyDescent="0.25">
      <c r="A92" s="3" t="s">
        <v>75</v>
      </c>
      <c r="B92" s="3">
        <v>1</v>
      </c>
      <c r="C92" s="3">
        <v>4</v>
      </c>
      <c r="D92" s="3">
        <v>2021</v>
      </c>
      <c r="E92" s="4">
        <f>'Electricity '!I93+'Electricity '!O93</f>
        <v>22455.359999999968</v>
      </c>
      <c r="F92" s="153">
        <v>0.67</v>
      </c>
      <c r="G92" s="4">
        <f>'Gas Water'!M94</f>
        <v>3206</v>
      </c>
      <c r="H92" s="153">
        <v>1.77</v>
      </c>
      <c r="I92" s="2">
        <f>'Gas Water'!L94</f>
        <v>195</v>
      </c>
      <c r="J92" s="153">
        <v>12.93</v>
      </c>
      <c r="K92" s="5">
        <v>136</v>
      </c>
      <c r="L92" s="5">
        <v>257</v>
      </c>
    </row>
    <row r="93" spans="1:12" x14ac:dyDescent="0.25">
      <c r="A93" s="3" t="s">
        <v>75</v>
      </c>
      <c r="B93" s="3">
        <v>2</v>
      </c>
      <c r="C93" s="3">
        <v>4</v>
      </c>
      <c r="D93" s="3">
        <v>2021</v>
      </c>
      <c r="E93" s="4">
        <f>'Electricity '!I94+'Electricity '!O94</f>
        <v>24840</v>
      </c>
      <c r="F93" s="153">
        <v>0.67</v>
      </c>
      <c r="G93" s="4">
        <f>'Gas Water'!M95</f>
        <v>2841</v>
      </c>
      <c r="H93" s="153">
        <v>1.77</v>
      </c>
      <c r="I93" s="2">
        <f>'Gas Water'!L95</f>
        <v>144</v>
      </c>
      <c r="J93" s="153">
        <v>12.93</v>
      </c>
      <c r="K93" s="5">
        <v>141</v>
      </c>
      <c r="L93" s="5">
        <v>269</v>
      </c>
    </row>
    <row r="94" spans="1:12" x14ac:dyDescent="0.25">
      <c r="A94" s="3" t="s">
        <v>75</v>
      </c>
      <c r="B94" s="3">
        <v>3</v>
      </c>
      <c r="C94" s="3">
        <v>4</v>
      </c>
      <c r="D94" s="3">
        <v>2021</v>
      </c>
      <c r="E94" s="4">
        <f>'Electricity '!I95+'Electricity '!O95</f>
        <v>17859.960000000028</v>
      </c>
      <c r="F94" s="153">
        <v>0.67</v>
      </c>
      <c r="G94" s="4">
        <f>'Gas Water'!M96</f>
        <v>2274</v>
      </c>
      <c r="H94" s="153">
        <v>1.77</v>
      </c>
      <c r="I94" s="2">
        <f>'Gas Water'!L96</f>
        <v>153</v>
      </c>
      <c r="J94" s="153">
        <v>12.93</v>
      </c>
      <c r="K94" s="5">
        <v>130</v>
      </c>
      <c r="L94" s="5">
        <v>243</v>
      </c>
    </row>
    <row r="95" spans="1:12" x14ac:dyDescent="0.25">
      <c r="A95" s="3" t="s">
        <v>75</v>
      </c>
      <c r="B95" s="3">
        <v>4</v>
      </c>
      <c r="C95" s="3">
        <v>4</v>
      </c>
      <c r="D95" s="3">
        <v>2021</v>
      </c>
      <c r="E95" s="4">
        <f>'Electricity '!I96+'Electricity '!O96</f>
        <v>20944.259999999991</v>
      </c>
      <c r="F95" s="153">
        <v>0.67</v>
      </c>
      <c r="G95" s="4">
        <f>'Gas Water'!M97</f>
        <v>2784</v>
      </c>
      <c r="H95" s="153">
        <v>1.77</v>
      </c>
      <c r="I95" s="2">
        <f>'Gas Water'!L97</f>
        <v>201</v>
      </c>
      <c r="J95" s="153">
        <v>12.93</v>
      </c>
      <c r="K95" s="5">
        <v>138</v>
      </c>
      <c r="L95" s="5">
        <v>253</v>
      </c>
    </row>
    <row r="96" spans="1:12" x14ac:dyDescent="0.25">
      <c r="A96" s="3" t="s">
        <v>75</v>
      </c>
      <c r="B96" s="3">
        <v>5</v>
      </c>
      <c r="C96" s="3">
        <v>4</v>
      </c>
      <c r="D96" s="3">
        <v>2021</v>
      </c>
      <c r="E96" s="4">
        <f>'Electricity '!I97+'Electricity '!O97</f>
        <v>22745.16</v>
      </c>
      <c r="F96" s="153">
        <v>0.67</v>
      </c>
      <c r="G96" s="4">
        <f>'Gas Water'!M98</f>
        <v>3071</v>
      </c>
      <c r="H96" s="153">
        <v>1.77</v>
      </c>
      <c r="I96" s="2">
        <f>'Gas Water'!L98</f>
        <v>163</v>
      </c>
      <c r="J96" s="153">
        <v>12.93</v>
      </c>
      <c r="K96" s="5">
        <v>128</v>
      </c>
      <c r="L96" s="5">
        <v>233</v>
      </c>
    </row>
    <row r="97" spans="1:12" x14ac:dyDescent="0.25">
      <c r="A97" s="3" t="s">
        <v>75</v>
      </c>
      <c r="B97" s="3">
        <v>6</v>
      </c>
      <c r="C97" s="3">
        <v>4</v>
      </c>
      <c r="D97" s="3">
        <v>2021</v>
      </c>
      <c r="E97" s="4">
        <f>'Electricity '!I98+'Electricity '!O98</f>
        <v>20919.419999999987</v>
      </c>
      <c r="F97" s="153">
        <v>0.67</v>
      </c>
      <c r="G97" s="4">
        <f>'Gas Water'!M99</f>
        <v>2265</v>
      </c>
      <c r="H97" s="153">
        <v>1.77</v>
      </c>
      <c r="I97" s="2">
        <f>'Gas Water'!L99</f>
        <v>167</v>
      </c>
      <c r="J97" s="153">
        <v>12.93</v>
      </c>
      <c r="K97" s="5">
        <v>125</v>
      </c>
      <c r="L97" s="5">
        <v>242</v>
      </c>
    </row>
    <row r="98" spans="1:12" x14ac:dyDescent="0.25">
      <c r="A98" s="3" t="s">
        <v>75</v>
      </c>
      <c r="B98" s="3">
        <v>7</v>
      </c>
      <c r="C98" s="3">
        <v>4</v>
      </c>
      <c r="D98" s="3">
        <v>2021</v>
      </c>
      <c r="E98" s="4">
        <f>'Electricity '!I99+'Electricity '!O99</f>
        <v>22128.299999999996</v>
      </c>
      <c r="F98" s="153">
        <v>0.67</v>
      </c>
      <c r="G98" s="4">
        <f>'Gas Water'!M100</f>
        <v>2268</v>
      </c>
      <c r="H98" s="153">
        <v>1.77</v>
      </c>
      <c r="I98" s="2">
        <f>'Gas Water'!L100</f>
        <v>175</v>
      </c>
      <c r="J98" s="153">
        <v>12.93</v>
      </c>
      <c r="K98" s="5">
        <v>135</v>
      </c>
      <c r="L98" s="5">
        <v>250</v>
      </c>
    </row>
    <row r="99" spans="1:12" x14ac:dyDescent="0.25">
      <c r="A99" s="3" t="s">
        <v>75</v>
      </c>
      <c r="B99" s="3">
        <v>8</v>
      </c>
      <c r="C99" s="3">
        <v>4</v>
      </c>
      <c r="D99" s="3">
        <v>2021</v>
      </c>
      <c r="E99" s="4">
        <f>'Electricity '!I100+'Electricity '!O100</f>
        <v>21970.98000000001</v>
      </c>
      <c r="F99" s="153">
        <v>0.67</v>
      </c>
      <c r="G99" s="4">
        <f>'Gas Water'!M101</f>
        <v>3194</v>
      </c>
      <c r="H99" s="153">
        <v>1.77</v>
      </c>
      <c r="I99" s="2">
        <f>'Gas Water'!L101</f>
        <v>150</v>
      </c>
      <c r="J99" s="153">
        <v>12.93</v>
      </c>
      <c r="K99" s="5">
        <v>116</v>
      </c>
      <c r="L99" s="5">
        <v>206</v>
      </c>
    </row>
    <row r="100" spans="1:12" x14ac:dyDescent="0.25">
      <c r="A100" s="3" t="s">
        <v>75</v>
      </c>
      <c r="B100" s="3">
        <v>9</v>
      </c>
      <c r="C100" s="3">
        <v>4</v>
      </c>
      <c r="D100" s="3">
        <v>2021</v>
      </c>
      <c r="E100" s="4">
        <f>'Electricity '!I101+'Electricity '!O101</f>
        <v>22285.619999999981</v>
      </c>
      <c r="F100" s="153">
        <v>0.67</v>
      </c>
      <c r="G100" s="4">
        <f>'Gas Water'!M102</f>
        <v>2998</v>
      </c>
      <c r="H100" s="153">
        <v>1.77</v>
      </c>
      <c r="I100" s="2">
        <f>'Gas Water'!L102</f>
        <v>204</v>
      </c>
      <c r="J100" s="153">
        <v>12.93</v>
      </c>
      <c r="K100" s="5">
        <v>104</v>
      </c>
      <c r="L100" s="5">
        <v>199</v>
      </c>
    </row>
    <row r="101" spans="1:12" x14ac:dyDescent="0.25">
      <c r="A101" s="3" t="s">
        <v>75</v>
      </c>
      <c r="B101" s="3">
        <v>10</v>
      </c>
      <c r="C101" s="3">
        <v>4</v>
      </c>
      <c r="D101" s="3">
        <v>2021</v>
      </c>
      <c r="E101" s="4">
        <f>'Electricity '!I102+'Electricity '!O102</f>
        <v>20443.320000000011</v>
      </c>
      <c r="F101" s="153">
        <v>0.67</v>
      </c>
      <c r="G101" s="4">
        <f>'Gas Water'!M103</f>
        <v>2872</v>
      </c>
      <c r="H101" s="153">
        <v>1.77</v>
      </c>
      <c r="I101" s="2">
        <f>'Gas Water'!L103</f>
        <v>126</v>
      </c>
      <c r="J101" s="153">
        <v>12.93</v>
      </c>
      <c r="K101" s="5">
        <v>101</v>
      </c>
      <c r="L101" s="5">
        <v>190</v>
      </c>
    </row>
    <row r="102" spans="1:12" x14ac:dyDescent="0.25">
      <c r="A102" s="3" t="s">
        <v>75</v>
      </c>
      <c r="B102" s="3">
        <v>11</v>
      </c>
      <c r="C102" s="3">
        <v>4</v>
      </c>
      <c r="D102" s="3">
        <v>2021</v>
      </c>
      <c r="E102" s="4">
        <f>'Electricity '!I103+'Electricity '!O103</f>
        <v>19987.919999999955</v>
      </c>
      <c r="F102" s="153">
        <v>0.67</v>
      </c>
      <c r="G102" s="4">
        <f>'Gas Water'!M104</f>
        <v>2640</v>
      </c>
      <c r="H102" s="153">
        <v>1.77</v>
      </c>
      <c r="I102" s="2">
        <f>'Gas Water'!L104</f>
        <v>131</v>
      </c>
      <c r="J102" s="153">
        <v>12.93</v>
      </c>
      <c r="K102" s="5">
        <v>69</v>
      </c>
      <c r="L102" s="5">
        <v>131</v>
      </c>
    </row>
    <row r="103" spans="1:12" x14ac:dyDescent="0.25">
      <c r="A103" s="3" t="s">
        <v>75</v>
      </c>
      <c r="B103" s="3">
        <v>12</v>
      </c>
      <c r="C103" s="3">
        <v>4</v>
      </c>
      <c r="D103" s="3">
        <v>2021</v>
      </c>
      <c r="E103" s="4">
        <f>'Electricity '!I104+'Electricity '!O104</f>
        <v>20956.680000000048</v>
      </c>
      <c r="F103" s="153">
        <v>0.67</v>
      </c>
      <c r="G103" s="4">
        <f>'Gas Water'!M105</f>
        <v>2653</v>
      </c>
      <c r="H103" s="153">
        <v>1.77</v>
      </c>
      <c r="I103" s="2">
        <f>'Gas Water'!L105</f>
        <v>134</v>
      </c>
      <c r="J103" s="153">
        <v>12.93</v>
      </c>
      <c r="K103" s="5">
        <v>64</v>
      </c>
      <c r="L103" s="5">
        <v>107</v>
      </c>
    </row>
    <row r="104" spans="1:12" x14ac:dyDescent="0.25">
      <c r="A104" s="3" t="s">
        <v>75</v>
      </c>
      <c r="B104" s="3">
        <v>13</v>
      </c>
      <c r="C104" s="3">
        <v>4</v>
      </c>
      <c r="D104" s="3">
        <v>2021</v>
      </c>
      <c r="E104" s="4">
        <f>'Electricity '!I105+'Electricity '!O105</f>
        <v>20931.840000000047</v>
      </c>
      <c r="F104" s="153">
        <v>0.67</v>
      </c>
      <c r="G104" s="4">
        <f>'Gas Water'!M106</f>
        <v>2257</v>
      </c>
      <c r="H104" s="153">
        <v>1.77</v>
      </c>
      <c r="I104" s="2">
        <f>'Gas Water'!L106</f>
        <v>120</v>
      </c>
      <c r="J104" s="153">
        <v>12.93</v>
      </c>
      <c r="K104" s="5">
        <v>64</v>
      </c>
      <c r="L104" s="5">
        <v>99</v>
      </c>
    </row>
    <row r="105" spans="1:12" x14ac:dyDescent="0.25">
      <c r="A105" s="3" t="s">
        <v>75</v>
      </c>
      <c r="B105" s="3">
        <v>14</v>
      </c>
      <c r="C105" s="3">
        <v>4</v>
      </c>
      <c r="D105" s="3">
        <v>2021</v>
      </c>
      <c r="E105" s="4">
        <f>'Electricity '!I106+'Electricity '!O106</f>
        <v>20025.179999999957</v>
      </c>
      <c r="F105" s="153">
        <v>0.67</v>
      </c>
      <c r="G105" s="4">
        <f>'Gas Water'!M107</f>
        <v>2019</v>
      </c>
      <c r="H105" s="153">
        <v>1.77</v>
      </c>
      <c r="I105" s="2">
        <f>'Gas Water'!L107</f>
        <v>246</v>
      </c>
      <c r="J105" s="153">
        <v>12.93</v>
      </c>
      <c r="K105" s="5">
        <v>75</v>
      </c>
      <c r="L105" s="5">
        <v>120</v>
      </c>
    </row>
    <row r="106" spans="1:12" x14ac:dyDescent="0.25">
      <c r="A106" s="3" t="s">
        <v>75</v>
      </c>
      <c r="B106" s="3">
        <v>15</v>
      </c>
      <c r="C106" s="3">
        <v>4</v>
      </c>
      <c r="D106" s="3">
        <v>2021</v>
      </c>
      <c r="E106" s="4">
        <f>'Electricity '!I107+'Electricity '!O107</f>
        <v>21118.139999999996</v>
      </c>
      <c r="F106" s="153">
        <v>0.67</v>
      </c>
      <c r="G106" s="4">
        <f>'Gas Water'!M108</f>
        <v>2801</v>
      </c>
      <c r="H106" s="153">
        <v>1.77</v>
      </c>
      <c r="I106" s="2">
        <f>'Gas Water'!L108</f>
        <v>395</v>
      </c>
      <c r="J106" s="153">
        <v>12.93</v>
      </c>
      <c r="K106" s="5">
        <v>71</v>
      </c>
      <c r="L106" s="5">
        <v>120</v>
      </c>
    </row>
    <row r="107" spans="1:12" x14ac:dyDescent="0.25">
      <c r="A107" s="3" t="s">
        <v>75</v>
      </c>
      <c r="B107" s="3">
        <v>16</v>
      </c>
      <c r="C107" s="3">
        <v>4</v>
      </c>
      <c r="D107" s="3">
        <v>2021</v>
      </c>
      <c r="E107" s="4">
        <f>'Electricity '!I108+'Electricity '!O108</f>
        <v>19085.400000000056</v>
      </c>
      <c r="F107" s="153">
        <v>0.67</v>
      </c>
      <c r="G107" s="4">
        <f>'Gas Water'!M109</f>
        <v>2603</v>
      </c>
      <c r="H107" s="153">
        <v>1.77</v>
      </c>
      <c r="I107" s="2">
        <f>'Gas Water'!L109</f>
        <v>108</v>
      </c>
      <c r="J107" s="153">
        <v>12.93</v>
      </c>
      <c r="K107" s="5">
        <v>71</v>
      </c>
      <c r="L107" s="5">
        <v>123</v>
      </c>
    </row>
    <row r="108" spans="1:12" x14ac:dyDescent="0.25">
      <c r="A108" s="3" t="s">
        <v>75</v>
      </c>
      <c r="B108" s="3">
        <v>17</v>
      </c>
      <c r="C108" s="3">
        <v>4</v>
      </c>
      <c r="D108" s="3">
        <v>2021</v>
      </c>
      <c r="E108" s="4">
        <f>'Electricity '!I109+'Electricity '!O109</f>
        <v>23407.559999999983</v>
      </c>
      <c r="F108" s="153">
        <v>0.67</v>
      </c>
      <c r="G108" s="4">
        <f>'Gas Water'!M110</f>
        <v>2702</v>
      </c>
      <c r="H108" s="153">
        <v>1.77</v>
      </c>
      <c r="I108" s="2">
        <f>'Gas Water'!L110</f>
        <v>97</v>
      </c>
      <c r="J108" s="153">
        <v>12.93</v>
      </c>
      <c r="K108" s="5">
        <v>53</v>
      </c>
      <c r="L108" s="5">
        <v>94</v>
      </c>
    </row>
    <row r="109" spans="1:12" x14ac:dyDescent="0.25">
      <c r="A109" s="3" t="s">
        <v>75</v>
      </c>
      <c r="B109" s="3">
        <v>18</v>
      </c>
      <c r="C109" s="3">
        <v>4</v>
      </c>
      <c r="D109" s="3">
        <v>2021</v>
      </c>
      <c r="E109" s="4">
        <f>'Electricity '!I110+'Electricity '!O110</f>
        <v>19453.859999999931</v>
      </c>
      <c r="F109" s="153">
        <v>0.67</v>
      </c>
      <c r="G109" s="4">
        <f>'Gas Water'!M111</f>
        <v>2621</v>
      </c>
      <c r="H109" s="153">
        <v>1.77</v>
      </c>
      <c r="I109" s="2">
        <f>'Gas Water'!L111</f>
        <v>130</v>
      </c>
      <c r="J109" s="153">
        <v>12.93</v>
      </c>
      <c r="K109" s="5">
        <v>46</v>
      </c>
      <c r="L109" s="5">
        <v>84</v>
      </c>
    </row>
    <row r="110" spans="1:12" x14ac:dyDescent="0.25">
      <c r="A110" s="3" t="s">
        <v>75</v>
      </c>
      <c r="B110" s="3">
        <v>19</v>
      </c>
      <c r="C110" s="3">
        <v>4</v>
      </c>
      <c r="D110" s="3">
        <v>2021</v>
      </c>
      <c r="E110" s="4">
        <f>'Electricity '!I111+'Electricity '!O111</f>
        <v>22927.320000000043</v>
      </c>
      <c r="F110" s="153">
        <v>0.67</v>
      </c>
      <c r="G110" s="4">
        <f>'Gas Water'!M112</f>
        <v>2760</v>
      </c>
      <c r="H110" s="153">
        <v>1.77</v>
      </c>
      <c r="I110" s="2">
        <f>'Gas Water'!L112</f>
        <v>115</v>
      </c>
      <c r="J110" s="153">
        <v>12.93</v>
      </c>
      <c r="K110" s="5">
        <v>55</v>
      </c>
      <c r="L110" s="5">
        <v>100</v>
      </c>
    </row>
    <row r="111" spans="1:12" x14ac:dyDescent="0.25">
      <c r="A111" s="3" t="s">
        <v>75</v>
      </c>
      <c r="B111" s="3">
        <v>20</v>
      </c>
      <c r="C111" s="3">
        <v>4</v>
      </c>
      <c r="D111" s="3">
        <v>2021</v>
      </c>
      <c r="E111" s="4">
        <f>'Electricity '!I112+'Electricity '!O112</f>
        <v>20762.099999999944</v>
      </c>
      <c r="F111" s="153">
        <v>0.67</v>
      </c>
      <c r="G111" s="4">
        <f>'Gas Water'!M113</f>
        <v>2542</v>
      </c>
      <c r="H111" s="153">
        <v>1.77</v>
      </c>
      <c r="I111" s="2">
        <f>'Gas Water'!L113</f>
        <v>120</v>
      </c>
      <c r="J111" s="153">
        <v>12.93</v>
      </c>
      <c r="K111" s="5">
        <v>56</v>
      </c>
      <c r="L111" s="5">
        <v>99</v>
      </c>
    </row>
    <row r="112" spans="1:12" x14ac:dyDescent="0.25">
      <c r="A112" s="3" t="s">
        <v>75</v>
      </c>
      <c r="B112" s="3">
        <v>21</v>
      </c>
      <c r="C112" s="3">
        <v>4</v>
      </c>
      <c r="D112" s="3">
        <v>2021</v>
      </c>
      <c r="E112" s="4">
        <f>'Electricity '!I113+'Electricity '!O113</f>
        <v>20861.460000000065</v>
      </c>
      <c r="F112" s="153">
        <v>0.67</v>
      </c>
      <c r="G112" s="4">
        <f>'Gas Water'!M114</f>
        <v>2507</v>
      </c>
      <c r="H112" s="153">
        <v>1.77</v>
      </c>
      <c r="I112" s="2">
        <f>'Gas Water'!L114</f>
        <v>166</v>
      </c>
      <c r="J112" s="153">
        <v>12.93</v>
      </c>
      <c r="K112" s="5">
        <v>52</v>
      </c>
      <c r="L112" s="5">
        <v>91</v>
      </c>
    </row>
    <row r="113" spans="1:12" x14ac:dyDescent="0.25">
      <c r="A113" s="3" t="s">
        <v>75</v>
      </c>
      <c r="B113" s="3">
        <v>22</v>
      </c>
      <c r="C113" s="3">
        <v>4</v>
      </c>
      <c r="D113" s="3">
        <v>2021</v>
      </c>
      <c r="E113" s="4">
        <f>'Electricity '!I114+'Electricity '!O114</f>
        <v>20948.400000000009</v>
      </c>
      <c r="F113" s="153">
        <v>0.67</v>
      </c>
      <c r="G113" s="4">
        <f>'Gas Water'!M115</f>
        <v>2444</v>
      </c>
      <c r="H113" s="153">
        <v>1.77</v>
      </c>
      <c r="I113" s="2">
        <f>'Gas Water'!L115</f>
        <v>167</v>
      </c>
      <c r="J113" s="153">
        <v>12.93</v>
      </c>
      <c r="K113" s="5">
        <v>88</v>
      </c>
      <c r="L113" s="5">
        <v>137</v>
      </c>
    </row>
    <row r="114" spans="1:12" x14ac:dyDescent="0.25">
      <c r="A114" s="3" t="s">
        <v>75</v>
      </c>
      <c r="B114" s="3">
        <v>23</v>
      </c>
      <c r="C114" s="3">
        <v>4</v>
      </c>
      <c r="D114" s="3">
        <v>2021</v>
      </c>
      <c r="E114" s="4">
        <f>'Electricity '!I115+'Electricity '!O115</f>
        <v>20016.899999999914</v>
      </c>
      <c r="F114" s="153">
        <v>0.67</v>
      </c>
      <c r="G114" s="4">
        <f>'Gas Water'!M116</f>
        <v>2328</v>
      </c>
      <c r="H114" s="153">
        <v>1.77</v>
      </c>
      <c r="I114" s="2">
        <f>'Gas Water'!L116</f>
        <v>126</v>
      </c>
      <c r="J114" s="153">
        <v>12.93</v>
      </c>
      <c r="K114" s="5">
        <v>70</v>
      </c>
      <c r="L114" s="5">
        <v>70</v>
      </c>
    </row>
    <row r="115" spans="1:12" x14ac:dyDescent="0.25">
      <c r="A115" s="3" t="s">
        <v>75</v>
      </c>
      <c r="B115" s="3">
        <v>24</v>
      </c>
      <c r="C115" s="3">
        <v>4</v>
      </c>
      <c r="D115" s="3">
        <v>2021</v>
      </c>
      <c r="E115" s="4">
        <f>'Electricity '!I116+'Electricity '!O116</f>
        <v>20435.04000000003</v>
      </c>
      <c r="F115" s="153">
        <v>0.67</v>
      </c>
      <c r="G115" s="4">
        <f>'Gas Water'!M117</f>
        <v>2516</v>
      </c>
      <c r="H115" s="153">
        <v>1.77</v>
      </c>
      <c r="I115" s="2">
        <f>'Gas Water'!L117</f>
        <v>114</v>
      </c>
      <c r="J115" s="153">
        <v>12.93</v>
      </c>
      <c r="K115" s="5">
        <v>58</v>
      </c>
      <c r="L115" s="5">
        <v>93</v>
      </c>
    </row>
    <row r="116" spans="1:12" x14ac:dyDescent="0.25">
      <c r="A116" s="3" t="s">
        <v>75</v>
      </c>
      <c r="B116" s="3">
        <v>25</v>
      </c>
      <c r="C116" s="3">
        <v>4</v>
      </c>
      <c r="D116" s="3">
        <v>2021</v>
      </c>
      <c r="E116" s="4">
        <f>'Electricity '!I117+'Electricity '!O117</f>
        <v>19900.980000000069</v>
      </c>
      <c r="F116" s="153">
        <v>0.67</v>
      </c>
      <c r="G116" s="4">
        <f>'Gas Water'!M118</f>
        <v>2715</v>
      </c>
      <c r="H116" s="153">
        <v>1.77</v>
      </c>
      <c r="I116" s="2">
        <f>'Gas Water'!L118</f>
        <v>104</v>
      </c>
      <c r="J116" s="153">
        <v>12.93</v>
      </c>
      <c r="K116" s="5">
        <v>48</v>
      </c>
      <c r="L116" s="5">
        <v>76</v>
      </c>
    </row>
    <row r="117" spans="1:12" x14ac:dyDescent="0.25">
      <c r="A117" s="3" t="s">
        <v>75</v>
      </c>
      <c r="B117" s="3">
        <v>26</v>
      </c>
      <c r="C117" s="3">
        <v>4</v>
      </c>
      <c r="D117" s="3">
        <v>2021</v>
      </c>
      <c r="E117" s="4">
        <f>'Electricity '!I118+'Electricity '!O118</f>
        <v>20700</v>
      </c>
      <c r="F117" s="153">
        <v>0.67</v>
      </c>
      <c r="G117" s="4">
        <f>'Gas Water'!M119</f>
        <v>2473</v>
      </c>
      <c r="H117" s="153">
        <v>1.77</v>
      </c>
      <c r="I117" s="2">
        <f>'Gas Water'!L119</f>
        <v>110</v>
      </c>
      <c r="J117" s="153">
        <v>12.93</v>
      </c>
      <c r="K117" s="5">
        <v>32</v>
      </c>
      <c r="L117" s="5">
        <v>54</v>
      </c>
    </row>
    <row r="118" spans="1:12" x14ac:dyDescent="0.25">
      <c r="A118" s="3" t="s">
        <v>75</v>
      </c>
      <c r="B118" s="3">
        <v>27</v>
      </c>
      <c r="C118" s="3">
        <v>4</v>
      </c>
      <c r="D118" s="3">
        <v>2021</v>
      </c>
      <c r="E118" s="4">
        <f>'Electricity '!I119+'Electricity '!O119</f>
        <v>20310.839999999906</v>
      </c>
      <c r="F118" s="153">
        <v>0.67</v>
      </c>
      <c r="G118" s="4">
        <f>'Gas Water'!M120</f>
        <v>2239</v>
      </c>
      <c r="H118" s="153">
        <v>1.77</v>
      </c>
      <c r="I118" s="2">
        <f>'Gas Water'!L120</f>
        <v>90</v>
      </c>
      <c r="J118" s="153">
        <v>12.93</v>
      </c>
      <c r="K118" s="5">
        <v>35</v>
      </c>
      <c r="L118" s="5">
        <v>61</v>
      </c>
    </row>
    <row r="119" spans="1:12" x14ac:dyDescent="0.25">
      <c r="A119" s="3" t="s">
        <v>75</v>
      </c>
      <c r="B119" s="3">
        <v>28</v>
      </c>
      <c r="C119" s="3">
        <v>4</v>
      </c>
      <c r="D119" s="3">
        <v>2021</v>
      </c>
      <c r="E119" s="4">
        <f>'Electricity '!I120+'Electricity '!O120</f>
        <v>21043.619999999992</v>
      </c>
      <c r="F119" s="153">
        <v>0.67</v>
      </c>
      <c r="G119" s="4">
        <f>'Gas Water'!M121</f>
        <v>2034</v>
      </c>
      <c r="H119" s="153">
        <v>1.77</v>
      </c>
      <c r="I119" s="2">
        <f>'Gas Water'!L121</f>
        <v>104</v>
      </c>
      <c r="J119" s="153">
        <v>12.93</v>
      </c>
      <c r="K119" s="5">
        <v>44</v>
      </c>
      <c r="L119" s="5">
        <v>79</v>
      </c>
    </row>
    <row r="120" spans="1:12" x14ac:dyDescent="0.25">
      <c r="A120" s="3" t="s">
        <v>75</v>
      </c>
      <c r="B120" s="3">
        <v>29</v>
      </c>
      <c r="C120" s="3">
        <v>4</v>
      </c>
      <c r="D120" s="3">
        <v>2021</v>
      </c>
      <c r="E120" s="4">
        <f>'Electricity '!I121+'Electricity '!O121</f>
        <v>22082.760000000013</v>
      </c>
      <c r="F120" s="153">
        <v>0.67</v>
      </c>
      <c r="G120" s="4">
        <f>'Gas Water'!M122</f>
        <v>2005</v>
      </c>
      <c r="H120" s="153">
        <v>1.77</v>
      </c>
      <c r="I120" s="2">
        <f>'Gas Water'!L122</f>
        <v>94</v>
      </c>
      <c r="J120" s="153">
        <v>12.93</v>
      </c>
      <c r="K120" s="5">
        <v>46</v>
      </c>
      <c r="L120" s="5">
        <v>83</v>
      </c>
    </row>
    <row r="121" spans="1:12" x14ac:dyDescent="0.25">
      <c r="A121" s="3" t="s">
        <v>75</v>
      </c>
      <c r="B121" s="3">
        <v>30</v>
      </c>
      <c r="C121" s="3">
        <v>4</v>
      </c>
      <c r="D121" s="3">
        <v>2021</v>
      </c>
      <c r="E121" s="4">
        <f>'Electricity '!I122+'Electricity '!O122</f>
        <v>20443.320000000069</v>
      </c>
      <c r="F121" s="153">
        <v>0.67</v>
      </c>
      <c r="G121" s="4">
        <f>'Gas Water'!M123</f>
        <v>1781</v>
      </c>
      <c r="H121" s="153">
        <v>1.77</v>
      </c>
      <c r="I121" s="2">
        <f>'Gas Water'!L123</f>
        <v>151</v>
      </c>
      <c r="J121" s="153">
        <v>12.93</v>
      </c>
      <c r="K121" s="5">
        <v>50</v>
      </c>
      <c r="L121" s="5">
        <v>98</v>
      </c>
    </row>
    <row r="122" spans="1:12" x14ac:dyDescent="0.25">
      <c r="A122" s="3" t="s">
        <v>75</v>
      </c>
      <c r="B122" s="3">
        <v>1</v>
      </c>
      <c r="C122" s="3">
        <v>5</v>
      </c>
      <c r="D122" s="3">
        <v>2021</v>
      </c>
      <c r="E122" s="4">
        <f>'Electricity '!I123+'Electricity '!O123</f>
        <v>21668.759999999918</v>
      </c>
      <c r="F122" s="153">
        <v>0.67</v>
      </c>
      <c r="G122" s="4">
        <f>'Gas Water'!M124</f>
        <v>1497</v>
      </c>
      <c r="H122" s="153">
        <v>1.77</v>
      </c>
      <c r="I122" s="2">
        <f>'Gas Water'!L124</f>
        <v>126</v>
      </c>
      <c r="J122" s="153">
        <v>12.93</v>
      </c>
      <c r="K122" s="5">
        <v>34</v>
      </c>
      <c r="L122" s="5">
        <v>66</v>
      </c>
    </row>
    <row r="123" spans="1:12" x14ac:dyDescent="0.25">
      <c r="A123" s="3" t="s">
        <v>75</v>
      </c>
      <c r="B123" s="3">
        <v>2</v>
      </c>
      <c r="C123" s="3">
        <v>5</v>
      </c>
      <c r="D123" s="3">
        <v>2021</v>
      </c>
      <c r="E123" s="4">
        <f>'Electricity '!I124+'Electricity '!O124</f>
        <v>21821.940000000061</v>
      </c>
      <c r="F123" s="153">
        <v>0.67</v>
      </c>
      <c r="G123" s="4">
        <f>'Gas Water'!M125</f>
        <v>1421</v>
      </c>
      <c r="H123" s="153">
        <v>1.77</v>
      </c>
      <c r="I123" s="2">
        <f>'Gas Water'!L125</f>
        <v>156</v>
      </c>
      <c r="J123" s="153">
        <v>12.93</v>
      </c>
      <c r="K123" s="5">
        <v>20</v>
      </c>
      <c r="L123" s="5">
        <v>40</v>
      </c>
    </row>
    <row r="124" spans="1:12" x14ac:dyDescent="0.25">
      <c r="A124" s="3" t="s">
        <v>75</v>
      </c>
      <c r="B124" s="3">
        <v>3</v>
      </c>
      <c r="C124" s="3">
        <v>5</v>
      </c>
      <c r="D124" s="3">
        <v>2021</v>
      </c>
      <c r="E124" s="4">
        <f>'Electricity '!I125+'Electricity '!O125</f>
        <v>21321.000000000022</v>
      </c>
      <c r="F124" s="153">
        <v>0.67</v>
      </c>
      <c r="G124" s="4">
        <f>'Gas Water'!M126</f>
        <v>1499</v>
      </c>
      <c r="H124" s="153">
        <v>1.77</v>
      </c>
      <c r="I124" s="2">
        <f>'Gas Water'!L126</f>
        <v>133</v>
      </c>
      <c r="J124" s="153">
        <v>12.93</v>
      </c>
      <c r="K124" s="5">
        <v>21</v>
      </c>
      <c r="L124" s="5">
        <v>43</v>
      </c>
    </row>
    <row r="125" spans="1:12" x14ac:dyDescent="0.25">
      <c r="A125" s="3" t="s">
        <v>75</v>
      </c>
      <c r="B125" s="3">
        <v>4</v>
      </c>
      <c r="C125" s="3">
        <v>5</v>
      </c>
      <c r="D125" s="3">
        <v>2021</v>
      </c>
      <c r="E125" s="4">
        <f>'Electricity '!I126+'Electricity '!O126</f>
        <v>21863.340000000026</v>
      </c>
      <c r="F125" s="153">
        <v>0.67</v>
      </c>
      <c r="G125" s="4">
        <f>'Gas Water'!M127</f>
        <v>1683</v>
      </c>
      <c r="H125" s="153">
        <v>1.77</v>
      </c>
      <c r="I125" s="2">
        <f>'Gas Water'!L127</f>
        <v>129</v>
      </c>
      <c r="J125" s="153">
        <v>12.93</v>
      </c>
      <c r="K125" s="5">
        <v>15</v>
      </c>
      <c r="L125" s="5">
        <v>30</v>
      </c>
    </row>
    <row r="126" spans="1:12" x14ac:dyDescent="0.25">
      <c r="A126" s="3" t="s">
        <v>75</v>
      </c>
      <c r="B126" s="3">
        <v>5</v>
      </c>
      <c r="C126" s="3">
        <v>5</v>
      </c>
      <c r="D126" s="3">
        <v>2021</v>
      </c>
      <c r="E126" s="4">
        <f>'Electricity '!I127+'Electricity '!O127</f>
        <v>20741.399999999961</v>
      </c>
      <c r="F126" s="153">
        <v>0.67</v>
      </c>
      <c r="G126" s="4">
        <f>'Gas Water'!M128</f>
        <v>1510</v>
      </c>
      <c r="H126" s="153">
        <v>1.77</v>
      </c>
      <c r="I126" s="2">
        <f>'Gas Water'!L128</f>
        <v>137</v>
      </c>
      <c r="J126" s="153">
        <v>12.93</v>
      </c>
      <c r="K126" s="5">
        <v>19</v>
      </c>
      <c r="L126" s="5">
        <v>29</v>
      </c>
    </row>
    <row r="127" spans="1:12" x14ac:dyDescent="0.25">
      <c r="A127" s="3" t="s">
        <v>75</v>
      </c>
      <c r="B127" s="3">
        <v>6</v>
      </c>
      <c r="C127" s="3">
        <v>5</v>
      </c>
      <c r="D127" s="3">
        <v>2021</v>
      </c>
      <c r="E127" s="4">
        <f>'Electricity '!I128+'Electricity '!O128</f>
        <v>20435.04000000003</v>
      </c>
      <c r="F127" s="153">
        <v>0.67</v>
      </c>
      <c r="G127" s="4">
        <f>'Gas Water'!M129</f>
        <v>1661</v>
      </c>
      <c r="H127" s="153">
        <v>1.77</v>
      </c>
      <c r="I127" s="2">
        <f>'Gas Water'!L129</f>
        <v>141</v>
      </c>
      <c r="J127" s="153">
        <v>12.93</v>
      </c>
      <c r="K127" s="5">
        <v>24</v>
      </c>
      <c r="L127" s="5">
        <v>41</v>
      </c>
    </row>
    <row r="128" spans="1:12" x14ac:dyDescent="0.25">
      <c r="A128" s="3" t="s">
        <v>75</v>
      </c>
      <c r="B128" s="3">
        <v>7</v>
      </c>
      <c r="C128" s="3">
        <v>5</v>
      </c>
      <c r="D128" s="3">
        <v>2021</v>
      </c>
      <c r="E128" s="4">
        <f>'Electricity '!I129+'Electricity '!O129</f>
        <v>22380.839999999906</v>
      </c>
      <c r="F128" s="153">
        <v>0.67</v>
      </c>
      <c r="G128" s="4">
        <f>'Gas Water'!M130</f>
        <v>1261</v>
      </c>
      <c r="H128" s="153">
        <v>1.77</v>
      </c>
      <c r="I128" s="2">
        <f>'Gas Water'!L130</f>
        <v>167</v>
      </c>
      <c r="J128" s="153">
        <v>12.93</v>
      </c>
      <c r="K128" s="5">
        <v>26</v>
      </c>
      <c r="L128" s="5">
        <v>47</v>
      </c>
    </row>
    <row r="129" spans="1:12" x14ac:dyDescent="0.25">
      <c r="A129" s="3" t="s">
        <v>75</v>
      </c>
      <c r="B129" s="3">
        <v>8</v>
      </c>
      <c r="C129" s="3">
        <v>5</v>
      </c>
      <c r="D129" s="3">
        <v>2021</v>
      </c>
      <c r="E129" s="4">
        <f>'Electricity '!I130+'Electricity '!O130</f>
        <v>20803.500000000142</v>
      </c>
      <c r="F129" s="153">
        <v>0.67</v>
      </c>
      <c r="G129" s="4">
        <f>'Gas Water'!M131</f>
        <v>1684</v>
      </c>
      <c r="H129" s="153">
        <v>1.77</v>
      </c>
      <c r="I129" s="2">
        <f>'Gas Water'!L131</f>
        <v>163</v>
      </c>
      <c r="J129" s="153">
        <v>12.93</v>
      </c>
      <c r="K129" s="5">
        <v>25</v>
      </c>
      <c r="L129" s="5">
        <v>46</v>
      </c>
    </row>
    <row r="130" spans="1:12" x14ac:dyDescent="0.25">
      <c r="A130" s="3" t="s">
        <v>75</v>
      </c>
      <c r="B130" s="3">
        <v>9</v>
      </c>
      <c r="C130" s="3">
        <v>5</v>
      </c>
      <c r="D130" s="3">
        <v>2021</v>
      </c>
      <c r="E130" s="4">
        <f>'Electricity '!I131+'Electricity '!O131</f>
        <v>18700.379999999983</v>
      </c>
      <c r="F130" s="153">
        <v>0.67</v>
      </c>
      <c r="G130" s="4">
        <f>'Gas Water'!M132</f>
        <v>1989</v>
      </c>
      <c r="H130" s="153">
        <v>1.77</v>
      </c>
      <c r="I130" s="2">
        <f>'Gas Water'!L132</f>
        <v>61</v>
      </c>
      <c r="J130" s="153">
        <v>12.93</v>
      </c>
      <c r="K130" s="5">
        <v>26</v>
      </c>
      <c r="L130" s="5">
        <v>49</v>
      </c>
    </row>
    <row r="131" spans="1:12" x14ac:dyDescent="0.25">
      <c r="A131" s="3" t="s">
        <v>75</v>
      </c>
      <c r="B131" s="3">
        <v>10</v>
      </c>
      <c r="C131" s="3">
        <v>5</v>
      </c>
      <c r="D131" s="3">
        <v>2021</v>
      </c>
      <c r="E131" s="4">
        <f>'Electricity '!I132+'Electricity '!O132</f>
        <v>19482.839999999836</v>
      </c>
      <c r="F131" s="153">
        <v>0.67</v>
      </c>
      <c r="G131" s="4">
        <f>'Gas Water'!M133</f>
        <v>1868</v>
      </c>
      <c r="H131" s="153">
        <v>1.77</v>
      </c>
      <c r="I131" s="2">
        <f>'Gas Water'!L133</f>
        <v>182</v>
      </c>
      <c r="J131" s="153">
        <v>12.93</v>
      </c>
      <c r="K131" s="5">
        <v>30</v>
      </c>
      <c r="L131" s="5">
        <v>55</v>
      </c>
    </row>
    <row r="132" spans="1:12" x14ac:dyDescent="0.25">
      <c r="A132" s="3" t="s">
        <v>75</v>
      </c>
      <c r="B132" s="3">
        <v>11</v>
      </c>
      <c r="C132" s="3">
        <v>5</v>
      </c>
      <c r="D132" s="3">
        <v>2021</v>
      </c>
      <c r="E132" s="4">
        <f>'Electricity '!I133+'Electricity '!O133</f>
        <v>20733.120000000159</v>
      </c>
      <c r="F132" s="153">
        <v>0.67</v>
      </c>
      <c r="G132" s="4">
        <f>'Gas Water'!M134</f>
        <v>1876</v>
      </c>
      <c r="H132" s="153">
        <v>1.77</v>
      </c>
      <c r="I132" s="2">
        <f>'Gas Water'!L134</f>
        <v>129</v>
      </c>
      <c r="J132" s="153">
        <v>12.93</v>
      </c>
      <c r="K132" s="5">
        <v>24</v>
      </c>
      <c r="L132" s="5">
        <v>42</v>
      </c>
    </row>
    <row r="133" spans="1:12" x14ac:dyDescent="0.25">
      <c r="A133" s="3" t="s">
        <v>75</v>
      </c>
      <c r="B133" s="3">
        <v>12</v>
      </c>
      <c r="C133" s="3">
        <v>5</v>
      </c>
      <c r="D133" s="3">
        <v>2021</v>
      </c>
      <c r="E133" s="4">
        <f>'Electricity '!I134+'Electricity '!O134</f>
        <v>19449.719999999914</v>
      </c>
      <c r="F133" s="153">
        <v>0.67</v>
      </c>
      <c r="G133" s="4">
        <f>'Gas Water'!M135</f>
        <v>1696</v>
      </c>
      <c r="H133" s="153">
        <v>1.77</v>
      </c>
      <c r="I133" s="2">
        <f>'Gas Water'!L135</f>
        <v>153</v>
      </c>
      <c r="J133" s="153">
        <v>12.93</v>
      </c>
      <c r="K133" s="5">
        <v>21</v>
      </c>
      <c r="L133" s="5">
        <v>39</v>
      </c>
    </row>
    <row r="134" spans="1:12" x14ac:dyDescent="0.25">
      <c r="A134" s="3" t="s">
        <v>75</v>
      </c>
      <c r="B134" s="3">
        <v>13</v>
      </c>
      <c r="C134" s="3">
        <v>5</v>
      </c>
      <c r="D134" s="3">
        <v>2021</v>
      </c>
      <c r="E134" s="4">
        <f>'Electricity '!I135+'Electricity '!O135</f>
        <v>19275.840000000026</v>
      </c>
      <c r="F134" s="153">
        <v>0.67</v>
      </c>
      <c r="G134" s="4">
        <f>'Gas Water'!M136</f>
        <v>1558</v>
      </c>
      <c r="H134" s="153">
        <v>1.77</v>
      </c>
      <c r="I134" s="2">
        <f>'Gas Water'!L136</f>
        <v>119</v>
      </c>
      <c r="J134" s="153">
        <v>12.93</v>
      </c>
      <c r="K134" s="5">
        <v>22</v>
      </c>
      <c r="L134" s="5">
        <v>46</v>
      </c>
    </row>
    <row r="135" spans="1:12" x14ac:dyDescent="0.25">
      <c r="A135" s="3" t="s">
        <v>75</v>
      </c>
      <c r="B135" s="3">
        <v>14</v>
      </c>
      <c r="C135" s="3">
        <v>5</v>
      </c>
      <c r="D135" s="3">
        <v>2021</v>
      </c>
      <c r="E135" s="4">
        <f>'Electricity '!I136+'Electricity '!O136</f>
        <v>22591.979999999974</v>
      </c>
      <c r="F135" s="153">
        <v>0.67</v>
      </c>
      <c r="G135" s="4">
        <f>'Gas Water'!M137</f>
        <v>1491</v>
      </c>
      <c r="H135" s="153">
        <v>1.77</v>
      </c>
      <c r="I135" s="2">
        <f>'Gas Water'!L137</f>
        <v>151</v>
      </c>
      <c r="J135" s="153">
        <v>12.93</v>
      </c>
      <c r="K135" s="5">
        <v>31</v>
      </c>
      <c r="L135" s="5">
        <v>58</v>
      </c>
    </row>
    <row r="136" spans="1:12" x14ac:dyDescent="0.25">
      <c r="A136" s="3" t="s">
        <v>75</v>
      </c>
      <c r="B136" s="3">
        <v>15</v>
      </c>
      <c r="C136" s="3">
        <v>5</v>
      </c>
      <c r="D136" s="3">
        <v>2021</v>
      </c>
      <c r="E136" s="4">
        <f>'Electricity '!I137+'Electricity '!O137</f>
        <v>21639.779999999897</v>
      </c>
      <c r="F136" s="153">
        <v>0.67</v>
      </c>
      <c r="G136" s="4">
        <f>'Gas Water'!M138</f>
        <v>1324</v>
      </c>
      <c r="H136" s="153">
        <v>1.77</v>
      </c>
      <c r="I136" s="2">
        <f>'Gas Water'!L138</f>
        <v>135</v>
      </c>
      <c r="J136" s="153">
        <v>12.93</v>
      </c>
      <c r="K136" s="5">
        <v>29</v>
      </c>
      <c r="L136" s="5">
        <v>52</v>
      </c>
    </row>
    <row r="137" spans="1:12" x14ac:dyDescent="0.25">
      <c r="A137" s="3" t="s">
        <v>75</v>
      </c>
      <c r="B137" s="3">
        <v>16</v>
      </c>
      <c r="C137" s="3">
        <v>5</v>
      </c>
      <c r="D137" s="3">
        <v>2021</v>
      </c>
      <c r="E137" s="4">
        <f>'Electricity '!I138+'Electricity '!O138</f>
        <v>19756.080000000198</v>
      </c>
      <c r="F137" s="153">
        <v>0.67</v>
      </c>
      <c r="G137" s="4">
        <f>'Gas Water'!M139</f>
        <v>1519</v>
      </c>
      <c r="H137" s="153">
        <v>1.77</v>
      </c>
      <c r="I137" s="2">
        <f>'Gas Water'!L139</f>
        <v>153</v>
      </c>
      <c r="J137" s="153">
        <v>12.93</v>
      </c>
      <c r="K137" s="5">
        <v>37</v>
      </c>
      <c r="L137" s="5">
        <v>62</v>
      </c>
    </row>
    <row r="138" spans="1:12" x14ac:dyDescent="0.25">
      <c r="A138" s="3" t="s">
        <v>75</v>
      </c>
      <c r="B138" s="3">
        <v>17</v>
      </c>
      <c r="C138" s="3">
        <v>5</v>
      </c>
      <c r="D138" s="3">
        <v>2021</v>
      </c>
      <c r="E138" s="4">
        <f>'Electricity '!I139+'Electricity '!O139</f>
        <v>22873.499999999905</v>
      </c>
      <c r="F138" s="153">
        <v>0.67</v>
      </c>
      <c r="G138" s="4">
        <f>'Gas Water'!M140</f>
        <v>1512</v>
      </c>
      <c r="H138" s="153">
        <v>1.77</v>
      </c>
      <c r="I138" s="2">
        <f>'Gas Water'!L140</f>
        <v>139</v>
      </c>
      <c r="J138" s="153">
        <v>12.93</v>
      </c>
      <c r="K138" s="5">
        <v>56</v>
      </c>
      <c r="L138" s="5">
        <v>90</v>
      </c>
    </row>
    <row r="139" spans="1:12" x14ac:dyDescent="0.25">
      <c r="A139" s="3" t="s">
        <v>75</v>
      </c>
      <c r="B139" s="3">
        <v>18</v>
      </c>
      <c r="C139" s="3">
        <v>5</v>
      </c>
      <c r="D139" s="3">
        <v>2021</v>
      </c>
      <c r="E139" s="4">
        <f>'Electricity '!I140+'Electricity '!O140</f>
        <v>22099.320000000091</v>
      </c>
      <c r="F139" s="153">
        <v>0.67</v>
      </c>
      <c r="G139" s="4">
        <f>'Gas Water'!M141</f>
        <v>1612</v>
      </c>
      <c r="H139" s="153">
        <v>1.77</v>
      </c>
      <c r="I139" s="2">
        <f>'Gas Water'!L141</f>
        <v>132</v>
      </c>
      <c r="J139" s="153">
        <v>12.93</v>
      </c>
      <c r="K139" s="5">
        <v>81</v>
      </c>
      <c r="L139" s="5">
        <v>129</v>
      </c>
    </row>
    <row r="140" spans="1:12" x14ac:dyDescent="0.25">
      <c r="A140" s="3" t="s">
        <v>75</v>
      </c>
      <c r="B140" s="3">
        <v>19</v>
      </c>
      <c r="C140" s="3">
        <v>5</v>
      </c>
      <c r="D140" s="3">
        <v>2021</v>
      </c>
      <c r="E140" s="4">
        <f>'Electricity '!I141+'Electricity '!O141</f>
        <v>21142.97999999988</v>
      </c>
      <c r="F140" s="153">
        <v>0.67</v>
      </c>
      <c r="G140" s="4">
        <f>'Gas Water'!M142</f>
        <v>1483</v>
      </c>
      <c r="H140" s="153">
        <v>1.77</v>
      </c>
      <c r="I140" s="2">
        <f>'Gas Water'!L142</f>
        <v>146</v>
      </c>
      <c r="J140" s="153">
        <v>12.93</v>
      </c>
      <c r="K140" s="5">
        <v>77</v>
      </c>
      <c r="L140" s="5">
        <v>129</v>
      </c>
    </row>
    <row r="141" spans="1:12" x14ac:dyDescent="0.25">
      <c r="A141" s="3" t="s">
        <v>75</v>
      </c>
      <c r="B141" s="3">
        <v>20</v>
      </c>
      <c r="C141" s="3">
        <v>5</v>
      </c>
      <c r="D141" s="3">
        <v>2021</v>
      </c>
      <c r="E141" s="4">
        <f>'Electricity '!I142+'Electricity '!O142</f>
        <v>24566.760000000108</v>
      </c>
      <c r="F141" s="153">
        <v>0.67</v>
      </c>
      <c r="G141" s="4">
        <f>'Gas Water'!M143</f>
        <v>1470</v>
      </c>
      <c r="H141" s="153">
        <v>1.77</v>
      </c>
      <c r="I141" s="2">
        <f>'Gas Water'!L143</f>
        <v>147</v>
      </c>
      <c r="J141" s="153">
        <v>12.93</v>
      </c>
      <c r="K141" s="5">
        <v>70</v>
      </c>
      <c r="L141" s="5">
        <v>122</v>
      </c>
    </row>
    <row r="142" spans="1:12" x14ac:dyDescent="0.25">
      <c r="A142" s="3" t="s">
        <v>75</v>
      </c>
      <c r="B142" s="3">
        <v>21</v>
      </c>
      <c r="C142" s="3">
        <v>5</v>
      </c>
      <c r="D142" s="3">
        <v>2021</v>
      </c>
      <c r="E142" s="4">
        <f>'Electricity '!I143+'Electricity '!O143</f>
        <v>21292.019999999884</v>
      </c>
      <c r="F142" s="153">
        <v>0.67</v>
      </c>
      <c r="G142" s="4">
        <f>'Gas Water'!M144</f>
        <v>2037</v>
      </c>
      <c r="H142" s="153">
        <v>1.77</v>
      </c>
      <c r="I142" s="2">
        <f>'Gas Water'!L144</f>
        <v>141</v>
      </c>
      <c r="J142" s="153">
        <v>12.93</v>
      </c>
      <c r="K142" s="5">
        <v>87</v>
      </c>
      <c r="L142" s="5">
        <v>160</v>
      </c>
    </row>
    <row r="143" spans="1:12" x14ac:dyDescent="0.25">
      <c r="A143" s="3" t="s">
        <v>75</v>
      </c>
      <c r="B143" s="3">
        <v>22</v>
      </c>
      <c r="C143" s="3">
        <v>5</v>
      </c>
      <c r="D143" s="3">
        <v>2021</v>
      </c>
      <c r="E143" s="4">
        <f>'Electricity '!I144+'Electricity '!O144</f>
        <v>21478.319999999952</v>
      </c>
      <c r="F143" s="153">
        <v>0.67</v>
      </c>
      <c r="G143" s="4">
        <f>'Gas Water'!M145</f>
        <v>1745</v>
      </c>
      <c r="H143" s="153">
        <v>1.77</v>
      </c>
      <c r="I143" s="2">
        <f>'Gas Water'!L145</f>
        <v>144</v>
      </c>
      <c r="J143" s="153">
        <v>12.93</v>
      </c>
      <c r="K143" s="5">
        <v>83</v>
      </c>
      <c r="L143" s="5">
        <v>153</v>
      </c>
    </row>
    <row r="144" spans="1:12" x14ac:dyDescent="0.25">
      <c r="A144" s="3" t="s">
        <v>75</v>
      </c>
      <c r="B144" s="3">
        <v>23</v>
      </c>
      <c r="C144" s="3">
        <v>5</v>
      </c>
      <c r="D144" s="3">
        <v>2021</v>
      </c>
      <c r="E144" s="4">
        <f>'Electricity '!I145+'Electricity '!O145</f>
        <v>21279.60000000018</v>
      </c>
      <c r="F144" s="153">
        <v>0.67</v>
      </c>
      <c r="G144" s="4">
        <f>'Gas Water'!M146</f>
        <v>1580</v>
      </c>
      <c r="H144" s="153">
        <v>1.77</v>
      </c>
      <c r="I144" s="2">
        <f>'Gas Water'!L146</f>
        <v>119</v>
      </c>
      <c r="J144" s="153">
        <v>12.93</v>
      </c>
      <c r="K144" s="5">
        <v>85</v>
      </c>
      <c r="L144" s="5">
        <v>152</v>
      </c>
    </row>
    <row r="145" spans="1:12" x14ac:dyDescent="0.25">
      <c r="A145" s="3" t="s">
        <v>75</v>
      </c>
      <c r="B145" s="3">
        <v>24</v>
      </c>
      <c r="C145" s="3">
        <v>5</v>
      </c>
      <c r="D145" s="3">
        <v>2021</v>
      </c>
      <c r="E145" s="4">
        <f>'Electricity '!I146+'Electricity '!O146</f>
        <v>22840.379999999983</v>
      </c>
      <c r="F145" s="153">
        <v>0.67</v>
      </c>
      <c r="G145" s="4">
        <f>'Gas Water'!M147</f>
        <v>1472</v>
      </c>
      <c r="H145" s="153">
        <v>1.77</v>
      </c>
      <c r="I145" s="2">
        <f>'Gas Water'!L147</f>
        <v>185</v>
      </c>
      <c r="J145" s="153">
        <v>12.93</v>
      </c>
      <c r="K145" s="5">
        <v>91</v>
      </c>
      <c r="L145" s="5">
        <v>162</v>
      </c>
    </row>
    <row r="146" spans="1:12" x14ac:dyDescent="0.25">
      <c r="A146" s="3" t="s">
        <v>75</v>
      </c>
      <c r="B146" s="3">
        <v>25</v>
      </c>
      <c r="C146" s="3">
        <v>5</v>
      </c>
      <c r="D146" s="3">
        <v>2021</v>
      </c>
      <c r="E146" s="4">
        <f>'Electricity '!I147+'Electricity '!O147</f>
        <v>24161.039999999819</v>
      </c>
      <c r="F146" s="153">
        <v>0.67</v>
      </c>
      <c r="G146" s="4">
        <f>'Gas Water'!M148</f>
        <v>1469</v>
      </c>
      <c r="H146" s="153">
        <v>1.77</v>
      </c>
      <c r="I146" s="2">
        <f>'Gas Water'!L148</f>
        <v>208</v>
      </c>
      <c r="J146" s="153">
        <v>12.93</v>
      </c>
      <c r="K146" s="5">
        <v>99</v>
      </c>
      <c r="L146" s="5">
        <v>178</v>
      </c>
    </row>
    <row r="147" spans="1:12" x14ac:dyDescent="0.25">
      <c r="A147" s="3" t="s">
        <v>75</v>
      </c>
      <c r="B147" s="3">
        <v>26</v>
      </c>
      <c r="C147" s="3">
        <v>5</v>
      </c>
      <c r="D147" s="3">
        <v>2021</v>
      </c>
      <c r="E147" s="4">
        <f>'Electricity '!I148+'Electricity '!O148</f>
        <v>25730.100000000133</v>
      </c>
      <c r="F147" s="153">
        <v>0.67</v>
      </c>
      <c r="G147" s="4">
        <f>'Gas Water'!M149</f>
        <v>1777</v>
      </c>
      <c r="H147" s="153">
        <v>1.77</v>
      </c>
      <c r="I147" s="2">
        <f>'Gas Water'!L149</f>
        <v>190</v>
      </c>
      <c r="J147" s="153">
        <v>12.93</v>
      </c>
      <c r="K147" s="5">
        <v>118</v>
      </c>
      <c r="L147" s="5">
        <v>187</v>
      </c>
    </row>
    <row r="148" spans="1:12" x14ac:dyDescent="0.25">
      <c r="A148" s="3" t="s">
        <v>75</v>
      </c>
      <c r="B148" s="3">
        <v>27</v>
      </c>
      <c r="C148" s="3">
        <v>5</v>
      </c>
      <c r="D148" s="3">
        <v>2021</v>
      </c>
      <c r="E148" s="4">
        <f>'Electricity '!I149+'Electricity '!O149</f>
        <v>23511.059999999892</v>
      </c>
      <c r="F148" s="153">
        <v>0.67</v>
      </c>
      <c r="G148" s="4">
        <f>'Gas Water'!M150</f>
        <v>1565</v>
      </c>
      <c r="H148" s="153">
        <v>1.77</v>
      </c>
      <c r="I148" s="2">
        <f>'Gas Water'!L150</f>
        <v>134</v>
      </c>
      <c r="J148" s="153">
        <v>12.93</v>
      </c>
      <c r="K148" s="5">
        <v>139</v>
      </c>
      <c r="L148" s="5">
        <v>224</v>
      </c>
    </row>
    <row r="149" spans="1:12" x14ac:dyDescent="0.25">
      <c r="A149" s="3" t="s">
        <v>75</v>
      </c>
      <c r="B149" s="3">
        <v>28</v>
      </c>
      <c r="C149" s="3">
        <v>5</v>
      </c>
      <c r="D149" s="3">
        <v>2021</v>
      </c>
      <c r="E149" s="4">
        <f>'Electricity '!I150+'Electricity '!O150</f>
        <v>26355.240000000176</v>
      </c>
      <c r="F149" s="153">
        <v>0.67</v>
      </c>
      <c r="G149" s="4">
        <f>'Gas Water'!M151</f>
        <v>1774</v>
      </c>
      <c r="H149" s="153">
        <v>1.77</v>
      </c>
      <c r="I149" s="2">
        <f>'Gas Water'!L151</f>
        <v>154</v>
      </c>
      <c r="J149" s="153">
        <v>12.93</v>
      </c>
      <c r="K149" s="5">
        <v>119</v>
      </c>
      <c r="L149" s="5">
        <v>207</v>
      </c>
    </row>
    <row r="150" spans="1:12" x14ac:dyDescent="0.25">
      <c r="A150" s="3" t="s">
        <v>75</v>
      </c>
      <c r="B150" s="3">
        <v>29</v>
      </c>
      <c r="C150" s="3">
        <v>5</v>
      </c>
      <c r="D150" s="3">
        <v>2021</v>
      </c>
      <c r="E150" s="4">
        <f>'Electricity '!I151+'Electricity '!O151</f>
        <v>24090.659999999836</v>
      </c>
      <c r="F150" s="153">
        <v>0.67</v>
      </c>
      <c r="G150" s="4">
        <f>'Gas Water'!M152</f>
        <v>2103</v>
      </c>
      <c r="H150" s="153">
        <v>1.77</v>
      </c>
      <c r="I150" s="2">
        <f>'Gas Water'!L152</f>
        <v>143</v>
      </c>
      <c r="J150" s="153">
        <v>12.93</v>
      </c>
      <c r="K150" s="5">
        <v>102</v>
      </c>
      <c r="L150" s="5">
        <v>196</v>
      </c>
    </row>
    <row r="151" spans="1:12" x14ac:dyDescent="0.25">
      <c r="A151" s="3" t="s">
        <v>75</v>
      </c>
      <c r="B151" s="3">
        <v>30</v>
      </c>
      <c r="C151" s="3">
        <v>5</v>
      </c>
      <c r="D151" s="3">
        <v>2021</v>
      </c>
      <c r="E151" s="4">
        <f>'Electricity '!I152+'Electricity '!O152</f>
        <v>26086.140000000185</v>
      </c>
      <c r="F151" s="153">
        <v>0.67</v>
      </c>
      <c r="G151" s="4">
        <f>'Gas Water'!M153</f>
        <v>1923</v>
      </c>
      <c r="H151" s="153">
        <v>1.77</v>
      </c>
      <c r="I151" s="2">
        <f>'Gas Water'!L153</f>
        <v>171</v>
      </c>
      <c r="J151" s="153">
        <v>12.93</v>
      </c>
      <c r="K151" s="5">
        <v>102</v>
      </c>
      <c r="L151" s="5">
        <v>169</v>
      </c>
    </row>
    <row r="152" spans="1:12" x14ac:dyDescent="0.25">
      <c r="A152" s="3" t="s">
        <v>75</v>
      </c>
      <c r="B152" s="3">
        <v>31</v>
      </c>
      <c r="C152" s="3">
        <v>5</v>
      </c>
      <c r="D152" s="3">
        <v>2021</v>
      </c>
      <c r="E152" s="4">
        <f>'Electricity '!I153+'Electricity '!O153</f>
        <v>24856.559999999845</v>
      </c>
      <c r="F152" s="153">
        <v>0.67</v>
      </c>
      <c r="G152" s="4">
        <f>'Gas Water'!M154</f>
        <v>2072</v>
      </c>
      <c r="H152" s="153">
        <v>1.77</v>
      </c>
      <c r="I152" s="2">
        <f>'Gas Water'!L154</f>
        <v>220</v>
      </c>
      <c r="J152" s="153">
        <v>12.93</v>
      </c>
      <c r="K152" s="5">
        <v>97</v>
      </c>
      <c r="L152" s="5">
        <v>165</v>
      </c>
    </row>
    <row r="153" spans="1:12" x14ac:dyDescent="0.25">
      <c r="A153" s="3" t="s">
        <v>75</v>
      </c>
      <c r="B153" s="3">
        <v>1</v>
      </c>
      <c r="C153" s="3">
        <v>6</v>
      </c>
      <c r="D153" s="3">
        <v>2021</v>
      </c>
      <c r="E153" s="4">
        <f>'Electricity '!I154+'Electricity '!O154</f>
        <v>22712.039999999957</v>
      </c>
      <c r="F153" s="153">
        <v>0.75</v>
      </c>
      <c r="G153" s="4">
        <f>'Gas Water'!M155</f>
        <v>1816</v>
      </c>
      <c r="H153" s="153">
        <v>1.85</v>
      </c>
      <c r="I153" s="2">
        <f>'Gas Water'!L155</f>
        <v>137</v>
      </c>
      <c r="J153" s="153">
        <v>12.93</v>
      </c>
      <c r="K153" s="5">
        <v>96</v>
      </c>
      <c r="L153" s="5">
        <v>172</v>
      </c>
    </row>
    <row r="154" spans="1:12" x14ac:dyDescent="0.25">
      <c r="A154" s="3" t="s">
        <v>75</v>
      </c>
      <c r="B154" s="3">
        <v>2</v>
      </c>
      <c r="C154" s="3">
        <v>6</v>
      </c>
      <c r="D154" s="3">
        <v>2021</v>
      </c>
      <c r="E154" s="4">
        <f>'Electricity '!I155+'Electricity '!O155</f>
        <v>23130.180000000189</v>
      </c>
      <c r="F154" s="153">
        <v>0.75</v>
      </c>
      <c r="G154" s="4">
        <f>'Gas Water'!M156</f>
        <v>1894</v>
      </c>
      <c r="H154" s="153">
        <v>1.85</v>
      </c>
      <c r="I154" s="2">
        <f>'Gas Water'!L156</f>
        <v>169</v>
      </c>
      <c r="J154" s="153">
        <v>12.93</v>
      </c>
      <c r="K154" s="5">
        <v>102</v>
      </c>
      <c r="L154" s="5">
        <v>186</v>
      </c>
    </row>
    <row r="155" spans="1:12" x14ac:dyDescent="0.25">
      <c r="A155" s="3" t="s">
        <v>75</v>
      </c>
      <c r="B155" s="3">
        <v>3</v>
      </c>
      <c r="C155" s="3">
        <v>6</v>
      </c>
      <c r="D155" s="3">
        <v>2021</v>
      </c>
      <c r="E155" s="4">
        <f>'Electricity '!I156+'Electricity '!O156</f>
        <v>23291.639999999901</v>
      </c>
      <c r="F155" s="153">
        <v>0.75</v>
      </c>
      <c r="G155" s="4">
        <f>'Gas Water'!M157</f>
        <v>2090</v>
      </c>
      <c r="H155" s="153">
        <v>1.85</v>
      </c>
      <c r="I155" s="2">
        <f>'Gas Water'!L157</f>
        <v>161</v>
      </c>
      <c r="J155" s="153">
        <v>12.93</v>
      </c>
      <c r="K155" s="5">
        <v>115</v>
      </c>
      <c r="L155" s="5">
        <v>205</v>
      </c>
    </row>
    <row r="156" spans="1:12" x14ac:dyDescent="0.25">
      <c r="A156" s="3" t="s">
        <v>75</v>
      </c>
      <c r="B156" s="3">
        <v>4</v>
      </c>
      <c r="C156" s="3">
        <v>6</v>
      </c>
      <c r="D156" s="3">
        <v>2021</v>
      </c>
      <c r="E156" s="4">
        <f>'Electricity '!I157+'Electricity '!O157</f>
        <v>25204.320000000091</v>
      </c>
      <c r="F156" s="153">
        <v>0.75</v>
      </c>
      <c r="G156" s="4">
        <f>'Gas Water'!M158</f>
        <v>1843</v>
      </c>
      <c r="H156" s="153">
        <v>1.85</v>
      </c>
      <c r="I156" s="2">
        <f>'Gas Water'!L158</f>
        <v>218</v>
      </c>
      <c r="J156" s="153">
        <v>12.93</v>
      </c>
      <c r="K156" s="5">
        <v>108</v>
      </c>
      <c r="L156" s="5">
        <v>193</v>
      </c>
    </row>
    <row r="157" spans="1:12" x14ac:dyDescent="0.25">
      <c r="A157" s="3" t="s">
        <v>75</v>
      </c>
      <c r="B157" s="3">
        <v>5</v>
      </c>
      <c r="C157" s="3">
        <v>6</v>
      </c>
      <c r="D157" s="3">
        <v>2021</v>
      </c>
      <c r="E157" s="4">
        <f>'Electricity '!I158+'Electricity '!O158</f>
        <v>22339.439999999828</v>
      </c>
      <c r="F157" s="153">
        <v>0.75</v>
      </c>
      <c r="G157" s="4">
        <f>'Gas Water'!M159</f>
        <v>1664</v>
      </c>
      <c r="H157" s="153">
        <v>1.85</v>
      </c>
      <c r="I157" s="2">
        <f>'Gas Water'!L159</f>
        <v>127</v>
      </c>
      <c r="J157" s="153">
        <v>12.93</v>
      </c>
      <c r="K157" s="5">
        <v>109</v>
      </c>
      <c r="L157" s="5">
        <v>204</v>
      </c>
    </row>
    <row r="158" spans="1:12" x14ac:dyDescent="0.25">
      <c r="A158" s="3" t="s">
        <v>75</v>
      </c>
      <c r="B158" s="3">
        <v>6</v>
      </c>
      <c r="C158" s="3">
        <v>6</v>
      </c>
      <c r="D158" s="3">
        <v>2021</v>
      </c>
      <c r="E158" s="4">
        <f>'Electricity '!I159+'Electricity '!O159</f>
        <v>23693.220000000056</v>
      </c>
      <c r="F158" s="153">
        <v>0.75</v>
      </c>
      <c r="G158" s="4">
        <f>'Gas Water'!M160</f>
        <v>1481</v>
      </c>
      <c r="H158" s="153">
        <v>1.85</v>
      </c>
      <c r="I158" s="2">
        <f>'Gas Water'!L160</f>
        <v>154</v>
      </c>
      <c r="J158" s="153">
        <v>12.93</v>
      </c>
      <c r="K158" s="5">
        <v>104</v>
      </c>
      <c r="L158" s="5">
        <v>191</v>
      </c>
    </row>
    <row r="159" spans="1:12" x14ac:dyDescent="0.25">
      <c r="A159" s="3" t="s">
        <v>75</v>
      </c>
      <c r="B159" s="3">
        <v>7</v>
      </c>
      <c r="C159" s="3">
        <v>6</v>
      </c>
      <c r="D159" s="3">
        <v>2021</v>
      </c>
      <c r="E159" s="4">
        <f>'Electricity '!I160+'Electricity '!O160</f>
        <v>24955.920000000082</v>
      </c>
      <c r="F159" s="153">
        <v>0.75</v>
      </c>
      <c r="G159" s="4">
        <f>'Gas Water'!M161</f>
        <v>1578</v>
      </c>
      <c r="H159" s="153">
        <v>1.85</v>
      </c>
      <c r="I159" s="2">
        <f>'Gas Water'!L161</f>
        <v>162</v>
      </c>
      <c r="J159" s="153">
        <v>12.93</v>
      </c>
      <c r="K159" s="5">
        <v>95</v>
      </c>
      <c r="L159" s="5">
        <v>168</v>
      </c>
    </row>
    <row r="160" spans="1:12" x14ac:dyDescent="0.25">
      <c r="A160" s="3" t="s">
        <v>75</v>
      </c>
      <c r="B160" s="3">
        <v>8</v>
      </c>
      <c r="C160" s="3">
        <v>6</v>
      </c>
      <c r="D160" s="3">
        <v>2021</v>
      </c>
      <c r="E160" s="4">
        <f>'Electricity '!I161+'Electricity '!O161</f>
        <v>28615.679999999909</v>
      </c>
      <c r="F160" s="153">
        <v>0.75</v>
      </c>
      <c r="G160" s="4">
        <f>'Gas Water'!M162</f>
        <v>996</v>
      </c>
      <c r="H160" s="153">
        <v>1.85</v>
      </c>
      <c r="I160" s="2">
        <f>'Gas Water'!L162</f>
        <v>185</v>
      </c>
      <c r="J160" s="153">
        <v>12.93</v>
      </c>
      <c r="K160" s="5">
        <v>97</v>
      </c>
      <c r="L160" s="5">
        <v>181</v>
      </c>
    </row>
    <row r="161" spans="1:12" x14ac:dyDescent="0.25">
      <c r="A161" s="3" t="s">
        <v>75</v>
      </c>
      <c r="B161" s="3">
        <v>9</v>
      </c>
      <c r="C161" s="3">
        <v>6</v>
      </c>
      <c r="D161" s="3">
        <v>2021</v>
      </c>
      <c r="E161" s="4">
        <f>'Electricity '!I162+'Electricity '!O162</f>
        <v>28855.800000000112</v>
      </c>
      <c r="F161" s="153">
        <v>0.75</v>
      </c>
      <c r="G161" s="4">
        <f>'Gas Water'!M163</f>
        <v>1611</v>
      </c>
      <c r="H161" s="153">
        <v>1.85</v>
      </c>
      <c r="I161" s="2">
        <f>'Gas Water'!L163</f>
        <v>229</v>
      </c>
      <c r="J161" s="153">
        <v>12.93</v>
      </c>
      <c r="K161" s="5">
        <v>104</v>
      </c>
      <c r="L161" s="5">
        <v>198</v>
      </c>
    </row>
    <row r="162" spans="1:12" x14ac:dyDescent="0.25">
      <c r="A162" s="3" t="s">
        <v>75</v>
      </c>
      <c r="B162" s="3">
        <v>10</v>
      </c>
      <c r="C162" s="3">
        <v>6</v>
      </c>
      <c r="D162" s="3">
        <v>2021</v>
      </c>
      <c r="E162" s="4">
        <f>'Electricity '!I163+'Electricity '!O163</f>
        <v>29725.20000000003</v>
      </c>
      <c r="F162" s="153">
        <v>0.75</v>
      </c>
      <c r="G162" s="4">
        <f>'Gas Water'!M164</f>
        <v>1798</v>
      </c>
      <c r="H162" s="153">
        <v>1.85</v>
      </c>
      <c r="I162" s="2">
        <f>'Gas Water'!L164</f>
        <v>275</v>
      </c>
      <c r="J162" s="153">
        <v>12.93</v>
      </c>
      <c r="K162" s="5">
        <v>113</v>
      </c>
      <c r="L162" s="5">
        <v>215</v>
      </c>
    </row>
    <row r="163" spans="1:12" x14ac:dyDescent="0.25">
      <c r="A163" s="3" t="s">
        <v>75</v>
      </c>
      <c r="B163" s="3">
        <v>11</v>
      </c>
      <c r="C163" s="3">
        <v>6</v>
      </c>
      <c r="D163" s="3">
        <v>2021</v>
      </c>
      <c r="E163" s="4">
        <f>'Electricity '!I164+'Electricity '!O164</f>
        <v>26789.940000000017</v>
      </c>
      <c r="F163" s="153">
        <v>0.75</v>
      </c>
      <c r="G163" s="4">
        <f>'Gas Water'!M165</f>
        <v>1793</v>
      </c>
      <c r="H163" s="153">
        <v>1.85</v>
      </c>
      <c r="I163" s="2">
        <f>'Gas Water'!L165</f>
        <v>236</v>
      </c>
      <c r="J163" s="153">
        <v>12.93</v>
      </c>
      <c r="K163" s="5">
        <v>118</v>
      </c>
      <c r="L163" s="5">
        <v>220</v>
      </c>
    </row>
    <row r="164" spans="1:12" x14ac:dyDescent="0.25">
      <c r="A164" s="3" t="s">
        <v>75</v>
      </c>
      <c r="B164" s="3">
        <v>12</v>
      </c>
      <c r="C164" s="3">
        <v>6</v>
      </c>
      <c r="D164" s="3">
        <v>2021</v>
      </c>
      <c r="E164" s="4">
        <f>'Electricity '!I165+'Electricity '!O165</f>
        <v>27220.499999999953</v>
      </c>
      <c r="F164" s="153">
        <v>0.75</v>
      </c>
      <c r="G164" s="4">
        <f>'Gas Water'!M166</f>
        <v>2190</v>
      </c>
      <c r="H164" s="153">
        <v>1.85</v>
      </c>
      <c r="I164" s="2">
        <f>'Gas Water'!L166</f>
        <v>215</v>
      </c>
      <c r="J164" s="153">
        <v>12.93</v>
      </c>
      <c r="K164" s="5">
        <v>117</v>
      </c>
      <c r="L164" s="5">
        <v>218</v>
      </c>
    </row>
    <row r="165" spans="1:12" x14ac:dyDescent="0.25">
      <c r="A165" s="3" t="s">
        <v>75</v>
      </c>
      <c r="B165" s="3">
        <v>13</v>
      </c>
      <c r="C165" s="3">
        <v>6</v>
      </c>
      <c r="D165" s="3">
        <v>2021</v>
      </c>
      <c r="E165" s="4">
        <f>'Electricity '!I166+'Electricity '!O166</f>
        <v>29514.059999999845</v>
      </c>
      <c r="F165" s="153">
        <v>0.75</v>
      </c>
      <c r="G165" s="4">
        <f>'Gas Water'!M167</f>
        <v>1995</v>
      </c>
      <c r="H165" s="153">
        <v>1.85</v>
      </c>
      <c r="I165" s="2">
        <f>'Gas Water'!L167</f>
        <v>209</v>
      </c>
      <c r="J165" s="153">
        <v>12.93</v>
      </c>
      <c r="K165" s="5">
        <v>91</v>
      </c>
      <c r="L165" s="5">
        <v>164</v>
      </c>
    </row>
    <row r="166" spans="1:12" x14ac:dyDescent="0.25">
      <c r="A166" s="3" t="s">
        <v>75</v>
      </c>
      <c r="B166" s="3">
        <v>14</v>
      </c>
      <c r="C166" s="3">
        <v>6</v>
      </c>
      <c r="D166" s="3">
        <v>2021</v>
      </c>
      <c r="E166" s="4">
        <f>'Electricity '!I167+'Electricity '!O167</f>
        <v>24098.940000000108</v>
      </c>
      <c r="F166" s="153">
        <v>0.75</v>
      </c>
      <c r="G166" s="4">
        <f>'Gas Water'!M168</f>
        <v>1986</v>
      </c>
      <c r="H166" s="153">
        <v>1.85</v>
      </c>
      <c r="I166" s="2">
        <f>'Gas Water'!L168</f>
        <v>185</v>
      </c>
      <c r="J166" s="153">
        <v>12.93</v>
      </c>
      <c r="K166" s="5">
        <v>87</v>
      </c>
      <c r="L166" s="5">
        <v>158</v>
      </c>
    </row>
    <row r="167" spans="1:12" x14ac:dyDescent="0.25">
      <c r="A167" s="3" t="s">
        <v>75</v>
      </c>
      <c r="B167" s="3">
        <v>15</v>
      </c>
      <c r="C167" s="3">
        <v>6</v>
      </c>
      <c r="D167" s="3">
        <v>2021</v>
      </c>
      <c r="E167" s="4">
        <f>'Electricity '!I168+'Electricity '!O168</f>
        <v>25680.419999999896</v>
      </c>
      <c r="F167" s="153">
        <v>0.75</v>
      </c>
      <c r="G167" s="4">
        <f>'Gas Water'!M169</f>
        <v>2127</v>
      </c>
      <c r="H167" s="153">
        <v>1.85</v>
      </c>
      <c r="I167" s="2">
        <f>'Gas Water'!L169</f>
        <v>156</v>
      </c>
      <c r="J167" s="153">
        <v>12.93</v>
      </c>
      <c r="K167" s="5">
        <v>87</v>
      </c>
      <c r="L167" s="5">
        <v>161</v>
      </c>
    </row>
    <row r="168" spans="1:12" x14ac:dyDescent="0.25">
      <c r="A168" s="3" t="s">
        <v>75</v>
      </c>
      <c r="B168" s="3">
        <v>16</v>
      </c>
      <c r="C168" s="3">
        <v>6</v>
      </c>
      <c r="D168" s="3">
        <v>2021</v>
      </c>
      <c r="E168" s="4">
        <f>'Electricity '!I169+'Electricity '!O169</f>
        <v>24939.360000000004</v>
      </c>
      <c r="F168" s="153">
        <v>0.75</v>
      </c>
      <c r="G168" s="4">
        <f>'Gas Water'!M170</f>
        <v>1552</v>
      </c>
      <c r="H168" s="153">
        <v>1.85</v>
      </c>
      <c r="I168" s="2">
        <f>'Gas Water'!L170</f>
        <v>144</v>
      </c>
      <c r="J168" s="153">
        <v>12.93</v>
      </c>
      <c r="K168" s="5">
        <v>91</v>
      </c>
      <c r="L168" s="5">
        <v>165</v>
      </c>
    </row>
    <row r="169" spans="1:12" x14ac:dyDescent="0.25">
      <c r="A169" s="3" t="s">
        <v>75</v>
      </c>
      <c r="B169" s="3">
        <v>17</v>
      </c>
      <c r="C169" s="3">
        <v>6</v>
      </c>
      <c r="D169" s="3">
        <v>2021</v>
      </c>
      <c r="E169" s="4">
        <f>'Electricity '!I170+'Electricity '!O170</f>
        <v>27671.760000000108</v>
      </c>
      <c r="F169" s="153">
        <v>0.75</v>
      </c>
      <c r="G169" s="4">
        <f>'Gas Water'!M171</f>
        <v>1556</v>
      </c>
      <c r="H169" s="153">
        <v>1.85</v>
      </c>
      <c r="I169" s="2">
        <f>'Gas Water'!L171</f>
        <v>184</v>
      </c>
      <c r="J169" s="153">
        <v>12.93</v>
      </c>
      <c r="K169" s="5">
        <v>101</v>
      </c>
      <c r="L169" s="5">
        <v>194</v>
      </c>
    </row>
    <row r="170" spans="1:12" x14ac:dyDescent="0.25">
      <c r="A170" s="3" t="s">
        <v>75</v>
      </c>
      <c r="B170" s="3">
        <v>18</v>
      </c>
      <c r="C170" s="3">
        <v>6</v>
      </c>
      <c r="D170" s="3">
        <v>2021</v>
      </c>
      <c r="E170" s="4">
        <f>'Electricity '!I171+'Electricity '!O171</f>
        <v>30139.199999999888</v>
      </c>
      <c r="F170" s="153">
        <v>0.75</v>
      </c>
      <c r="G170" s="4">
        <f>'Gas Water'!M172</f>
        <v>1841</v>
      </c>
      <c r="H170" s="153">
        <v>1.85</v>
      </c>
      <c r="I170" s="2">
        <f>'Gas Water'!L172</f>
        <v>148</v>
      </c>
      <c r="J170" s="153">
        <v>12.93</v>
      </c>
      <c r="K170" s="5">
        <v>100</v>
      </c>
      <c r="L170" s="5">
        <v>197</v>
      </c>
    </row>
    <row r="171" spans="1:12" x14ac:dyDescent="0.25">
      <c r="A171" s="3" t="s">
        <v>75</v>
      </c>
      <c r="B171" s="3">
        <v>19</v>
      </c>
      <c r="C171" s="3">
        <v>6</v>
      </c>
      <c r="D171" s="3">
        <v>2021</v>
      </c>
      <c r="E171" s="4">
        <f>'Electricity '!I172+'Electricity '!O172</f>
        <v>30524.220000000198</v>
      </c>
      <c r="F171" s="153">
        <v>0.75</v>
      </c>
      <c r="G171" s="4">
        <f>'Gas Water'!M173</f>
        <v>1706</v>
      </c>
      <c r="H171" s="153">
        <v>1.85</v>
      </c>
      <c r="I171" s="2">
        <f>'Gas Water'!L173</f>
        <v>170</v>
      </c>
      <c r="J171" s="153">
        <v>12.93</v>
      </c>
      <c r="K171" s="5">
        <v>104</v>
      </c>
      <c r="L171" s="5">
        <v>204</v>
      </c>
    </row>
    <row r="172" spans="1:12" x14ac:dyDescent="0.25">
      <c r="A172" s="3" t="s">
        <v>75</v>
      </c>
      <c r="B172" s="3">
        <v>20</v>
      </c>
      <c r="C172" s="3">
        <v>6</v>
      </c>
      <c r="D172" s="3">
        <v>2021</v>
      </c>
      <c r="E172" s="4">
        <f>'Electricity '!I173+'Electricity '!O173</f>
        <v>29609.279999999944</v>
      </c>
      <c r="F172" s="153">
        <v>0.75</v>
      </c>
      <c r="G172" s="4">
        <f>'Gas Water'!M174</f>
        <v>2361</v>
      </c>
      <c r="H172" s="153">
        <v>1.85</v>
      </c>
      <c r="I172" s="2">
        <f>'Gas Water'!L174</f>
        <v>170</v>
      </c>
      <c r="J172" s="153">
        <v>12.93</v>
      </c>
      <c r="K172" s="5">
        <v>111</v>
      </c>
      <c r="L172" s="5">
        <v>223</v>
      </c>
    </row>
    <row r="173" spans="1:12" x14ac:dyDescent="0.25">
      <c r="A173" s="3" t="s">
        <v>75</v>
      </c>
      <c r="B173" s="3">
        <v>21</v>
      </c>
      <c r="C173" s="3">
        <v>6</v>
      </c>
      <c r="D173" s="3">
        <v>2021</v>
      </c>
      <c r="E173" s="4">
        <f>'Electricity '!I174+'Electricity '!O174</f>
        <v>30151.620000000064</v>
      </c>
      <c r="F173" s="153">
        <v>0.75</v>
      </c>
      <c r="G173" s="4">
        <f>'Gas Water'!M175</f>
        <v>2032</v>
      </c>
      <c r="H173" s="153">
        <v>1.85</v>
      </c>
      <c r="I173" s="2">
        <f>'Gas Water'!L175</f>
        <v>194</v>
      </c>
      <c r="J173" s="153">
        <v>12.93</v>
      </c>
      <c r="K173" s="5">
        <v>111</v>
      </c>
      <c r="L173" s="5">
        <v>212</v>
      </c>
    </row>
    <row r="174" spans="1:12" x14ac:dyDescent="0.25">
      <c r="A174" s="3" t="s">
        <v>75</v>
      </c>
      <c r="B174" s="3">
        <v>22</v>
      </c>
      <c r="C174" s="3">
        <v>6</v>
      </c>
      <c r="D174" s="3">
        <v>2021</v>
      </c>
      <c r="E174" s="4">
        <f>'Electricity '!I175+'Electricity '!O175</f>
        <v>28549.439999999828</v>
      </c>
      <c r="F174" s="153">
        <v>0.75</v>
      </c>
      <c r="G174" s="4">
        <f>'Gas Water'!M176</f>
        <v>1637</v>
      </c>
      <c r="H174" s="153">
        <v>1.85</v>
      </c>
      <c r="I174" s="2">
        <f>'Gas Water'!L176</f>
        <v>213</v>
      </c>
      <c r="J174" s="153">
        <v>12.93</v>
      </c>
      <c r="K174" s="5">
        <v>98</v>
      </c>
      <c r="L174" s="5">
        <v>188</v>
      </c>
    </row>
    <row r="175" spans="1:12" x14ac:dyDescent="0.25">
      <c r="A175" s="3" t="s">
        <v>75</v>
      </c>
      <c r="B175" s="3">
        <v>23</v>
      </c>
      <c r="C175" s="3">
        <v>6</v>
      </c>
      <c r="D175" s="3">
        <v>2021</v>
      </c>
      <c r="E175" s="4">
        <f>'Electricity '!I176+'Electricity '!O176</f>
        <v>34378.559999999889</v>
      </c>
      <c r="F175" s="153">
        <v>0.75</v>
      </c>
      <c r="G175" s="4">
        <f>'Gas Water'!M177</f>
        <v>1867</v>
      </c>
      <c r="H175" s="153">
        <v>1.85</v>
      </c>
      <c r="I175" s="2">
        <f>'Gas Water'!L177</f>
        <v>228</v>
      </c>
      <c r="J175" s="153">
        <v>12.93</v>
      </c>
      <c r="K175" s="5">
        <v>113</v>
      </c>
      <c r="L175" s="5">
        <v>205</v>
      </c>
    </row>
    <row r="176" spans="1:12" x14ac:dyDescent="0.25">
      <c r="A176" s="3" t="s">
        <v>75</v>
      </c>
      <c r="B176" s="3">
        <v>24</v>
      </c>
      <c r="C176" s="3">
        <v>6</v>
      </c>
      <c r="D176" s="3">
        <v>2021</v>
      </c>
      <c r="E176" s="4">
        <f>'Electricity '!I177+'Electricity '!O177</f>
        <v>33140.699999999983</v>
      </c>
      <c r="F176" s="153">
        <v>0.75</v>
      </c>
      <c r="G176" s="4">
        <f>'Gas Water'!M178</f>
        <v>1675</v>
      </c>
      <c r="H176" s="153">
        <v>1.85</v>
      </c>
      <c r="I176" s="2">
        <f>'Gas Water'!L178</f>
        <v>209</v>
      </c>
      <c r="J176" s="153">
        <v>12.93</v>
      </c>
      <c r="K176" s="5">
        <v>134</v>
      </c>
      <c r="L176" s="5">
        <v>246</v>
      </c>
    </row>
    <row r="177" spans="1:12" x14ac:dyDescent="0.25">
      <c r="A177" s="3" t="s">
        <v>75</v>
      </c>
      <c r="B177" s="3">
        <v>25</v>
      </c>
      <c r="C177" s="3">
        <v>6</v>
      </c>
      <c r="D177" s="3">
        <v>2021</v>
      </c>
      <c r="E177" s="4">
        <f>'Electricity '!I178+'Electricity '!O178</f>
        <v>34150.860000000095</v>
      </c>
      <c r="F177" s="153">
        <v>0.75</v>
      </c>
      <c r="G177" s="4">
        <f>'Gas Water'!M179</f>
        <v>1418</v>
      </c>
      <c r="H177" s="153">
        <v>1.85</v>
      </c>
      <c r="I177" s="2">
        <f>'Gas Water'!L179</f>
        <v>204</v>
      </c>
      <c r="J177" s="153">
        <v>12.93</v>
      </c>
      <c r="K177" s="5">
        <v>146</v>
      </c>
      <c r="L177" s="5">
        <v>276</v>
      </c>
    </row>
    <row r="178" spans="1:12" x14ac:dyDescent="0.25">
      <c r="A178" s="3" t="s">
        <v>75</v>
      </c>
      <c r="B178" s="3">
        <v>26</v>
      </c>
      <c r="C178" s="3">
        <v>6</v>
      </c>
      <c r="D178" s="3">
        <v>2021</v>
      </c>
      <c r="E178" s="4">
        <f>'Electricity '!I179+'Electricity '!O179</f>
        <v>33389.100000000224</v>
      </c>
      <c r="F178" s="153">
        <v>0.75</v>
      </c>
      <c r="G178" s="4">
        <f>'Gas Water'!M180</f>
        <v>1523</v>
      </c>
      <c r="H178" s="153">
        <v>1.85</v>
      </c>
      <c r="I178" s="2">
        <f>'Gas Water'!L180</f>
        <v>217</v>
      </c>
      <c r="J178" s="153">
        <v>12.93</v>
      </c>
      <c r="K178" s="5">
        <v>142</v>
      </c>
      <c r="L178" s="5">
        <v>271</v>
      </c>
    </row>
    <row r="179" spans="1:12" x14ac:dyDescent="0.25">
      <c r="A179" s="3" t="s">
        <v>75</v>
      </c>
      <c r="B179" s="3">
        <v>27</v>
      </c>
      <c r="C179" s="3">
        <v>6</v>
      </c>
      <c r="D179" s="3">
        <v>2021</v>
      </c>
      <c r="E179" s="4">
        <f>'Electricity '!I180+'Electricity '!O180</f>
        <v>33546.419999999802</v>
      </c>
      <c r="F179" s="153">
        <v>0.75</v>
      </c>
      <c r="G179" s="4">
        <f>'Gas Water'!M181</f>
        <v>1426</v>
      </c>
      <c r="H179" s="153">
        <v>1.85</v>
      </c>
      <c r="I179" s="2">
        <f>'Gas Water'!L181</f>
        <v>242</v>
      </c>
      <c r="J179" s="153">
        <v>12.93</v>
      </c>
      <c r="K179" s="5">
        <v>140</v>
      </c>
      <c r="L179" s="5">
        <v>255</v>
      </c>
    </row>
    <row r="180" spans="1:12" x14ac:dyDescent="0.25">
      <c r="A180" s="3" t="s">
        <v>75</v>
      </c>
      <c r="B180" s="3">
        <v>28</v>
      </c>
      <c r="C180" s="3">
        <v>6</v>
      </c>
      <c r="D180" s="3">
        <v>2021</v>
      </c>
      <c r="E180" s="4">
        <f>'Electricity '!I181+'Electricity '!O181</f>
        <v>34196.399999999965</v>
      </c>
      <c r="F180" s="153">
        <v>0.75</v>
      </c>
      <c r="G180" s="4">
        <f>'Gas Water'!M182</f>
        <v>1283</v>
      </c>
      <c r="H180" s="153">
        <v>1.85</v>
      </c>
      <c r="I180" s="2">
        <f>'Gas Water'!L182</f>
        <v>235</v>
      </c>
      <c r="J180" s="153">
        <v>12.93</v>
      </c>
      <c r="K180" s="5">
        <v>139</v>
      </c>
      <c r="L180" s="5">
        <v>261</v>
      </c>
    </row>
    <row r="181" spans="1:12" x14ac:dyDescent="0.25">
      <c r="A181" s="3" t="s">
        <v>75</v>
      </c>
      <c r="B181" s="3">
        <v>29</v>
      </c>
      <c r="C181" s="3">
        <v>6</v>
      </c>
      <c r="D181" s="3">
        <v>2021</v>
      </c>
      <c r="E181" s="4">
        <f>'Electricity '!I182+'Electricity '!O182</f>
        <v>38829.060000000078</v>
      </c>
      <c r="F181" s="153">
        <v>0.75</v>
      </c>
      <c r="G181" s="4">
        <f>'Gas Water'!M183</f>
        <v>1461</v>
      </c>
      <c r="H181" s="153">
        <v>1.85</v>
      </c>
      <c r="I181" s="2">
        <f>'Gas Water'!L183</f>
        <v>260</v>
      </c>
      <c r="J181" s="153">
        <v>12.93</v>
      </c>
      <c r="K181" s="5">
        <v>141</v>
      </c>
      <c r="L181" s="5">
        <v>253</v>
      </c>
    </row>
    <row r="182" spans="1:12" x14ac:dyDescent="0.25">
      <c r="A182" s="3" t="s">
        <v>75</v>
      </c>
      <c r="B182" s="3">
        <v>30</v>
      </c>
      <c r="C182" s="3">
        <v>6</v>
      </c>
      <c r="D182" s="3">
        <v>2021</v>
      </c>
      <c r="E182" s="4">
        <f>'Electricity '!I183+'Electricity '!O183</f>
        <v>34076.339999999975</v>
      </c>
      <c r="F182" s="153">
        <v>0.75</v>
      </c>
      <c r="G182" s="4">
        <f>'Gas Water'!M184</f>
        <v>1376</v>
      </c>
      <c r="H182" s="153">
        <v>1.85</v>
      </c>
      <c r="I182" s="2">
        <f>'Gas Water'!L184</f>
        <v>236</v>
      </c>
      <c r="J182" s="153">
        <v>12.93</v>
      </c>
      <c r="K182" s="5">
        <v>144</v>
      </c>
      <c r="L182" s="5">
        <v>268</v>
      </c>
    </row>
    <row r="183" spans="1:12" x14ac:dyDescent="0.25">
      <c r="A183" s="3" t="s">
        <v>75</v>
      </c>
      <c r="B183" s="3">
        <v>1</v>
      </c>
      <c r="C183" s="3">
        <v>7</v>
      </c>
      <c r="D183" s="3">
        <v>2021</v>
      </c>
      <c r="E183" s="4">
        <f>'Electricity '!I184+'Electricity '!O184</f>
        <v>35608.14</v>
      </c>
      <c r="F183" s="153">
        <v>0.75</v>
      </c>
      <c r="G183" s="4">
        <f>'Gas Water'!M185</f>
        <v>1385</v>
      </c>
      <c r="H183" s="153">
        <v>1.85</v>
      </c>
      <c r="I183" s="2">
        <f>'Gas Water'!L185</f>
        <v>302</v>
      </c>
      <c r="J183" s="153">
        <v>12.93</v>
      </c>
      <c r="K183" s="5">
        <v>145</v>
      </c>
      <c r="L183" s="5">
        <v>275</v>
      </c>
    </row>
    <row r="184" spans="1:12" x14ac:dyDescent="0.25">
      <c r="A184" s="3" t="s">
        <v>75</v>
      </c>
      <c r="B184" s="3">
        <v>2</v>
      </c>
      <c r="C184" s="3">
        <v>7</v>
      </c>
      <c r="D184" s="3">
        <v>2021</v>
      </c>
      <c r="E184" s="4">
        <f>'Electricity '!I185+'Electricity '!O185</f>
        <v>36378.180000000146</v>
      </c>
      <c r="F184" s="153">
        <v>0.75</v>
      </c>
      <c r="G184" s="4">
        <f>'Gas Water'!M186</f>
        <v>1358</v>
      </c>
      <c r="H184" s="153">
        <v>1.85</v>
      </c>
      <c r="I184" s="2">
        <f>'Gas Water'!L186</f>
        <v>272</v>
      </c>
      <c r="J184" s="153">
        <v>12.93</v>
      </c>
      <c r="K184" s="5">
        <v>129</v>
      </c>
      <c r="L184" s="5">
        <v>248</v>
      </c>
    </row>
    <row r="185" spans="1:12" x14ac:dyDescent="0.25">
      <c r="A185" s="3" t="s">
        <v>75</v>
      </c>
      <c r="B185" s="3">
        <v>3</v>
      </c>
      <c r="C185" s="3">
        <v>7</v>
      </c>
      <c r="D185" s="3">
        <v>2021</v>
      </c>
      <c r="E185" s="4">
        <f>'Electricity '!I186+'Electricity '!O186</f>
        <v>35330.759999999966</v>
      </c>
      <c r="F185" s="153">
        <v>0.75</v>
      </c>
      <c r="G185" s="4">
        <f>'Gas Water'!M187</f>
        <v>1358</v>
      </c>
      <c r="H185" s="153">
        <v>1.85</v>
      </c>
      <c r="I185" s="2">
        <f>'Gas Water'!L187</f>
        <v>257</v>
      </c>
      <c r="J185" s="153">
        <v>12.93</v>
      </c>
      <c r="K185" s="5">
        <v>137</v>
      </c>
      <c r="L185" s="5">
        <v>272</v>
      </c>
    </row>
    <row r="186" spans="1:12" x14ac:dyDescent="0.25">
      <c r="A186" s="3" t="s">
        <v>75</v>
      </c>
      <c r="B186" s="3">
        <v>4</v>
      </c>
      <c r="C186" s="3">
        <v>7</v>
      </c>
      <c r="D186" s="3">
        <v>2021</v>
      </c>
      <c r="E186" s="4">
        <f>'Electricity '!I187+'Electricity '!O187</f>
        <v>31385.340000000073</v>
      </c>
      <c r="F186" s="153">
        <v>0.75</v>
      </c>
      <c r="G186" s="4">
        <f>'Gas Water'!M188</f>
        <v>1460</v>
      </c>
      <c r="H186" s="153">
        <v>1.85</v>
      </c>
      <c r="I186" s="2">
        <f>'Gas Water'!L188</f>
        <v>277</v>
      </c>
      <c r="J186" s="153">
        <v>12.93</v>
      </c>
      <c r="K186" s="5">
        <v>124</v>
      </c>
      <c r="L186" s="5">
        <v>245</v>
      </c>
    </row>
    <row r="187" spans="1:12" x14ac:dyDescent="0.25">
      <c r="A187" s="3" t="s">
        <v>75</v>
      </c>
      <c r="B187" s="3">
        <v>5</v>
      </c>
      <c r="C187" s="3">
        <v>7</v>
      </c>
      <c r="D187" s="3">
        <v>2021</v>
      </c>
      <c r="E187" s="4">
        <f>'Electricity '!I188+'Electricity '!O188</f>
        <v>33525.719999999819</v>
      </c>
      <c r="F187" s="153">
        <v>0.75</v>
      </c>
      <c r="G187" s="4">
        <f>'Gas Water'!M189</f>
        <v>1460</v>
      </c>
      <c r="H187" s="153">
        <v>1.85</v>
      </c>
      <c r="I187" s="2">
        <f>'Gas Water'!L189</f>
        <v>343</v>
      </c>
      <c r="J187" s="153">
        <v>12.93</v>
      </c>
      <c r="K187" s="5">
        <v>130</v>
      </c>
      <c r="L187" s="5">
        <v>246</v>
      </c>
    </row>
    <row r="188" spans="1:12" x14ac:dyDescent="0.25">
      <c r="A188" s="3" t="s">
        <v>75</v>
      </c>
      <c r="B188" s="3">
        <v>6</v>
      </c>
      <c r="C188" s="3">
        <v>7</v>
      </c>
      <c r="D188" s="3">
        <v>2021</v>
      </c>
      <c r="E188" s="4">
        <f>'Electricity '!I189+'Electricity '!O189</f>
        <v>31377.060000000267</v>
      </c>
      <c r="F188" s="153">
        <v>0.75</v>
      </c>
      <c r="G188" s="4">
        <f>'Gas Water'!M190</f>
        <v>1400</v>
      </c>
      <c r="H188" s="153">
        <v>1.85</v>
      </c>
      <c r="I188" s="2">
        <f>'Gas Water'!L190</f>
        <v>237</v>
      </c>
      <c r="J188" s="153">
        <v>12.93</v>
      </c>
      <c r="K188" s="5">
        <v>125</v>
      </c>
      <c r="L188" s="5">
        <v>238</v>
      </c>
    </row>
    <row r="189" spans="1:12" x14ac:dyDescent="0.25">
      <c r="A189" s="3" t="s">
        <v>75</v>
      </c>
      <c r="B189" s="3">
        <v>7</v>
      </c>
      <c r="C189" s="3">
        <v>7</v>
      </c>
      <c r="D189" s="3">
        <v>2021</v>
      </c>
      <c r="E189" s="4">
        <f>'Electricity '!I190+'Electricity '!O190</f>
        <v>35471.519999999931</v>
      </c>
      <c r="F189" s="153">
        <v>0.75</v>
      </c>
      <c r="G189" s="4">
        <f>'Gas Water'!M191</f>
        <v>1315</v>
      </c>
      <c r="H189" s="153">
        <v>1.85</v>
      </c>
      <c r="I189" s="2">
        <f>'Gas Water'!L191</f>
        <v>241</v>
      </c>
      <c r="J189" s="153">
        <v>12.93</v>
      </c>
      <c r="K189" s="5">
        <v>143</v>
      </c>
      <c r="L189" s="5">
        <v>267</v>
      </c>
    </row>
    <row r="190" spans="1:12" x14ac:dyDescent="0.25">
      <c r="A190" s="3" t="s">
        <v>75</v>
      </c>
      <c r="B190" s="3">
        <v>8</v>
      </c>
      <c r="C190" s="3">
        <v>7</v>
      </c>
      <c r="D190" s="3">
        <v>2021</v>
      </c>
      <c r="E190" s="4">
        <f>'Electricity '!I191+'Electricity '!O191</f>
        <v>34660.07999999982</v>
      </c>
      <c r="F190" s="153">
        <v>0.75</v>
      </c>
      <c r="G190" s="4">
        <f>'Gas Water'!M192</f>
        <v>1356</v>
      </c>
      <c r="H190" s="153">
        <v>1.85</v>
      </c>
      <c r="I190" s="2">
        <f>'Gas Water'!L192</f>
        <v>228</v>
      </c>
      <c r="J190" s="153">
        <v>12.93</v>
      </c>
      <c r="K190" s="5">
        <v>154</v>
      </c>
      <c r="L190" s="5">
        <v>276</v>
      </c>
    </row>
    <row r="191" spans="1:12" x14ac:dyDescent="0.25">
      <c r="A191" s="3" t="s">
        <v>75</v>
      </c>
      <c r="B191" s="3">
        <v>9</v>
      </c>
      <c r="C191" s="3">
        <v>7</v>
      </c>
      <c r="D191" s="3">
        <v>2021</v>
      </c>
      <c r="E191" s="4">
        <f>'Electricity '!I192+'Electricity '!O192</f>
        <v>36075.960000000232</v>
      </c>
      <c r="F191" s="153">
        <v>0.75</v>
      </c>
      <c r="G191" s="4">
        <f>'Gas Water'!M193</f>
        <v>1409</v>
      </c>
      <c r="H191" s="153">
        <v>1.85</v>
      </c>
      <c r="I191" s="2">
        <f>'Gas Water'!L193</f>
        <v>276</v>
      </c>
      <c r="J191" s="153">
        <v>12.93</v>
      </c>
      <c r="K191" s="5">
        <v>153</v>
      </c>
      <c r="L191" s="5">
        <v>283</v>
      </c>
    </row>
    <row r="192" spans="1:12" x14ac:dyDescent="0.25">
      <c r="A192" s="3" t="s">
        <v>75</v>
      </c>
      <c r="B192" s="3">
        <v>10</v>
      </c>
      <c r="C192" s="3">
        <v>7</v>
      </c>
      <c r="D192" s="3">
        <v>2021</v>
      </c>
      <c r="E192" s="4">
        <f>'Electricity '!I193+'Electricity '!O193</f>
        <v>36465.119999999966</v>
      </c>
      <c r="F192" s="153">
        <v>0.75</v>
      </c>
      <c r="G192" s="4">
        <f>'Gas Water'!M194</f>
        <v>1445</v>
      </c>
      <c r="H192" s="153">
        <v>1.85</v>
      </c>
      <c r="I192" s="2">
        <f>'Gas Water'!L194</f>
        <v>254</v>
      </c>
      <c r="J192" s="153">
        <v>12.93</v>
      </c>
      <c r="K192" s="5">
        <v>153</v>
      </c>
      <c r="L192" s="5">
        <v>288</v>
      </c>
    </row>
    <row r="193" spans="1:12" x14ac:dyDescent="0.25">
      <c r="A193" s="3" t="s">
        <v>75</v>
      </c>
      <c r="B193" s="3">
        <v>11</v>
      </c>
      <c r="C193" s="3">
        <v>7</v>
      </c>
      <c r="D193" s="3">
        <v>2021</v>
      </c>
      <c r="E193" s="4">
        <f>'Electricity '!I194+'Electricity '!O194</f>
        <v>36792.179999999767</v>
      </c>
      <c r="F193" s="153">
        <v>0.75</v>
      </c>
      <c r="G193" s="4">
        <f>'Gas Water'!M195</f>
        <v>1452</v>
      </c>
      <c r="H193" s="153">
        <v>1.85</v>
      </c>
      <c r="I193" s="2">
        <f>'Gas Water'!L195</f>
        <v>356</v>
      </c>
      <c r="J193" s="153">
        <v>12.93</v>
      </c>
      <c r="K193" s="5">
        <v>126</v>
      </c>
      <c r="L193" s="5">
        <v>255</v>
      </c>
    </row>
    <row r="194" spans="1:12" x14ac:dyDescent="0.25">
      <c r="A194" s="3" t="s">
        <v>75</v>
      </c>
      <c r="B194" s="3">
        <v>12</v>
      </c>
      <c r="C194" s="3">
        <v>7</v>
      </c>
      <c r="D194" s="3">
        <v>2021</v>
      </c>
      <c r="E194" s="4">
        <f>'Electricity '!I195+'Electricity '!O195</f>
        <v>37798.199999999983</v>
      </c>
      <c r="F194" s="153">
        <v>0.75</v>
      </c>
      <c r="G194" s="4">
        <f>'Gas Water'!M196</f>
        <v>1344</v>
      </c>
      <c r="H194" s="153">
        <v>1.85</v>
      </c>
      <c r="I194" s="2">
        <f>'Gas Water'!L196</f>
        <v>272</v>
      </c>
      <c r="J194" s="153">
        <v>12.93</v>
      </c>
      <c r="K194" s="5">
        <v>135</v>
      </c>
      <c r="L194" s="5">
        <v>283</v>
      </c>
    </row>
    <row r="195" spans="1:12" x14ac:dyDescent="0.25">
      <c r="A195" s="3" t="s">
        <v>75</v>
      </c>
      <c r="B195" s="3">
        <v>13</v>
      </c>
      <c r="C195" s="3">
        <v>7</v>
      </c>
      <c r="D195" s="3">
        <v>2021</v>
      </c>
      <c r="E195" s="4">
        <f>'Electricity '!I196+'Electricity '!O196</f>
        <v>35968.319999999949</v>
      </c>
      <c r="F195" s="153">
        <v>0.75</v>
      </c>
      <c r="G195" s="4">
        <f>'Gas Water'!M197</f>
        <v>1341</v>
      </c>
      <c r="H195" s="153">
        <v>1.85</v>
      </c>
      <c r="I195" s="2">
        <f>'Gas Water'!L197</f>
        <v>321</v>
      </c>
      <c r="J195" s="153">
        <v>12.93</v>
      </c>
      <c r="K195" s="5">
        <v>149</v>
      </c>
      <c r="L195" s="5">
        <v>296</v>
      </c>
    </row>
    <row r="196" spans="1:12" x14ac:dyDescent="0.25">
      <c r="A196" s="3" t="s">
        <v>75</v>
      </c>
      <c r="B196" s="3">
        <v>14</v>
      </c>
      <c r="C196" s="3">
        <v>7</v>
      </c>
      <c r="D196" s="3">
        <v>2021</v>
      </c>
      <c r="E196" s="4">
        <f>'Electricity '!I197+'Electricity '!O197</f>
        <v>38502.000000000284</v>
      </c>
      <c r="F196" s="153">
        <v>0.75</v>
      </c>
      <c r="G196" s="4">
        <f>'Gas Water'!M198</f>
        <v>1303</v>
      </c>
      <c r="H196" s="153">
        <v>1.85</v>
      </c>
      <c r="I196" s="2">
        <f>'Gas Water'!L198</f>
        <v>300</v>
      </c>
      <c r="J196" s="153">
        <v>12.93</v>
      </c>
      <c r="K196" s="5">
        <v>140</v>
      </c>
      <c r="L196" s="5">
        <v>274</v>
      </c>
    </row>
    <row r="197" spans="1:12" x14ac:dyDescent="0.25">
      <c r="A197" s="3" t="s">
        <v>75</v>
      </c>
      <c r="B197" s="3">
        <v>15</v>
      </c>
      <c r="C197" s="3">
        <v>7</v>
      </c>
      <c r="D197" s="3">
        <v>2021</v>
      </c>
      <c r="E197" s="4">
        <f>'Electricity '!I198+'Electricity '!O198</f>
        <v>38406.779999999708</v>
      </c>
      <c r="F197" s="153">
        <v>0.75</v>
      </c>
      <c r="G197" s="4">
        <f>'Gas Water'!M199</f>
        <v>1357</v>
      </c>
      <c r="H197" s="153">
        <v>1.85</v>
      </c>
      <c r="I197" s="2">
        <f>'Gas Water'!L199</f>
        <v>332</v>
      </c>
      <c r="J197" s="153">
        <v>12.93</v>
      </c>
      <c r="K197" s="5">
        <v>142</v>
      </c>
      <c r="L197" s="5">
        <v>293</v>
      </c>
    </row>
    <row r="198" spans="1:12" x14ac:dyDescent="0.25">
      <c r="A198" s="3" t="s">
        <v>75</v>
      </c>
      <c r="B198" s="3">
        <v>16</v>
      </c>
      <c r="C198" s="3">
        <v>7</v>
      </c>
      <c r="D198" s="3">
        <v>2021</v>
      </c>
      <c r="E198" s="4">
        <f>'Electricity '!I199+'Electricity '!O199</f>
        <v>37678.14</v>
      </c>
      <c r="F198" s="153">
        <v>0.75</v>
      </c>
      <c r="G198" s="4">
        <f>'Gas Water'!M200</f>
        <v>1288</v>
      </c>
      <c r="H198" s="153">
        <v>1.85</v>
      </c>
      <c r="I198" s="2">
        <f>'Gas Water'!L200</f>
        <v>300</v>
      </c>
      <c r="J198" s="153">
        <v>12.93</v>
      </c>
      <c r="K198" s="5">
        <v>137</v>
      </c>
      <c r="L198" s="5">
        <v>285</v>
      </c>
    </row>
    <row r="199" spans="1:12" x14ac:dyDescent="0.25">
      <c r="A199" s="3" t="s">
        <v>75</v>
      </c>
      <c r="B199" s="3">
        <v>17</v>
      </c>
      <c r="C199" s="3">
        <v>7</v>
      </c>
      <c r="D199" s="3">
        <v>2021</v>
      </c>
      <c r="E199" s="4">
        <f>'Electricity '!I200+'Electricity '!O200</f>
        <v>42476.399999999965</v>
      </c>
      <c r="F199" s="153">
        <v>0.75</v>
      </c>
      <c r="G199" s="4">
        <f>'Gas Water'!M201</f>
        <v>1269</v>
      </c>
      <c r="H199" s="153">
        <v>1.85</v>
      </c>
      <c r="I199" s="2">
        <f>'Gas Water'!L201</f>
        <v>375</v>
      </c>
      <c r="J199" s="153">
        <v>12.93</v>
      </c>
      <c r="K199" s="5">
        <v>156</v>
      </c>
      <c r="L199" s="5">
        <v>326</v>
      </c>
    </row>
    <row r="200" spans="1:12" x14ac:dyDescent="0.25">
      <c r="A200" s="3" t="s">
        <v>75</v>
      </c>
      <c r="B200" s="3">
        <v>18</v>
      </c>
      <c r="C200" s="3">
        <v>7</v>
      </c>
      <c r="D200" s="3">
        <v>2021</v>
      </c>
      <c r="E200" s="4">
        <f>'Electricity '!I201+'Electricity '!O201</f>
        <v>42211.440000000111</v>
      </c>
      <c r="F200" s="153">
        <v>0.75</v>
      </c>
      <c r="G200" s="4">
        <f>'Gas Water'!M202</f>
        <v>1274</v>
      </c>
      <c r="H200" s="153">
        <v>1.85</v>
      </c>
      <c r="I200" s="2">
        <f>'Gas Water'!L202</f>
        <v>242</v>
      </c>
      <c r="J200" s="153">
        <v>12.93</v>
      </c>
      <c r="K200" s="5">
        <v>143</v>
      </c>
      <c r="L200" s="5">
        <v>287</v>
      </c>
    </row>
    <row r="201" spans="1:12" x14ac:dyDescent="0.25">
      <c r="A201" s="3" t="s">
        <v>75</v>
      </c>
      <c r="B201" s="3">
        <v>19</v>
      </c>
      <c r="C201" s="3">
        <v>7</v>
      </c>
      <c r="D201" s="3">
        <v>2021</v>
      </c>
      <c r="E201" s="4">
        <f>'Electricity '!I202+'Electricity '!O202</f>
        <v>41362.73999999994</v>
      </c>
      <c r="F201" s="153">
        <v>0.75</v>
      </c>
      <c r="G201" s="4">
        <f>'Gas Water'!M203</f>
        <v>1187</v>
      </c>
      <c r="H201" s="153">
        <v>1.85</v>
      </c>
      <c r="I201" s="2">
        <f>'Gas Water'!L203</f>
        <v>250</v>
      </c>
      <c r="J201" s="153">
        <v>12.93</v>
      </c>
      <c r="K201" s="5">
        <v>130</v>
      </c>
      <c r="L201" s="5">
        <v>262</v>
      </c>
    </row>
    <row r="202" spans="1:12" x14ac:dyDescent="0.25">
      <c r="A202" s="3" t="s">
        <v>75</v>
      </c>
      <c r="B202" s="3">
        <v>20</v>
      </c>
      <c r="C202" s="3">
        <v>7</v>
      </c>
      <c r="D202" s="3">
        <v>2021</v>
      </c>
      <c r="E202" s="4">
        <f>'Electricity '!I203+'Electricity '!O203</f>
        <v>34552.440000000017</v>
      </c>
      <c r="F202" s="153">
        <v>0.75</v>
      </c>
      <c r="G202" s="4">
        <f>'Gas Water'!M204</f>
        <v>1127</v>
      </c>
      <c r="H202" s="153">
        <v>1.85</v>
      </c>
      <c r="I202" s="2">
        <f>'Gas Water'!L204</f>
        <v>228</v>
      </c>
      <c r="J202" s="153">
        <v>12.93</v>
      </c>
      <c r="K202" s="5">
        <v>141</v>
      </c>
      <c r="L202" s="5">
        <v>287</v>
      </c>
    </row>
    <row r="203" spans="1:12" x14ac:dyDescent="0.25">
      <c r="A203" s="3" t="s">
        <v>75</v>
      </c>
      <c r="B203" s="3">
        <v>21</v>
      </c>
      <c r="C203" s="3">
        <v>7</v>
      </c>
      <c r="D203" s="3">
        <v>2021</v>
      </c>
      <c r="E203" s="4">
        <f>'Electricity '!I204+'Electricity '!O204</f>
        <v>38858.040000000336</v>
      </c>
      <c r="F203" s="153">
        <v>0.75</v>
      </c>
      <c r="G203" s="4">
        <f>'Gas Water'!M205</f>
        <v>1149</v>
      </c>
      <c r="H203" s="153">
        <v>1.85</v>
      </c>
      <c r="I203" s="2">
        <f>'Gas Water'!L205</f>
        <v>247</v>
      </c>
      <c r="J203" s="153">
        <v>12.93</v>
      </c>
      <c r="K203" s="5">
        <v>154</v>
      </c>
      <c r="L203" s="5">
        <v>307</v>
      </c>
    </row>
    <row r="204" spans="1:12" x14ac:dyDescent="0.25">
      <c r="A204" s="3" t="s">
        <v>75</v>
      </c>
      <c r="B204" s="3">
        <v>22</v>
      </c>
      <c r="C204" s="3">
        <v>7</v>
      </c>
      <c r="D204" s="3">
        <v>2021</v>
      </c>
      <c r="E204" s="4">
        <f>'Electricity '!I205+'Electricity '!O205</f>
        <v>29828.699999999699</v>
      </c>
      <c r="F204" s="153">
        <v>0.75</v>
      </c>
      <c r="G204" s="4">
        <f>'Gas Water'!M206</f>
        <v>1166</v>
      </c>
      <c r="H204" s="153">
        <v>1.85</v>
      </c>
      <c r="I204" s="2">
        <f>'Gas Water'!L206</f>
        <v>242</v>
      </c>
      <c r="J204" s="153">
        <v>12.93</v>
      </c>
      <c r="K204" s="5">
        <v>160</v>
      </c>
      <c r="L204" s="5">
        <v>309</v>
      </c>
    </row>
    <row r="205" spans="1:12" x14ac:dyDescent="0.25">
      <c r="A205" s="3" t="s">
        <v>75</v>
      </c>
      <c r="B205" s="3">
        <v>23</v>
      </c>
      <c r="C205" s="3">
        <v>7</v>
      </c>
      <c r="D205" s="3">
        <v>2021</v>
      </c>
      <c r="E205" s="4">
        <f>'Electricity '!I206+'Electricity '!O206</f>
        <v>29745.900000000245</v>
      </c>
      <c r="F205" s="153">
        <v>0.75</v>
      </c>
      <c r="G205" s="4">
        <f>'Gas Water'!M207</f>
        <v>1133</v>
      </c>
      <c r="H205" s="153">
        <v>1.85</v>
      </c>
      <c r="I205" s="2">
        <f>'Gas Water'!L207</f>
        <v>262</v>
      </c>
      <c r="J205" s="153">
        <v>12.93</v>
      </c>
      <c r="K205" s="5">
        <v>152</v>
      </c>
      <c r="L205" s="5">
        <v>296</v>
      </c>
    </row>
    <row r="206" spans="1:12" x14ac:dyDescent="0.25">
      <c r="A206" s="3" t="s">
        <v>75</v>
      </c>
      <c r="B206" s="3">
        <v>24</v>
      </c>
      <c r="C206" s="3">
        <v>7</v>
      </c>
      <c r="D206" s="3">
        <v>2021</v>
      </c>
      <c r="E206" s="4">
        <f>'Electricity '!I207+'Electricity '!O207</f>
        <v>30764.339999999695</v>
      </c>
      <c r="F206" s="153">
        <v>0.75</v>
      </c>
      <c r="G206" s="4">
        <f>'Gas Water'!M208</f>
        <v>1204</v>
      </c>
      <c r="H206" s="153">
        <v>1.85</v>
      </c>
      <c r="I206" s="2">
        <f>'Gas Water'!L208</f>
        <v>271</v>
      </c>
      <c r="J206" s="153">
        <v>12.93</v>
      </c>
      <c r="K206" s="5">
        <v>145</v>
      </c>
      <c r="L206" s="5">
        <v>291</v>
      </c>
    </row>
    <row r="207" spans="1:12" x14ac:dyDescent="0.25">
      <c r="A207" s="3" t="s">
        <v>75</v>
      </c>
      <c r="B207" s="3">
        <v>25</v>
      </c>
      <c r="C207" s="3">
        <v>7</v>
      </c>
      <c r="D207" s="3">
        <v>2021</v>
      </c>
      <c r="E207" s="4">
        <f>'Electricity '!I208+'Electricity '!O208</f>
        <v>32362.38000000003</v>
      </c>
      <c r="F207" s="153">
        <v>0.75</v>
      </c>
      <c r="G207" s="4">
        <f>'Gas Water'!M209</f>
        <v>1200</v>
      </c>
      <c r="H207" s="153">
        <v>1.85</v>
      </c>
      <c r="I207" s="2">
        <f>'Gas Water'!L209</f>
        <v>274</v>
      </c>
      <c r="J207" s="153">
        <v>12.93</v>
      </c>
      <c r="K207" s="5">
        <v>151</v>
      </c>
      <c r="L207" s="5">
        <v>301</v>
      </c>
    </row>
    <row r="208" spans="1:12" x14ac:dyDescent="0.25">
      <c r="A208" s="3" t="s">
        <v>75</v>
      </c>
      <c r="B208" s="3">
        <v>26</v>
      </c>
      <c r="C208" s="3">
        <v>7</v>
      </c>
      <c r="D208" s="3">
        <v>2021</v>
      </c>
      <c r="E208" s="4">
        <f>'Electricity '!I209+'Electricity '!O209</f>
        <v>37342.799999999923</v>
      </c>
      <c r="F208" s="153">
        <v>0.75</v>
      </c>
      <c r="G208" s="4">
        <f>'Gas Water'!M210</f>
        <v>1349</v>
      </c>
      <c r="H208" s="153">
        <v>1.85</v>
      </c>
      <c r="I208" s="2">
        <f>'Gas Water'!L210</f>
        <v>251</v>
      </c>
      <c r="J208" s="153">
        <v>12.93</v>
      </c>
      <c r="K208" s="5">
        <v>152</v>
      </c>
      <c r="L208" s="5">
        <v>301</v>
      </c>
    </row>
    <row r="209" spans="1:12" x14ac:dyDescent="0.25">
      <c r="A209" s="3" t="s">
        <v>75</v>
      </c>
      <c r="B209" s="3">
        <v>27</v>
      </c>
      <c r="C209" s="3">
        <v>7</v>
      </c>
      <c r="D209" s="3">
        <v>2021</v>
      </c>
      <c r="E209" s="4">
        <f>'Electricity '!I210+'Electricity '!O210</f>
        <v>39209.940000000017</v>
      </c>
      <c r="F209" s="153">
        <v>0.75</v>
      </c>
      <c r="G209" s="4">
        <f>'Gas Water'!M211</f>
        <v>1352</v>
      </c>
      <c r="H209" s="153">
        <v>1.85</v>
      </c>
      <c r="I209" s="2">
        <f>'Gas Water'!L211</f>
        <v>266</v>
      </c>
      <c r="J209" s="153">
        <v>12.93</v>
      </c>
      <c r="K209" s="5">
        <v>147</v>
      </c>
      <c r="L209" s="5">
        <v>275</v>
      </c>
    </row>
    <row r="210" spans="1:12" x14ac:dyDescent="0.25">
      <c r="A210" s="3" t="s">
        <v>75</v>
      </c>
      <c r="B210" s="3">
        <v>28</v>
      </c>
      <c r="C210" s="3">
        <v>7</v>
      </c>
      <c r="D210" s="3">
        <v>2021</v>
      </c>
      <c r="E210" s="4">
        <f>'Electricity '!I211+'Electricity '!O211</f>
        <v>40071.060000000361</v>
      </c>
      <c r="F210" s="153">
        <v>0.75</v>
      </c>
      <c r="G210" s="4">
        <f>'Gas Water'!M212</f>
        <v>1328</v>
      </c>
      <c r="H210" s="153">
        <v>1.85</v>
      </c>
      <c r="I210" s="2">
        <f>'Gas Water'!L212</f>
        <v>238</v>
      </c>
      <c r="J210" s="153">
        <v>12.93</v>
      </c>
      <c r="K210" s="5">
        <v>151</v>
      </c>
      <c r="L210" s="5">
        <v>284</v>
      </c>
    </row>
    <row r="211" spans="1:12" x14ac:dyDescent="0.25">
      <c r="A211" s="3" t="s">
        <v>75</v>
      </c>
      <c r="B211" s="3">
        <v>29</v>
      </c>
      <c r="C211" s="3">
        <v>7</v>
      </c>
      <c r="D211" s="3">
        <v>2021</v>
      </c>
      <c r="E211" s="4">
        <f>'Electricity '!I212+'Electricity '!O212</f>
        <v>35218.979999999785</v>
      </c>
      <c r="F211" s="153">
        <v>0.75</v>
      </c>
      <c r="G211" s="4">
        <f>'Gas Water'!M213</f>
        <v>1311</v>
      </c>
      <c r="H211" s="153">
        <v>1.85</v>
      </c>
      <c r="I211" s="2">
        <f>'Gas Water'!L213</f>
        <v>300</v>
      </c>
      <c r="J211" s="153">
        <v>12.93</v>
      </c>
      <c r="K211" s="5">
        <v>147</v>
      </c>
      <c r="L211" s="5">
        <v>279</v>
      </c>
    </row>
    <row r="212" spans="1:12" x14ac:dyDescent="0.25">
      <c r="A212" s="3" t="s">
        <v>75</v>
      </c>
      <c r="B212" s="3">
        <v>30</v>
      </c>
      <c r="C212" s="3">
        <v>7</v>
      </c>
      <c r="D212" s="3">
        <v>2021</v>
      </c>
      <c r="E212" s="4">
        <f>'Electricity '!I213+'Electricity '!O213</f>
        <v>34929.180000000051</v>
      </c>
      <c r="F212" s="153">
        <v>0.75</v>
      </c>
      <c r="G212" s="4">
        <f>'Gas Water'!M214</f>
        <v>1336</v>
      </c>
      <c r="H212" s="153">
        <v>1.85</v>
      </c>
      <c r="I212" s="2">
        <f>'Gas Water'!L214</f>
        <v>232</v>
      </c>
      <c r="J212" s="153">
        <v>12.93</v>
      </c>
      <c r="K212" s="5">
        <v>146</v>
      </c>
      <c r="L212" s="5">
        <v>291</v>
      </c>
    </row>
    <row r="213" spans="1:12" x14ac:dyDescent="0.25">
      <c r="A213" s="3" t="s">
        <v>75</v>
      </c>
      <c r="B213" s="3">
        <v>31</v>
      </c>
      <c r="C213" s="3">
        <v>7</v>
      </c>
      <c r="D213" s="3">
        <v>2021</v>
      </c>
      <c r="E213" s="4">
        <f>'Electricity '!I214+'Electricity '!O214</f>
        <v>38108.700000000172</v>
      </c>
      <c r="F213" s="153">
        <v>0.75</v>
      </c>
      <c r="G213" s="4">
        <f>'Gas Water'!M215</f>
        <v>1364</v>
      </c>
      <c r="H213" s="153">
        <v>1.85</v>
      </c>
      <c r="I213" s="2">
        <f>'Gas Water'!L215</f>
        <v>289</v>
      </c>
      <c r="J213" s="153">
        <v>12.93</v>
      </c>
      <c r="K213" s="5">
        <v>150</v>
      </c>
      <c r="L213" s="5">
        <v>307</v>
      </c>
    </row>
    <row r="214" spans="1:12" x14ac:dyDescent="0.25">
      <c r="A214" s="3" t="s">
        <v>75</v>
      </c>
      <c r="B214" s="3">
        <v>1</v>
      </c>
      <c r="C214" s="3">
        <v>8</v>
      </c>
      <c r="D214" s="3">
        <v>2021</v>
      </c>
      <c r="E214" s="4">
        <f>'Electricity '!I215+'Electricity '!O215</f>
        <v>34059.779999999897</v>
      </c>
      <c r="F214" s="153">
        <v>0.75</v>
      </c>
      <c r="G214" s="4">
        <f>'Gas Water'!M216</f>
        <v>1288</v>
      </c>
      <c r="H214" s="153">
        <v>1.85</v>
      </c>
      <c r="I214" s="2">
        <f>'Gas Water'!L216</f>
        <v>243</v>
      </c>
      <c r="J214" s="153">
        <v>12.93</v>
      </c>
      <c r="K214" s="5">
        <v>142</v>
      </c>
      <c r="L214" s="5">
        <v>276</v>
      </c>
    </row>
    <row r="215" spans="1:12" x14ac:dyDescent="0.25">
      <c r="A215" s="3" t="s">
        <v>75</v>
      </c>
      <c r="B215" s="3">
        <v>2</v>
      </c>
      <c r="C215" s="3">
        <v>8</v>
      </c>
      <c r="D215" s="3">
        <v>2021</v>
      </c>
      <c r="E215" s="4">
        <f>'Electricity '!I216+'Electricity '!O216</f>
        <v>32813.639999999716</v>
      </c>
      <c r="F215" s="153">
        <v>0.75</v>
      </c>
      <c r="G215" s="4">
        <f>'Gas Water'!M217</f>
        <v>1305</v>
      </c>
      <c r="H215" s="153">
        <v>1.85</v>
      </c>
      <c r="I215" s="2">
        <f>'Gas Water'!L217</f>
        <v>291</v>
      </c>
      <c r="J215" s="153">
        <v>12.93</v>
      </c>
      <c r="K215" s="5">
        <v>144</v>
      </c>
      <c r="L215" s="5">
        <v>271</v>
      </c>
    </row>
    <row r="216" spans="1:12" x14ac:dyDescent="0.25">
      <c r="A216" s="3" t="s">
        <v>75</v>
      </c>
      <c r="B216" s="3">
        <v>3</v>
      </c>
      <c r="C216" s="3">
        <v>8</v>
      </c>
      <c r="D216" s="3">
        <v>2021</v>
      </c>
      <c r="E216" s="4">
        <f>'Electricity '!I217+'Electricity '!O217</f>
        <v>38874.600000000413</v>
      </c>
      <c r="F216" s="153">
        <v>0.75</v>
      </c>
      <c r="G216" s="4">
        <f>'Gas Water'!M218</f>
        <v>1316</v>
      </c>
      <c r="H216" s="153">
        <v>1.88</v>
      </c>
      <c r="I216" s="2">
        <f>'Gas Water'!L218</f>
        <v>282</v>
      </c>
      <c r="J216" s="153">
        <v>12.93</v>
      </c>
      <c r="K216" s="5">
        <v>143</v>
      </c>
      <c r="L216" s="5">
        <v>274</v>
      </c>
    </row>
    <row r="217" spans="1:12" x14ac:dyDescent="0.25">
      <c r="A217" s="3" t="s">
        <v>75</v>
      </c>
      <c r="B217" s="3">
        <v>4</v>
      </c>
      <c r="C217" s="3">
        <v>8</v>
      </c>
      <c r="D217" s="3">
        <v>2021</v>
      </c>
      <c r="E217" s="4">
        <f>'Electricity '!I218+'Electricity '!O218</f>
        <v>44215.199999999793</v>
      </c>
      <c r="F217" s="153">
        <v>0.75</v>
      </c>
      <c r="G217" s="4">
        <f>'Gas Water'!M219</f>
        <v>1492</v>
      </c>
      <c r="H217" s="153">
        <v>1.88</v>
      </c>
      <c r="I217" s="2">
        <f>'Gas Water'!L219</f>
        <v>274</v>
      </c>
      <c r="J217" s="153">
        <v>12.93</v>
      </c>
      <c r="K217" s="5">
        <v>149</v>
      </c>
      <c r="L217" s="5">
        <v>280</v>
      </c>
    </row>
    <row r="218" spans="1:12" x14ac:dyDescent="0.25">
      <c r="A218" s="3" t="s">
        <v>75</v>
      </c>
      <c r="B218" s="3">
        <v>5</v>
      </c>
      <c r="C218" s="3">
        <v>8</v>
      </c>
      <c r="D218" s="3">
        <v>2021</v>
      </c>
      <c r="E218" s="4" t="e">
        <f>'Electricity '!I219+'Electricity '!O219</f>
        <v>#VALUE!</v>
      </c>
      <c r="F218" s="153" t="e">
        <f>('Electricity '!I219*0.55+'Gas Water'!H220*1.88)/(Total!E218)</f>
        <v>#VALUE!</v>
      </c>
      <c r="G218" s="4" t="str">
        <f>'Gas Water'!M220</f>
        <v/>
      </c>
      <c r="H218" s="153">
        <v>1.88</v>
      </c>
      <c r="I218" s="2" t="str">
        <f>'Gas Water'!L220</f>
        <v/>
      </c>
      <c r="J218" s="153">
        <v>11.3</v>
      </c>
      <c r="K218" s="5"/>
      <c r="L218" s="5"/>
    </row>
    <row r="219" spans="1:12" x14ac:dyDescent="0.25">
      <c r="A219" s="3" t="s">
        <v>75</v>
      </c>
      <c r="B219" s="3">
        <v>6</v>
      </c>
      <c r="C219" s="3">
        <v>8</v>
      </c>
      <c r="D219" s="3">
        <v>2021</v>
      </c>
      <c r="E219" s="4" t="e">
        <f>'Electricity '!I220+'Electricity '!O220</f>
        <v>#VALUE!</v>
      </c>
      <c r="F219" s="153" t="e">
        <f>('Electricity '!I220*0.55+'Gas Water'!H221*1.88)/(Total!E219)</f>
        <v>#VALUE!</v>
      </c>
      <c r="G219" s="4" t="str">
        <f>'Gas Water'!M221</f>
        <v/>
      </c>
      <c r="H219" s="153">
        <v>1.88</v>
      </c>
      <c r="I219" s="2" t="str">
        <f>'Gas Water'!L221</f>
        <v/>
      </c>
      <c r="J219" s="153">
        <v>11.3</v>
      </c>
      <c r="K219" s="5"/>
      <c r="L219" s="5"/>
    </row>
    <row r="220" spans="1:12" x14ac:dyDescent="0.25">
      <c r="A220" s="3" t="s">
        <v>75</v>
      </c>
      <c r="B220" s="3">
        <v>7</v>
      </c>
      <c r="C220" s="3">
        <v>8</v>
      </c>
      <c r="D220" s="3">
        <v>2021</v>
      </c>
      <c r="E220" s="4" t="e">
        <f>'Electricity '!I221+'Electricity '!O221</f>
        <v>#VALUE!</v>
      </c>
      <c r="F220" s="153" t="e">
        <f>('Electricity '!I221*0.55+'Gas Water'!H222*1.88)/(Total!E220)</f>
        <v>#VALUE!</v>
      </c>
      <c r="G220" s="4" t="str">
        <f>'Gas Water'!M222</f>
        <v/>
      </c>
      <c r="H220" s="153">
        <v>1.88</v>
      </c>
      <c r="I220" s="2" t="str">
        <f>'Gas Water'!L222</f>
        <v/>
      </c>
      <c r="J220" s="153">
        <v>11.3</v>
      </c>
      <c r="K220" s="5"/>
      <c r="L220" s="5"/>
    </row>
    <row r="221" spans="1:12" x14ac:dyDescent="0.25">
      <c r="A221" s="3" t="s">
        <v>75</v>
      </c>
      <c r="B221" s="3">
        <v>8</v>
      </c>
      <c r="C221" s="3">
        <v>8</v>
      </c>
      <c r="D221" s="3">
        <v>2021</v>
      </c>
      <c r="E221" s="4" t="e">
        <f>'Electricity '!I222+'Electricity '!O222</f>
        <v>#VALUE!</v>
      </c>
      <c r="F221" s="153" t="e">
        <f>('Electricity '!I222*0.55+'Gas Water'!H223*1.88)/(Total!E221)</f>
        <v>#VALUE!</v>
      </c>
      <c r="G221" s="4" t="str">
        <f>'Gas Water'!M223</f>
        <v/>
      </c>
      <c r="H221" s="153">
        <v>1.88</v>
      </c>
      <c r="I221" s="2" t="str">
        <f>'Gas Water'!L223</f>
        <v/>
      </c>
      <c r="J221" s="153">
        <v>11.3</v>
      </c>
      <c r="K221" s="5"/>
      <c r="L221" s="5"/>
    </row>
    <row r="222" spans="1:12" x14ac:dyDescent="0.25">
      <c r="A222" s="3" t="s">
        <v>75</v>
      </c>
      <c r="B222" s="3">
        <v>9</v>
      </c>
      <c r="C222" s="3">
        <v>8</v>
      </c>
      <c r="D222" s="3">
        <v>2021</v>
      </c>
      <c r="E222" s="4" t="e">
        <f>'Electricity '!I223+'Electricity '!O223</f>
        <v>#VALUE!</v>
      </c>
      <c r="F222" s="153" t="e">
        <f>('Electricity '!I223*0.55+'Gas Water'!H224*1.88)/(Total!E222)</f>
        <v>#VALUE!</v>
      </c>
      <c r="G222" s="4" t="str">
        <f>'Gas Water'!M224</f>
        <v/>
      </c>
      <c r="H222" s="153">
        <v>1.88</v>
      </c>
      <c r="I222" s="2" t="str">
        <f>'Gas Water'!L224</f>
        <v/>
      </c>
      <c r="J222" s="153">
        <v>11.3</v>
      </c>
      <c r="K222" s="5"/>
      <c r="L222" s="5"/>
    </row>
    <row r="223" spans="1:12" x14ac:dyDescent="0.25">
      <c r="A223" s="3" t="s">
        <v>75</v>
      </c>
      <c r="B223" s="3">
        <v>10</v>
      </c>
      <c r="C223" s="3">
        <v>8</v>
      </c>
      <c r="D223" s="3">
        <v>2021</v>
      </c>
      <c r="E223" s="4" t="e">
        <f>'Electricity '!I224+'Electricity '!O224</f>
        <v>#VALUE!</v>
      </c>
      <c r="F223" s="153" t="e">
        <f>('Electricity '!I224*0.55+'Gas Water'!H225*1.88)/(Total!E223)</f>
        <v>#VALUE!</v>
      </c>
      <c r="G223" s="4" t="str">
        <f>'Gas Water'!M225</f>
        <v/>
      </c>
      <c r="H223" s="153">
        <v>1.88</v>
      </c>
      <c r="I223" s="2" t="str">
        <f>'Gas Water'!L225</f>
        <v/>
      </c>
      <c r="J223" s="153">
        <v>11.3</v>
      </c>
      <c r="K223" s="5"/>
      <c r="L223" s="5"/>
    </row>
    <row r="224" spans="1:12" x14ac:dyDescent="0.25">
      <c r="A224" s="3" t="s">
        <v>75</v>
      </c>
      <c r="B224" s="3">
        <v>11</v>
      </c>
      <c r="C224" s="3">
        <v>8</v>
      </c>
      <c r="D224" s="3">
        <v>2021</v>
      </c>
      <c r="E224" s="4" t="e">
        <f>'Electricity '!I225+'Electricity '!O225</f>
        <v>#VALUE!</v>
      </c>
      <c r="F224" s="153" t="e">
        <f>('Electricity '!I225*0.55+'Gas Water'!H226*1.88)/(Total!E224)</f>
        <v>#VALUE!</v>
      </c>
      <c r="G224" s="4" t="str">
        <f>'Gas Water'!M226</f>
        <v/>
      </c>
      <c r="H224" s="153">
        <v>1.88</v>
      </c>
      <c r="I224" s="2" t="str">
        <f>'Gas Water'!L226</f>
        <v/>
      </c>
      <c r="J224" s="153">
        <v>11.3</v>
      </c>
      <c r="K224" s="5"/>
      <c r="L224" s="5"/>
    </row>
    <row r="225" spans="1:12" x14ac:dyDescent="0.25">
      <c r="A225" s="3" t="s">
        <v>75</v>
      </c>
      <c r="B225" s="3">
        <v>12</v>
      </c>
      <c r="C225" s="3">
        <v>8</v>
      </c>
      <c r="D225" s="3">
        <v>2021</v>
      </c>
      <c r="E225" s="4" t="e">
        <f>'Electricity '!I226+'Electricity '!O226</f>
        <v>#VALUE!</v>
      </c>
      <c r="F225" s="153" t="e">
        <f>('Electricity '!I226*0.55+'Gas Water'!H227*1.88)/(Total!E225)</f>
        <v>#VALUE!</v>
      </c>
      <c r="G225" s="4" t="str">
        <f>'Gas Water'!M227</f>
        <v/>
      </c>
      <c r="H225" s="153">
        <v>1.88</v>
      </c>
      <c r="I225" s="2" t="str">
        <f>'Gas Water'!L227</f>
        <v/>
      </c>
      <c r="J225" s="153">
        <v>11.3</v>
      </c>
      <c r="K225" s="5"/>
      <c r="L225" s="5"/>
    </row>
    <row r="226" spans="1:12" x14ac:dyDescent="0.25">
      <c r="A226" s="3" t="s">
        <v>75</v>
      </c>
      <c r="B226" s="3">
        <v>13</v>
      </c>
      <c r="C226" s="3">
        <v>8</v>
      </c>
      <c r="D226" s="3">
        <v>2021</v>
      </c>
      <c r="E226" s="4" t="e">
        <f>'Electricity '!I227+'Electricity '!O227</f>
        <v>#VALUE!</v>
      </c>
      <c r="F226" s="153" t="e">
        <f>('Electricity '!I227*0.55+'Gas Water'!H228*1.88)/(Total!E226)</f>
        <v>#VALUE!</v>
      </c>
      <c r="G226" s="4" t="str">
        <f>'Gas Water'!M228</f>
        <v/>
      </c>
      <c r="H226" s="153">
        <v>1.88</v>
      </c>
      <c r="I226" s="2" t="str">
        <f>'Gas Water'!L228</f>
        <v/>
      </c>
      <c r="J226" s="153">
        <v>11.3</v>
      </c>
      <c r="K226" s="5"/>
      <c r="L226" s="5"/>
    </row>
    <row r="227" spans="1:12" x14ac:dyDescent="0.25">
      <c r="A227" s="3" t="s">
        <v>75</v>
      </c>
      <c r="B227" s="3">
        <v>14</v>
      </c>
      <c r="C227" s="3">
        <v>8</v>
      </c>
      <c r="D227" s="3">
        <v>2021</v>
      </c>
      <c r="E227" s="4" t="e">
        <f>'Electricity '!I228+'Electricity '!O228</f>
        <v>#VALUE!</v>
      </c>
      <c r="F227" s="153" t="e">
        <f>('Electricity '!I228*0.55+'Gas Water'!H229*1.88)/(Total!E227)</f>
        <v>#VALUE!</v>
      </c>
      <c r="G227" s="4" t="str">
        <f>'Gas Water'!M229</f>
        <v/>
      </c>
      <c r="H227" s="153">
        <v>1.88</v>
      </c>
      <c r="I227" s="2" t="str">
        <f>'Gas Water'!L229</f>
        <v/>
      </c>
      <c r="J227" s="153">
        <v>11.3</v>
      </c>
      <c r="K227" s="5"/>
      <c r="L227" s="5"/>
    </row>
    <row r="228" spans="1:12" x14ac:dyDescent="0.25">
      <c r="A228" s="3" t="s">
        <v>75</v>
      </c>
      <c r="B228" s="3">
        <v>15</v>
      </c>
      <c r="C228" s="3">
        <v>8</v>
      </c>
      <c r="D228" s="3">
        <v>2021</v>
      </c>
      <c r="E228" s="4" t="e">
        <f>'Electricity '!I229+'Electricity '!O229</f>
        <v>#VALUE!</v>
      </c>
      <c r="F228" s="153" t="e">
        <f>('Electricity '!I229*0.55+'Gas Water'!H230*1.88)/(Total!E228)</f>
        <v>#VALUE!</v>
      </c>
      <c r="G228" s="4" t="str">
        <f>'Gas Water'!M230</f>
        <v/>
      </c>
      <c r="H228" s="153">
        <v>1.88</v>
      </c>
      <c r="I228" s="2" t="str">
        <f>'Gas Water'!L230</f>
        <v/>
      </c>
      <c r="J228" s="153">
        <v>11.3</v>
      </c>
      <c r="K228" s="5"/>
      <c r="L228" s="5"/>
    </row>
    <row r="229" spans="1:12" x14ac:dyDescent="0.25">
      <c r="A229" s="3" t="s">
        <v>75</v>
      </c>
      <c r="B229" s="3">
        <v>16</v>
      </c>
      <c r="C229" s="3">
        <v>8</v>
      </c>
      <c r="D229" s="3">
        <v>2021</v>
      </c>
      <c r="E229" s="4" t="e">
        <f>'Electricity '!I230+'Electricity '!O230</f>
        <v>#VALUE!</v>
      </c>
      <c r="F229" s="153" t="e">
        <f>('Electricity '!I230*0.55+'Gas Water'!H231*1.88)/(Total!E229)</f>
        <v>#VALUE!</v>
      </c>
      <c r="G229" s="4" t="str">
        <f>'Gas Water'!M231</f>
        <v/>
      </c>
      <c r="H229" s="153">
        <v>1.88</v>
      </c>
      <c r="I229" s="2" t="str">
        <f>'Gas Water'!L231</f>
        <v/>
      </c>
      <c r="J229" s="153">
        <v>11.3</v>
      </c>
      <c r="K229" s="5"/>
      <c r="L229" s="5"/>
    </row>
    <row r="230" spans="1:12" x14ac:dyDescent="0.25">
      <c r="A230" s="3" t="s">
        <v>75</v>
      </c>
      <c r="B230" s="3">
        <v>17</v>
      </c>
      <c r="C230" s="3">
        <v>8</v>
      </c>
      <c r="D230" s="3">
        <v>2021</v>
      </c>
      <c r="E230" s="4" t="e">
        <f>'Electricity '!I231+'Electricity '!O231</f>
        <v>#VALUE!</v>
      </c>
      <c r="F230" s="153" t="e">
        <f>('Electricity '!I231*0.55+'Gas Water'!H232*1.88)/(Total!E230)</f>
        <v>#VALUE!</v>
      </c>
      <c r="G230" s="4" t="str">
        <f>'Gas Water'!M232</f>
        <v/>
      </c>
      <c r="H230" s="153">
        <v>1.88</v>
      </c>
      <c r="I230" s="2" t="str">
        <f>'Gas Water'!L232</f>
        <v/>
      </c>
      <c r="J230" s="153">
        <v>11.3</v>
      </c>
      <c r="K230" s="5"/>
      <c r="L230" s="5"/>
    </row>
    <row r="231" spans="1:12" x14ac:dyDescent="0.25">
      <c r="A231" s="3" t="s">
        <v>75</v>
      </c>
      <c r="B231" s="3">
        <v>18</v>
      </c>
      <c r="C231" s="3">
        <v>8</v>
      </c>
      <c r="D231" s="3">
        <v>2021</v>
      </c>
      <c r="E231" s="4" t="e">
        <f>'Electricity '!I232+'Electricity '!O232</f>
        <v>#VALUE!</v>
      </c>
      <c r="F231" s="153" t="e">
        <f>('Electricity '!I232*0.55+'Gas Water'!H233*1.88)/(Total!E231)</f>
        <v>#VALUE!</v>
      </c>
      <c r="G231" s="4" t="str">
        <f>'Gas Water'!M233</f>
        <v/>
      </c>
      <c r="H231" s="153">
        <v>1.88</v>
      </c>
      <c r="I231" s="2" t="str">
        <f>'Gas Water'!L233</f>
        <v/>
      </c>
      <c r="J231" s="153">
        <v>11.3</v>
      </c>
      <c r="K231" s="5"/>
      <c r="L231" s="5"/>
    </row>
    <row r="232" spans="1:12" x14ac:dyDescent="0.25">
      <c r="A232" s="3" t="s">
        <v>75</v>
      </c>
      <c r="B232" s="3">
        <v>19</v>
      </c>
      <c r="C232" s="3">
        <v>8</v>
      </c>
      <c r="D232" s="3">
        <v>2021</v>
      </c>
      <c r="E232" s="4" t="e">
        <f>'Electricity '!I233+'Electricity '!O233</f>
        <v>#VALUE!</v>
      </c>
      <c r="F232" s="153" t="e">
        <f>('Electricity '!I233*0.55+'Gas Water'!H234*1.88)/(Total!E232)</f>
        <v>#VALUE!</v>
      </c>
      <c r="G232" s="4" t="str">
        <f>'Gas Water'!M234</f>
        <v/>
      </c>
      <c r="H232" s="153">
        <v>1.88</v>
      </c>
      <c r="I232" s="2" t="str">
        <f>'Gas Water'!L234</f>
        <v/>
      </c>
      <c r="J232" s="153">
        <v>11.3</v>
      </c>
      <c r="K232" s="5"/>
      <c r="L232" s="5"/>
    </row>
    <row r="233" spans="1:12" x14ac:dyDescent="0.25">
      <c r="A233" s="3" t="s">
        <v>75</v>
      </c>
      <c r="B233" s="3">
        <v>20</v>
      </c>
      <c r="C233" s="3">
        <v>8</v>
      </c>
      <c r="D233" s="3">
        <v>2021</v>
      </c>
      <c r="E233" s="4" t="e">
        <f>'Electricity '!I234+'Electricity '!O234</f>
        <v>#VALUE!</v>
      </c>
      <c r="F233" s="153" t="e">
        <f>('Electricity '!I234*0.55+'Gas Water'!H235*1.88)/(Total!E233)</f>
        <v>#VALUE!</v>
      </c>
      <c r="G233" s="4" t="str">
        <f>'Gas Water'!M235</f>
        <v/>
      </c>
      <c r="H233" s="153">
        <v>1.88</v>
      </c>
      <c r="I233" s="2" t="str">
        <f>'Gas Water'!L235</f>
        <v/>
      </c>
      <c r="J233" s="153">
        <v>11.3</v>
      </c>
      <c r="K233" s="5"/>
      <c r="L233" s="5"/>
    </row>
    <row r="234" spans="1:12" x14ac:dyDescent="0.25">
      <c r="A234" s="3" t="s">
        <v>75</v>
      </c>
      <c r="B234" s="3">
        <v>21</v>
      </c>
      <c r="C234" s="3">
        <v>8</v>
      </c>
      <c r="D234" s="3">
        <v>2021</v>
      </c>
      <c r="E234" s="4" t="e">
        <f>'Electricity '!I235+'Electricity '!O235</f>
        <v>#VALUE!</v>
      </c>
      <c r="F234" s="153" t="e">
        <f>('Electricity '!I235*0.55+'Gas Water'!H236*1.88)/(Total!E234)</f>
        <v>#VALUE!</v>
      </c>
      <c r="G234" s="4" t="str">
        <f>'Gas Water'!M236</f>
        <v/>
      </c>
      <c r="H234" s="153">
        <v>1.88</v>
      </c>
      <c r="I234" s="2" t="str">
        <f>'Gas Water'!L236</f>
        <v/>
      </c>
      <c r="J234" s="153">
        <v>11.3</v>
      </c>
      <c r="K234" s="5"/>
      <c r="L234" s="5"/>
    </row>
    <row r="235" spans="1:12" x14ac:dyDescent="0.25">
      <c r="A235" s="3" t="s">
        <v>75</v>
      </c>
      <c r="B235" s="3">
        <v>22</v>
      </c>
      <c r="C235" s="3">
        <v>8</v>
      </c>
      <c r="D235" s="3">
        <v>2021</v>
      </c>
      <c r="E235" s="4" t="e">
        <f>'Electricity '!I236+'Electricity '!O236</f>
        <v>#VALUE!</v>
      </c>
      <c r="F235" s="153" t="e">
        <f>('Electricity '!I236*0.55+'Gas Water'!H237*1.88)/(Total!E235)</f>
        <v>#VALUE!</v>
      </c>
      <c r="G235" s="4" t="str">
        <f>'Gas Water'!M237</f>
        <v/>
      </c>
      <c r="H235" s="153">
        <v>1.88</v>
      </c>
      <c r="I235" s="2" t="str">
        <f>'Gas Water'!L237</f>
        <v/>
      </c>
      <c r="J235" s="153">
        <v>11.3</v>
      </c>
      <c r="K235" s="5"/>
      <c r="L235" s="5"/>
    </row>
    <row r="236" spans="1:12" x14ac:dyDescent="0.25">
      <c r="A236" s="3" t="s">
        <v>75</v>
      </c>
      <c r="B236" s="3">
        <v>23</v>
      </c>
      <c r="C236" s="3">
        <v>8</v>
      </c>
      <c r="D236" s="3">
        <v>2021</v>
      </c>
      <c r="E236" s="4" t="e">
        <f>'Electricity '!I237+'Electricity '!O237</f>
        <v>#VALUE!</v>
      </c>
      <c r="F236" s="153" t="e">
        <f>('Electricity '!I237*0.55+'Gas Water'!H238*1.88)/(Total!E236)</f>
        <v>#VALUE!</v>
      </c>
      <c r="G236" s="4" t="str">
        <f>'Gas Water'!M238</f>
        <v/>
      </c>
      <c r="H236" s="153">
        <v>1.88</v>
      </c>
      <c r="I236" s="2" t="str">
        <f>'Gas Water'!L238</f>
        <v/>
      </c>
      <c r="J236" s="153">
        <v>11.3</v>
      </c>
      <c r="K236" s="5"/>
      <c r="L236" s="5"/>
    </row>
    <row r="237" spans="1:12" x14ac:dyDescent="0.25">
      <c r="A237" s="3" t="s">
        <v>75</v>
      </c>
      <c r="B237" s="3">
        <v>24</v>
      </c>
      <c r="C237" s="3">
        <v>8</v>
      </c>
      <c r="D237" s="3">
        <v>2021</v>
      </c>
      <c r="E237" s="4" t="e">
        <f>'Electricity '!I238+'Electricity '!O238</f>
        <v>#VALUE!</v>
      </c>
      <c r="F237" s="153" t="e">
        <f>('Electricity '!I238*0.55+'Gas Water'!H239*1.88)/(Total!E237)</f>
        <v>#VALUE!</v>
      </c>
      <c r="G237" s="4" t="str">
        <f>'Gas Water'!M239</f>
        <v/>
      </c>
      <c r="H237" s="153">
        <v>1.88</v>
      </c>
      <c r="I237" s="2" t="str">
        <f>'Gas Water'!L239</f>
        <v/>
      </c>
      <c r="J237" s="153">
        <v>11.3</v>
      </c>
      <c r="K237" s="5"/>
      <c r="L237" s="5"/>
    </row>
    <row r="238" spans="1:12" x14ac:dyDescent="0.25">
      <c r="A238" s="3" t="s">
        <v>75</v>
      </c>
      <c r="B238" s="3">
        <v>25</v>
      </c>
      <c r="C238" s="3">
        <v>8</v>
      </c>
      <c r="D238" s="3">
        <v>2021</v>
      </c>
      <c r="E238" s="4" t="e">
        <f>'Electricity '!I239+'Electricity '!O239</f>
        <v>#VALUE!</v>
      </c>
      <c r="F238" s="153" t="e">
        <f>('Electricity '!I239*0.55+'Gas Water'!H240*1.88)/(Total!E238)</f>
        <v>#VALUE!</v>
      </c>
      <c r="G238" s="4" t="str">
        <f>'Gas Water'!M240</f>
        <v/>
      </c>
      <c r="H238" s="153">
        <v>1.88</v>
      </c>
      <c r="I238" s="2" t="str">
        <f>'Gas Water'!L240</f>
        <v/>
      </c>
      <c r="J238" s="153">
        <v>11.3</v>
      </c>
      <c r="K238" s="5"/>
      <c r="L238" s="5"/>
    </row>
    <row r="239" spans="1:12" x14ac:dyDescent="0.25">
      <c r="A239" s="3" t="s">
        <v>75</v>
      </c>
      <c r="B239" s="3">
        <v>26</v>
      </c>
      <c r="C239" s="3">
        <v>8</v>
      </c>
      <c r="D239" s="3">
        <v>2021</v>
      </c>
      <c r="E239" s="4" t="e">
        <f>'Electricity '!I240+'Electricity '!O240</f>
        <v>#VALUE!</v>
      </c>
      <c r="F239" s="153" t="e">
        <f>('Electricity '!I240*0.55+'Gas Water'!H241*1.88)/(Total!E239)</f>
        <v>#VALUE!</v>
      </c>
      <c r="G239" s="4" t="str">
        <f>'Gas Water'!M241</f>
        <v/>
      </c>
      <c r="H239" s="153">
        <v>1.88</v>
      </c>
      <c r="I239" s="2" t="str">
        <f>'Gas Water'!L241</f>
        <v/>
      </c>
      <c r="J239" s="153">
        <v>11.3</v>
      </c>
      <c r="K239" s="5"/>
      <c r="L239" s="5"/>
    </row>
    <row r="240" spans="1:12" x14ac:dyDescent="0.25">
      <c r="A240" s="3" t="s">
        <v>75</v>
      </c>
      <c r="B240" s="3">
        <v>27</v>
      </c>
      <c r="C240" s="3">
        <v>8</v>
      </c>
      <c r="D240" s="3">
        <v>2021</v>
      </c>
      <c r="E240" s="4" t="e">
        <f>'Electricity '!I241+'Electricity '!O241</f>
        <v>#VALUE!</v>
      </c>
      <c r="F240" s="153" t="e">
        <f>('Electricity '!I241*0.55+'Gas Water'!H242*1.88)/(Total!E240)</f>
        <v>#VALUE!</v>
      </c>
      <c r="G240" s="4" t="str">
        <f>'Gas Water'!M242</f>
        <v/>
      </c>
      <c r="H240" s="153">
        <v>1.88</v>
      </c>
      <c r="I240" s="2" t="str">
        <f>'Gas Water'!L242</f>
        <v/>
      </c>
      <c r="J240" s="153">
        <v>11.3</v>
      </c>
      <c r="K240" s="5"/>
      <c r="L240" s="5"/>
    </row>
    <row r="241" spans="1:12" x14ac:dyDescent="0.25">
      <c r="A241" s="3" t="s">
        <v>75</v>
      </c>
      <c r="B241" s="3">
        <v>28</v>
      </c>
      <c r="C241" s="3">
        <v>8</v>
      </c>
      <c r="D241" s="3">
        <v>2021</v>
      </c>
      <c r="E241" s="4" t="e">
        <f>'Electricity '!I242+'Electricity '!O242</f>
        <v>#VALUE!</v>
      </c>
      <c r="F241" s="153" t="e">
        <f>('Electricity '!I242*0.55+'Gas Water'!H243*1.88)/(Total!E241)</f>
        <v>#VALUE!</v>
      </c>
      <c r="G241" s="4" t="str">
        <f>'Gas Water'!M243</f>
        <v/>
      </c>
      <c r="H241" s="153">
        <v>1.88</v>
      </c>
      <c r="I241" s="2" t="str">
        <f>'Gas Water'!L243</f>
        <v/>
      </c>
      <c r="J241" s="153">
        <v>11.3</v>
      </c>
      <c r="K241" s="5"/>
      <c r="L241" s="5"/>
    </row>
    <row r="242" spans="1:12" x14ac:dyDescent="0.25">
      <c r="A242" s="3" t="s">
        <v>75</v>
      </c>
      <c r="B242" s="3">
        <v>29</v>
      </c>
      <c r="C242" s="3">
        <v>8</v>
      </c>
      <c r="D242" s="3">
        <v>2021</v>
      </c>
      <c r="E242" s="4" t="e">
        <f>'Electricity '!I243+'Electricity '!O243</f>
        <v>#VALUE!</v>
      </c>
      <c r="F242" s="153" t="e">
        <f>('Electricity '!I243*0.55+'Gas Water'!H244*1.88)/(Total!E242)</f>
        <v>#VALUE!</v>
      </c>
      <c r="G242" s="4" t="str">
        <f>'Gas Water'!M244</f>
        <v/>
      </c>
      <c r="H242" s="153">
        <v>1.88</v>
      </c>
      <c r="I242" s="2" t="str">
        <f>'Gas Water'!L244</f>
        <v/>
      </c>
      <c r="J242" s="153">
        <v>11.3</v>
      </c>
      <c r="K242" s="5"/>
      <c r="L242" s="5"/>
    </row>
    <row r="243" spans="1:12" x14ac:dyDescent="0.25">
      <c r="A243" s="3" t="s">
        <v>75</v>
      </c>
      <c r="B243" s="3">
        <v>30</v>
      </c>
      <c r="C243" s="3">
        <v>8</v>
      </c>
      <c r="D243" s="3">
        <v>2021</v>
      </c>
      <c r="E243" s="4" t="e">
        <f>'Electricity '!I244+'Electricity '!O244</f>
        <v>#VALUE!</v>
      </c>
      <c r="F243" s="153" t="e">
        <f>('Electricity '!I244*0.55+'Gas Water'!H245*1.88)/(Total!E243)</f>
        <v>#VALUE!</v>
      </c>
      <c r="G243" s="4" t="str">
        <f>'Gas Water'!M245</f>
        <v/>
      </c>
      <c r="H243" s="153">
        <v>1.88</v>
      </c>
      <c r="I243" s="2" t="str">
        <f>'Gas Water'!L245</f>
        <v/>
      </c>
      <c r="J243" s="153">
        <v>11.3</v>
      </c>
      <c r="K243" s="5"/>
      <c r="L243" s="5"/>
    </row>
    <row r="244" spans="1:12" x14ac:dyDescent="0.25">
      <c r="A244" s="3" t="s">
        <v>75</v>
      </c>
      <c r="B244" s="3">
        <v>31</v>
      </c>
      <c r="C244" s="3">
        <v>8</v>
      </c>
      <c r="D244" s="3">
        <v>2021</v>
      </c>
      <c r="E244" s="4" t="e">
        <f>'Electricity '!I245+'Electricity '!O245</f>
        <v>#VALUE!</v>
      </c>
      <c r="F244" s="153" t="e">
        <f>('Electricity '!I245*0.55+'Gas Water'!H246*1.88)/(Total!E244)</f>
        <v>#VALUE!</v>
      </c>
      <c r="G244" s="4" t="str">
        <f>'Gas Water'!M246</f>
        <v/>
      </c>
      <c r="H244" s="153">
        <v>1.88</v>
      </c>
      <c r="I244" s="2" t="str">
        <f>'Gas Water'!L246</f>
        <v/>
      </c>
      <c r="J244" s="153">
        <v>11.3</v>
      </c>
      <c r="K244" s="5"/>
      <c r="L244" s="5"/>
    </row>
    <row r="245" spans="1:12" x14ac:dyDescent="0.25">
      <c r="A245" s="3" t="s">
        <v>75</v>
      </c>
      <c r="B245" s="3">
        <v>1</v>
      </c>
      <c r="C245" s="3">
        <v>9</v>
      </c>
      <c r="D245" s="3">
        <v>2021</v>
      </c>
      <c r="E245" s="4" t="e">
        <f>'Electricity '!I246+'Electricity '!O246</f>
        <v>#VALUE!</v>
      </c>
      <c r="F245" s="153" t="e">
        <f>('Electricity '!I246*0.55+'Gas Water'!H247*1.88)/(Total!E245)</f>
        <v>#VALUE!</v>
      </c>
      <c r="G245" s="4" t="str">
        <f>'Gas Water'!M247</f>
        <v/>
      </c>
      <c r="H245" s="153">
        <v>1.88</v>
      </c>
      <c r="I245" s="2" t="str">
        <f>'Gas Water'!L247</f>
        <v/>
      </c>
      <c r="J245" s="153">
        <v>11.3</v>
      </c>
      <c r="K245" s="5"/>
      <c r="L245" s="5"/>
    </row>
    <row r="246" spans="1:12" x14ac:dyDescent="0.25">
      <c r="A246" s="3" t="s">
        <v>75</v>
      </c>
      <c r="B246" s="3">
        <v>2</v>
      </c>
      <c r="C246" s="3">
        <v>9</v>
      </c>
      <c r="D246" s="3">
        <v>2021</v>
      </c>
      <c r="E246" s="4" t="e">
        <f>'Electricity '!I247+'Electricity '!O247</f>
        <v>#VALUE!</v>
      </c>
      <c r="F246" s="153" t="e">
        <f>('Electricity '!I247*0.55+'Gas Water'!H248*1.88)/(Total!E246)</f>
        <v>#VALUE!</v>
      </c>
      <c r="G246" s="4" t="str">
        <f>'Gas Water'!M248</f>
        <v/>
      </c>
      <c r="H246" s="153">
        <v>1.88</v>
      </c>
      <c r="I246" s="2" t="str">
        <f>'Gas Water'!L248</f>
        <v/>
      </c>
      <c r="J246" s="153">
        <v>11.3</v>
      </c>
      <c r="K246" s="5"/>
      <c r="L246" s="5"/>
    </row>
    <row r="247" spans="1:12" x14ac:dyDescent="0.25">
      <c r="A247" s="3" t="s">
        <v>75</v>
      </c>
      <c r="B247" s="3">
        <v>3</v>
      </c>
      <c r="C247" s="3">
        <v>9</v>
      </c>
      <c r="D247" s="3">
        <v>2021</v>
      </c>
      <c r="E247" s="4" t="e">
        <f>'Electricity '!I248+'Electricity '!O248</f>
        <v>#VALUE!</v>
      </c>
      <c r="F247" s="153" t="e">
        <f>('Electricity '!I248*0.55+'Gas Water'!H249*1.88)/(Total!E247)</f>
        <v>#VALUE!</v>
      </c>
      <c r="G247" s="4" t="str">
        <f>'Gas Water'!M249</f>
        <v/>
      </c>
      <c r="H247" s="153">
        <v>1.88</v>
      </c>
      <c r="I247" s="2" t="str">
        <f>'Gas Water'!L249</f>
        <v/>
      </c>
      <c r="J247" s="153">
        <v>11.3</v>
      </c>
      <c r="K247" s="5"/>
      <c r="L247" s="5"/>
    </row>
    <row r="248" spans="1:12" x14ac:dyDescent="0.25">
      <c r="A248" s="3" t="s">
        <v>75</v>
      </c>
      <c r="B248" s="3">
        <v>4</v>
      </c>
      <c r="C248" s="3">
        <v>9</v>
      </c>
      <c r="D248" s="3">
        <v>2021</v>
      </c>
      <c r="E248" s="4" t="e">
        <f>'Electricity '!I249+'Electricity '!O249</f>
        <v>#VALUE!</v>
      </c>
      <c r="F248" s="153" t="e">
        <f>('Electricity '!I249*0.55+'Gas Water'!H250*1.88)/(Total!E248)</f>
        <v>#VALUE!</v>
      </c>
      <c r="G248" s="4" t="str">
        <f>'Gas Water'!M250</f>
        <v/>
      </c>
      <c r="H248" s="153">
        <v>1.88</v>
      </c>
      <c r="I248" s="2" t="str">
        <f>'Gas Water'!L250</f>
        <v/>
      </c>
      <c r="J248" s="153">
        <v>11.3</v>
      </c>
      <c r="K248" s="5"/>
      <c r="L248" s="5"/>
    </row>
    <row r="249" spans="1:12" x14ac:dyDescent="0.25">
      <c r="A249" s="3" t="s">
        <v>75</v>
      </c>
      <c r="B249" s="3">
        <v>5</v>
      </c>
      <c r="C249" s="3">
        <v>9</v>
      </c>
      <c r="D249" s="3">
        <v>2021</v>
      </c>
      <c r="E249" s="4" t="e">
        <f>'Electricity '!I250+'Electricity '!O250</f>
        <v>#VALUE!</v>
      </c>
      <c r="F249" s="153" t="e">
        <f>('Electricity '!I250*0.55+'Gas Water'!H251*1.88)/(Total!E249)</f>
        <v>#VALUE!</v>
      </c>
      <c r="G249" s="4" t="str">
        <f>'Gas Water'!M251</f>
        <v/>
      </c>
      <c r="H249" s="153">
        <v>1.88</v>
      </c>
      <c r="I249" s="2" t="str">
        <f>'Gas Water'!L251</f>
        <v/>
      </c>
      <c r="J249" s="153">
        <v>11.3</v>
      </c>
      <c r="K249" s="5"/>
      <c r="L249" s="5"/>
    </row>
    <row r="250" spans="1:12" x14ac:dyDescent="0.25">
      <c r="A250" s="3" t="s">
        <v>75</v>
      </c>
      <c r="B250" s="3">
        <v>6</v>
      </c>
      <c r="C250" s="3">
        <v>9</v>
      </c>
      <c r="D250" s="3">
        <v>2021</v>
      </c>
      <c r="E250" s="4" t="e">
        <f>'Electricity '!I251+'Electricity '!O251</f>
        <v>#VALUE!</v>
      </c>
      <c r="F250" s="153" t="e">
        <f>('Electricity '!I251*0.55+'Gas Water'!H252*1.88)/(Total!E250)</f>
        <v>#VALUE!</v>
      </c>
      <c r="G250" s="4" t="str">
        <f>'Gas Water'!M252</f>
        <v/>
      </c>
      <c r="H250" s="153">
        <v>1.88</v>
      </c>
      <c r="I250" s="2" t="str">
        <f>'Gas Water'!L252</f>
        <v/>
      </c>
      <c r="J250" s="153">
        <v>11.3</v>
      </c>
      <c r="K250" s="5"/>
      <c r="L250" s="5"/>
    </row>
    <row r="251" spans="1:12" x14ac:dyDescent="0.25">
      <c r="A251" s="3" t="s">
        <v>75</v>
      </c>
      <c r="B251" s="3">
        <v>7</v>
      </c>
      <c r="C251" s="3">
        <v>9</v>
      </c>
      <c r="D251" s="3">
        <v>2021</v>
      </c>
      <c r="E251" s="4" t="e">
        <f>'Electricity '!I252+'Electricity '!O252</f>
        <v>#VALUE!</v>
      </c>
      <c r="F251" s="153" t="e">
        <f>('Electricity '!I252*0.55+'Gas Water'!H253*1.88)/(Total!E251)</f>
        <v>#VALUE!</v>
      </c>
      <c r="G251" s="4" t="str">
        <f>'Gas Water'!M253</f>
        <v/>
      </c>
      <c r="H251" s="153">
        <v>1.88</v>
      </c>
      <c r="I251" s="2" t="str">
        <f>'Gas Water'!L253</f>
        <v/>
      </c>
      <c r="J251" s="153">
        <v>11.3</v>
      </c>
      <c r="K251" s="5"/>
      <c r="L251" s="5"/>
    </row>
    <row r="252" spans="1:12" x14ac:dyDescent="0.25">
      <c r="A252" s="3" t="s">
        <v>75</v>
      </c>
      <c r="B252" s="3">
        <v>8</v>
      </c>
      <c r="C252" s="3">
        <v>9</v>
      </c>
      <c r="D252" s="3">
        <v>2021</v>
      </c>
      <c r="E252" s="4" t="e">
        <f>'Electricity '!I253+'Electricity '!O253</f>
        <v>#VALUE!</v>
      </c>
      <c r="F252" s="153" t="e">
        <f>('Electricity '!I253*0.55+'Gas Water'!H254*1.88)/(Total!E252)</f>
        <v>#VALUE!</v>
      </c>
      <c r="G252" s="4" t="str">
        <f>'Gas Water'!M254</f>
        <v/>
      </c>
      <c r="H252" s="153">
        <v>1.88</v>
      </c>
      <c r="I252" s="2" t="str">
        <f>'Gas Water'!L254</f>
        <v/>
      </c>
      <c r="J252" s="153">
        <v>11.3</v>
      </c>
      <c r="K252" s="5"/>
      <c r="L252" s="5"/>
    </row>
    <row r="253" spans="1:12" x14ac:dyDescent="0.25">
      <c r="A253" s="3" t="s">
        <v>75</v>
      </c>
      <c r="B253" s="3">
        <v>9</v>
      </c>
      <c r="C253" s="3">
        <v>9</v>
      </c>
      <c r="D253" s="3">
        <v>2021</v>
      </c>
      <c r="E253" s="4" t="e">
        <f>'Electricity '!I254+'Electricity '!O254</f>
        <v>#VALUE!</v>
      </c>
      <c r="F253" s="153" t="e">
        <f>('Electricity '!I254*0.55+'Gas Water'!H255*1.88)/(Total!E253)</f>
        <v>#VALUE!</v>
      </c>
      <c r="G253" s="4" t="str">
        <f>'Gas Water'!M255</f>
        <v/>
      </c>
      <c r="H253" s="153">
        <v>1.88</v>
      </c>
      <c r="I253" s="2" t="str">
        <f>'Gas Water'!L255</f>
        <v/>
      </c>
      <c r="J253" s="153">
        <v>11.3</v>
      </c>
      <c r="K253" s="5"/>
      <c r="L253" s="5"/>
    </row>
    <row r="254" spans="1:12" x14ac:dyDescent="0.25">
      <c r="A254" s="3" t="s">
        <v>75</v>
      </c>
      <c r="B254" s="3">
        <v>10</v>
      </c>
      <c r="C254" s="3">
        <v>9</v>
      </c>
      <c r="D254" s="3">
        <v>2021</v>
      </c>
      <c r="E254" s="4" t="e">
        <f>'Electricity '!I255+'Electricity '!O255</f>
        <v>#VALUE!</v>
      </c>
      <c r="F254" s="153" t="e">
        <f>('Electricity '!I255*0.55+'Gas Water'!H256*1.88)/(Total!E254)</f>
        <v>#VALUE!</v>
      </c>
      <c r="G254" s="4" t="str">
        <f>'Gas Water'!M256</f>
        <v/>
      </c>
      <c r="H254" s="153">
        <v>1.88</v>
      </c>
      <c r="I254" s="2" t="str">
        <f>'Gas Water'!L256</f>
        <v/>
      </c>
      <c r="J254" s="153">
        <v>11.3</v>
      </c>
      <c r="K254" s="5"/>
      <c r="L254" s="5"/>
    </row>
    <row r="255" spans="1:12" x14ac:dyDescent="0.25">
      <c r="A255" s="3" t="s">
        <v>75</v>
      </c>
      <c r="B255" s="3">
        <v>11</v>
      </c>
      <c r="C255" s="3">
        <v>9</v>
      </c>
      <c r="D255" s="3">
        <v>2021</v>
      </c>
      <c r="E255" s="4" t="e">
        <f>'Electricity '!I256+'Electricity '!O256</f>
        <v>#VALUE!</v>
      </c>
      <c r="F255" s="153" t="e">
        <f>('Electricity '!I256*0.55+'Gas Water'!H257*1.88)/(Total!E255)</f>
        <v>#VALUE!</v>
      </c>
      <c r="G255" s="4" t="str">
        <f>'Gas Water'!M257</f>
        <v/>
      </c>
      <c r="H255" s="153">
        <v>1.88</v>
      </c>
      <c r="I255" s="2" t="str">
        <f>'Gas Water'!L257</f>
        <v/>
      </c>
      <c r="J255" s="153">
        <v>11.3</v>
      </c>
      <c r="K255" s="5"/>
      <c r="L255" s="5"/>
    </row>
    <row r="256" spans="1:12" x14ac:dyDescent="0.25">
      <c r="A256" s="3" t="s">
        <v>75</v>
      </c>
      <c r="B256" s="3">
        <v>12</v>
      </c>
      <c r="C256" s="3">
        <v>9</v>
      </c>
      <c r="D256" s="3">
        <v>2021</v>
      </c>
      <c r="E256" s="4" t="e">
        <f>'Electricity '!I257+'Electricity '!O257</f>
        <v>#VALUE!</v>
      </c>
      <c r="F256" s="153" t="e">
        <f>('Electricity '!I257*0.55+'Gas Water'!H258*1.88)/(Total!E256)</f>
        <v>#VALUE!</v>
      </c>
      <c r="G256" s="4" t="str">
        <f>'Gas Water'!M258</f>
        <v/>
      </c>
      <c r="H256" s="153">
        <v>1.88</v>
      </c>
      <c r="I256" s="2" t="str">
        <f>'Gas Water'!L258</f>
        <v/>
      </c>
      <c r="J256" s="153">
        <v>11.3</v>
      </c>
      <c r="K256" s="5"/>
      <c r="L256" s="5"/>
    </row>
    <row r="257" spans="1:12" x14ac:dyDescent="0.25">
      <c r="A257" s="3" t="s">
        <v>75</v>
      </c>
      <c r="B257" s="3">
        <v>13</v>
      </c>
      <c r="C257" s="3">
        <v>9</v>
      </c>
      <c r="D257" s="3">
        <v>2021</v>
      </c>
      <c r="E257" s="4" t="e">
        <f>'Electricity '!I258+'Electricity '!O258</f>
        <v>#VALUE!</v>
      </c>
      <c r="F257" s="153" t="e">
        <f>('Electricity '!I258*0.55+'Gas Water'!H259*1.88)/(Total!E257)</f>
        <v>#VALUE!</v>
      </c>
      <c r="G257" s="4" t="str">
        <f>'Gas Water'!M259</f>
        <v/>
      </c>
      <c r="H257" s="153">
        <v>1.88</v>
      </c>
      <c r="I257" s="2" t="str">
        <f>'Gas Water'!L259</f>
        <v/>
      </c>
      <c r="J257" s="153">
        <v>11.3</v>
      </c>
      <c r="K257" s="5"/>
      <c r="L257" s="5"/>
    </row>
    <row r="258" spans="1:12" x14ac:dyDescent="0.25">
      <c r="A258" s="3" t="s">
        <v>75</v>
      </c>
      <c r="B258" s="3">
        <v>14</v>
      </c>
      <c r="C258" s="3">
        <v>9</v>
      </c>
      <c r="D258" s="3">
        <v>2021</v>
      </c>
      <c r="E258" s="4" t="e">
        <f>'Electricity '!I259+'Electricity '!O259</f>
        <v>#VALUE!</v>
      </c>
      <c r="F258" s="153" t="e">
        <f>('Electricity '!I259*0.55+'Gas Water'!H260*1.88)/(Total!E258)</f>
        <v>#VALUE!</v>
      </c>
      <c r="G258" s="4" t="str">
        <f>'Gas Water'!M260</f>
        <v/>
      </c>
      <c r="H258" s="153">
        <v>1.88</v>
      </c>
      <c r="I258" s="2" t="str">
        <f>'Gas Water'!L260</f>
        <v/>
      </c>
      <c r="J258" s="153">
        <v>11.3</v>
      </c>
      <c r="K258" s="5"/>
      <c r="L258" s="5"/>
    </row>
    <row r="259" spans="1:12" x14ac:dyDescent="0.25">
      <c r="A259" s="3" t="s">
        <v>75</v>
      </c>
      <c r="B259" s="3">
        <v>15</v>
      </c>
      <c r="C259" s="3">
        <v>9</v>
      </c>
      <c r="D259" s="3">
        <v>2021</v>
      </c>
      <c r="E259" s="4" t="e">
        <f>'Electricity '!I260+'Electricity '!O260</f>
        <v>#VALUE!</v>
      </c>
      <c r="F259" s="153" t="e">
        <f>('Electricity '!I260*0.55+'Gas Water'!H261*1.88)/(Total!E259)</f>
        <v>#VALUE!</v>
      </c>
      <c r="G259" s="4" t="str">
        <f>'Gas Water'!M261</f>
        <v/>
      </c>
      <c r="H259" s="153">
        <v>1.88</v>
      </c>
      <c r="I259" s="2" t="str">
        <f>'Gas Water'!L261</f>
        <v/>
      </c>
      <c r="J259" s="153">
        <v>11.3</v>
      </c>
      <c r="K259" s="5"/>
      <c r="L259" s="5"/>
    </row>
    <row r="260" spans="1:12" x14ac:dyDescent="0.25">
      <c r="A260" s="3" t="s">
        <v>75</v>
      </c>
      <c r="B260" s="3">
        <v>16</v>
      </c>
      <c r="C260" s="3">
        <v>9</v>
      </c>
      <c r="D260" s="3">
        <v>2021</v>
      </c>
      <c r="E260" s="4" t="e">
        <f>'Electricity '!I261+'Electricity '!O261</f>
        <v>#VALUE!</v>
      </c>
      <c r="F260" s="153" t="e">
        <f>('Electricity '!I261*0.55+'Gas Water'!H262*1.88)/(Total!E260)</f>
        <v>#VALUE!</v>
      </c>
      <c r="G260" s="4" t="str">
        <f>'Gas Water'!M262</f>
        <v/>
      </c>
      <c r="H260" s="153">
        <v>1.88</v>
      </c>
      <c r="I260" s="2" t="str">
        <f>'Gas Water'!L262</f>
        <v/>
      </c>
      <c r="J260" s="153">
        <v>11.3</v>
      </c>
      <c r="K260" s="5"/>
      <c r="L260" s="5"/>
    </row>
    <row r="261" spans="1:12" x14ac:dyDescent="0.25">
      <c r="A261" s="3" t="s">
        <v>75</v>
      </c>
      <c r="B261" s="3">
        <v>17</v>
      </c>
      <c r="C261" s="3">
        <v>9</v>
      </c>
      <c r="D261" s="3">
        <v>2021</v>
      </c>
      <c r="E261" s="4" t="e">
        <f>'Electricity '!I262+'Electricity '!O262</f>
        <v>#VALUE!</v>
      </c>
      <c r="F261" s="153" t="e">
        <f>('Electricity '!I262*0.55+'Gas Water'!H263*1.88)/(Total!E261)</f>
        <v>#VALUE!</v>
      </c>
      <c r="G261" s="4" t="str">
        <f>'Gas Water'!M263</f>
        <v/>
      </c>
      <c r="H261" s="153">
        <v>1.88</v>
      </c>
      <c r="I261" s="2" t="str">
        <f>'Gas Water'!L263</f>
        <v/>
      </c>
      <c r="J261" s="153">
        <v>11.3</v>
      </c>
      <c r="K261" s="5"/>
      <c r="L261" s="5"/>
    </row>
    <row r="262" spans="1:12" x14ac:dyDescent="0.25">
      <c r="A262" s="3" t="s">
        <v>75</v>
      </c>
      <c r="B262" s="3">
        <v>18</v>
      </c>
      <c r="C262" s="3">
        <v>9</v>
      </c>
      <c r="D262" s="3">
        <v>2021</v>
      </c>
      <c r="E262" s="4" t="e">
        <f>'Electricity '!I263+'Electricity '!O263</f>
        <v>#VALUE!</v>
      </c>
      <c r="F262" s="153" t="e">
        <f>('Electricity '!I263*0.55+'Gas Water'!H264*1.88)/(Total!E262)</f>
        <v>#VALUE!</v>
      </c>
      <c r="G262" s="4" t="str">
        <f>'Gas Water'!M264</f>
        <v/>
      </c>
      <c r="H262" s="153">
        <v>1.88</v>
      </c>
      <c r="I262" s="2" t="str">
        <f>'Gas Water'!L264</f>
        <v/>
      </c>
      <c r="J262" s="153">
        <v>11.3</v>
      </c>
      <c r="K262" s="5"/>
      <c r="L262" s="5"/>
    </row>
    <row r="263" spans="1:12" x14ac:dyDescent="0.25">
      <c r="A263" s="3" t="s">
        <v>75</v>
      </c>
      <c r="B263" s="3">
        <v>19</v>
      </c>
      <c r="C263" s="3">
        <v>9</v>
      </c>
      <c r="D263" s="3">
        <v>2021</v>
      </c>
      <c r="E263" s="4" t="e">
        <f>'Electricity '!I264+'Electricity '!O264</f>
        <v>#VALUE!</v>
      </c>
      <c r="F263" s="153" t="e">
        <f>('Electricity '!I264*0.55+'Gas Water'!H265*1.88)/(Total!E263)</f>
        <v>#VALUE!</v>
      </c>
      <c r="G263" s="4" t="str">
        <f>'Gas Water'!M265</f>
        <v/>
      </c>
      <c r="H263" s="153">
        <v>1.88</v>
      </c>
      <c r="I263" s="2" t="str">
        <f>'Gas Water'!L265</f>
        <v/>
      </c>
      <c r="J263" s="153">
        <v>11.3</v>
      </c>
      <c r="K263" s="5"/>
      <c r="L263" s="5"/>
    </row>
    <row r="264" spans="1:12" x14ac:dyDescent="0.25">
      <c r="A264" s="3" t="s">
        <v>75</v>
      </c>
      <c r="B264" s="3">
        <v>20</v>
      </c>
      <c r="C264" s="3">
        <v>9</v>
      </c>
      <c r="D264" s="3">
        <v>2021</v>
      </c>
      <c r="E264" s="4" t="e">
        <f>'Electricity '!I265+'Electricity '!O265</f>
        <v>#VALUE!</v>
      </c>
      <c r="F264" s="153" t="e">
        <f>('Electricity '!I265*0.55+'Gas Water'!H266*1.88)/(Total!E264)</f>
        <v>#VALUE!</v>
      </c>
      <c r="G264" s="4" t="str">
        <f>'Gas Water'!M266</f>
        <v/>
      </c>
      <c r="H264" s="153">
        <v>1.88</v>
      </c>
      <c r="I264" s="2" t="str">
        <f>'Gas Water'!L266</f>
        <v/>
      </c>
      <c r="J264" s="153">
        <v>11.3</v>
      </c>
      <c r="K264" s="5"/>
      <c r="L264" s="5"/>
    </row>
    <row r="265" spans="1:12" x14ac:dyDescent="0.25">
      <c r="A265" s="3" t="s">
        <v>75</v>
      </c>
      <c r="B265" s="3">
        <v>21</v>
      </c>
      <c r="C265" s="3">
        <v>9</v>
      </c>
      <c r="D265" s="3">
        <v>2021</v>
      </c>
      <c r="E265" s="4" t="e">
        <f>'Electricity '!I266+'Electricity '!O266</f>
        <v>#VALUE!</v>
      </c>
      <c r="F265" s="153" t="e">
        <f>('Electricity '!I266*0.55+'Gas Water'!H267*1.88)/(Total!E265)</f>
        <v>#VALUE!</v>
      </c>
      <c r="G265" s="4" t="str">
        <f>'Gas Water'!M267</f>
        <v/>
      </c>
      <c r="H265" s="153">
        <v>1.88</v>
      </c>
      <c r="I265" s="2" t="str">
        <f>'Gas Water'!L267</f>
        <v/>
      </c>
      <c r="J265" s="153">
        <v>11.3</v>
      </c>
      <c r="K265" s="5"/>
      <c r="L265" s="5"/>
    </row>
    <row r="266" spans="1:12" x14ac:dyDescent="0.25">
      <c r="A266" s="3" t="s">
        <v>75</v>
      </c>
      <c r="B266" s="3">
        <v>22</v>
      </c>
      <c r="C266" s="3">
        <v>9</v>
      </c>
      <c r="D266" s="3">
        <v>2021</v>
      </c>
      <c r="E266" s="4" t="e">
        <f>'Electricity '!I267+'Electricity '!O267</f>
        <v>#VALUE!</v>
      </c>
      <c r="F266" s="153" t="e">
        <f>('Electricity '!I267*0.55+'Gas Water'!H268*1.88)/(Total!E266)</f>
        <v>#VALUE!</v>
      </c>
      <c r="G266" s="4" t="str">
        <f>'Gas Water'!M268</f>
        <v/>
      </c>
      <c r="H266" s="153">
        <v>1.88</v>
      </c>
      <c r="I266" s="2" t="str">
        <f>'Gas Water'!L268</f>
        <v/>
      </c>
      <c r="J266" s="153">
        <v>11.3</v>
      </c>
      <c r="K266" s="5"/>
      <c r="L266" s="5"/>
    </row>
    <row r="267" spans="1:12" x14ac:dyDescent="0.25">
      <c r="A267" s="3" t="s">
        <v>75</v>
      </c>
      <c r="B267" s="3">
        <v>23</v>
      </c>
      <c r="C267" s="3">
        <v>9</v>
      </c>
      <c r="D267" s="3">
        <v>2021</v>
      </c>
      <c r="E267" s="4" t="e">
        <f>'Electricity '!I268+'Electricity '!O268</f>
        <v>#VALUE!</v>
      </c>
      <c r="F267" s="153" t="e">
        <f>('Electricity '!I268*0.55+'Gas Water'!H269*1.88)/(Total!E267)</f>
        <v>#VALUE!</v>
      </c>
      <c r="G267" s="4" t="str">
        <f>'Gas Water'!M269</f>
        <v/>
      </c>
      <c r="H267" s="153">
        <v>1.88</v>
      </c>
      <c r="I267" s="2" t="str">
        <f>'Gas Water'!L269</f>
        <v/>
      </c>
      <c r="J267" s="153">
        <v>11.3</v>
      </c>
      <c r="K267" s="5"/>
      <c r="L267" s="5"/>
    </row>
    <row r="268" spans="1:12" x14ac:dyDescent="0.25">
      <c r="A268" s="3" t="s">
        <v>75</v>
      </c>
      <c r="B268" s="3">
        <v>24</v>
      </c>
      <c r="C268" s="3">
        <v>9</v>
      </c>
      <c r="D268" s="3">
        <v>2021</v>
      </c>
      <c r="E268" s="4" t="e">
        <f>'Electricity '!I269+'Electricity '!O269</f>
        <v>#VALUE!</v>
      </c>
      <c r="F268" s="153" t="e">
        <f>('Electricity '!I269*0.55+'Gas Water'!H270*1.88)/(Total!E268)</f>
        <v>#VALUE!</v>
      </c>
      <c r="G268" s="4" t="str">
        <f>'Gas Water'!M270</f>
        <v/>
      </c>
      <c r="H268" s="153">
        <v>1.88</v>
      </c>
      <c r="I268" s="2" t="str">
        <f>'Gas Water'!L270</f>
        <v/>
      </c>
      <c r="J268" s="153">
        <v>11.3</v>
      </c>
      <c r="K268" s="5"/>
      <c r="L268" s="5"/>
    </row>
    <row r="269" spans="1:12" x14ac:dyDescent="0.25">
      <c r="A269" s="3" t="s">
        <v>75</v>
      </c>
      <c r="B269" s="3">
        <v>25</v>
      </c>
      <c r="C269" s="3">
        <v>9</v>
      </c>
      <c r="D269" s="3">
        <v>2021</v>
      </c>
      <c r="E269" s="4" t="e">
        <f>'Electricity '!I270+'Electricity '!O270</f>
        <v>#VALUE!</v>
      </c>
      <c r="F269" s="153" t="e">
        <f>('Electricity '!I270*0.55+'Gas Water'!H271*1.88)/(Total!E269)</f>
        <v>#VALUE!</v>
      </c>
      <c r="G269" s="4" t="str">
        <f>'Gas Water'!M271</f>
        <v/>
      </c>
      <c r="H269" s="153">
        <v>1.88</v>
      </c>
      <c r="I269" s="2" t="str">
        <f>'Gas Water'!L271</f>
        <v/>
      </c>
      <c r="J269" s="153">
        <v>11.3</v>
      </c>
      <c r="K269" s="5"/>
      <c r="L269" s="5"/>
    </row>
    <row r="270" spans="1:12" x14ac:dyDescent="0.25">
      <c r="A270" s="3" t="s">
        <v>75</v>
      </c>
      <c r="B270" s="3">
        <v>26</v>
      </c>
      <c r="C270" s="3">
        <v>9</v>
      </c>
      <c r="D270" s="3">
        <v>2021</v>
      </c>
      <c r="E270" s="4" t="e">
        <f>'Electricity '!I271+'Electricity '!O271</f>
        <v>#VALUE!</v>
      </c>
      <c r="F270" s="153" t="e">
        <f>('Electricity '!I271*0.55+'Gas Water'!H272*1.88)/(Total!E270)</f>
        <v>#VALUE!</v>
      </c>
      <c r="G270" s="4" t="str">
        <f>'Gas Water'!M272</f>
        <v/>
      </c>
      <c r="H270" s="153">
        <v>1.88</v>
      </c>
      <c r="I270" s="2" t="str">
        <f>'Gas Water'!L272</f>
        <v/>
      </c>
      <c r="J270" s="153">
        <v>11.3</v>
      </c>
      <c r="K270" s="5"/>
      <c r="L270" s="5"/>
    </row>
    <row r="271" spans="1:12" x14ac:dyDescent="0.25">
      <c r="A271" s="3" t="s">
        <v>75</v>
      </c>
      <c r="B271" s="3">
        <v>27</v>
      </c>
      <c r="C271" s="3">
        <v>9</v>
      </c>
      <c r="D271" s="3">
        <v>2021</v>
      </c>
      <c r="E271" s="4" t="e">
        <f>'Electricity '!I272+'Electricity '!O272</f>
        <v>#VALUE!</v>
      </c>
      <c r="F271" s="153" t="e">
        <f>('Electricity '!I272*0.55+'Gas Water'!H273*1.88)/(Total!E271)</f>
        <v>#VALUE!</v>
      </c>
      <c r="G271" s="4" t="str">
        <f>'Gas Water'!M273</f>
        <v/>
      </c>
      <c r="H271" s="153">
        <v>1.88</v>
      </c>
      <c r="I271" s="2" t="str">
        <f>'Gas Water'!L273</f>
        <v/>
      </c>
      <c r="J271" s="153">
        <v>11.3</v>
      </c>
      <c r="K271" s="5"/>
      <c r="L271" s="5"/>
    </row>
    <row r="272" spans="1:12" x14ac:dyDescent="0.25">
      <c r="A272" s="3" t="s">
        <v>75</v>
      </c>
      <c r="B272" s="3">
        <v>28</v>
      </c>
      <c r="C272" s="3">
        <v>9</v>
      </c>
      <c r="D272" s="3">
        <v>2021</v>
      </c>
      <c r="E272" s="4" t="e">
        <f>'Electricity '!I273+'Electricity '!O273</f>
        <v>#VALUE!</v>
      </c>
      <c r="F272" s="153" t="e">
        <f>('Electricity '!I273*0.55+'Gas Water'!H274*1.88)/(Total!E272)</f>
        <v>#VALUE!</v>
      </c>
      <c r="G272" s="4" t="str">
        <f>'Gas Water'!M274</f>
        <v/>
      </c>
      <c r="H272" s="153">
        <v>1.88</v>
      </c>
      <c r="I272" s="2" t="str">
        <f>'Gas Water'!L274</f>
        <v/>
      </c>
      <c r="J272" s="153">
        <v>11.3</v>
      </c>
      <c r="K272" s="5"/>
      <c r="L272" s="5"/>
    </row>
    <row r="273" spans="1:12" x14ac:dyDescent="0.25">
      <c r="A273" s="3" t="s">
        <v>75</v>
      </c>
      <c r="B273" s="3">
        <v>29</v>
      </c>
      <c r="C273" s="3">
        <v>9</v>
      </c>
      <c r="D273" s="3">
        <v>2021</v>
      </c>
      <c r="E273" s="4" t="e">
        <f>'Electricity '!I274+'Electricity '!O274</f>
        <v>#VALUE!</v>
      </c>
      <c r="F273" s="153" t="e">
        <f>('Electricity '!I274*0.55+'Gas Water'!H275*1.88)/(Total!E273)</f>
        <v>#VALUE!</v>
      </c>
      <c r="G273" s="4" t="str">
        <f>'Gas Water'!M275</f>
        <v/>
      </c>
      <c r="H273" s="153">
        <v>1.88</v>
      </c>
      <c r="I273" s="2" t="str">
        <f>'Gas Water'!L275</f>
        <v/>
      </c>
      <c r="J273" s="153">
        <v>11.3</v>
      </c>
      <c r="K273" s="5"/>
      <c r="L273" s="5"/>
    </row>
    <row r="274" spans="1:12" x14ac:dyDescent="0.25">
      <c r="A274" s="3" t="s">
        <v>75</v>
      </c>
      <c r="B274" s="3">
        <v>30</v>
      </c>
      <c r="C274" s="3">
        <v>9</v>
      </c>
      <c r="D274" s="3">
        <v>2021</v>
      </c>
      <c r="E274" s="4" t="e">
        <f>'Electricity '!I275+'Electricity '!O275</f>
        <v>#VALUE!</v>
      </c>
      <c r="F274" s="153" t="e">
        <f>('Electricity '!I275*0.55+'Gas Water'!H276*1.88)/(Total!E274)</f>
        <v>#VALUE!</v>
      </c>
      <c r="G274" s="4" t="str">
        <f>'Gas Water'!M276</f>
        <v/>
      </c>
      <c r="H274" s="153">
        <v>1.88</v>
      </c>
      <c r="I274" s="2" t="str">
        <f>'Gas Water'!L276</f>
        <v/>
      </c>
      <c r="J274" s="153">
        <v>11.3</v>
      </c>
      <c r="K274" s="5"/>
      <c r="L274" s="5"/>
    </row>
    <row r="275" spans="1:12" x14ac:dyDescent="0.25">
      <c r="A275" s="3" t="s">
        <v>75</v>
      </c>
      <c r="B275" s="3">
        <v>1</v>
      </c>
      <c r="C275" s="3">
        <v>10</v>
      </c>
      <c r="D275" s="3">
        <v>2021</v>
      </c>
      <c r="E275" s="4" t="e">
        <f>'Electricity '!I276+'Electricity '!O276</f>
        <v>#VALUE!</v>
      </c>
      <c r="F275" s="153" t="e">
        <f>('Electricity '!I276*0.55+'Gas Water'!H277*1.88)/(Total!E275)</f>
        <v>#VALUE!</v>
      </c>
      <c r="G275" s="4" t="str">
        <f>'Gas Water'!M277</f>
        <v/>
      </c>
      <c r="H275" s="153">
        <v>1.88</v>
      </c>
      <c r="I275" s="2" t="str">
        <f>'Gas Water'!L277</f>
        <v/>
      </c>
      <c r="J275" s="153">
        <v>11.3</v>
      </c>
      <c r="K275" s="5"/>
      <c r="L275" s="5"/>
    </row>
    <row r="276" spans="1:12" x14ac:dyDescent="0.25">
      <c r="A276" s="3" t="s">
        <v>75</v>
      </c>
      <c r="B276" s="3">
        <v>2</v>
      </c>
      <c r="C276" s="3">
        <v>10</v>
      </c>
      <c r="D276" s="3">
        <v>2021</v>
      </c>
      <c r="E276" s="4" t="e">
        <f>'Electricity '!I277+'Electricity '!O277</f>
        <v>#VALUE!</v>
      </c>
      <c r="F276" s="153" t="e">
        <f>('Electricity '!I277*0.55+'Gas Water'!H278*1.88)/(Total!E276)</f>
        <v>#VALUE!</v>
      </c>
      <c r="G276" s="4" t="str">
        <f>'Gas Water'!M278</f>
        <v/>
      </c>
      <c r="H276" s="153">
        <v>1.88</v>
      </c>
      <c r="I276" s="2" t="str">
        <f>'Gas Water'!L278</f>
        <v/>
      </c>
      <c r="J276" s="153">
        <v>11.3</v>
      </c>
      <c r="K276" s="5"/>
      <c r="L276" s="5"/>
    </row>
    <row r="277" spans="1:12" x14ac:dyDescent="0.25">
      <c r="A277" s="3" t="s">
        <v>75</v>
      </c>
      <c r="B277" s="3">
        <v>3</v>
      </c>
      <c r="C277" s="3">
        <v>10</v>
      </c>
      <c r="D277" s="3">
        <v>2021</v>
      </c>
      <c r="E277" s="4" t="e">
        <f>'Electricity '!I278+'Electricity '!O278</f>
        <v>#VALUE!</v>
      </c>
      <c r="F277" s="153" t="e">
        <f>('Electricity '!I278*0.55+'Gas Water'!H279*1.88)/(Total!E277)</f>
        <v>#VALUE!</v>
      </c>
      <c r="G277" s="4" t="str">
        <f>'Gas Water'!M279</f>
        <v/>
      </c>
      <c r="H277" s="153">
        <v>1.88</v>
      </c>
      <c r="I277" s="2" t="str">
        <f>'Gas Water'!L279</f>
        <v/>
      </c>
      <c r="J277" s="153">
        <v>11.3</v>
      </c>
      <c r="K277" s="5"/>
      <c r="L277" s="5"/>
    </row>
    <row r="278" spans="1:12" x14ac:dyDescent="0.25">
      <c r="A278" s="3" t="s">
        <v>75</v>
      </c>
      <c r="B278" s="3">
        <v>4</v>
      </c>
      <c r="C278" s="3">
        <v>10</v>
      </c>
      <c r="D278" s="3">
        <v>2021</v>
      </c>
      <c r="E278" s="4" t="e">
        <f>'Electricity '!I279+'Electricity '!O279</f>
        <v>#VALUE!</v>
      </c>
      <c r="F278" s="153" t="e">
        <f>('Electricity '!I279*0.55+'Gas Water'!H280*1.88)/(Total!E278)</f>
        <v>#VALUE!</v>
      </c>
      <c r="G278" s="4" t="str">
        <f>'Gas Water'!M280</f>
        <v/>
      </c>
      <c r="H278" s="153">
        <v>1.88</v>
      </c>
      <c r="I278" s="2" t="str">
        <f>'Gas Water'!L280</f>
        <v/>
      </c>
      <c r="J278" s="153">
        <v>11.3</v>
      </c>
      <c r="K278" s="5"/>
      <c r="L278" s="5"/>
    </row>
    <row r="279" spans="1:12" x14ac:dyDescent="0.25">
      <c r="A279" s="3" t="s">
        <v>75</v>
      </c>
      <c r="B279" s="3">
        <v>5</v>
      </c>
      <c r="C279" s="3">
        <v>10</v>
      </c>
      <c r="D279" s="3">
        <v>2021</v>
      </c>
      <c r="E279" s="4" t="e">
        <f>'Electricity '!I280+'Electricity '!O280</f>
        <v>#VALUE!</v>
      </c>
      <c r="F279" s="153" t="e">
        <f>('Electricity '!I280*0.55+'Gas Water'!H281*1.88)/(Total!E279)</f>
        <v>#VALUE!</v>
      </c>
      <c r="G279" s="4" t="str">
        <f>'Gas Water'!M281</f>
        <v/>
      </c>
      <c r="H279" s="153">
        <v>1.88</v>
      </c>
      <c r="I279" s="2" t="str">
        <f>'Gas Water'!L281</f>
        <v/>
      </c>
      <c r="J279" s="153">
        <v>11.3</v>
      </c>
      <c r="K279" s="5"/>
      <c r="L279" s="5"/>
    </row>
    <row r="280" spans="1:12" x14ac:dyDescent="0.25">
      <c r="A280" s="3" t="s">
        <v>75</v>
      </c>
      <c r="B280" s="3">
        <v>6</v>
      </c>
      <c r="C280" s="3">
        <v>10</v>
      </c>
      <c r="D280" s="3">
        <v>2021</v>
      </c>
      <c r="E280" s="4" t="e">
        <f>'Electricity '!I281+'Electricity '!O281</f>
        <v>#VALUE!</v>
      </c>
      <c r="F280" s="153" t="e">
        <f>('Electricity '!I281*0.55+'Gas Water'!H282*1.88)/(Total!E280)</f>
        <v>#VALUE!</v>
      </c>
      <c r="G280" s="4" t="str">
        <f>'Gas Water'!M282</f>
        <v/>
      </c>
      <c r="H280" s="153">
        <v>1.88</v>
      </c>
      <c r="I280" s="2" t="str">
        <f>'Gas Water'!L282</f>
        <v/>
      </c>
      <c r="J280" s="153">
        <v>11.3</v>
      </c>
      <c r="K280" s="5"/>
      <c r="L280" s="5"/>
    </row>
    <row r="281" spans="1:12" x14ac:dyDescent="0.25">
      <c r="A281" s="3" t="s">
        <v>75</v>
      </c>
      <c r="B281" s="3">
        <v>7</v>
      </c>
      <c r="C281" s="3">
        <v>10</v>
      </c>
      <c r="D281" s="3">
        <v>2021</v>
      </c>
      <c r="E281" s="4" t="e">
        <f>'Electricity '!I282+'Electricity '!O282</f>
        <v>#VALUE!</v>
      </c>
      <c r="F281" s="153" t="e">
        <f>('Electricity '!I282*0.55+'Gas Water'!H283*1.88)/(Total!E281)</f>
        <v>#VALUE!</v>
      </c>
      <c r="G281" s="4" t="str">
        <f>'Gas Water'!M283</f>
        <v/>
      </c>
      <c r="H281" s="153">
        <v>1.88</v>
      </c>
      <c r="I281" s="2" t="str">
        <f>'Gas Water'!L283</f>
        <v/>
      </c>
      <c r="J281" s="153">
        <v>11.3</v>
      </c>
      <c r="K281" s="5"/>
      <c r="L281" s="5"/>
    </row>
    <row r="282" spans="1:12" x14ac:dyDescent="0.25">
      <c r="A282" s="3" t="s">
        <v>75</v>
      </c>
      <c r="B282" s="3">
        <v>8</v>
      </c>
      <c r="C282" s="3">
        <v>10</v>
      </c>
      <c r="D282" s="3">
        <v>2021</v>
      </c>
      <c r="E282" s="4" t="e">
        <f>'Electricity '!I283+'Electricity '!O283</f>
        <v>#VALUE!</v>
      </c>
      <c r="F282" s="153" t="e">
        <f>('Electricity '!I283*0.55+'Gas Water'!H284*1.88)/(Total!E282)</f>
        <v>#VALUE!</v>
      </c>
      <c r="G282" s="4" t="str">
        <f>'Gas Water'!M284</f>
        <v/>
      </c>
      <c r="H282" s="153">
        <v>1.88</v>
      </c>
      <c r="I282" s="2" t="str">
        <f>'Gas Water'!L284</f>
        <v/>
      </c>
      <c r="J282" s="153">
        <v>11.3</v>
      </c>
      <c r="K282" s="5"/>
      <c r="L282" s="5"/>
    </row>
    <row r="283" spans="1:12" x14ac:dyDescent="0.25">
      <c r="A283" s="3" t="s">
        <v>75</v>
      </c>
      <c r="B283" s="3">
        <v>9</v>
      </c>
      <c r="C283" s="3">
        <v>10</v>
      </c>
      <c r="D283" s="3">
        <v>2021</v>
      </c>
      <c r="E283" s="4" t="e">
        <f>'Electricity '!I284+'Electricity '!O284</f>
        <v>#VALUE!</v>
      </c>
      <c r="F283" s="153" t="e">
        <f>('Electricity '!I284*0.55+'Gas Water'!H285*1.88)/(Total!E283)</f>
        <v>#VALUE!</v>
      </c>
      <c r="G283" s="4" t="str">
        <f>'Gas Water'!M285</f>
        <v/>
      </c>
      <c r="H283" s="153">
        <v>1.88</v>
      </c>
      <c r="I283" s="2" t="str">
        <f>'Gas Water'!L285</f>
        <v/>
      </c>
      <c r="J283" s="153">
        <v>11.3</v>
      </c>
      <c r="K283" s="5"/>
      <c r="L283" s="5"/>
    </row>
    <row r="284" spans="1:12" x14ac:dyDescent="0.25">
      <c r="A284" s="3" t="s">
        <v>75</v>
      </c>
      <c r="B284" s="3">
        <v>10</v>
      </c>
      <c r="C284" s="3">
        <v>10</v>
      </c>
      <c r="D284" s="3">
        <v>2021</v>
      </c>
      <c r="E284" s="4" t="e">
        <f>'Electricity '!I285+'Electricity '!O285</f>
        <v>#VALUE!</v>
      </c>
      <c r="F284" s="153" t="e">
        <f>('Electricity '!I285*0.55+'Gas Water'!H286*1.88)/(Total!E284)</f>
        <v>#VALUE!</v>
      </c>
      <c r="G284" s="4" t="str">
        <f>'Gas Water'!M286</f>
        <v/>
      </c>
      <c r="H284" s="153">
        <v>1.88</v>
      </c>
      <c r="I284" s="2" t="str">
        <f>'Gas Water'!L286</f>
        <v/>
      </c>
      <c r="J284" s="153">
        <v>11.3</v>
      </c>
      <c r="K284" s="5"/>
      <c r="L284" s="5"/>
    </row>
    <row r="285" spans="1:12" x14ac:dyDescent="0.25">
      <c r="A285" s="3" t="s">
        <v>75</v>
      </c>
      <c r="B285" s="3">
        <v>11</v>
      </c>
      <c r="C285" s="3">
        <v>10</v>
      </c>
      <c r="D285" s="3">
        <v>2021</v>
      </c>
      <c r="E285" s="4" t="e">
        <f>'Electricity '!I286+'Electricity '!O286</f>
        <v>#VALUE!</v>
      </c>
      <c r="F285" s="153" t="e">
        <f>('Electricity '!I286*0.55+'Gas Water'!H287*1.88)/(Total!E285)</f>
        <v>#VALUE!</v>
      </c>
      <c r="G285" s="4" t="str">
        <f>'Gas Water'!M287</f>
        <v/>
      </c>
      <c r="H285" s="153">
        <v>1.88</v>
      </c>
      <c r="I285" s="2" t="str">
        <f>'Gas Water'!L287</f>
        <v/>
      </c>
      <c r="J285" s="153">
        <v>11.3</v>
      </c>
      <c r="K285" s="5"/>
      <c r="L285" s="5"/>
    </row>
    <row r="286" spans="1:12" x14ac:dyDescent="0.25">
      <c r="A286" s="3" t="s">
        <v>75</v>
      </c>
      <c r="B286" s="3">
        <v>12</v>
      </c>
      <c r="C286" s="3">
        <v>10</v>
      </c>
      <c r="D286" s="3">
        <v>2021</v>
      </c>
      <c r="E286" s="4" t="e">
        <f>'Electricity '!I287+'Electricity '!O287</f>
        <v>#VALUE!</v>
      </c>
      <c r="F286" s="153" t="e">
        <f>('Electricity '!I287*0.55+'Gas Water'!H288*1.88)/(Total!E286)</f>
        <v>#VALUE!</v>
      </c>
      <c r="G286" s="4" t="str">
        <f>'Gas Water'!M288</f>
        <v/>
      </c>
      <c r="H286" s="153">
        <v>1.88</v>
      </c>
      <c r="I286" s="2" t="str">
        <f>'Gas Water'!L288</f>
        <v/>
      </c>
      <c r="J286" s="153">
        <v>11.3</v>
      </c>
      <c r="K286" s="5"/>
      <c r="L286" s="5"/>
    </row>
    <row r="287" spans="1:12" x14ac:dyDescent="0.25">
      <c r="A287" s="3" t="s">
        <v>75</v>
      </c>
      <c r="B287" s="3">
        <v>13</v>
      </c>
      <c r="C287" s="3">
        <v>10</v>
      </c>
      <c r="D287" s="3">
        <v>2021</v>
      </c>
      <c r="E287" s="4" t="e">
        <f>'Electricity '!I288+'Electricity '!O288</f>
        <v>#VALUE!</v>
      </c>
      <c r="F287" s="153" t="e">
        <f>('Electricity '!I288*0.55+'Gas Water'!H289*1.88)/(Total!E287)</f>
        <v>#VALUE!</v>
      </c>
      <c r="G287" s="4" t="str">
        <f>'Gas Water'!M289</f>
        <v/>
      </c>
      <c r="H287" s="153">
        <v>1.88</v>
      </c>
      <c r="I287" s="2" t="str">
        <f>'Gas Water'!L289</f>
        <v/>
      </c>
      <c r="J287" s="153">
        <v>11.3</v>
      </c>
      <c r="K287" s="5"/>
      <c r="L287" s="5"/>
    </row>
    <row r="288" spans="1:12" x14ac:dyDescent="0.25">
      <c r="A288" s="3" t="s">
        <v>75</v>
      </c>
      <c r="B288" s="3">
        <v>14</v>
      </c>
      <c r="C288" s="3">
        <v>10</v>
      </c>
      <c r="D288" s="3">
        <v>2021</v>
      </c>
      <c r="E288" s="4" t="e">
        <f>'Electricity '!I289+'Electricity '!O289</f>
        <v>#VALUE!</v>
      </c>
      <c r="F288" s="153" t="e">
        <f>('Electricity '!I289*0.55+'Gas Water'!H290*1.88)/(Total!E288)</f>
        <v>#VALUE!</v>
      </c>
      <c r="G288" s="4" t="str">
        <f>'Gas Water'!M290</f>
        <v/>
      </c>
      <c r="H288" s="153">
        <v>1.88</v>
      </c>
      <c r="I288" s="2" t="str">
        <f>'Gas Water'!L290</f>
        <v/>
      </c>
      <c r="J288" s="153">
        <v>11.3</v>
      </c>
      <c r="K288" s="5"/>
      <c r="L288" s="5"/>
    </row>
    <row r="289" spans="1:12" x14ac:dyDescent="0.25">
      <c r="A289" s="3" t="s">
        <v>75</v>
      </c>
      <c r="B289" s="3">
        <v>15</v>
      </c>
      <c r="C289" s="3">
        <v>10</v>
      </c>
      <c r="D289" s="3">
        <v>2021</v>
      </c>
      <c r="E289" s="4" t="e">
        <f>'Electricity '!I290+'Electricity '!O290</f>
        <v>#VALUE!</v>
      </c>
      <c r="F289" s="153" t="e">
        <f>('Electricity '!I290*0.55+'Gas Water'!H291*1.88)/(Total!E289)</f>
        <v>#VALUE!</v>
      </c>
      <c r="G289" s="4" t="str">
        <f>'Gas Water'!M291</f>
        <v/>
      </c>
      <c r="H289" s="153">
        <v>1.88</v>
      </c>
      <c r="I289" s="2" t="str">
        <f>'Gas Water'!L291</f>
        <v/>
      </c>
      <c r="J289" s="153">
        <v>11.3</v>
      </c>
      <c r="K289" s="5"/>
      <c r="L289" s="5"/>
    </row>
    <row r="290" spans="1:12" x14ac:dyDescent="0.25">
      <c r="A290" s="3" t="s">
        <v>75</v>
      </c>
      <c r="B290" s="3">
        <v>16</v>
      </c>
      <c r="C290" s="3">
        <v>10</v>
      </c>
      <c r="D290" s="3">
        <v>2021</v>
      </c>
      <c r="E290" s="4" t="e">
        <f>'Electricity '!I291+'Electricity '!O291</f>
        <v>#VALUE!</v>
      </c>
      <c r="F290" s="153" t="e">
        <f>('Electricity '!I291*0.55+'Gas Water'!H292*1.88)/(Total!E290)</f>
        <v>#VALUE!</v>
      </c>
      <c r="G290" s="4" t="str">
        <f>'Gas Water'!M292</f>
        <v/>
      </c>
      <c r="H290" s="153">
        <v>1.88</v>
      </c>
      <c r="I290" s="2" t="str">
        <f>'Gas Water'!L292</f>
        <v/>
      </c>
      <c r="J290" s="153">
        <v>11.3</v>
      </c>
      <c r="K290" s="5"/>
      <c r="L290" s="5"/>
    </row>
    <row r="291" spans="1:12" x14ac:dyDescent="0.25">
      <c r="A291" s="3" t="s">
        <v>75</v>
      </c>
      <c r="B291" s="3">
        <v>17</v>
      </c>
      <c r="C291" s="3">
        <v>10</v>
      </c>
      <c r="D291" s="3">
        <v>2021</v>
      </c>
      <c r="E291" s="4" t="e">
        <f>'Electricity '!I292+'Electricity '!O292</f>
        <v>#VALUE!</v>
      </c>
      <c r="F291" s="153" t="e">
        <f>('Electricity '!I292*0.55+'Gas Water'!H293*1.88)/(Total!E291)</f>
        <v>#VALUE!</v>
      </c>
      <c r="G291" s="4" t="str">
        <f>'Gas Water'!M293</f>
        <v/>
      </c>
      <c r="H291" s="153">
        <v>1.88</v>
      </c>
      <c r="I291" s="2" t="str">
        <f>'Gas Water'!L293</f>
        <v/>
      </c>
      <c r="J291" s="153">
        <v>11.3</v>
      </c>
      <c r="K291" s="5"/>
      <c r="L291" s="5"/>
    </row>
    <row r="292" spans="1:12" x14ac:dyDescent="0.25">
      <c r="A292" s="3" t="s">
        <v>75</v>
      </c>
      <c r="B292" s="3">
        <v>18</v>
      </c>
      <c r="C292" s="3">
        <v>10</v>
      </c>
      <c r="D292" s="3">
        <v>2021</v>
      </c>
      <c r="E292" s="4" t="e">
        <f>'Electricity '!I293+'Electricity '!O293</f>
        <v>#VALUE!</v>
      </c>
      <c r="F292" s="153" t="e">
        <f>('Electricity '!I293*0.55+'Gas Water'!H294*1.88)/(Total!E292)</f>
        <v>#VALUE!</v>
      </c>
      <c r="G292" s="4" t="str">
        <f>'Gas Water'!M294</f>
        <v/>
      </c>
      <c r="H292" s="153">
        <v>1.88</v>
      </c>
      <c r="I292" s="2" t="str">
        <f>'Gas Water'!L294</f>
        <v/>
      </c>
      <c r="J292" s="153">
        <v>11.3</v>
      </c>
      <c r="K292" s="5"/>
      <c r="L292" s="5"/>
    </row>
    <row r="293" spans="1:12" x14ac:dyDescent="0.25">
      <c r="A293" s="3" t="s">
        <v>75</v>
      </c>
      <c r="B293" s="3">
        <v>19</v>
      </c>
      <c r="C293" s="3">
        <v>10</v>
      </c>
      <c r="D293" s="3">
        <v>2021</v>
      </c>
      <c r="E293" s="4" t="e">
        <f>'Electricity '!I294+'Electricity '!O294</f>
        <v>#VALUE!</v>
      </c>
      <c r="F293" s="153" t="e">
        <f>('Electricity '!I294*0.55+'Gas Water'!H295*1.88)/(Total!E293)</f>
        <v>#VALUE!</v>
      </c>
      <c r="G293" s="4" t="str">
        <f>'Gas Water'!M295</f>
        <v/>
      </c>
      <c r="H293" s="153">
        <v>1.88</v>
      </c>
      <c r="I293" s="2" t="str">
        <f>'Gas Water'!L295</f>
        <v/>
      </c>
      <c r="J293" s="153">
        <v>11.3</v>
      </c>
      <c r="K293" s="5"/>
      <c r="L293" s="5"/>
    </row>
    <row r="294" spans="1:12" x14ac:dyDescent="0.25">
      <c r="A294" s="3" t="s">
        <v>75</v>
      </c>
      <c r="B294" s="3">
        <v>20</v>
      </c>
      <c r="C294" s="3">
        <v>10</v>
      </c>
      <c r="D294" s="3">
        <v>2021</v>
      </c>
      <c r="E294" s="4" t="e">
        <f>'Electricity '!I295+'Electricity '!O295</f>
        <v>#VALUE!</v>
      </c>
      <c r="F294" s="153" t="e">
        <f>('Electricity '!I295*0.55+'Gas Water'!H296*1.88)/(Total!E294)</f>
        <v>#VALUE!</v>
      </c>
      <c r="G294" s="4" t="str">
        <f>'Gas Water'!M296</f>
        <v/>
      </c>
      <c r="H294" s="153">
        <v>1.88</v>
      </c>
      <c r="I294" s="2" t="str">
        <f>'Gas Water'!L296</f>
        <v/>
      </c>
      <c r="J294" s="153">
        <v>11.3</v>
      </c>
      <c r="K294" s="5"/>
      <c r="L294" s="5"/>
    </row>
    <row r="295" spans="1:12" x14ac:dyDescent="0.25">
      <c r="A295" s="3" t="s">
        <v>75</v>
      </c>
      <c r="B295" s="3">
        <v>21</v>
      </c>
      <c r="C295" s="3">
        <v>10</v>
      </c>
      <c r="D295" s="3">
        <v>2021</v>
      </c>
      <c r="E295" s="4" t="e">
        <f>'Electricity '!I296+'Electricity '!O296</f>
        <v>#VALUE!</v>
      </c>
      <c r="F295" s="153" t="e">
        <f>('Electricity '!I296*0.55+'Gas Water'!H297*1.88)/(Total!E295)</f>
        <v>#VALUE!</v>
      </c>
      <c r="G295" s="4" t="str">
        <f>'Gas Water'!M297</f>
        <v/>
      </c>
      <c r="H295" s="153">
        <v>1.88</v>
      </c>
      <c r="I295" s="2" t="str">
        <f>'Gas Water'!L297</f>
        <v/>
      </c>
      <c r="J295" s="153">
        <v>11.3</v>
      </c>
      <c r="K295" s="5"/>
      <c r="L295" s="5"/>
    </row>
    <row r="296" spans="1:12" x14ac:dyDescent="0.25">
      <c r="A296" s="3" t="s">
        <v>75</v>
      </c>
      <c r="B296" s="3">
        <v>22</v>
      </c>
      <c r="C296" s="3">
        <v>10</v>
      </c>
      <c r="D296" s="3">
        <v>2021</v>
      </c>
      <c r="E296" s="4" t="e">
        <f>'Electricity '!I297+'Electricity '!O297</f>
        <v>#VALUE!</v>
      </c>
      <c r="F296" s="153" t="e">
        <f>('Electricity '!I297*0.55+'Gas Water'!H298*1.88)/(Total!E296)</f>
        <v>#VALUE!</v>
      </c>
      <c r="G296" s="4" t="str">
        <f>'Gas Water'!M298</f>
        <v/>
      </c>
      <c r="H296" s="153">
        <v>1.88</v>
      </c>
      <c r="I296" s="2" t="str">
        <f>'Gas Water'!L298</f>
        <v/>
      </c>
      <c r="J296" s="153">
        <v>11.3</v>
      </c>
      <c r="K296" s="5"/>
      <c r="L296" s="5"/>
    </row>
    <row r="297" spans="1:12" x14ac:dyDescent="0.25">
      <c r="A297" s="3" t="s">
        <v>75</v>
      </c>
      <c r="B297" s="3">
        <v>23</v>
      </c>
      <c r="C297" s="3">
        <v>10</v>
      </c>
      <c r="D297" s="3">
        <v>2021</v>
      </c>
      <c r="E297" s="4" t="e">
        <f>'Electricity '!I298+'Electricity '!O298</f>
        <v>#VALUE!</v>
      </c>
      <c r="F297" s="153" t="e">
        <f>('Electricity '!I298*0.55+'Gas Water'!H299*1.88)/(Total!E297)</f>
        <v>#VALUE!</v>
      </c>
      <c r="G297" s="4" t="str">
        <f>'Gas Water'!M299</f>
        <v/>
      </c>
      <c r="H297" s="153">
        <v>1.88</v>
      </c>
      <c r="I297" s="2" t="str">
        <f>'Gas Water'!L299</f>
        <v/>
      </c>
      <c r="J297" s="153">
        <v>11.3</v>
      </c>
      <c r="K297" s="5"/>
      <c r="L297" s="5"/>
    </row>
    <row r="298" spans="1:12" x14ac:dyDescent="0.25">
      <c r="A298" s="3" t="s">
        <v>75</v>
      </c>
      <c r="B298" s="3">
        <v>24</v>
      </c>
      <c r="C298" s="3">
        <v>10</v>
      </c>
      <c r="D298" s="3">
        <v>2021</v>
      </c>
      <c r="E298" s="4" t="e">
        <f>'Electricity '!I299+'Electricity '!O299</f>
        <v>#VALUE!</v>
      </c>
      <c r="F298" s="153" t="e">
        <f>('Electricity '!I299*0.55+'Gas Water'!H300*1.88)/(Total!E298)</f>
        <v>#VALUE!</v>
      </c>
      <c r="G298" s="4" t="str">
        <f>'Gas Water'!M300</f>
        <v/>
      </c>
      <c r="H298" s="153">
        <v>1.88</v>
      </c>
      <c r="I298" s="2" t="str">
        <f>'Gas Water'!L300</f>
        <v/>
      </c>
      <c r="J298" s="153">
        <v>11.3</v>
      </c>
      <c r="K298" s="5"/>
      <c r="L298" s="5"/>
    </row>
    <row r="299" spans="1:12" x14ac:dyDescent="0.25">
      <c r="A299" s="3" t="s">
        <v>75</v>
      </c>
      <c r="B299" s="3">
        <v>25</v>
      </c>
      <c r="C299" s="3">
        <v>10</v>
      </c>
      <c r="D299" s="3">
        <v>2021</v>
      </c>
      <c r="E299" s="4" t="e">
        <f>'Electricity '!I300+'Electricity '!O300</f>
        <v>#VALUE!</v>
      </c>
      <c r="F299" s="153" t="e">
        <f>('Electricity '!I300*0.55+'Gas Water'!H301*1.88)/(Total!E299)</f>
        <v>#VALUE!</v>
      </c>
      <c r="G299" s="4" t="str">
        <f>'Gas Water'!M301</f>
        <v/>
      </c>
      <c r="H299" s="153">
        <v>1.88</v>
      </c>
      <c r="I299" s="2" t="str">
        <f>'Gas Water'!L301</f>
        <v/>
      </c>
      <c r="J299" s="153">
        <v>11.3</v>
      </c>
      <c r="K299" s="5"/>
      <c r="L299" s="5"/>
    </row>
    <row r="300" spans="1:12" x14ac:dyDescent="0.25">
      <c r="A300" s="3" t="s">
        <v>75</v>
      </c>
      <c r="B300" s="3">
        <v>26</v>
      </c>
      <c r="C300" s="3">
        <v>10</v>
      </c>
      <c r="D300" s="3">
        <v>2021</v>
      </c>
      <c r="E300" s="4" t="e">
        <f>'Electricity '!I301+'Electricity '!O301</f>
        <v>#VALUE!</v>
      </c>
      <c r="F300" s="153" t="e">
        <f>('Electricity '!I301*0.55+'Gas Water'!H302*1.88)/(Total!E300)</f>
        <v>#VALUE!</v>
      </c>
      <c r="G300" s="4" t="str">
        <f>'Gas Water'!M302</f>
        <v/>
      </c>
      <c r="H300" s="153">
        <v>1.88</v>
      </c>
      <c r="I300" s="2" t="str">
        <f>'Gas Water'!L302</f>
        <v/>
      </c>
      <c r="J300" s="153">
        <v>11.3</v>
      </c>
      <c r="K300" s="5"/>
      <c r="L300" s="5"/>
    </row>
    <row r="301" spans="1:12" x14ac:dyDescent="0.25">
      <c r="A301" s="3" t="s">
        <v>75</v>
      </c>
      <c r="B301" s="3">
        <v>27</v>
      </c>
      <c r="C301" s="3">
        <v>10</v>
      </c>
      <c r="D301" s="3">
        <v>2021</v>
      </c>
      <c r="E301" s="4" t="e">
        <f>'Electricity '!I302+'Electricity '!O302</f>
        <v>#VALUE!</v>
      </c>
      <c r="F301" s="153" t="e">
        <f>('Electricity '!I302*0.55+'Gas Water'!H303*1.88)/(Total!E301)</f>
        <v>#VALUE!</v>
      </c>
      <c r="G301" s="4" t="str">
        <f>'Gas Water'!M303</f>
        <v/>
      </c>
      <c r="H301" s="153">
        <v>1.88</v>
      </c>
      <c r="I301" s="2" t="str">
        <f>'Gas Water'!L303</f>
        <v/>
      </c>
      <c r="J301" s="153">
        <v>11.3</v>
      </c>
      <c r="K301" s="5"/>
      <c r="L301" s="5"/>
    </row>
    <row r="302" spans="1:12" x14ac:dyDescent="0.25">
      <c r="A302" s="3" t="s">
        <v>75</v>
      </c>
      <c r="B302" s="3">
        <v>28</v>
      </c>
      <c r="C302" s="3">
        <v>10</v>
      </c>
      <c r="D302" s="3">
        <v>2021</v>
      </c>
      <c r="E302" s="4" t="e">
        <f>'Electricity '!I303+'Electricity '!O303</f>
        <v>#VALUE!</v>
      </c>
      <c r="F302" s="153" t="e">
        <f>('Electricity '!I303*0.55+'Gas Water'!H304*1.88)/(Total!E302)</f>
        <v>#VALUE!</v>
      </c>
      <c r="G302" s="4" t="str">
        <f>'Gas Water'!M304</f>
        <v/>
      </c>
      <c r="H302" s="153">
        <v>1.88</v>
      </c>
      <c r="I302" s="2" t="str">
        <f>'Gas Water'!L304</f>
        <v/>
      </c>
      <c r="J302" s="153">
        <v>11.3</v>
      </c>
      <c r="K302" s="5"/>
      <c r="L302" s="5"/>
    </row>
    <row r="303" spans="1:12" x14ac:dyDescent="0.25">
      <c r="A303" s="3" t="s">
        <v>75</v>
      </c>
      <c r="B303" s="3">
        <v>29</v>
      </c>
      <c r="C303" s="3">
        <v>10</v>
      </c>
      <c r="D303" s="3">
        <v>2021</v>
      </c>
      <c r="E303" s="4" t="e">
        <f>'Electricity '!I304+'Electricity '!O304</f>
        <v>#VALUE!</v>
      </c>
      <c r="F303" s="153" t="e">
        <f>('Electricity '!I304*0.55+'Gas Water'!H305*1.88)/(Total!E303)</f>
        <v>#VALUE!</v>
      </c>
      <c r="G303" s="4" t="str">
        <f>'Gas Water'!M305</f>
        <v/>
      </c>
      <c r="H303" s="153">
        <v>1.88</v>
      </c>
      <c r="I303" s="2" t="str">
        <f>'Gas Water'!L305</f>
        <v/>
      </c>
      <c r="J303" s="153">
        <v>11.3</v>
      </c>
      <c r="K303" s="5"/>
      <c r="L303" s="5"/>
    </row>
    <row r="304" spans="1:12" x14ac:dyDescent="0.25">
      <c r="A304" s="3" t="s">
        <v>75</v>
      </c>
      <c r="B304" s="3">
        <v>30</v>
      </c>
      <c r="C304" s="3">
        <v>10</v>
      </c>
      <c r="D304" s="3">
        <v>2021</v>
      </c>
      <c r="E304" s="4" t="e">
        <f>'Electricity '!I305+'Electricity '!O305</f>
        <v>#VALUE!</v>
      </c>
      <c r="F304" s="153" t="e">
        <f>('Electricity '!I305*0.55+'Gas Water'!H306*1.88)/(Total!E304)</f>
        <v>#VALUE!</v>
      </c>
      <c r="G304" s="4" t="str">
        <f>'Gas Water'!M306</f>
        <v/>
      </c>
      <c r="H304" s="153">
        <v>1.88</v>
      </c>
      <c r="I304" s="2" t="str">
        <f>'Gas Water'!L306</f>
        <v/>
      </c>
      <c r="J304" s="153">
        <v>11.3</v>
      </c>
      <c r="K304" s="5"/>
      <c r="L304" s="5"/>
    </row>
    <row r="305" spans="1:12" x14ac:dyDescent="0.25">
      <c r="A305" s="3" t="s">
        <v>75</v>
      </c>
      <c r="B305" s="3">
        <v>31</v>
      </c>
      <c r="C305" s="3">
        <v>10</v>
      </c>
      <c r="D305" s="3">
        <v>2021</v>
      </c>
      <c r="E305" s="4" t="e">
        <f>'Electricity '!I306+'Electricity '!O306</f>
        <v>#VALUE!</v>
      </c>
      <c r="F305" s="153" t="e">
        <f>('Electricity '!I306*0.55+'Gas Water'!H307*1.88)/(Total!E305)</f>
        <v>#VALUE!</v>
      </c>
      <c r="G305" s="4" t="str">
        <f>'Gas Water'!M307</f>
        <v/>
      </c>
      <c r="H305" s="153">
        <v>1.88</v>
      </c>
      <c r="I305" s="2" t="str">
        <f>'Gas Water'!L307</f>
        <v/>
      </c>
      <c r="J305" s="153">
        <v>11.3</v>
      </c>
      <c r="K305" s="5"/>
      <c r="L305" s="5"/>
    </row>
    <row r="306" spans="1:12" x14ac:dyDescent="0.25">
      <c r="A306" s="3" t="s">
        <v>75</v>
      </c>
      <c r="B306" s="3">
        <v>1</v>
      </c>
      <c r="C306" s="3">
        <v>11</v>
      </c>
      <c r="D306" s="3">
        <v>2021</v>
      </c>
      <c r="E306" s="4" t="e">
        <f>'Electricity '!I307+'Electricity '!O307</f>
        <v>#VALUE!</v>
      </c>
      <c r="F306" s="153" t="e">
        <f>('Electricity '!I307*0.55+'Gas Water'!H308*1.88)/(Total!E306)</f>
        <v>#VALUE!</v>
      </c>
      <c r="G306" s="4" t="str">
        <f>'Gas Water'!M308</f>
        <v/>
      </c>
      <c r="H306" s="153">
        <v>1.88</v>
      </c>
      <c r="I306" s="2" t="str">
        <f>'Gas Water'!L308</f>
        <v/>
      </c>
      <c r="J306" s="153">
        <v>11.3</v>
      </c>
      <c r="K306" s="5"/>
      <c r="L306" s="5"/>
    </row>
    <row r="307" spans="1:12" x14ac:dyDescent="0.25">
      <c r="A307" s="3" t="s">
        <v>75</v>
      </c>
      <c r="B307" s="3">
        <v>2</v>
      </c>
      <c r="C307" s="3">
        <v>11</v>
      </c>
      <c r="D307" s="3">
        <v>2021</v>
      </c>
      <c r="E307" s="4" t="e">
        <f>'Electricity '!I308+'Electricity '!O308</f>
        <v>#VALUE!</v>
      </c>
      <c r="F307" s="153" t="e">
        <f>('Electricity '!I308*0.55+'Gas Water'!H309*1.88)/(Total!E307)</f>
        <v>#VALUE!</v>
      </c>
      <c r="G307" s="4" t="str">
        <f>'Gas Water'!M309</f>
        <v/>
      </c>
      <c r="H307" s="153">
        <v>1.88</v>
      </c>
      <c r="I307" s="2" t="str">
        <f>'Gas Water'!L309</f>
        <v/>
      </c>
      <c r="J307" s="153">
        <v>11.3</v>
      </c>
      <c r="K307" s="5"/>
      <c r="L307" s="5"/>
    </row>
    <row r="308" spans="1:12" x14ac:dyDescent="0.25">
      <c r="A308" s="3" t="s">
        <v>75</v>
      </c>
      <c r="B308" s="3">
        <v>3</v>
      </c>
      <c r="C308" s="3">
        <v>11</v>
      </c>
      <c r="D308" s="3">
        <v>2021</v>
      </c>
      <c r="E308" s="4" t="e">
        <f>'Electricity '!I309+'Electricity '!O309</f>
        <v>#VALUE!</v>
      </c>
      <c r="F308" s="153" t="e">
        <f>('Electricity '!I309*0.55+'Gas Water'!H310*1.88)/(Total!E308)</f>
        <v>#VALUE!</v>
      </c>
      <c r="G308" s="4" t="str">
        <f>'Gas Water'!M310</f>
        <v/>
      </c>
      <c r="H308" s="153">
        <v>1.88</v>
      </c>
      <c r="I308" s="2" t="str">
        <f>'Gas Water'!L310</f>
        <v/>
      </c>
      <c r="J308" s="153">
        <v>11.3</v>
      </c>
      <c r="K308" s="5"/>
      <c r="L308" s="5"/>
    </row>
    <row r="309" spans="1:12" x14ac:dyDescent="0.25">
      <c r="A309" s="3" t="s">
        <v>75</v>
      </c>
      <c r="B309" s="3">
        <v>4</v>
      </c>
      <c r="C309" s="3">
        <v>11</v>
      </c>
      <c r="D309" s="3">
        <v>2021</v>
      </c>
      <c r="E309" s="4" t="e">
        <f>'Electricity '!I310+'Electricity '!O310</f>
        <v>#VALUE!</v>
      </c>
      <c r="F309" s="153" t="e">
        <f>('Electricity '!I310*0.55+'Gas Water'!H311*1.88)/(Total!E309)</f>
        <v>#VALUE!</v>
      </c>
      <c r="G309" s="4" t="str">
        <f>'Gas Water'!M311</f>
        <v/>
      </c>
      <c r="H309" s="153">
        <v>1.88</v>
      </c>
      <c r="I309" s="2" t="str">
        <f>'Gas Water'!L311</f>
        <v/>
      </c>
      <c r="J309" s="153">
        <v>11.3</v>
      </c>
      <c r="K309" s="5"/>
      <c r="L309" s="5"/>
    </row>
    <row r="310" spans="1:12" x14ac:dyDescent="0.25">
      <c r="A310" s="3" t="s">
        <v>75</v>
      </c>
      <c r="B310" s="3">
        <v>5</v>
      </c>
      <c r="C310" s="3">
        <v>11</v>
      </c>
      <c r="D310" s="3">
        <v>2021</v>
      </c>
      <c r="E310" s="4" t="e">
        <f>'Electricity '!I311+'Electricity '!O311</f>
        <v>#VALUE!</v>
      </c>
      <c r="F310" s="153" t="e">
        <f>('Electricity '!I311*0.55+'Gas Water'!H312*1.88)/(Total!E310)</f>
        <v>#VALUE!</v>
      </c>
      <c r="G310" s="4" t="str">
        <f>'Gas Water'!M312</f>
        <v/>
      </c>
      <c r="H310" s="153">
        <v>1.88</v>
      </c>
      <c r="I310" s="2" t="str">
        <f>'Gas Water'!L312</f>
        <v/>
      </c>
      <c r="J310" s="153">
        <v>11.3</v>
      </c>
      <c r="K310" s="5"/>
      <c r="L310" s="5"/>
    </row>
    <row r="311" spans="1:12" x14ac:dyDescent="0.25">
      <c r="A311" s="3" t="s">
        <v>75</v>
      </c>
      <c r="B311" s="3">
        <v>6</v>
      </c>
      <c r="C311" s="3">
        <v>11</v>
      </c>
      <c r="D311" s="3">
        <v>2021</v>
      </c>
      <c r="E311" s="4" t="e">
        <f>'Electricity '!I312+'Electricity '!O312</f>
        <v>#VALUE!</v>
      </c>
      <c r="F311" s="153" t="e">
        <f>('Electricity '!I312*0.55+'Gas Water'!H313*1.88)/(Total!E311)</f>
        <v>#VALUE!</v>
      </c>
      <c r="G311" s="4" t="str">
        <f>'Gas Water'!M313</f>
        <v/>
      </c>
      <c r="H311" s="153">
        <v>1.88</v>
      </c>
      <c r="I311" s="2" t="str">
        <f>'Gas Water'!L313</f>
        <v/>
      </c>
      <c r="J311" s="153">
        <v>11.3</v>
      </c>
      <c r="K311" s="5"/>
      <c r="L311" s="5"/>
    </row>
    <row r="312" spans="1:12" x14ac:dyDescent="0.25">
      <c r="A312" s="3" t="s">
        <v>75</v>
      </c>
      <c r="B312" s="3">
        <v>7</v>
      </c>
      <c r="C312" s="3">
        <v>11</v>
      </c>
      <c r="D312" s="3">
        <v>2021</v>
      </c>
      <c r="E312" s="4" t="e">
        <f>'Electricity '!I313+'Electricity '!O313</f>
        <v>#VALUE!</v>
      </c>
      <c r="F312" s="153" t="e">
        <f>('Electricity '!I313*0.55+'Gas Water'!H314*1.88)/(Total!E312)</f>
        <v>#VALUE!</v>
      </c>
      <c r="G312" s="4" t="str">
        <f>'Gas Water'!M314</f>
        <v/>
      </c>
      <c r="H312" s="153">
        <v>1.88</v>
      </c>
      <c r="I312" s="2" t="str">
        <f>'Gas Water'!L314</f>
        <v/>
      </c>
      <c r="J312" s="153">
        <v>11.3</v>
      </c>
      <c r="K312" s="5"/>
      <c r="L312" s="5"/>
    </row>
    <row r="313" spans="1:12" x14ac:dyDescent="0.25">
      <c r="A313" s="3" t="s">
        <v>75</v>
      </c>
      <c r="B313" s="3">
        <v>8</v>
      </c>
      <c r="C313" s="3">
        <v>11</v>
      </c>
      <c r="D313" s="3">
        <v>2021</v>
      </c>
      <c r="E313" s="4" t="e">
        <f>'Electricity '!I314+'Electricity '!O314</f>
        <v>#VALUE!</v>
      </c>
      <c r="F313" s="153" t="e">
        <f>('Electricity '!I314*0.55+'Gas Water'!H315*1.88)/(Total!E313)</f>
        <v>#VALUE!</v>
      </c>
      <c r="G313" s="4" t="str">
        <f>'Gas Water'!M315</f>
        <v/>
      </c>
      <c r="H313" s="153">
        <v>1.88</v>
      </c>
      <c r="I313" s="2" t="str">
        <f>'Gas Water'!L315</f>
        <v/>
      </c>
      <c r="J313" s="153">
        <v>11.3</v>
      </c>
      <c r="K313" s="5"/>
      <c r="L313" s="5"/>
    </row>
    <row r="314" spans="1:12" x14ac:dyDescent="0.25">
      <c r="A314" s="3" t="s">
        <v>75</v>
      </c>
      <c r="B314" s="3">
        <v>9</v>
      </c>
      <c r="C314" s="3">
        <v>11</v>
      </c>
      <c r="D314" s="3">
        <v>2021</v>
      </c>
      <c r="E314" s="4" t="e">
        <f>'Electricity '!I315+'Electricity '!O315</f>
        <v>#VALUE!</v>
      </c>
      <c r="F314" s="153" t="e">
        <f>('Electricity '!I315*0.55+'Gas Water'!H316*1.88)/(Total!E314)</f>
        <v>#VALUE!</v>
      </c>
      <c r="G314" s="4" t="str">
        <f>'Gas Water'!M316</f>
        <v/>
      </c>
      <c r="H314" s="153">
        <v>1.88</v>
      </c>
      <c r="I314" s="2" t="str">
        <f>'Gas Water'!L316</f>
        <v/>
      </c>
      <c r="J314" s="153">
        <v>11.3</v>
      </c>
      <c r="K314" s="5"/>
      <c r="L314" s="5"/>
    </row>
    <row r="315" spans="1:12" x14ac:dyDescent="0.25">
      <c r="A315" s="3" t="s">
        <v>75</v>
      </c>
      <c r="B315" s="3">
        <v>10</v>
      </c>
      <c r="C315" s="3">
        <v>11</v>
      </c>
      <c r="D315" s="3">
        <v>2021</v>
      </c>
      <c r="E315" s="4" t="e">
        <f>'Electricity '!I316+'Electricity '!O316</f>
        <v>#VALUE!</v>
      </c>
      <c r="F315" s="153" t="e">
        <f>('Electricity '!I316*0.55+'Gas Water'!H317*1.88)/(Total!E315)</f>
        <v>#VALUE!</v>
      </c>
      <c r="G315" s="4" t="str">
        <f>'Gas Water'!M317</f>
        <v/>
      </c>
      <c r="H315" s="153">
        <v>1.88</v>
      </c>
      <c r="I315" s="2" t="str">
        <f>'Gas Water'!L317</f>
        <v/>
      </c>
      <c r="J315" s="153">
        <v>11.3</v>
      </c>
      <c r="K315" s="5"/>
      <c r="L315" s="5"/>
    </row>
    <row r="316" spans="1:12" x14ac:dyDescent="0.25">
      <c r="A316" s="3" t="s">
        <v>75</v>
      </c>
      <c r="B316" s="3">
        <v>11</v>
      </c>
      <c r="C316" s="3">
        <v>11</v>
      </c>
      <c r="D316" s="3">
        <v>2021</v>
      </c>
      <c r="E316" s="4" t="e">
        <f>'Electricity '!I317+'Electricity '!O317</f>
        <v>#VALUE!</v>
      </c>
      <c r="F316" s="153" t="e">
        <f>('Electricity '!I317*0.55+'Gas Water'!H318*1.88)/(Total!E316)</f>
        <v>#VALUE!</v>
      </c>
      <c r="G316" s="4" t="str">
        <f>'Gas Water'!M318</f>
        <v/>
      </c>
      <c r="H316" s="153">
        <v>1.88</v>
      </c>
      <c r="I316" s="2" t="str">
        <f>'Gas Water'!L318</f>
        <v/>
      </c>
      <c r="J316" s="153">
        <v>11.3</v>
      </c>
      <c r="K316" s="5"/>
      <c r="L316" s="5"/>
    </row>
    <row r="317" spans="1:12" x14ac:dyDescent="0.25">
      <c r="A317" s="3" t="s">
        <v>75</v>
      </c>
      <c r="B317" s="3">
        <v>12</v>
      </c>
      <c r="C317" s="3">
        <v>11</v>
      </c>
      <c r="D317" s="3">
        <v>2021</v>
      </c>
      <c r="E317" s="4" t="e">
        <f>'Electricity '!I318+'Electricity '!O318</f>
        <v>#VALUE!</v>
      </c>
      <c r="F317" s="153" t="e">
        <f>('Electricity '!I318*0.55+'Gas Water'!H319*1.88)/(Total!E317)</f>
        <v>#VALUE!</v>
      </c>
      <c r="G317" s="4" t="str">
        <f>'Gas Water'!M319</f>
        <v/>
      </c>
      <c r="H317" s="153">
        <v>1.88</v>
      </c>
      <c r="I317" s="2" t="str">
        <f>'Gas Water'!L319</f>
        <v/>
      </c>
      <c r="J317" s="153">
        <v>11.3</v>
      </c>
      <c r="K317" s="5"/>
      <c r="L317" s="5"/>
    </row>
    <row r="318" spans="1:12" x14ac:dyDescent="0.25">
      <c r="A318" s="3" t="s">
        <v>75</v>
      </c>
      <c r="B318" s="3">
        <v>13</v>
      </c>
      <c r="C318" s="3">
        <v>11</v>
      </c>
      <c r="D318" s="3">
        <v>2021</v>
      </c>
      <c r="E318" s="4" t="e">
        <f>'Electricity '!I319+'Electricity '!O319</f>
        <v>#VALUE!</v>
      </c>
      <c r="F318" s="153" t="e">
        <f>('Electricity '!I319*0.55+'Gas Water'!H320*1.88)/(Total!E318)</f>
        <v>#VALUE!</v>
      </c>
      <c r="G318" s="4" t="str">
        <f>'Gas Water'!M320</f>
        <v/>
      </c>
      <c r="H318" s="153">
        <v>1.88</v>
      </c>
      <c r="I318" s="2" t="str">
        <f>'Gas Water'!L320</f>
        <v/>
      </c>
      <c r="J318" s="153">
        <v>11.3</v>
      </c>
      <c r="K318" s="5"/>
      <c r="L318" s="5"/>
    </row>
    <row r="319" spans="1:12" x14ac:dyDescent="0.25">
      <c r="A319" s="3" t="s">
        <v>75</v>
      </c>
      <c r="B319" s="3">
        <v>14</v>
      </c>
      <c r="C319" s="3">
        <v>11</v>
      </c>
      <c r="D319" s="3">
        <v>2021</v>
      </c>
      <c r="E319" s="4" t="e">
        <f>'Electricity '!I320+'Electricity '!O320</f>
        <v>#VALUE!</v>
      </c>
      <c r="F319" s="153" t="e">
        <f>('Electricity '!I320*0.55+'Gas Water'!H321*1.88)/(Total!E319)</f>
        <v>#VALUE!</v>
      </c>
      <c r="G319" s="4" t="str">
        <f>'Gas Water'!M321</f>
        <v/>
      </c>
      <c r="H319" s="153">
        <v>1.88</v>
      </c>
      <c r="I319" s="2" t="str">
        <f>'Gas Water'!L321</f>
        <v/>
      </c>
      <c r="J319" s="153">
        <v>11.3</v>
      </c>
      <c r="K319" s="5"/>
      <c r="L319" s="5"/>
    </row>
    <row r="320" spans="1:12" x14ac:dyDescent="0.25">
      <c r="A320" s="3" t="s">
        <v>75</v>
      </c>
      <c r="B320" s="3">
        <v>15</v>
      </c>
      <c r="C320" s="3">
        <v>11</v>
      </c>
      <c r="D320" s="3">
        <v>2021</v>
      </c>
      <c r="E320" s="4" t="e">
        <f>'Electricity '!I321+'Electricity '!O321</f>
        <v>#VALUE!</v>
      </c>
      <c r="F320" s="153" t="e">
        <f>('Electricity '!I321*0.55+'Gas Water'!H322*1.88)/(Total!E320)</f>
        <v>#VALUE!</v>
      </c>
      <c r="G320" s="4" t="str">
        <f>'Gas Water'!M322</f>
        <v/>
      </c>
      <c r="H320" s="153">
        <v>1.88</v>
      </c>
      <c r="I320" s="2" t="str">
        <f>'Gas Water'!L322</f>
        <v/>
      </c>
      <c r="J320" s="153">
        <v>11.3</v>
      </c>
      <c r="K320" s="5"/>
      <c r="L320" s="5"/>
    </row>
    <row r="321" spans="1:12" x14ac:dyDescent="0.25">
      <c r="A321" s="3" t="s">
        <v>75</v>
      </c>
      <c r="B321" s="3">
        <v>16</v>
      </c>
      <c r="C321" s="3">
        <v>11</v>
      </c>
      <c r="D321" s="3">
        <v>2021</v>
      </c>
      <c r="E321" s="4" t="e">
        <f>'Electricity '!I322+'Electricity '!O322</f>
        <v>#VALUE!</v>
      </c>
      <c r="F321" s="153" t="e">
        <f>('Electricity '!I322*0.55+'Gas Water'!H323*1.88)/(Total!E321)</f>
        <v>#VALUE!</v>
      </c>
      <c r="G321" s="4" t="str">
        <f>'Gas Water'!M323</f>
        <v/>
      </c>
      <c r="H321" s="153">
        <v>1.88</v>
      </c>
      <c r="I321" s="2" t="str">
        <f>'Gas Water'!L323</f>
        <v/>
      </c>
      <c r="J321" s="153">
        <v>11.3</v>
      </c>
      <c r="K321" s="5"/>
      <c r="L321" s="5"/>
    </row>
    <row r="322" spans="1:12" x14ac:dyDescent="0.25">
      <c r="A322" s="3" t="s">
        <v>75</v>
      </c>
      <c r="B322" s="3">
        <v>17</v>
      </c>
      <c r="C322" s="3">
        <v>11</v>
      </c>
      <c r="D322" s="3">
        <v>2021</v>
      </c>
      <c r="E322" s="4" t="e">
        <f>'Electricity '!I323+'Electricity '!O323</f>
        <v>#VALUE!</v>
      </c>
      <c r="F322" s="153" t="e">
        <f>('Electricity '!I323*0.55+'Gas Water'!H324*1.88)/(Total!E322)</f>
        <v>#VALUE!</v>
      </c>
      <c r="G322" s="4" t="str">
        <f>'Gas Water'!M324</f>
        <v/>
      </c>
      <c r="H322" s="153">
        <v>1.88</v>
      </c>
      <c r="I322" s="2" t="str">
        <f>'Gas Water'!L324</f>
        <v/>
      </c>
      <c r="J322" s="153">
        <v>11.3</v>
      </c>
      <c r="K322" s="5"/>
      <c r="L322" s="5"/>
    </row>
    <row r="323" spans="1:12" x14ac:dyDescent="0.25">
      <c r="A323" s="3" t="s">
        <v>75</v>
      </c>
      <c r="B323" s="3">
        <v>18</v>
      </c>
      <c r="C323" s="3">
        <v>11</v>
      </c>
      <c r="D323" s="3">
        <v>2021</v>
      </c>
      <c r="E323" s="4" t="e">
        <f>'Electricity '!I324+'Electricity '!O324</f>
        <v>#VALUE!</v>
      </c>
      <c r="F323" s="153" t="e">
        <f>('Electricity '!I324*0.55+'Gas Water'!H325*1.88)/(Total!E323)</f>
        <v>#VALUE!</v>
      </c>
      <c r="G323" s="4" t="str">
        <f>'Gas Water'!M325</f>
        <v/>
      </c>
      <c r="H323" s="153">
        <v>1.88</v>
      </c>
      <c r="I323" s="2" t="str">
        <f>'Gas Water'!L325</f>
        <v/>
      </c>
      <c r="J323" s="153">
        <v>11.3</v>
      </c>
      <c r="K323" s="5"/>
      <c r="L323" s="5"/>
    </row>
    <row r="324" spans="1:12" x14ac:dyDescent="0.25">
      <c r="A324" s="3" t="s">
        <v>75</v>
      </c>
      <c r="B324" s="3">
        <v>19</v>
      </c>
      <c r="C324" s="3">
        <v>11</v>
      </c>
      <c r="D324" s="3">
        <v>2021</v>
      </c>
      <c r="E324" s="4" t="e">
        <f>'Electricity '!I325+'Electricity '!O325</f>
        <v>#VALUE!</v>
      </c>
      <c r="F324" s="153" t="e">
        <f>('Electricity '!I325*0.55+'Gas Water'!H326*1.88)/(Total!E324)</f>
        <v>#VALUE!</v>
      </c>
      <c r="G324" s="4" t="str">
        <f>'Gas Water'!M326</f>
        <v/>
      </c>
      <c r="H324" s="153">
        <v>1.88</v>
      </c>
      <c r="I324" s="2" t="str">
        <f>'Gas Water'!L326</f>
        <v/>
      </c>
      <c r="J324" s="153">
        <v>11.3</v>
      </c>
      <c r="K324" s="5"/>
      <c r="L324" s="5"/>
    </row>
    <row r="325" spans="1:12" x14ac:dyDescent="0.25">
      <c r="A325" s="3" t="s">
        <v>75</v>
      </c>
      <c r="B325" s="3">
        <v>20</v>
      </c>
      <c r="C325" s="3">
        <v>11</v>
      </c>
      <c r="D325" s="3">
        <v>2021</v>
      </c>
      <c r="E325" s="4" t="e">
        <f>'Electricity '!I326+'Electricity '!O326</f>
        <v>#VALUE!</v>
      </c>
      <c r="F325" s="153" t="e">
        <f>('Electricity '!I326*0.55+'Gas Water'!H327*1.88)/(Total!E325)</f>
        <v>#VALUE!</v>
      </c>
      <c r="G325" s="4" t="str">
        <f>'Gas Water'!M327</f>
        <v/>
      </c>
      <c r="H325" s="153">
        <v>1.88</v>
      </c>
      <c r="I325" s="2" t="str">
        <f>'Gas Water'!L327</f>
        <v/>
      </c>
      <c r="J325" s="153">
        <v>11.3</v>
      </c>
      <c r="K325" s="5"/>
      <c r="L325" s="5"/>
    </row>
    <row r="326" spans="1:12" x14ac:dyDescent="0.25">
      <c r="A326" s="3" t="s">
        <v>75</v>
      </c>
      <c r="B326" s="3">
        <v>21</v>
      </c>
      <c r="C326" s="3">
        <v>11</v>
      </c>
      <c r="D326" s="3">
        <v>2021</v>
      </c>
      <c r="E326" s="4" t="e">
        <f>'Electricity '!I327+'Electricity '!O327</f>
        <v>#VALUE!</v>
      </c>
      <c r="F326" s="153" t="e">
        <f>('Electricity '!I327*0.55+'Gas Water'!H328*1.88)/(Total!E326)</f>
        <v>#VALUE!</v>
      </c>
      <c r="G326" s="4" t="str">
        <f>'Gas Water'!M328</f>
        <v/>
      </c>
      <c r="H326" s="153">
        <v>1.88</v>
      </c>
      <c r="I326" s="2" t="str">
        <f>'Gas Water'!L328</f>
        <v/>
      </c>
      <c r="J326" s="153">
        <v>11.3</v>
      </c>
      <c r="K326" s="5"/>
      <c r="L326" s="5"/>
    </row>
    <row r="327" spans="1:12" x14ac:dyDescent="0.25">
      <c r="A327" s="3" t="s">
        <v>75</v>
      </c>
      <c r="B327" s="3">
        <v>22</v>
      </c>
      <c r="C327" s="3">
        <v>11</v>
      </c>
      <c r="D327" s="3">
        <v>2021</v>
      </c>
      <c r="E327" s="4" t="e">
        <f>'Electricity '!I328+'Electricity '!O328</f>
        <v>#VALUE!</v>
      </c>
      <c r="F327" s="153" t="e">
        <f>('Electricity '!I328*0.55+'Gas Water'!H329*1.88)/(Total!E327)</f>
        <v>#VALUE!</v>
      </c>
      <c r="G327" s="4" t="str">
        <f>'Gas Water'!M329</f>
        <v/>
      </c>
      <c r="H327" s="153">
        <v>1.88</v>
      </c>
      <c r="I327" s="2" t="str">
        <f>'Gas Water'!L329</f>
        <v/>
      </c>
      <c r="J327" s="153">
        <v>11.3</v>
      </c>
      <c r="K327" s="5"/>
      <c r="L327" s="5"/>
    </row>
    <row r="328" spans="1:12" x14ac:dyDescent="0.25">
      <c r="A328" s="3" t="s">
        <v>75</v>
      </c>
      <c r="B328" s="3">
        <v>23</v>
      </c>
      <c r="C328" s="3">
        <v>11</v>
      </c>
      <c r="D328" s="3">
        <v>2021</v>
      </c>
      <c r="E328" s="4" t="e">
        <f>'Electricity '!I329+'Electricity '!O329</f>
        <v>#VALUE!</v>
      </c>
      <c r="F328" s="153" t="e">
        <f>('Electricity '!I329*0.55+'Gas Water'!H330*1.88)/(Total!E328)</f>
        <v>#VALUE!</v>
      </c>
      <c r="G328" s="4" t="str">
        <f>'Gas Water'!M330</f>
        <v/>
      </c>
      <c r="H328" s="153">
        <v>1.88</v>
      </c>
      <c r="I328" s="2" t="str">
        <f>'Gas Water'!L330</f>
        <v/>
      </c>
      <c r="J328" s="153">
        <v>11.3</v>
      </c>
      <c r="K328" s="5"/>
      <c r="L328" s="5"/>
    </row>
    <row r="329" spans="1:12" x14ac:dyDescent="0.25">
      <c r="A329" s="3" t="s">
        <v>75</v>
      </c>
      <c r="B329" s="3">
        <v>24</v>
      </c>
      <c r="C329" s="3">
        <v>11</v>
      </c>
      <c r="D329" s="3">
        <v>2021</v>
      </c>
      <c r="E329" s="4" t="e">
        <f>'Electricity '!I330+'Electricity '!O330</f>
        <v>#VALUE!</v>
      </c>
      <c r="F329" s="153" t="e">
        <f>('Electricity '!I330*0.55+'Gas Water'!H331*1.88)/(Total!E329)</f>
        <v>#VALUE!</v>
      </c>
      <c r="G329" s="4" t="str">
        <f>'Gas Water'!M331</f>
        <v/>
      </c>
      <c r="H329" s="153">
        <v>1.88</v>
      </c>
      <c r="I329" s="2" t="str">
        <f>'Gas Water'!L331</f>
        <v/>
      </c>
      <c r="J329" s="153">
        <v>11.3</v>
      </c>
      <c r="K329" s="5"/>
      <c r="L329" s="5"/>
    </row>
    <row r="330" spans="1:12" x14ac:dyDescent="0.25">
      <c r="A330" s="3" t="s">
        <v>75</v>
      </c>
      <c r="B330" s="3">
        <v>25</v>
      </c>
      <c r="C330" s="3">
        <v>11</v>
      </c>
      <c r="D330" s="3">
        <v>2021</v>
      </c>
      <c r="E330" s="4" t="e">
        <f>'Electricity '!I331+'Electricity '!O331</f>
        <v>#VALUE!</v>
      </c>
      <c r="F330" s="153" t="e">
        <f>('Electricity '!I331*0.55+'Gas Water'!H332*1.88)/(Total!E330)</f>
        <v>#VALUE!</v>
      </c>
      <c r="G330" s="4" t="str">
        <f>'Gas Water'!M332</f>
        <v/>
      </c>
      <c r="H330" s="153">
        <v>1.88</v>
      </c>
      <c r="I330" s="2" t="str">
        <f>'Gas Water'!L332</f>
        <v/>
      </c>
      <c r="J330" s="153">
        <v>11.3</v>
      </c>
      <c r="K330" s="5"/>
      <c r="L330" s="5"/>
    </row>
    <row r="331" spans="1:12" x14ac:dyDescent="0.25">
      <c r="A331" s="3" t="s">
        <v>75</v>
      </c>
      <c r="B331" s="3">
        <v>26</v>
      </c>
      <c r="C331" s="3">
        <v>11</v>
      </c>
      <c r="D331" s="3">
        <v>2021</v>
      </c>
      <c r="E331" s="4" t="e">
        <f>'Electricity '!I332+'Electricity '!O332</f>
        <v>#VALUE!</v>
      </c>
      <c r="F331" s="153" t="e">
        <f>('Electricity '!I332*0.55+'Gas Water'!H333*1.88)/(Total!E331)</f>
        <v>#VALUE!</v>
      </c>
      <c r="G331" s="4" t="str">
        <f>'Gas Water'!M333</f>
        <v/>
      </c>
      <c r="H331" s="153">
        <v>1.88</v>
      </c>
      <c r="I331" s="2" t="str">
        <f>'Gas Water'!L333</f>
        <v/>
      </c>
      <c r="J331" s="153">
        <v>11.3</v>
      </c>
      <c r="K331" s="5"/>
      <c r="L331" s="5"/>
    </row>
    <row r="332" spans="1:12" x14ac:dyDescent="0.25">
      <c r="A332" s="3" t="s">
        <v>75</v>
      </c>
      <c r="B332" s="3">
        <v>27</v>
      </c>
      <c r="C332" s="3">
        <v>11</v>
      </c>
      <c r="D332" s="3">
        <v>2021</v>
      </c>
      <c r="E332" s="4" t="e">
        <f>'Electricity '!I333+'Electricity '!O333</f>
        <v>#VALUE!</v>
      </c>
      <c r="F332" s="153" t="e">
        <f>('Electricity '!I333*0.55+'Gas Water'!H334*1.88)/(Total!E332)</f>
        <v>#VALUE!</v>
      </c>
      <c r="G332" s="4" t="str">
        <f>'Gas Water'!M334</f>
        <v/>
      </c>
      <c r="H332" s="153">
        <v>1.88</v>
      </c>
      <c r="I332" s="2" t="str">
        <f>'Gas Water'!L334</f>
        <v/>
      </c>
      <c r="J332" s="153">
        <v>11.3</v>
      </c>
      <c r="K332" s="5"/>
      <c r="L332" s="5"/>
    </row>
    <row r="333" spans="1:12" x14ac:dyDescent="0.25">
      <c r="A333" s="3" t="s">
        <v>75</v>
      </c>
      <c r="B333" s="3">
        <v>28</v>
      </c>
      <c r="C333" s="3">
        <v>11</v>
      </c>
      <c r="D333" s="3">
        <v>2021</v>
      </c>
      <c r="E333" s="4" t="e">
        <f>'Electricity '!I334+'Electricity '!O334</f>
        <v>#VALUE!</v>
      </c>
      <c r="F333" s="153" t="e">
        <f>('Electricity '!I334*0.55+'Gas Water'!H335*1.88)/(Total!E333)</f>
        <v>#VALUE!</v>
      </c>
      <c r="G333" s="4" t="str">
        <f>'Gas Water'!M335</f>
        <v/>
      </c>
      <c r="H333" s="153">
        <v>1.88</v>
      </c>
      <c r="I333" s="2" t="str">
        <f>'Gas Water'!L335</f>
        <v/>
      </c>
      <c r="J333" s="153">
        <v>11.3</v>
      </c>
      <c r="K333" s="5"/>
      <c r="L333" s="5"/>
    </row>
    <row r="334" spans="1:12" x14ac:dyDescent="0.25">
      <c r="A334" s="3" t="s">
        <v>75</v>
      </c>
      <c r="B334" s="3">
        <v>29</v>
      </c>
      <c r="C334" s="3">
        <v>11</v>
      </c>
      <c r="D334" s="3">
        <v>2021</v>
      </c>
      <c r="E334" s="4" t="e">
        <f>'Electricity '!I335+'Electricity '!O335</f>
        <v>#VALUE!</v>
      </c>
      <c r="F334" s="153" t="e">
        <f>('Electricity '!I335*0.55+'Gas Water'!H336*1.88)/(Total!E334)</f>
        <v>#VALUE!</v>
      </c>
      <c r="G334" s="4" t="str">
        <f>'Gas Water'!M336</f>
        <v/>
      </c>
      <c r="H334" s="153">
        <v>1.88</v>
      </c>
      <c r="I334" s="2" t="str">
        <f>'Gas Water'!L336</f>
        <v/>
      </c>
      <c r="J334" s="153">
        <v>11.3</v>
      </c>
      <c r="K334" s="5"/>
      <c r="L334" s="5"/>
    </row>
    <row r="335" spans="1:12" x14ac:dyDescent="0.25">
      <c r="A335" s="3" t="s">
        <v>75</v>
      </c>
      <c r="B335" s="3">
        <v>30</v>
      </c>
      <c r="C335" s="3">
        <v>11</v>
      </c>
      <c r="D335" s="3">
        <v>2021</v>
      </c>
      <c r="E335" s="4" t="e">
        <f>'Electricity '!I336+'Electricity '!O336</f>
        <v>#VALUE!</v>
      </c>
      <c r="F335" s="153" t="e">
        <f>('Electricity '!I336*0.55+'Gas Water'!H337*1.88)/(Total!E335)</f>
        <v>#VALUE!</v>
      </c>
      <c r="G335" s="4" t="str">
        <f>'Gas Water'!M337</f>
        <v/>
      </c>
      <c r="H335" s="153">
        <v>1.88</v>
      </c>
      <c r="I335" s="2" t="str">
        <f>'Gas Water'!L337</f>
        <v/>
      </c>
      <c r="J335" s="153">
        <v>11.3</v>
      </c>
      <c r="K335" s="5"/>
      <c r="L335" s="5"/>
    </row>
    <row r="336" spans="1:12" x14ac:dyDescent="0.25">
      <c r="A336" s="3" t="s">
        <v>75</v>
      </c>
      <c r="B336" s="3">
        <v>1</v>
      </c>
      <c r="C336" s="3">
        <v>12</v>
      </c>
      <c r="D336" s="3">
        <v>2021</v>
      </c>
      <c r="E336" s="4" t="e">
        <f>'Electricity '!I337+'Electricity '!O337</f>
        <v>#VALUE!</v>
      </c>
      <c r="F336" s="153" t="e">
        <f>('Electricity '!I337*0.55+'Gas Water'!H338*1.88)/(Total!E336)</f>
        <v>#VALUE!</v>
      </c>
      <c r="G336" s="4" t="str">
        <f>'Gas Water'!M338</f>
        <v/>
      </c>
      <c r="H336" s="153">
        <v>1.88</v>
      </c>
      <c r="I336" s="2" t="str">
        <f>'Gas Water'!L338</f>
        <v/>
      </c>
      <c r="J336" s="153">
        <v>11.3</v>
      </c>
      <c r="K336" s="5"/>
      <c r="L336" s="5"/>
    </row>
    <row r="337" spans="1:12" x14ac:dyDescent="0.25">
      <c r="A337" s="3" t="s">
        <v>75</v>
      </c>
      <c r="B337" s="3">
        <v>2</v>
      </c>
      <c r="C337" s="3">
        <v>12</v>
      </c>
      <c r="D337" s="3">
        <v>2021</v>
      </c>
      <c r="E337" s="4" t="e">
        <f>'Electricity '!I338+'Electricity '!O338</f>
        <v>#VALUE!</v>
      </c>
      <c r="F337" s="153" t="e">
        <f>('Electricity '!I338*0.55+'Gas Water'!H339*1.88)/(Total!E337)</f>
        <v>#VALUE!</v>
      </c>
      <c r="G337" s="4" t="str">
        <f>'Gas Water'!M339</f>
        <v/>
      </c>
      <c r="H337" s="153">
        <v>1.88</v>
      </c>
      <c r="I337" s="2" t="str">
        <f>'Gas Water'!L339</f>
        <v/>
      </c>
      <c r="J337" s="153">
        <v>11.3</v>
      </c>
      <c r="K337" s="5"/>
      <c r="L337" s="5"/>
    </row>
    <row r="338" spans="1:12" x14ac:dyDescent="0.25">
      <c r="A338" s="3" t="s">
        <v>75</v>
      </c>
      <c r="B338" s="3">
        <v>3</v>
      </c>
      <c r="C338" s="3">
        <v>12</v>
      </c>
      <c r="D338" s="3">
        <v>2021</v>
      </c>
      <c r="E338" s="4" t="e">
        <f>'Electricity '!I339+'Electricity '!O339</f>
        <v>#VALUE!</v>
      </c>
      <c r="F338" s="153" t="e">
        <f>('Electricity '!I339*0.55+'Gas Water'!H340*1.88)/(Total!E338)</f>
        <v>#VALUE!</v>
      </c>
      <c r="G338" s="4" t="str">
        <f>'Gas Water'!M340</f>
        <v/>
      </c>
      <c r="H338" s="153">
        <v>1.88</v>
      </c>
      <c r="I338" s="2" t="str">
        <f>'Gas Water'!L340</f>
        <v/>
      </c>
      <c r="J338" s="153">
        <v>11.3</v>
      </c>
      <c r="K338" s="5"/>
      <c r="L338" s="5"/>
    </row>
    <row r="339" spans="1:12" x14ac:dyDescent="0.25">
      <c r="A339" s="3" t="s">
        <v>75</v>
      </c>
      <c r="B339" s="3">
        <v>4</v>
      </c>
      <c r="C339" s="3">
        <v>12</v>
      </c>
      <c r="D339" s="3">
        <v>2021</v>
      </c>
      <c r="E339" s="4" t="e">
        <f>'Electricity '!I340+'Electricity '!O340</f>
        <v>#VALUE!</v>
      </c>
      <c r="F339" s="153" t="e">
        <f>('Electricity '!I340*0.55+'Gas Water'!H341*1.88)/(Total!E339)</f>
        <v>#VALUE!</v>
      </c>
      <c r="G339" s="4" t="str">
        <f>'Gas Water'!M341</f>
        <v/>
      </c>
      <c r="H339" s="153">
        <v>1.88</v>
      </c>
      <c r="I339" s="2" t="str">
        <f>'Gas Water'!L341</f>
        <v/>
      </c>
      <c r="J339" s="153">
        <v>11.3</v>
      </c>
      <c r="K339" s="5"/>
      <c r="L339" s="5"/>
    </row>
    <row r="340" spans="1:12" x14ac:dyDescent="0.25">
      <c r="A340" s="3" t="s">
        <v>75</v>
      </c>
      <c r="B340" s="3">
        <v>5</v>
      </c>
      <c r="C340" s="3">
        <v>12</v>
      </c>
      <c r="D340" s="3">
        <v>2021</v>
      </c>
      <c r="E340" s="4" t="e">
        <f>'Electricity '!I341+'Electricity '!O341</f>
        <v>#VALUE!</v>
      </c>
      <c r="F340" s="153" t="e">
        <f>('Electricity '!I341*0.55+'Gas Water'!H342*1.88)/(Total!E340)</f>
        <v>#VALUE!</v>
      </c>
      <c r="G340" s="4" t="str">
        <f>'Gas Water'!M342</f>
        <v/>
      </c>
      <c r="H340" s="153">
        <v>1.88</v>
      </c>
      <c r="I340" s="2" t="str">
        <f>'Gas Water'!L342</f>
        <v/>
      </c>
      <c r="J340" s="153">
        <v>11.3</v>
      </c>
      <c r="K340" s="5"/>
      <c r="L340" s="5"/>
    </row>
    <row r="341" spans="1:12" x14ac:dyDescent="0.25">
      <c r="A341" s="3" t="s">
        <v>75</v>
      </c>
      <c r="B341" s="3">
        <v>6</v>
      </c>
      <c r="C341" s="3">
        <v>12</v>
      </c>
      <c r="D341" s="3">
        <v>2021</v>
      </c>
      <c r="E341" s="4" t="e">
        <f>'Electricity '!I342+'Electricity '!O342</f>
        <v>#VALUE!</v>
      </c>
      <c r="F341" s="153" t="e">
        <f>('Electricity '!I342*0.55+'Gas Water'!H343*1.88)/(Total!E341)</f>
        <v>#VALUE!</v>
      </c>
      <c r="G341" s="4" t="str">
        <f>'Gas Water'!M343</f>
        <v/>
      </c>
      <c r="H341" s="153">
        <v>1.88</v>
      </c>
      <c r="I341" s="2" t="str">
        <f>'Gas Water'!L343</f>
        <v/>
      </c>
      <c r="J341" s="153">
        <v>11.3</v>
      </c>
      <c r="K341" s="5"/>
      <c r="L341" s="5"/>
    </row>
    <row r="342" spans="1:12" x14ac:dyDescent="0.25">
      <c r="A342" s="3" t="s">
        <v>75</v>
      </c>
      <c r="B342" s="3">
        <v>7</v>
      </c>
      <c r="C342" s="3">
        <v>12</v>
      </c>
      <c r="D342" s="3">
        <v>2021</v>
      </c>
      <c r="E342" s="4" t="e">
        <f>'Electricity '!I343+'Electricity '!O343</f>
        <v>#VALUE!</v>
      </c>
      <c r="F342" s="153" t="e">
        <f>('Electricity '!I343*0.55+'Gas Water'!H344*1.88)/(Total!E342)</f>
        <v>#VALUE!</v>
      </c>
      <c r="G342" s="4" t="str">
        <f>'Gas Water'!M344</f>
        <v/>
      </c>
      <c r="H342" s="153">
        <v>1.88</v>
      </c>
      <c r="I342" s="2" t="str">
        <f>'Gas Water'!L344</f>
        <v/>
      </c>
      <c r="J342" s="153">
        <v>11.3</v>
      </c>
      <c r="K342" s="5"/>
      <c r="L342" s="5"/>
    </row>
    <row r="343" spans="1:12" x14ac:dyDescent="0.25">
      <c r="A343" s="3" t="s">
        <v>75</v>
      </c>
      <c r="B343" s="3">
        <v>8</v>
      </c>
      <c r="C343" s="3">
        <v>12</v>
      </c>
      <c r="D343" s="3">
        <v>2021</v>
      </c>
      <c r="E343" s="4" t="e">
        <f>'Electricity '!I344+'Electricity '!O344</f>
        <v>#VALUE!</v>
      </c>
      <c r="F343" s="153" t="e">
        <f>('Electricity '!I344*0.55+'Gas Water'!H345*1.88)/(Total!E343)</f>
        <v>#VALUE!</v>
      </c>
      <c r="G343" s="4" t="str">
        <f>'Gas Water'!M345</f>
        <v/>
      </c>
      <c r="H343" s="153">
        <v>1.88</v>
      </c>
      <c r="I343" s="2" t="str">
        <f>'Gas Water'!L345</f>
        <v/>
      </c>
      <c r="J343" s="153">
        <v>11.3</v>
      </c>
      <c r="K343" s="5"/>
      <c r="L343" s="5"/>
    </row>
    <row r="344" spans="1:12" x14ac:dyDescent="0.25">
      <c r="A344" s="3" t="s">
        <v>75</v>
      </c>
      <c r="B344" s="3">
        <v>9</v>
      </c>
      <c r="C344" s="3">
        <v>12</v>
      </c>
      <c r="D344" s="3">
        <v>2021</v>
      </c>
      <c r="E344" s="4" t="e">
        <f>'Electricity '!I345+'Electricity '!O345</f>
        <v>#VALUE!</v>
      </c>
      <c r="F344" s="153" t="e">
        <f>('Electricity '!I345*0.55+'Gas Water'!H346*1.88)/(Total!E344)</f>
        <v>#VALUE!</v>
      </c>
      <c r="G344" s="4" t="str">
        <f>'Gas Water'!M346</f>
        <v/>
      </c>
      <c r="H344" s="153">
        <v>1.88</v>
      </c>
      <c r="I344" s="2" t="str">
        <f>'Gas Water'!L346</f>
        <v/>
      </c>
      <c r="J344" s="153">
        <v>11.3</v>
      </c>
      <c r="K344" s="5"/>
      <c r="L344" s="5"/>
    </row>
    <row r="345" spans="1:12" x14ac:dyDescent="0.25">
      <c r="A345" s="3" t="s">
        <v>75</v>
      </c>
      <c r="B345" s="3">
        <v>10</v>
      </c>
      <c r="C345" s="3">
        <v>12</v>
      </c>
      <c r="D345" s="3">
        <v>2021</v>
      </c>
      <c r="E345" s="4" t="e">
        <f>'Electricity '!I346+'Electricity '!O346</f>
        <v>#VALUE!</v>
      </c>
      <c r="F345" s="153" t="e">
        <f>('Electricity '!I346*0.55+'Gas Water'!H347*1.88)/(Total!E345)</f>
        <v>#VALUE!</v>
      </c>
      <c r="G345" s="4" t="str">
        <f>'Gas Water'!M347</f>
        <v/>
      </c>
      <c r="H345" s="153">
        <v>1.88</v>
      </c>
      <c r="I345" s="2" t="str">
        <f>'Gas Water'!L347</f>
        <v/>
      </c>
      <c r="J345" s="153">
        <v>11.3</v>
      </c>
      <c r="K345" s="5"/>
      <c r="L345" s="5"/>
    </row>
    <row r="346" spans="1:12" x14ac:dyDescent="0.25">
      <c r="A346" s="3" t="s">
        <v>75</v>
      </c>
      <c r="B346" s="3">
        <v>11</v>
      </c>
      <c r="C346" s="3">
        <v>12</v>
      </c>
      <c r="D346" s="3">
        <v>2021</v>
      </c>
      <c r="E346" s="4" t="e">
        <f>'Electricity '!I347+'Electricity '!O347</f>
        <v>#VALUE!</v>
      </c>
      <c r="F346" s="153" t="e">
        <f>('Electricity '!I347*0.55+'Gas Water'!H348*1.88)/(Total!E346)</f>
        <v>#VALUE!</v>
      </c>
      <c r="G346" s="4" t="str">
        <f>'Gas Water'!M348</f>
        <v/>
      </c>
      <c r="H346" s="153">
        <v>1.88</v>
      </c>
      <c r="I346" s="2" t="str">
        <f>'Gas Water'!L348</f>
        <v/>
      </c>
      <c r="J346" s="153">
        <v>11.3</v>
      </c>
      <c r="K346" s="5"/>
      <c r="L346" s="5"/>
    </row>
    <row r="347" spans="1:12" x14ac:dyDescent="0.25">
      <c r="A347" s="3" t="s">
        <v>75</v>
      </c>
      <c r="B347" s="3">
        <v>12</v>
      </c>
      <c r="C347" s="3">
        <v>12</v>
      </c>
      <c r="D347" s="3">
        <v>2021</v>
      </c>
      <c r="E347" s="4" t="e">
        <f>'Electricity '!I348+'Electricity '!O348</f>
        <v>#VALUE!</v>
      </c>
      <c r="F347" s="153" t="e">
        <f>('Electricity '!I348*0.55+'Gas Water'!H349*1.88)/(Total!E347)</f>
        <v>#VALUE!</v>
      </c>
      <c r="G347" s="4" t="str">
        <f>'Gas Water'!M349</f>
        <v/>
      </c>
      <c r="H347" s="153">
        <v>1.88</v>
      </c>
      <c r="I347" s="2" t="str">
        <f>'Gas Water'!L349</f>
        <v/>
      </c>
      <c r="J347" s="153">
        <v>11.3</v>
      </c>
      <c r="K347" s="5"/>
      <c r="L347" s="5"/>
    </row>
    <row r="348" spans="1:12" x14ac:dyDescent="0.25">
      <c r="A348" s="3" t="s">
        <v>75</v>
      </c>
      <c r="B348" s="3">
        <v>13</v>
      </c>
      <c r="C348" s="3">
        <v>12</v>
      </c>
      <c r="D348" s="3">
        <v>2021</v>
      </c>
      <c r="E348" s="4" t="e">
        <f>'Electricity '!I349+'Electricity '!O349</f>
        <v>#VALUE!</v>
      </c>
      <c r="F348" s="153" t="e">
        <f>('Electricity '!I349*0.55+'Gas Water'!H350*1.88)/(Total!E348)</f>
        <v>#VALUE!</v>
      </c>
      <c r="G348" s="4" t="str">
        <f>'Gas Water'!M350</f>
        <v/>
      </c>
      <c r="H348" s="153">
        <v>1.88</v>
      </c>
      <c r="I348" s="2" t="str">
        <f>'Gas Water'!L350</f>
        <v/>
      </c>
      <c r="J348" s="153">
        <v>11.3</v>
      </c>
      <c r="K348" s="5"/>
      <c r="L348" s="5"/>
    </row>
    <row r="349" spans="1:12" x14ac:dyDescent="0.25">
      <c r="A349" s="3" t="s">
        <v>75</v>
      </c>
      <c r="B349" s="3">
        <v>14</v>
      </c>
      <c r="C349" s="3">
        <v>12</v>
      </c>
      <c r="D349" s="3">
        <v>2021</v>
      </c>
      <c r="E349" s="4" t="e">
        <f>'Electricity '!I350+'Electricity '!O350</f>
        <v>#VALUE!</v>
      </c>
      <c r="F349" s="153" t="e">
        <f>('Electricity '!I350*0.55+'Gas Water'!H351*1.88)/(Total!E349)</f>
        <v>#VALUE!</v>
      </c>
      <c r="G349" s="4" t="str">
        <f>'Gas Water'!M351</f>
        <v/>
      </c>
      <c r="H349" s="153">
        <v>1.88</v>
      </c>
      <c r="I349" s="2" t="str">
        <f>'Gas Water'!L351</f>
        <v/>
      </c>
      <c r="J349" s="153">
        <v>11.3</v>
      </c>
      <c r="K349" s="5"/>
      <c r="L349" s="5"/>
    </row>
    <row r="350" spans="1:12" x14ac:dyDescent="0.25">
      <c r="A350" s="3" t="s">
        <v>75</v>
      </c>
      <c r="B350" s="3">
        <v>15</v>
      </c>
      <c r="C350" s="3">
        <v>12</v>
      </c>
      <c r="D350" s="3">
        <v>2021</v>
      </c>
      <c r="E350" s="4" t="e">
        <f>'Electricity '!I351+'Electricity '!O351</f>
        <v>#VALUE!</v>
      </c>
      <c r="F350" s="153" t="e">
        <f>('Electricity '!I351*0.55+'Gas Water'!H352*1.88)/(Total!E350)</f>
        <v>#VALUE!</v>
      </c>
      <c r="G350" s="4" t="str">
        <f>'Gas Water'!M352</f>
        <v/>
      </c>
      <c r="H350" s="153">
        <v>1.88</v>
      </c>
      <c r="I350" s="2" t="str">
        <f>'Gas Water'!L352</f>
        <v/>
      </c>
      <c r="J350" s="153">
        <v>11.3</v>
      </c>
      <c r="K350" s="5"/>
      <c r="L350" s="5"/>
    </row>
    <row r="351" spans="1:12" x14ac:dyDescent="0.25">
      <c r="A351" s="3" t="s">
        <v>75</v>
      </c>
      <c r="B351" s="3">
        <v>16</v>
      </c>
      <c r="C351" s="3">
        <v>12</v>
      </c>
      <c r="D351" s="3">
        <v>2021</v>
      </c>
      <c r="E351" s="4" t="e">
        <f>'Electricity '!I352+'Electricity '!O352</f>
        <v>#VALUE!</v>
      </c>
      <c r="F351" s="153" t="e">
        <f>('Electricity '!I352*0.55+'Gas Water'!H353*1.88)/(Total!E351)</f>
        <v>#VALUE!</v>
      </c>
      <c r="G351" s="4" t="str">
        <f>'Gas Water'!M353</f>
        <v/>
      </c>
      <c r="H351" s="153">
        <v>1.88</v>
      </c>
      <c r="I351" s="2" t="str">
        <f>'Gas Water'!L353</f>
        <v/>
      </c>
      <c r="J351" s="153">
        <v>11.3</v>
      </c>
      <c r="K351" s="5"/>
      <c r="L351" s="5"/>
    </row>
    <row r="352" spans="1:12" x14ac:dyDescent="0.25">
      <c r="A352" s="3" t="s">
        <v>75</v>
      </c>
      <c r="B352" s="3">
        <v>17</v>
      </c>
      <c r="C352" s="3">
        <v>12</v>
      </c>
      <c r="D352" s="3">
        <v>2021</v>
      </c>
      <c r="E352" s="4" t="e">
        <f>'Electricity '!I353+'Electricity '!O353</f>
        <v>#VALUE!</v>
      </c>
      <c r="F352" s="153" t="e">
        <f>('Electricity '!I353*0.55+'Gas Water'!H354*1.88)/(Total!E352)</f>
        <v>#VALUE!</v>
      </c>
      <c r="G352" s="4" t="str">
        <f>'Gas Water'!M354</f>
        <v/>
      </c>
      <c r="H352" s="153">
        <v>1.88</v>
      </c>
      <c r="I352" s="2" t="str">
        <f>'Gas Water'!L354</f>
        <v/>
      </c>
      <c r="J352" s="153">
        <v>11.3</v>
      </c>
      <c r="K352" s="5"/>
      <c r="L352" s="5"/>
    </row>
    <row r="353" spans="1:12" x14ac:dyDescent="0.25">
      <c r="A353" s="3" t="s">
        <v>75</v>
      </c>
      <c r="B353" s="3">
        <v>18</v>
      </c>
      <c r="C353" s="3">
        <v>12</v>
      </c>
      <c r="D353" s="3">
        <v>2021</v>
      </c>
      <c r="E353" s="4" t="e">
        <f>'Electricity '!I354+'Electricity '!O354</f>
        <v>#VALUE!</v>
      </c>
      <c r="F353" s="153" t="e">
        <f>('Electricity '!I354*0.55+'Gas Water'!H355*1.88)/(Total!E353)</f>
        <v>#VALUE!</v>
      </c>
      <c r="G353" s="4" t="str">
        <f>'Gas Water'!M355</f>
        <v/>
      </c>
      <c r="H353" s="153">
        <v>1.88</v>
      </c>
      <c r="I353" s="2" t="str">
        <f>'Gas Water'!L355</f>
        <v/>
      </c>
      <c r="J353" s="153">
        <v>11.3</v>
      </c>
      <c r="K353" s="5"/>
      <c r="L353" s="5"/>
    </row>
    <row r="354" spans="1:12" x14ac:dyDescent="0.25">
      <c r="A354" s="3" t="s">
        <v>75</v>
      </c>
      <c r="B354" s="3">
        <v>19</v>
      </c>
      <c r="C354" s="3">
        <v>12</v>
      </c>
      <c r="D354" s="3">
        <v>2021</v>
      </c>
      <c r="E354" s="4" t="e">
        <f>'Electricity '!I355+'Electricity '!O355</f>
        <v>#VALUE!</v>
      </c>
      <c r="F354" s="153" t="e">
        <f>('Electricity '!I355*0.55+'Gas Water'!H356*1.88)/(Total!E354)</f>
        <v>#VALUE!</v>
      </c>
      <c r="G354" s="4" t="str">
        <f>'Gas Water'!M356</f>
        <v/>
      </c>
      <c r="H354" s="153">
        <v>1.88</v>
      </c>
      <c r="I354" s="2" t="str">
        <f>'Gas Water'!L356</f>
        <v/>
      </c>
      <c r="J354" s="153">
        <v>11.3</v>
      </c>
      <c r="K354" s="5"/>
      <c r="L354" s="5"/>
    </row>
    <row r="355" spans="1:12" x14ac:dyDescent="0.25">
      <c r="A355" s="3" t="s">
        <v>75</v>
      </c>
      <c r="B355" s="3">
        <v>20</v>
      </c>
      <c r="C355" s="3">
        <v>12</v>
      </c>
      <c r="D355" s="3">
        <v>2021</v>
      </c>
      <c r="E355" s="4" t="e">
        <f>'Electricity '!I356+'Electricity '!O356</f>
        <v>#VALUE!</v>
      </c>
      <c r="F355" s="153" t="e">
        <f>('Electricity '!I356*0.55+'Gas Water'!H357*1.88)/(Total!E355)</f>
        <v>#VALUE!</v>
      </c>
      <c r="G355" s="4" t="str">
        <f>'Gas Water'!M357</f>
        <v/>
      </c>
      <c r="H355" s="153">
        <v>1.88</v>
      </c>
      <c r="I355" s="2" t="str">
        <f>'Gas Water'!L357</f>
        <v/>
      </c>
      <c r="J355" s="153">
        <v>11.3</v>
      </c>
      <c r="K355" s="5"/>
      <c r="L355" s="5"/>
    </row>
    <row r="356" spans="1:12" x14ac:dyDescent="0.25">
      <c r="A356" s="3" t="s">
        <v>75</v>
      </c>
      <c r="B356" s="3">
        <v>21</v>
      </c>
      <c r="C356" s="3">
        <v>12</v>
      </c>
      <c r="D356" s="3">
        <v>2021</v>
      </c>
      <c r="E356" s="4" t="e">
        <f>'Electricity '!I357+'Electricity '!O357</f>
        <v>#VALUE!</v>
      </c>
      <c r="F356" s="153" t="e">
        <f>('Electricity '!I357*0.55+'Gas Water'!H358*1.88)/(Total!E356)</f>
        <v>#VALUE!</v>
      </c>
      <c r="G356" s="4" t="str">
        <f>'Gas Water'!M358</f>
        <v/>
      </c>
      <c r="H356" s="153">
        <v>1.88</v>
      </c>
      <c r="I356" s="2" t="str">
        <f>'Gas Water'!L358</f>
        <v/>
      </c>
      <c r="J356" s="153">
        <v>11.3</v>
      </c>
      <c r="K356" s="5"/>
      <c r="L356" s="5"/>
    </row>
    <row r="357" spans="1:12" x14ac:dyDescent="0.25">
      <c r="A357" s="3" t="s">
        <v>75</v>
      </c>
      <c r="B357" s="3">
        <v>22</v>
      </c>
      <c r="C357" s="3">
        <v>12</v>
      </c>
      <c r="D357" s="3">
        <v>2021</v>
      </c>
      <c r="E357" s="4" t="e">
        <f>'Electricity '!I358+'Electricity '!O358</f>
        <v>#VALUE!</v>
      </c>
      <c r="F357" s="153" t="e">
        <f>('Electricity '!I358*0.55+'Gas Water'!H359*1.88)/(Total!E357)</f>
        <v>#VALUE!</v>
      </c>
      <c r="G357" s="4" t="str">
        <f>'Gas Water'!M359</f>
        <v/>
      </c>
      <c r="H357" s="153">
        <v>1.88</v>
      </c>
      <c r="I357" s="2" t="str">
        <f>'Gas Water'!L359</f>
        <v/>
      </c>
      <c r="J357" s="153">
        <v>11.3</v>
      </c>
      <c r="K357" s="5"/>
      <c r="L357" s="5"/>
    </row>
    <row r="358" spans="1:12" x14ac:dyDescent="0.25">
      <c r="A358" s="3" t="s">
        <v>75</v>
      </c>
      <c r="B358" s="3">
        <v>23</v>
      </c>
      <c r="C358" s="3">
        <v>12</v>
      </c>
      <c r="D358" s="3">
        <v>2021</v>
      </c>
      <c r="E358" s="4" t="e">
        <f>'Electricity '!I359+'Electricity '!O359</f>
        <v>#VALUE!</v>
      </c>
      <c r="F358" s="153" t="e">
        <f>('Electricity '!I359*0.55+'Gas Water'!H360*1.88)/(Total!E358)</f>
        <v>#VALUE!</v>
      </c>
      <c r="G358" s="4" t="str">
        <f>'Gas Water'!M360</f>
        <v/>
      </c>
      <c r="H358" s="153">
        <v>1.88</v>
      </c>
      <c r="I358" s="2" t="str">
        <f>'Gas Water'!L360</f>
        <v/>
      </c>
      <c r="J358" s="153">
        <v>11.3</v>
      </c>
      <c r="K358" s="5"/>
      <c r="L358" s="5"/>
    </row>
    <row r="359" spans="1:12" x14ac:dyDescent="0.25">
      <c r="A359" s="3" t="s">
        <v>75</v>
      </c>
      <c r="B359" s="3">
        <v>24</v>
      </c>
      <c r="C359" s="3">
        <v>12</v>
      </c>
      <c r="D359" s="3">
        <v>2021</v>
      </c>
      <c r="E359" s="4" t="e">
        <f>'Electricity '!I360+'Electricity '!O360</f>
        <v>#VALUE!</v>
      </c>
      <c r="F359" s="153" t="e">
        <f>('Electricity '!I360*0.55+'Gas Water'!H361*1.88)/(Total!E359)</f>
        <v>#VALUE!</v>
      </c>
      <c r="G359" s="4" t="str">
        <f>'Gas Water'!M361</f>
        <v/>
      </c>
      <c r="H359" s="153">
        <v>1.88</v>
      </c>
      <c r="I359" s="2" t="str">
        <f>'Gas Water'!L361</f>
        <v/>
      </c>
      <c r="J359" s="153">
        <v>11.3</v>
      </c>
      <c r="K359" s="5"/>
      <c r="L359" s="5"/>
    </row>
    <row r="360" spans="1:12" x14ac:dyDescent="0.25">
      <c r="A360" s="3" t="s">
        <v>75</v>
      </c>
      <c r="B360" s="3">
        <v>25</v>
      </c>
      <c r="C360" s="3">
        <v>12</v>
      </c>
      <c r="D360" s="3">
        <v>2021</v>
      </c>
      <c r="E360" s="4" t="e">
        <f>'Electricity '!I361+'Electricity '!O361</f>
        <v>#VALUE!</v>
      </c>
      <c r="F360" s="153" t="e">
        <f>('Electricity '!I361*0.55+'Gas Water'!H362*1.88)/(Total!E360)</f>
        <v>#VALUE!</v>
      </c>
      <c r="G360" s="4" t="str">
        <f>'Gas Water'!M362</f>
        <v/>
      </c>
      <c r="H360" s="153">
        <v>1.88</v>
      </c>
      <c r="I360" s="2" t="str">
        <f>'Gas Water'!L362</f>
        <v/>
      </c>
      <c r="J360" s="153">
        <v>11.3</v>
      </c>
      <c r="K360" s="5"/>
      <c r="L360" s="5"/>
    </row>
    <row r="361" spans="1:12" x14ac:dyDescent="0.25">
      <c r="A361" s="3" t="s">
        <v>75</v>
      </c>
      <c r="B361" s="3">
        <v>26</v>
      </c>
      <c r="C361" s="3">
        <v>12</v>
      </c>
      <c r="D361" s="3">
        <v>2021</v>
      </c>
      <c r="E361" s="4" t="e">
        <f>'Electricity '!I362+'Electricity '!O362</f>
        <v>#VALUE!</v>
      </c>
      <c r="F361" s="153" t="e">
        <f>('Electricity '!I362*0.55+'Gas Water'!H363*1.88)/(Total!E361)</f>
        <v>#VALUE!</v>
      </c>
      <c r="G361" s="4" t="str">
        <f>'Gas Water'!M363</f>
        <v/>
      </c>
      <c r="H361" s="153">
        <v>1.88</v>
      </c>
      <c r="I361" s="2" t="str">
        <f>'Gas Water'!L363</f>
        <v/>
      </c>
      <c r="J361" s="153">
        <v>11.3</v>
      </c>
      <c r="K361" s="5"/>
      <c r="L361" s="5"/>
    </row>
    <row r="362" spans="1:12" x14ac:dyDescent="0.25">
      <c r="A362" s="3" t="s">
        <v>75</v>
      </c>
      <c r="B362" s="3">
        <v>27</v>
      </c>
      <c r="C362" s="3">
        <v>12</v>
      </c>
      <c r="D362" s="3">
        <v>2021</v>
      </c>
      <c r="E362" s="4" t="e">
        <f>'Electricity '!I363+'Electricity '!O363</f>
        <v>#VALUE!</v>
      </c>
      <c r="F362" s="153" t="e">
        <f>('Electricity '!I363*0.55+'Gas Water'!H364*1.88)/(Total!E362)</f>
        <v>#VALUE!</v>
      </c>
      <c r="G362" s="4" t="str">
        <f>'Gas Water'!M364</f>
        <v/>
      </c>
      <c r="H362" s="153">
        <v>1.88</v>
      </c>
      <c r="I362" s="2" t="str">
        <f>'Gas Water'!L364</f>
        <v/>
      </c>
      <c r="J362" s="153">
        <v>11.3</v>
      </c>
      <c r="K362" s="5"/>
      <c r="L362" s="5"/>
    </row>
    <row r="363" spans="1:12" x14ac:dyDescent="0.25">
      <c r="A363" s="3" t="s">
        <v>75</v>
      </c>
      <c r="B363" s="3">
        <v>28</v>
      </c>
      <c r="C363" s="3">
        <v>12</v>
      </c>
      <c r="D363" s="3">
        <v>2021</v>
      </c>
      <c r="E363" s="4" t="e">
        <f>'Electricity '!I364+'Electricity '!O364</f>
        <v>#VALUE!</v>
      </c>
      <c r="F363" s="153" t="e">
        <f>('Electricity '!I364*0.55+'Gas Water'!H365*1.88)/(Total!E363)</f>
        <v>#VALUE!</v>
      </c>
      <c r="G363" s="4" t="str">
        <f>'Gas Water'!M365</f>
        <v/>
      </c>
      <c r="H363" s="153">
        <v>1.88</v>
      </c>
      <c r="I363" s="2" t="str">
        <f>'Gas Water'!L365</f>
        <v/>
      </c>
      <c r="J363" s="153">
        <v>11.3</v>
      </c>
      <c r="K363" s="5"/>
      <c r="L363" s="5"/>
    </row>
    <row r="364" spans="1:12" x14ac:dyDescent="0.25">
      <c r="A364" s="3" t="s">
        <v>75</v>
      </c>
      <c r="B364" s="3">
        <v>29</v>
      </c>
      <c r="C364" s="3">
        <v>12</v>
      </c>
      <c r="D364" s="3">
        <v>2021</v>
      </c>
      <c r="E364" s="4" t="e">
        <f>'Electricity '!I365+'Electricity '!O365</f>
        <v>#VALUE!</v>
      </c>
      <c r="F364" s="153" t="e">
        <f>('Electricity '!I365*0.55+'Gas Water'!H366*1.88)/(Total!E364)</f>
        <v>#VALUE!</v>
      </c>
      <c r="G364" s="4" t="str">
        <f>'Gas Water'!M366</f>
        <v/>
      </c>
      <c r="H364" s="153">
        <v>1.88</v>
      </c>
      <c r="I364" s="2" t="str">
        <f>'Gas Water'!L366</f>
        <v/>
      </c>
      <c r="J364" s="153">
        <v>11.3</v>
      </c>
      <c r="K364" s="5"/>
      <c r="L364" s="5"/>
    </row>
    <row r="365" spans="1:12" x14ac:dyDescent="0.25">
      <c r="A365" s="3" t="s">
        <v>75</v>
      </c>
      <c r="B365" s="3">
        <v>30</v>
      </c>
      <c r="C365" s="3">
        <v>12</v>
      </c>
      <c r="D365" s="3">
        <v>2021</v>
      </c>
      <c r="E365" s="4" t="e">
        <f>'Electricity '!I366+'Electricity '!O366</f>
        <v>#VALUE!</v>
      </c>
      <c r="F365" s="153" t="e">
        <f>('Electricity '!I366*0.55+'Gas Water'!H367*1.88)/(Total!E365)</f>
        <v>#VALUE!</v>
      </c>
      <c r="G365" s="4" t="str">
        <f>'Gas Water'!M367</f>
        <v/>
      </c>
      <c r="H365" s="153">
        <v>1.88</v>
      </c>
      <c r="I365" s="2" t="str">
        <f>'Gas Water'!L367</f>
        <v/>
      </c>
      <c r="J365" s="153">
        <v>11.3</v>
      </c>
      <c r="K365" s="5"/>
      <c r="L365" s="5"/>
    </row>
    <row r="366" spans="1:12" x14ac:dyDescent="0.25">
      <c r="A366" s="3" t="s">
        <v>75</v>
      </c>
      <c r="B366" s="3">
        <v>31</v>
      </c>
      <c r="C366" s="3">
        <v>12</v>
      </c>
      <c r="D366" s="3">
        <v>2021</v>
      </c>
      <c r="E366" s="4" t="e">
        <f>'Electricity '!I367+'Electricity '!O367</f>
        <v>#VALUE!</v>
      </c>
      <c r="F366" s="153" t="e">
        <f>('Electricity '!I367*0.55+'Gas Water'!H368*1.88)/(Total!E366)</f>
        <v>#VALUE!</v>
      </c>
      <c r="G366" s="4" t="str">
        <f>'Gas Water'!M368</f>
        <v/>
      </c>
      <c r="H366" s="153">
        <v>1.88</v>
      </c>
      <c r="I366" s="2" t="str">
        <f>'Gas Water'!L368</f>
        <v/>
      </c>
      <c r="J366" s="153">
        <v>11.3</v>
      </c>
      <c r="K366" s="5"/>
      <c r="L366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71"/>
  <sheetViews>
    <sheetView topLeftCell="A178" workbookViewId="0">
      <selection activeCell="S209" sqref="S209"/>
    </sheetView>
  </sheetViews>
  <sheetFormatPr defaultColWidth="9.140625" defaultRowHeight="12.75" x14ac:dyDescent="0.25"/>
  <cols>
    <col min="1" max="1" width="2.5703125" style="9" customWidth="1"/>
    <col min="2" max="2" width="10.7109375" style="9" customWidth="1"/>
    <col min="3" max="3" width="11.140625" style="9" customWidth="1"/>
    <col min="4" max="4" width="11.28515625" style="9" customWidth="1"/>
    <col min="5" max="6" width="12.85546875" style="9" customWidth="1"/>
    <col min="7" max="8" width="11" style="9" customWidth="1"/>
    <col min="9" max="9" width="11.28515625" style="9" customWidth="1"/>
    <col min="10" max="10" width="15.85546875" style="9" customWidth="1"/>
    <col min="11" max="11" width="12.140625" style="9" customWidth="1"/>
    <col min="12" max="12" width="11.28515625" style="9" customWidth="1"/>
    <col min="13" max="13" width="11.42578125" style="9" customWidth="1"/>
    <col min="14" max="14" width="13.28515625" style="9" customWidth="1"/>
    <col min="15" max="15" width="14.5703125" style="9" customWidth="1"/>
    <col min="16" max="17" width="9.140625" style="9"/>
    <col min="18" max="18" width="10.140625" style="9" bestFit="1" customWidth="1"/>
    <col min="19" max="256" width="9.140625" style="9"/>
    <col min="257" max="257" width="2.5703125" style="9" customWidth="1"/>
    <col min="258" max="258" width="10.7109375" style="9" customWidth="1"/>
    <col min="259" max="259" width="11.140625" style="9" customWidth="1"/>
    <col min="260" max="260" width="11.28515625" style="9" customWidth="1"/>
    <col min="261" max="262" width="12.85546875" style="9" customWidth="1"/>
    <col min="263" max="264" width="11" style="9" customWidth="1"/>
    <col min="265" max="265" width="11.28515625" style="9" customWidth="1"/>
    <col min="266" max="266" width="15.85546875" style="9" customWidth="1"/>
    <col min="267" max="267" width="12.140625" style="9" customWidth="1"/>
    <col min="268" max="268" width="11.28515625" style="9" customWidth="1"/>
    <col min="269" max="269" width="11.42578125" style="9" customWidth="1"/>
    <col min="270" max="270" width="13.28515625" style="9" customWidth="1"/>
    <col min="271" max="271" width="14.5703125" style="9" customWidth="1"/>
    <col min="272" max="273" width="9.140625" style="9"/>
    <col min="274" max="274" width="10.140625" style="9" bestFit="1" customWidth="1"/>
    <col min="275" max="512" width="9.140625" style="9"/>
    <col min="513" max="513" width="2.5703125" style="9" customWidth="1"/>
    <col min="514" max="514" width="10.7109375" style="9" customWidth="1"/>
    <col min="515" max="515" width="11.140625" style="9" customWidth="1"/>
    <col min="516" max="516" width="11.28515625" style="9" customWidth="1"/>
    <col min="517" max="518" width="12.85546875" style="9" customWidth="1"/>
    <col min="519" max="520" width="11" style="9" customWidth="1"/>
    <col min="521" max="521" width="11.28515625" style="9" customWidth="1"/>
    <col min="522" max="522" width="15.85546875" style="9" customWidth="1"/>
    <col min="523" max="523" width="12.140625" style="9" customWidth="1"/>
    <col min="524" max="524" width="11.28515625" style="9" customWidth="1"/>
    <col min="525" max="525" width="11.42578125" style="9" customWidth="1"/>
    <col min="526" max="526" width="13.28515625" style="9" customWidth="1"/>
    <col min="527" max="527" width="14.5703125" style="9" customWidth="1"/>
    <col min="528" max="529" width="9.140625" style="9"/>
    <col min="530" max="530" width="10.140625" style="9" bestFit="1" customWidth="1"/>
    <col min="531" max="768" width="9.140625" style="9"/>
    <col min="769" max="769" width="2.5703125" style="9" customWidth="1"/>
    <col min="770" max="770" width="10.7109375" style="9" customWidth="1"/>
    <col min="771" max="771" width="11.140625" style="9" customWidth="1"/>
    <col min="772" max="772" width="11.28515625" style="9" customWidth="1"/>
    <col min="773" max="774" width="12.85546875" style="9" customWidth="1"/>
    <col min="775" max="776" width="11" style="9" customWidth="1"/>
    <col min="777" max="777" width="11.28515625" style="9" customWidth="1"/>
    <col min="778" max="778" width="15.85546875" style="9" customWidth="1"/>
    <col min="779" max="779" width="12.140625" style="9" customWidth="1"/>
    <col min="780" max="780" width="11.28515625" style="9" customWidth="1"/>
    <col min="781" max="781" width="11.42578125" style="9" customWidth="1"/>
    <col min="782" max="782" width="13.28515625" style="9" customWidth="1"/>
    <col min="783" max="783" width="14.5703125" style="9" customWidth="1"/>
    <col min="784" max="785" width="9.140625" style="9"/>
    <col min="786" max="786" width="10.140625" style="9" bestFit="1" customWidth="1"/>
    <col min="787" max="1024" width="9.140625" style="9"/>
    <col min="1025" max="1025" width="2.5703125" style="9" customWidth="1"/>
    <col min="1026" max="1026" width="10.7109375" style="9" customWidth="1"/>
    <col min="1027" max="1027" width="11.140625" style="9" customWidth="1"/>
    <col min="1028" max="1028" width="11.28515625" style="9" customWidth="1"/>
    <col min="1029" max="1030" width="12.85546875" style="9" customWidth="1"/>
    <col min="1031" max="1032" width="11" style="9" customWidth="1"/>
    <col min="1033" max="1033" width="11.28515625" style="9" customWidth="1"/>
    <col min="1034" max="1034" width="15.85546875" style="9" customWidth="1"/>
    <col min="1035" max="1035" width="12.140625" style="9" customWidth="1"/>
    <col min="1036" max="1036" width="11.28515625" style="9" customWidth="1"/>
    <col min="1037" max="1037" width="11.42578125" style="9" customWidth="1"/>
    <col min="1038" max="1038" width="13.28515625" style="9" customWidth="1"/>
    <col min="1039" max="1039" width="14.5703125" style="9" customWidth="1"/>
    <col min="1040" max="1041" width="9.140625" style="9"/>
    <col min="1042" max="1042" width="10.140625" style="9" bestFit="1" customWidth="1"/>
    <col min="1043" max="1280" width="9.140625" style="9"/>
    <col min="1281" max="1281" width="2.5703125" style="9" customWidth="1"/>
    <col min="1282" max="1282" width="10.7109375" style="9" customWidth="1"/>
    <col min="1283" max="1283" width="11.140625" style="9" customWidth="1"/>
    <col min="1284" max="1284" width="11.28515625" style="9" customWidth="1"/>
    <col min="1285" max="1286" width="12.85546875" style="9" customWidth="1"/>
    <col min="1287" max="1288" width="11" style="9" customWidth="1"/>
    <col min="1289" max="1289" width="11.28515625" style="9" customWidth="1"/>
    <col min="1290" max="1290" width="15.85546875" style="9" customWidth="1"/>
    <col min="1291" max="1291" width="12.140625" style="9" customWidth="1"/>
    <col min="1292" max="1292" width="11.28515625" style="9" customWidth="1"/>
    <col min="1293" max="1293" width="11.42578125" style="9" customWidth="1"/>
    <col min="1294" max="1294" width="13.28515625" style="9" customWidth="1"/>
    <col min="1295" max="1295" width="14.5703125" style="9" customWidth="1"/>
    <col min="1296" max="1297" width="9.140625" style="9"/>
    <col min="1298" max="1298" width="10.140625" style="9" bestFit="1" customWidth="1"/>
    <col min="1299" max="1536" width="9.140625" style="9"/>
    <col min="1537" max="1537" width="2.5703125" style="9" customWidth="1"/>
    <col min="1538" max="1538" width="10.7109375" style="9" customWidth="1"/>
    <col min="1539" max="1539" width="11.140625" style="9" customWidth="1"/>
    <col min="1540" max="1540" width="11.28515625" style="9" customWidth="1"/>
    <col min="1541" max="1542" width="12.85546875" style="9" customWidth="1"/>
    <col min="1543" max="1544" width="11" style="9" customWidth="1"/>
    <col min="1545" max="1545" width="11.28515625" style="9" customWidth="1"/>
    <col min="1546" max="1546" width="15.85546875" style="9" customWidth="1"/>
    <col min="1547" max="1547" width="12.140625" style="9" customWidth="1"/>
    <col min="1548" max="1548" width="11.28515625" style="9" customWidth="1"/>
    <col min="1549" max="1549" width="11.42578125" style="9" customWidth="1"/>
    <col min="1550" max="1550" width="13.28515625" style="9" customWidth="1"/>
    <col min="1551" max="1551" width="14.5703125" style="9" customWidth="1"/>
    <col min="1552" max="1553" width="9.140625" style="9"/>
    <col min="1554" max="1554" width="10.140625" style="9" bestFit="1" customWidth="1"/>
    <col min="1555" max="1792" width="9.140625" style="9"/>
    <col min="1793" max="1793" width="2.5703125" style="9" customWidth="1"/>
    <col min="1794" max="1794" width="10.7109375" style="9" customWidth="1"/>
    <col min="1795" max="1795" width="11.140625" style="9" customWidth="1"/>
    <col min="1796" max="1796" width="11.28515625" style="9" customWidth="1"/>
    <col min="1797" max="1798" width="12.85546875" style="9" customWidth="1"/>
    <col min="1799" max="1800" width="11" style="9" customWidth="1"/>
    <col min="1801" max="1801" width="11.28515625" style="9" customWidth="1"/>
    <col min="1802" max="1802" width="15.85546875" style="9" customWidth="1"/>
    <col min="1803" max="1803" width="12.140625" style="9" customWidth="1"/>
    <col min="1804" max="1804" width="11.28515625" style="9" customWidth="1"/>
    <col min="1805" max="1805" width="11.42578125" style="9" customWidth="1"/>
    <col min="1806" max="1806" width="13.28515625" style="9" customWidth="1"/>
    <col min="1807" max="1807" width="14.5703125" style="9" customWidth="1"/>
    <col min="1808" max="1809" width="9.140625" style="9"/>
    <col min="1810" max="1810" width="10.140625" style="9" bestFit="1" customWidth="1"/>
    <col min="1811" max="2048" width="9.140625" style="9"/>
    <col min="2049" max="2049" width="2.5703125" style="9" customWidth="1"/>
    <col min="2050" max="2050" width="10.7109375" style="9" customWidth="1"/>
    <col min="2051" max="2051" width="11.140625" style="9" customWidth="1"/>
    <col min="2052" max="2052" width="11.28515625" style="9" customWidth="1"/>
    <col min="2053" max="2054" width="12.85546875" style="9" customWidth="1"/>
    <col min="2055" max="2056" width="11" style="9" customWidth="1"/>
    <col min="2057" max="2057" width="11.28515625" style="9" customWidth="1"/>
    <col min="2058" max="2058" width="15.85546875" style="9" customWidth="1"/>
    <col min="2059" max="2059" width="12.140625" style="9" customWidth="1"/>
    <col min="2060" max="2060" width="11.28515625" style="9" customWidth="1"/>
    <col min="2061" max="2061" width="11.42578125" style="9" customWidth="1"/>
    <col min="2062" max="2062" width="13.28515625" style="9" customWidth="1"/>
    <col min="2063" max="2063" width="14.5703125" style="9" customWidth="1"/>
    <col min="2064" max="2065" width="9.140625" style="9"/>
    <col min="2066" max="2066" width="10.140625" style="9" bestFit="1" customWidth="1"/>
    <col min="2067" max="2304" width="9.140625" style="9"/>
    <col min="2305" max="2305" width="2.5703125" style="9" customWidth="1"/>
    <col min="2306" max="2306" width="10.7109375" style="9" customWidth="1"/>
    <col min="2307" max="2307" width="11.140625" style="9" customWidth="1"/>
    <col min="2308" max="2308" width="11.28515625" style="9" customWidth="1"/>
    <col min="2309" max="2310" width="12.85546875" style="9" customWidth="1"/>
    <col min="2311" max="2312" width="11" style="9" customWidth="1"/>
    <col min="2313" max="2313" width="11.28515625" style="9" customWidth="1"/>
    <col min="2314" max="2314" width="15.85546875" style="9" customWidth="1"/>
    <col min="2315" max="2315" width="12.140625" style="9" customWidth="1"/>
    <col min="2316" max="2316" width="11.28515625" style="9" customWidth="1"/>
    <col min="2317" max="2317" width="11.42578125" style="9" customWidth="1"/>
    <col min="2318" max="2318" width="13.28515625" style="9" customWidth="1"/>
    <col min="2319" max="2319" width="14.5703125" style="9" customWidth="1"/>
    <col min="2320" max="2321" width="9.140625" style="9"/>
    <col min="2322" max="2322" width="10.140625" style="9" bestFit="1" customWidth="1"/>
    <col min="2323" max="2560" width="9.140625" style="9"/>
    <col min="2561" max="2561" width="2.5703125" style="9" customWidth="1"/>
    <col min="2562" max="2562" width="10.7109375" style="9" customWidth="1"/>
    <col min="2563" max="2563" width="11.140625" style="9" customWidth="1"/>
    <col min="2564" max="2564" width="11.28515625" style="9" customWidth="1"/>
    <col min="2565" max="2566" width="12.85546875" style="9" customWidth="1"/>
    <col min="2567" max="2568" width="11" style="9" customWidth="1"/>
    <col min="2569" max="2569" width="11.28515625" style="9" customWidth="1"/>
    <col min="2570" max="2570" width="15.85546875" style="9" customWidth="1"/>
    <col min="2571" max="2571" width="12.140625" style="9" customWidth="1"/>
    <col min="2572" max="2572" width="11.28515625" style="9" customWidth="1"/>
    <col min="2573" max="2573" width="11.42578125" style="9" customWidth="1"/>
    <col min="2574" max="2574" width="13.28515625" style="9" customWidth="1"/>
    <col min="2575" max="2575" width="14.5703125" style="9" customWidth="1"/>
    <col min="2576" max="2577" width="9.140625" style="9"/>
    <col min="2578" max="2578" width="10.140625" style="9" bestFit="1" customWidth="1"/>
    <col min="2579" max="2816" width="9.140625" style="9"/>
    <col min="2817" max="2817" width="2.5703125" style="9" customWidth="1"/>
    <col min="2818" max="2818" width="10.7109375" style="9" customWidth="1"/>
    <col min="2819" max="2819" width="11.140625" style="9" customWidth="1"/>
    <col min="2820" max="2820" width="11.28515625" style="9" customWidth="1"/>
    <col min="2821" max="2822" width="12.85546875" style="9" customWidth="1"/>
    <col min="2823" max="2824" width="11" style="9" customWidth="1"/>
    <col min="2825" max="2825" width="11.28515625" style="9" customWidth="1"/>
    <col min="2826" max="2826" width="15.85546875" style="9" customWidth="1"/>
    <col min="2827" max="2827" width="12.140625" style="9" customWidth="1"/>
    <col min="2828" max="2828" width="11.28515625" style="9" customWidth="1"/>
    <col min="2829" max="2829" width="11.42578125" style="9" customWidth="1"/>
    <col min="2830" max="2830" width="13.28515625" style="9" customWidth="1"/>
    <col min="2831" max="2831" width="14.5703125" style="9" customWidth="1"/>
    <col min="2832" max="2833" width="9.140625" style="9"/>
    <col min="2834" max="2834" width="10.140625" style="9" bestFit="1" customWidth="1"/>
    <col min="2835" max="3072" width="9.140625" style="9"/>
    <col min="3073" max="3073" width="2.5703125" style="9" customWidth="1"/>
    <col min="3074" max="3074" width="10.7109375" style="9" customWidth="1"/>
    <col min="3075" max="3075" width="11.140625" style="9" customWidth="1"/>
    <col min="3076" max="3076" width="11.28515625" style="9" customWidth="1"/>
    <col min="3077" max="3078" width="12.85546875" style="9" customWidth="1"/>
    <col min="3079" max="3080" width="11" style="9" customWidth="1"/>
    <col min="3081" max="3081" width="11.28515625" style="9" customWidth="1"/>
    <col min="3082" max="3082" width="15.85546875" style="9" customWidth="1"/>
    <col min="3083" max="3083" width="12.140625" style="9" customWidth="1"/>
    <col min="3084" max="3084" width="11.28515625" style="9" customWidth="1"/>
    <col min="3085" max="3085" width="11.42578125" style="9" customWidth="1"/>
    <col min="3086" max="3086" width="13.28515625" style="9" customWidth="1"/>
    <col min="3087" max="3087" width="14.5703125" style="9" customWidth="1"/>
    <col min="3088" max="3089" width="9.140625" style="9"/>
    <col min="3090" max="3090" width="10.140625" style="9" bestFit="1" customWidth="1"/>
    <col min="3091" max="3328" width="9.140625" style="9"/>
    <col min="3329" max="3329" width="2.5703125" style="9" customWidth="1"/>
    <col min="3330" max="3330" width="10.7109375" style="9" customWidth="1"/>
    <col min="3331" max="3331" width="11.140625" style="9" customWidth="1"/>
    <col min="3332" max="3332" width="11.28515625" style="9" customWidth="1"/>
    <col min="3333" max="3334" width="12.85546875" style="9" customWidth="1"/>
    <col min="3335" max="3336" width="11" style="9" customWidth="1"/>
    <col min="3337" max="3337" width="11.28515625" style="9" customWidth="1"/>
    <col min="3338" max="3338" width="15.85546875" style="9" customWidth="1"/>
    <col min="3339" max="3339" width="12.140625" style="9" customWidth="1"/>
    <col min="3340" max="3340" width="11.28515625" style="9" customWidth="1"/>
    <col min="3341" max="3341" width="11.42578125" style="9" customWidth="1"/>
    <col min="3342" max="3342" width="13.28515625" style="9" customWidth="1"/>
    <col min="3343" max="3343" width="14.5703125" style="9" customWidth="1"/>
    <col min="3344" max="3345" width="9.140625" style="9"/>
    <col min="3346" max="3346" width="10.140625" style="9" bestFit="1" customWidth="1"/>
    <col min="3347" max="3584" width="9.140625" style="9"/>
    <col min="3585" max="3585" width="2.5703125" style="9" customWidth="1"/>
    <col min="3586" max="3586" width="10.7109375" style="9" customWidth="1"/>
    <col min="3587" max="3587" width="11.140625" style="9" customWidth="1"/>
    <col min="3588" max="3588" width="11.28515625" style="9" customWidth="1"/>
    <col min="3589" max="3590" width="12.85546875" style="9" customWidth="1"/>
    <col min="3591" max="3592" width="11" style="9" customWidth="1"/>
    <col min="3593" max="3593" width="11.28515625" style="9" customWidth="1"/>
    <col min="3594" max="3594" width="15.85546875" style="9" customWidth="1"/>
    <col min="3595" max="3595" width="12.140625" style="9" customWidth="1"/>
    <col min="3596" max="3596" width="11.28515625" style="9" customWidth="1"/>
    <col min="3597" max="3597" width="11.42578125" style="9" customWidth="1"/>
    <col min="3598" max="3598" width="13.28515625" style="9" customWidth="1"/>
    <col min="3599" max="3599" width="14.5703125" style="9" customWidth="1"/>
    <col min="3600" max="3601" width="9.140625" style="9"/>
    <col min="3602" max="3602" width="10.140625" style="9" bestFit="1" customWidth="1"/>
    <col min="3603" max="3840" width="9.140625" style="9"/>
    <col min="3841" max="3841" width="2.5703125" style="9" customWidth="1"/>
    <col min="3842" max="3842" width="10.7109375" style="9" customWidth="1"/>
    <col min="3843" max="3843" width="11.140625" style="9" customWidth="1"/>
    <col min="3844" max="3844" width="11.28515625" style="9" customWidth="1"/>
    <col min="3845" max="3846" width="12.85546875" style="9" customWidth="1"/>
    <col min="3847" max="3848" width="11" style="9" customWidth="1"/>
    <col min="3849" max="3849" width="11.28515625" style="9" customWidth="1"/>
    <col min="3850" max="3850" width="15.85546875" style="9" customWidth="1"/>
    <col min="3851" max="3851" width="12.140625" style="9" customWidth="1"/>
    <col min="3852" max="3852" width="11.28515625" style="9" customWidth="1"/>
    <col min="3853" max="3853" width="11.42578125" style="9" customWidth="1"/>
    <col min="3854" max="3854" width="13.28515625" style="9" customWidth="1"/>
    <col min="3855" max="3855" width="14.5703125" style="9" customWidth="1"/>
    <col min="3856" max="3857" width="9.140625" style="9"/>
    <col min="3858" max="3858" width="10.140625" style="9" bestFit="1" customWidth="1"/>
    <col min="3859" max="4096" width="9.140625" style="9"/>
    <col min="4097" max="4097" width="2.5703125" style="9" customWidth="1"/>
    <col min="4098" max="4098" width="10.7109375" style="9" customWidth="1"/>
    <col min="4099" max="4099" width="11.140625" style="9" customWidth="1"/>
    <col min="4100" max="4100" width="11.28515625" style="9" customWidth="1"/>
    <col min="4101" max="4102" width="12.85546875" style="9" customWidth="1"/>
    <col min="4103" max="4104" width="11" style="9" customWidth="1"/>
    <col min="4105" max="4105" width="11.28515625" style="9" customWidth="1"/>
    <col min="4106" max="4106" width="15.85546875" style="9" customWidth="1"/>
    <col min="4107" max="4107" width="12.140625" style="9" customWidth="1"/>
    <col min="4108" max="4108" width="11.28515625" style="9" customWidth="1"/>
    <col min="4109" max="4109" width="11.42578125" style="9" customWidth="1"/>
    <col min="4110" max="4110" width="13.28515625" style="9" customWidth="1"/>
    <col min="4111" max="4111" width="14.5703125" style="9" customWidth="1"/>
    <col min="4112" max="4113" width="9.140625" style="9"/>
    <col min="4114" max="4114" width="10.140625" style="9" bestFit="1" customWidth="1"/>
    <col min="4115" max="4352" width="9.140625" style="9"/>
    <col min="4353" max="4353" width="2.5703125" style="9" customWidth="1"/>
    <col min="4354" max="4354" width="10.7109375" style="9" customWidth="1"/>
    <col min="4355" max="4355" width="11.140625" style="9" customWidth="1"/>
    <col min="4356" max="4356" width="11.28515625" style="9" customWidth="1"/>
    <col min="4357" max="4358" width="12.85546875" style="9" customWidth="1"/>
    <col min="4359" max="4360" width="11" style="9" customWidth="1"/>
    <col min="4361" max="4361" width="11.28515625" style="9" customWidth="1"/>
    <col min="4362" max="4362" width="15.85546875" style="9" customWidth="1"/>
    <col min="4363" max="4363" width="12.140625" style="9" customWidth="1"/>
    <col min="4364" max="4364" width="11.28515625" style="9" customWidth="1"/>
    <col min="4365" max="4365" width="11.42578125" style="9" customWidth="1"/>
    <col min="4366" max="4366" width="13.28515625" style="9" customWidth="1"/>
    <col min="4367" max="4367" width="14.5703125" style="9" customWidth="1"/>
    <col min="4368" max="4369" width="9.140625" style="9"/>
    <col min="4370" max="4370" width="10.140625" style="9" bestFit="1" customWidth="1"/>
    <col min="4371" max="4608" width="9.140625" style="9"/>
    <col min="4609" max="4609" width="2.5703125" style="9" customWidth="1"/>
    <col min="4610" max="4610" width="10.7109375" style="9" customWidth="1"/>
    <col min="4611" max="4611" width="11.140625" style="9" customWidth="1"/>
    <col min="4612" max="4612" width="11.28515625" style="9" customWidth="1"/>
    <col min="4613" max="4614" width="12.85546875" style="9" customWidth="1"/>
    <col min="4615" max="4616" width="11" style="9" customWidth="1"/>
    <col min="4617" max="4617" width="11.28515625" style="9" customWidth="1"/>
    <col min="4618" max="4618" width="15.85546875" style="9" customWidth="1"/>
    <col min="4619" max="4619" width="12.140625" style="9" customWidth="1"/>
    <col min="4620" max="4620" width="11.28515625" style="9" customWidth="1"/>
    <col min="4621" max="4621" width="11.42578125" style="9" customWidth="1"/>
    <col min="4622" max="4622" width="13.28515625" style="9" customWidth="1"/>
    <col min="4623" max="4623" width="14.5703125" style="9" customWidth="1"/>
    <col min="4624" max="4625" width="9.140625" style="9"/>
    <col min="4626" max="4626" width="10.140625" style="9" bestFit="1" customWidth="1"/>
    <col min="4627" max="4864" width="9.140625" style="9"/>
    <col min="4865" max="4865" width="2.5703125" style="9" customWidth="1"/>
    <col min="4866" max="4866" width="10.7109375" style="9" customWidth="1"/>
    <col min="4867" max="4867" width="11.140625" style="9" customWidth="1"/>
    <col min="4868" max="4868" width="11.28515625" style="9" customWidth="1"/>
    <col min="4869" max="4870" width="12.85546875" style="9" customWidth="1"/>
    <col min="4871" max="4872" width="11" style="9" customWidth="1"/>
    <col min="4873" max="4873" width="11.28515625" style="9" customWidth="1"/>
    <col min="4874" max="4874" width="15.85546875" style="9" customWidth="1"/>
    <col min="4875" max="4875" width="12.140625" style="9" customWidth="1"/>
    <col min="4876" max="4876" width="11.28515625" style="9" customWidth="1"/>
    <col min="4877" max="4877" width="11.42578125" style="9" customWidth="1"/>
    <col min="4878" max="4878" width="13.28515625" style="9" customWidth="1"/>
    <col min="4879" max="4879" width="14.5703125" style="9" customWidth="1"/>
    <col min="4880" max="4881" width="9.140625" style="9"/>
    <col min="4882" max="4882" width="10.140625" style="9" bestFit="1" customWidth="1"/>
    <col min="4883" max="5120" width="9.140625" style="9"/>
    <col min="5121" max="5121" width="2.5703125" style="9" customWidth="1"/>
    <col min="5122" max="5122" width="10.7109375" style="9" customWidth="1"/>
    <col min="5123" max="5123" width="11.140625" style="9" customWidth="1"/>
    <col min="5124" max="5124" width="11.28515625" style="9" customWidth="1"/>
    <col min="5125" max="5126" width="12.85546875" style="9" customWidth="1"/>
    <col min="5127" max="5128" width="11" style="9" customWidth="1"/>
    <col min="5129" max="5129" width="11.28515625" style="9" customWidth="1"/>
    <col min="5130" max="5130" width="15.85546875" style="9" customWidth="1"/>
    <col min="5131" max="5131" width="12.140625" style="9" customWidth="1"/>
    <col min="5132" max="5132" width="11.28515625" style="9" customWidth="1"/>
    <col min="5133" max="5133" width="11.42578125" style="9" customWidth="1"/>
    <col min="5134" max="5134" width="13.28515625" style="9" customWidth="1"/>
    <col min="5135" max="5135" width="14.5703125" style="9" customWidth="1"/>
    <col min="5136" max="5137" width="9.140625" style="9"/>
    <col min="5138" max="5138" width="10.140625" style="9" bestFit="1" customWidth="1"/>
    <col min="5139" max="5376" width="9.140625" style="9"/>
    <col min="5377" max="5377" width="2.5703125" style="9" customWidth="1"/>
    <col min="5378" max="5378" width="10.7109375" style="9" customWidth="1"/>
    <col min="5379" max="5379" width="11.140625" style="9" customWidth="1"/>
    <col min="5380" max="5380" width="11.28515625" style="9" customWidth="1"/>
    <col min="5381" max="5382" width="12.85546875" style="9" customWidth="1"/>
    <col min="5383" max="5384" width="11" style="9" customWidth="1"/>
    <col min="5385" max="5385" width="11.28515625" style="9" customWidth="1"/>
    <col min="5386" max="5386" width="15.85546875" style="9" customWidth="1"/>
    <col min="5387" max="5387" width="12.140625" style="9" customWidth="1"/>
    <col min="5388" max="5388" width="11.28515625" style="9" customWidth="1"/>
    <col min="5389" max="5389" width="11.42578125" style="9" customWidth="1"/>
    <col min="5390" max="5390" width="13.28515625" style="9" customWidth="1"/>
    <col min="5391" max="5391" width="14.5703125" style="9" customWidth="1"/>
    <col min="5392" max="5393" width="9.140625" style="9"/>
    <col min="5394" max="5394" width="10.140625" style="9" bestFit="1" customWidth="1"/>
    <col min="5395" max="5632" width="9.140625" style="9"/>
    <col min="5633" max="5633" width="2.5703125" style="9" customWidth="1"/>
    <col min="5634" max="5634" width="10.7109375" style="9" customWidth="1"/>
    <col min="5635" max="5635" width="11.140625" style="9" customWidth="1"/>
    <col min="5636" max="5636" width="11.28515625" style="9" customWidth="1"/>
    <col min="5637" max="5638" width="12.85546875" style="9" customWidth="1"/>
    <col min="5639" max="5640" width="11" style="9" customWidth="1"/>
    <col min="5641" max="5641" width="11.28515625" style="9" customWidth="1"/>
    <col min="5642" max="5642" width="15.85546875" style="9" customWidth="1"/>
    <col min="5643" max="5643" width="12.140625" style="9" customWidth="1"/>
    <col min="5644" max="5644" width="11.28515625" style="9" customWidth="1"/>
    <col min="5645" max="5645" width="11.42578125" style="9" customWidth="1"/>
    <col min="5646" max="5646" width="13.28515625" style="9" customWidth="1"/>
    <col min="5647" max="5647" width="14.5703125" style="9" customWidth="1"/>
    <col min="5648" max="5649" width="9.140625" style="9"/>
    <col min="5650" max="5650" width="10.140625" style="9" bestFit="1" customWidth="1"/>
    <col min="5651" max="5888" width="9.140625" style="9"/>
    <col min="5889" max="5889" width="2.5703125" style="9" customWidth="1"/>
    <col min="5890" max="5890" width="10.7109375" style="9" customWidth="1"/>
    <col min="5891" max="5891" width="11.140625" style="9" customWidth="1"/>
    <col min="5892" max="5892" width="11.28515625" style="9" customWidth="1"/>
    <col min="5893" max="5894" width="12.85546875" style="9" customWidth="1"/>
    <col min="5895" max="5896" width="11" style="9" customWidth="1"/>
    <col min="5897" max="5897" width="11.28515625" style="9" customWidth="1"/>
    <col min="5898" max="5898" width="15.85546875" style="9" customWidth="1"/>
    <col min="5899" max="5899" width="12.140625" style="9" customWidth="1"/>
    <col min="5900" max="5900" width="11.28515625" style="9" customWidth="1"/>
    <col min="5901" max="5901" width="11.42578125" style="9" customWidth="1"/>
    <col min="5902" max="5902" width="13.28515625" style="9" customWidth="1"/>
    <col min="5903" max="5903" width="14.5703125" style="9" customWidth="1"/>
    <col min="5904" max="5905" width="9.140625" style="9"/>
    <col min="5906" max="5906" width="10.140625" style="9" bestFit="1" customWidth="1"/>
    <col min="5907" max="6144" width="9.140625" style="9"/>
    <col min="6145" max="6145" width="2.5703125" style="9" customWidth="1"/>
    <col min="6146" max="6146" width="10.7109375" style="9" customWidth="1"/>
    <col min="6147" max="6147" width="11.140625" style="9" customWidth="1"/>
    <col min="6148" max="6148" width="11.28515625" style="9" customWidth="1"/>
    <col min="6149" max="6150" width="12.85546875" style="9" customWidth="1"/>
    <col min="6151" max="6152" width="11" style="9" customWidth="1"/>
    <col min="6153" max="6153" width="11.28515625" style="9" customWidth="1"/>
    <col min="6154" max="6154" width="15.85546875" style="9" customWidth="1"/>
    <col min="6155" max="6155" width="12.140625" style="9" customWidth="1"/>
    <col min="6156" max="6156" width="11.28515625" style="9" customWidth="1"/>
    <col min="6157" max="6157" width="11.42578125" style="9" customWidth="1"/>
    <col min="6158" max="6158" width="13.28515625" style="9" customWidth="1"/>
    <col min="6159" max="6159" width="14.5703125" style="9" customWidth="1"/>
    <col min="6160" max="6161" width="9.140625" style="9"/>
    <col min="6162" max="6162" width="10.140625" style="9" bestFit="1" customWidth="1"/>
    <col min="6163" max="6400" width="9.140625" style="9"/>
    <col min="6401" max="6401" width="2.5703125" style="9" customWidth="1"/>
    <col min="6402" max="6402" width="10.7109375" style="9" customWidth="1"/>
    <col min="6403" max="6403" width="11.140625" style="9" customWidth="1"/>
    <col min="6404" max="6404" width="11.28515625" style="9" customWidth="1"/>
    <col min="6405" max="6406" width="12.85546875" style="9" customWidth="1"/>
    <col min="6407" max="6408" width="11" style="9" customWidth="1"/>
    <col min="6409" max="6409" width="11.28515625" style="9" customWidth="1"/>
    <col min="6410" max="6410" width="15.85546875" style="9" customWidth="1"/>
    <col min="6411" max="6411" width="12.140625" style="9" customWidth="1"/>
    <col min="6412" max="6412" width="11.28515625" style="9" customWidth="1"/>
    <col min="6413" max="6413" width="11.42578125" style="9" customWidth="1"/>
    <col min="6414" max="6414" width="13.28515625" style="9" customWidth="1"/>
    <col min="6415" max="6415" width="14.5703125" style="9" customWidth="1"/>
    <col min="6416" max="6417" width="9.140625" style="9"/>
    <col min="6418" max="6418" width="10.140625" style="9" bestFit="1" customWidth="1"/>
    <col min="6419" max="6656" width="9.140625" style="9"/>
    <col min="6657" max="6657" width="2.5703125" style="9" customWidth="1"/>
    <col min="6658" max="6658" width="10.7109375" style="9" customWidth="1"/>
    <col min="6659" max="6659" width="11.140625" style="9" customWidth="1"/>
    <col min="6660" max="6660" width="11.28515625" style="9" customWidth="1"/>
    <col min="6661" max="6662" width="12.85546875" style="9" customWidth="1"/>
    <col min="6663" max="6664" width="11" style="9" customWidth="1"/>
    <col min="6665" max="6665" width="11.28515625" style="9" customWidth="1"/>
    <col min="6666" max="6666" width="15.85546875" style="9" customWidth="1"/>
    <col min="6667" max="6667" width="12.140625" style="9" customWidth="1"/>
    <col min="6668" max="6668" width="11.28515625" style="9" customWidth="1"/>
    <col min="6669" max="6669" width="11.42578125" style="9" customWidth="1"/>
    <col min="6670" max="6670" width="13.28515625" style="9" customWidth="1"/>
    <col min="6671" max="6671" width="14.5703125" style="9" customWidth="1"/>
    <col min="6672" max="6673" width="9.140625" style="9"/>
    <col min="6674" max="6674" width="10.140625" style="9" bestFit="1" customWidth="1"/>
    <col min="6675" max="6912" width="9.140625" style="9"/>
    <col min="6913" max="6913" width="2.5703125" style="9" customWidth="1"/>
    <col min="6914" max="6914" width="10.7109375" style="9" customWidth="1"/>
    <col min="6915" max="6915" width="11.140625" style="9" customWidth="1"/>
    <col min="6916" max="6916" width="11.28515625" style="9" customWidth="1"/>
    <col min="6917" max="6918" width="12.85546875" style="9" customWidth="1"/>
    <col min="6919" max="6920" width="11" style="9" customWidth="1"/>
    <col min="6921" max="6921" width="11.28515625" style="9" customWidth="1"/>
    <col min="6922" max="6922" width="15.85546875" style="9" customWidth="1"/>
    <col min="6923" max="6923" width="12.140625" style="9" customWidth="1"/>
    <col min="6924" max="6924" width="11.28515625" style="9" customWidth="1"/>
    <col min="6925" max="6925" width="11.42578125" style="9" customWidth="1"/>
    <col min="6926" max="6926" width="13.28515625" style="9" customWidth="1"/>
    <col min="6927" max="6927" width="14.5703125" style="9" customWidth="1"/>
    <col min="6928" max="6929" width="9.140625" style="9"/>
    <col min="6930" max="6930" width="10.140625" style="9" bestFit="1" customWidth="1"/>
    <col min="6931" max="7168" width="9.140625" style="9"/>
    <col min="7169" max="7169" width="2.5703125" style="9" customWidth="1"/>
    <col min="7170" max="7170" width="10.7109375" style="9" customWidth="1"/>
    <col min="7171" max="7171" width="11.140625" style="9" customWidth="1"/>
    <col min="7172" max="7172" width="11.28515625" style="9" customWidth="1"/>
    <col min="7173" max="7174" width="12.85546875" style="9" customWidth="1"/>
    <col min="7175" max="7176" width="11" style="9" customWidth="1"/>
    <col min="7177" max="7177" width="11.28515625" style="9" customWidth="1"/>
    <col min="7178" max="7178" width="15.85546875" style="9" customWidth="1"/>
    <col min="7179" max="7179" width="12.140625" style="9" customWidth="1"/>
    <col min="7180" max="7180" width="11.28515625" style="9" customWidth="1"/>
    <col min="7181" max="7181" width="11.42578125" style="9" customWidth="1"/>
    <col min="7182" max="7182" width="13.28515625" style="9" customWidth="1"/>
    <col min="7183" max="7183" width="14.5703125" style="9" customWidth="1"/>
    <col min="7184" max="7185" width="9.140625" style="9"/>
    <col min="7186" max="7186" width="10.140625" style="9" bestFit="1" customWidth="1"/>
    <col min="7187" max="7424" width="9.140625" style="9"/>
    <col min="7425" max="7425" width="2.5703125" style="9" customWidth="1"/>
    <col min="7426" max="7426" width="10.7109375" style="9" customWidth="1"/>
    <col min="7427" max="7427" width="11.140625" style="9" customWidth="1"/>
    <col min="7428" max="7428" width="11.28515625" style="9" customWidth="1"/>
    <col min="7429" max="7430" width="12.85546875" style="9" customWidth="1"/>
    <col min="7431" max="7432" width="11" style="9" customWidth="1"/>
    <col min="7433" max="7433" width="11.28515625" style="9" customWidth="1"/>
    <col min="7434" max="7434" width="15.85546875" style="9" customWidth="1"/>
    <col min="7435" max="7435" width="12.140625" style="9" customWidth="1"/>
    <col min="7436" max="7436" width="11.28515625" style="9" customWidth="1"/>
    <col min="7437" max="7437" width="11.42578125" style="9" customWidth="1"/>
    <col min="7438" max="7438" width="13.28515625" style="9" customWidth="1"/>
    <col min="7439" max="7439" width="14.5703125" style="9" customWidth="1"/>
    <col min="7440" max="7441" width="9.140625" style="9"/>
    <col min="7442" max="7442" width="10.140625" style="9" bestFit="1" customWidth="1"/>
    <col min="7443" max="7680" width="9.140625" style="9"/>
    <col min="7681" max="7681" width="2.5703125" style="9" customWidth="1"/>
    <col min="7682" max="7682" width="10.7109375" style="9" customWidth="1"/>
    <col min="7683" max="7683" width="11.140625" style="9" customWidth="1"/>
    <col min="7684" max="7684" width="11.28515625" style="9" customWidth="1"/>
    <col min="7685" max="7686" width="12.85546875" style="9" customWidth="1"/>
    <col min="7687" max="7688" width="11" style="9" customWidth="1"/>
    <col min="7689" max="7689" width="11.28515625" style="9" customWidth="1"/>
    <col min="7690" max="7690" width="15.85546875" style="9" customWidth="1"/>
    <col min="7691" max="7691" width="12.140625" style="9" customWidth="1"/>
    <col min="7692" max="7692" width="11.28515625" style="9" customWidth="1"/>
    <col min="7693" max="7693" width="11.42578125" style="9" customWidth="1"/>
    <col min="7694" max="7694" width="13.28515625" style="9" customWidth="1"/>
    <col min="7695" max="7695" width="14.5703125" style="9" customWidth="1"/>
    <col min="7696" max="7697" width="9.140625" style="9"/>
    <col min="7698" max="7698" width="10.140625" style="9" bestFit="1" customWidth="1"/>
    <col min="7699" max="7936" width="9.140625" style="9"/>
    <col min="7937" max="7937" width="2.5703125" style="9" customWidth="1"/>
    <col min="7938" max="7938" width="10.7109375" style="9" customWidth="1"/>
    <col min="7939" max="7939" width="11.140625" style="9" customWidth="1"/>
    <col min="7940" max="7940" width="11.28515625" style="9" customWidth="1"/>
    <col min="7941" max="7942" width="12.85546875" style="9" customWidth="1"/>
    <col min="7943" max="7944" width="11" style="9" customWidth="1"/>
    <col min="7945" max="7945" width="11.28515625" style="9" customWidth="1"/>
    <col min="7946" max="7946" width="15.85546875" style="9" customWidth="1"/>
    <col min="7947" max="7947" width="12.140625" style="9" customWidth="1"/>
    <col min="7948" max="7948" width="11.28515625" style="9" customWidth="1"/>
    <col min="7949" max="7949" width="11.42578125" style="9" customWidth="1"/>
    <col min="7950" max="7950" width="13.28515625" style="9" customWidth="1"/>
    <col min="7951" max="7951" width="14.5703125" style="9" customWidth="1"/>
    <col min="7952" max="7953" width="9.140625" style="9"/>
    <col min="7954" max="7954" width="10.140625" style="9" bestFit="1" customWidth="1"/>
    <col min="7955" max="8192" width="9.140625" style="9"/>
    <col min="8193" max="8193" width="2.5703125" style="9" customWidth="1"/>
    <col min="8194" max="8194" width="10.7109375" style="9" customWidth="1"/>
    <col min="8195" max="8195" width="11.140625" style="9" customWidth="1"/>
    <col min="8196" max="8196" width="11.28515625" style="9" customWidth="1"/>
    <col min="8197" max="8198" width="12.85546875" style="9" customWidth="1"/>
    <col min="8199" max="8200" width="11" style="9" customWidth="1"/>
    <col min="8201" max="8201" width="11.28515625" style="9" customWidth="1"/>
    <col min="8202" max="8202" width="15.85546875" style="9" customWidth="1"/>
    <col min="8203" max="8203" width="12.140625" style="9" customWidth="1"/>
    <col min="8204" max="8204" width="11.28515625" style="9" customWidth="1"/>
    <col min="8205" max="8205" width="11.42578125" style="9" customWidth="1"/>
    <col min="8206" max="8206" width="13.28515625" style="9" customWidth="1"/>
    <col min="8207" max="8207" width="14.5703125" style="9" customWidth="1"/>
    <col min="8208" max="8209" width="9.140625" style="9"/>
    <col min="8210" max="8210" width="10.140625" style="9" bestFit="1" customWidth="1"/>
    <col min="8211" max="8448" width="9.140625" style="9"/>
    <col min="8449" max="8449" width="2.5703125" style="9" customWidth="1"/>
    <col min="8450" max="8450" width="10.7109375" style="9" customWidth="1"/>
    <col min="8451" max="8451" width="11.140625" style="9" customWidth="1"/>
    <col min="8452" max="8452" width="11.28515625" style="9" customWidth="1"/>
    <col min="8453" max="8454" width="12.85546875" style="9" customWidth="1"/>
    <col min="8455" max="8456" width="11" style="9" customWidth="1"/>
    <col min="8457" max="8457" width="11.28515625" style="9" customWidth="1"/>
    <col min="8458" max="8458" width="15.85546875" style="9" customWidth="1"/>
    <col min="8459" max="8459" width="12.140625" style="9" customWidth="1"/>
    <col min="8460" max="8460" width="11.28515625" style="9" customWidth="1"/>
    <col min="8461" max="8461" width="11.42578125" style="9" customWidth="1"/>
    <col min="8462" max="8462" width="13.28515625" style="9" customWidth="1"/>
    <col min="8463" max="8463" width="14.5703125" style="9" customWidth="1"/>
    <col min="8464" max="8465" width="9.140625" style="9"/>
    <col min="8466" max="8466" width="10.140625" style="9" bestFit="1" customWidth="1"/>
    <col min="8467" max="8704" width="9.140625" style="9"/>
    <col min="8705" max="8705" width="2.5703125" style="9" customWidth="1"/>
    <col min="8706" max="8706" width="10.7109375" style="9" customWidth="1"/>
    <col min="8707" max="8707" width="11.140625" style="9" customWidth="1"/>
    <col min="8708" max="8708" width="11.28515625" style="9" customWidth="1"/>
    <col min="8709" max="8710" width="12.85546875" style="9" customWidth="1"/>
    <col min="8711" max="8712" width="11" style="9" customWidth="1"/>
    <col min="8713" max="8713" width="11.28515625" style="9" customWidth="1"/>
    <col min="8714" max="8714" width="15.85546875" style="9" customWidth="1"/>
    <col min="8715" max="8715" width="12.140625" style="9" customWidth="1"/>
    <col min="8716" max="8716" width="11.28515625" style="9" customWidth="1"/>
    <col min="8717" max="8717" width="11.42578125" style="9" customWidth="1"/>
    <col min="8718" max="8718" width="13.28515625" style="9" customWidth="1"/>
    <col min="8719" max="8719" width="14.5703125" style="9" customWidth="1"/>
    <col min="8720" max="8721" width="9.140625" style="9"/>
    <col min="8722" max="8722" width="10.140625" style="9" bestFit="1" customWidth="1"/>
    <col min="8723" max="8960" width="9.140625" style="9"/>
    <col min="8961" max="8961" width="2.5703125" style="9" customWidth="1"/>
    <col min="8962" max="8962" width="10.7109375" style="9" customWidth="1"/>
    <col min="8963" max="8963" width="11.140625" style="9" customWidth="1"/>
    <col min="8964" max="8964" width="11.28515625" style="9" customWidth="1"/>
    <col min="8965" max="8966" width="12.85546875" style="9" customWidth="1"/>
    <col min="8967" max="8968" width="11" style="9" customWidth="1"/>
    <col min="8969" max="8969" width="11.28515625" style="9" customWidth="1"/>
    <col min="8970" max="8970" width="15.85546875" style="9" customWidth="1"/>
    <col min="8971" max="8971" width="12.140625" style="9" customWidth="1"/>
    <col min="8972" max="8972" width="11.28515625" style="9" customWidth="1"/>
    <col min="8973" max="8973" width="11.42578125" style="9" customWidth="1"/>
    <col min="8974" max="8974" width="13.28515625" style="9" customWidth="1"/>
    <col min="8975" max="8975" width="14.5703125" style="9" customWidth="1"/>
    <col min="8976" max="8977" width="9.140625" style="9"/>
    <col min="8978" max="8978" width="10.140625" style="9" bestFit="1" customWidth="1"/>
    <col min="8979" max="9216" width="9.140625" style="9"/>
    <col min="9217" max="9217" width="2.5703125" style="9" customWidth="1"/>
    <col min="9218" max="9218" width="10.7109375" style="9" customWidth="1"/>
    <col min="9219" max="9219" width="11.140625" style="9" customWidth="1"/>
    <col min="9220" max="9220" width="11.28515625" style="9" customWidth="1"/>
    <col min="9221" max="9222" width="12.85546875" style="9" customWidth="1"/>
    <col min="9223" max="9224" width="11" style="9" customWidth="1"/>
    <col min="9225" max="9225" width="11.28515625" style="9" customWidth="1"/>
    <col min="9226" max="9226" width="15.85546875" style="9" customWidth="1"/>
    <col min="9227" max="9227" width="12.140625" style="9" customWidth="1"/>
    <col min="9228" max="9228" width="11.28515625" style="9" customWidth="1"/>
    <col min="9229" max="9229" width="11.42578125" style="9" customWidth="1"/>
    <col min="9230" max="9230" width="13.28515625" style="9" customWidth="1"/>
    <col min="9231" max="9231" width="14.5703125" style="9" customWidth="1"/>
    <col min="9232" max="9233" width="9.140625" style="9"/>
    <col min="9234" max="9234" width="10.140625" style="9" bestFit="1" customWidth="1"/>
    <col min="9235" max="9472" width="9.140625" style="9"/>
    <col min="9473" max="9473" width="2.5703125" style="9" customWidth="1"/>
    <col min="9474" max="9474" width="10.7109375" style="9" customWidth="1"/>
    <col min="9475" max="9475" width="11.140625" style="9" customWidth="1"/>
    <col min="9476" max="9476" width="11.28515625" style="9" customWidth="1"/>
    <col min="9477" max="9478" width="12.85546875" style="9" customWidth="1"/>
    <col min="9479" max="9480" width="11" style="9" customWidth="1"/>
    <col min="9481" max="9481" width="11.28515625" style="9" customWidth="1"/>
    <col min="9482" max="9482" width="15.85546875" style="9" customWidth="1"/>
    <col min="9483" max="9483" width="12.140625" style="9" customWidth="1"/>
    <col min="9484" max="9484" width="11.28515625" style="9" customWidth="1"/>
    <col min="9485" max="9485" width="11.42578125" style="9" customWidth="1"/>
    <col min="9486" max="9486" width="13.28515625" style="9" customWidth="1"/>
    <col min="9487" max="9487" width="14.5703125" style="9" customWidth="1"/>
    <col min="9488" max="9489" width="9.140625" style="9"/>
    <col min="9490" max="9490" width="10.140625" style="9" bestFit="1" customWidth="1"/>
    <col min="9491" max="9728" width="9.140625" style="9"/>
    <col min="9729" max="9729" width="2.5703125" style="9" customWidth="1"/>
    <col min="9730" max="9730" width="10.7109375" style="9" customWidth="1"/>
    <col min="9731" max="9731" width="11.140625" style="9" customWidth="1"/>
    <col min="9732" max="9732" width="11.28515625" style="9" customWidth="1"/>
    <col min="9733" max="9734" width="12.85546875" style="9" customWidth="1"/>
    <col min="9735" max="9736" width="11" style="9" customWidth="1"/>
    <col min="9737" max="9737" width="11.28515625" style="9" customWidth="1"/>
    <col min="9738" max="9738" width="15.85546875" style="9" customWidth="1"/>
    <col min="9739" max="9739" width="12.140625" style="9" customWidth="1"/>
    <col min="9740" max="9740" width="11.28515625" style="9" customWidth="1"/>
    <col min="9741" max="9741" width="11.42578125" style="9" customWidth="1"/>
    <col min="9742" max="9742" width="13.28515625" style="9" customWidth="1"/>
    <col min="9743" max="9743" width="14.5703125" style="9" customWidth="1"/>
    <col min="9744" max="9745" width="9.140625" style="9"/>
    <col min="9746" max="9746" width="10.140625" style="9" bestFit="1" customWidth="1"/>
    <col min="9747" max="9984" width="9.140625" style="9"/>
    <col min="9985" max="9985" width="2.5703125" style="9" customWidth="1"/>
    <col min="9986" max="9986" width="10.7109375" style="9" customWidth="1"/>
    <col min="9987" max="9987" width="11.140625" style="9" customWidth="1"/>
    <col min="9988" max="9988" width="11.28515625" style="9" customWidth="1"/>
    <col min="9989" max="9990" width="12.85546875" style="9" customWidth="1"/>
    <col min="9991" max="9992" width="11" style="9" customWidth="1"/>
    <col min="9993" max="9993" width="11.28515625" style="9" customWidth="1"/>
    <col min="9994" max="9994" width="15.85546875" style="9" customWidth="1"/>
    <col min="9995" max="9995" width="12.140625" style="9" customWidth="1"/>
    <col min="9996" max="9996" width="11.28515625" style="9" customWidth="1"/>
    <col min="9997" max="9997" width="11.42578125" style="9" customWidth="1"/>
    <col min="9998" max="9998" width="13.28515625" style="9" customWidth="1"/>
    <col min="9999" max="9999" width="14.5703125" style="9" customWidth="1"/>
    <col min="10000" max="10001" width="9.140625" style="9"/>
    <col min="10002" max="10002" width="10.140625" style="9" bestFit="1" customWidth="1"/>
    <col min="10003" max="10240" width="9.140625" style="9"/>
    <col min="10241" max="10241" width="2.5703125" style="9" customWidth="1"/>
    <col min="10242" max="10242" width="10.7109375" style="9" customWidth="1"/>
    <col min="10243" max="10243" width="11.140625" style="9" customWidth="1"/>
    <col min="10244" max="10244" width="11.28515625" style="9" customWidth="1"/>
    <col min="10245" max="10246" width="12.85546875" style="9" customWidth="1"/>
    <col min="10247" max="10248" width="11" style="9" customWidth="1"/>
    <col min="10249" max="10249" width="11.28515625" style="9" customWidth="1"/>
    <col min="10250" max="10250" width="15.85546875" style="9" customWidth="1"/>
    <col min="10251" max="10251" width="12.140625" style="9" customWidth="1"/>
    <col min="10252" max="10252" width="11.28515625" style="9" customWidth="1"/>
    <col min="10253" max="10253" width="11.42578125" style="9" customWidth="1"/>
    <col min="10254" max="10254" width="13.28515625" style="9" customWidth="1"/>
    <col min="10255" max="10255" width="14.5703125" style="9" customWidth="1"/>
    <col min="10256" max="10257" width="9.140625" style="9"/>
    <col min="10258" max="10258" width="10.140625" style="9" bestFit="1" customWidth="1"/>
    <col min="10259" max="10496" width="9.140625" style="9"/>
    <col min="10497" max="10497" width="2.5703125" style="9" customWidth="1"/>
    <col min="10498" max="10498" width="10.7109375" style="9" customWidth="1"/>
    <col min="10499" max="10499" width="11.140625" style="9" customWidth="1"/>
    <col min="10500" max="10500" width="11.28515625" style="9" customWidth="1"/>
    <col min="10501" max="10502" width="12.85546875" style="9" customWidth="1"/>
    <col min="10503" max="10504" width="11" style="9" customWidth="1"/>
    <col min="10505" max="10505" width="11.28515625" style="9" customWidth="1"/>
    <col min="10506" max="10506" width="15.85546875" style="9" customWidth="1"/>
    <col min="10507" max="10507" width="12.140625" style="9" customWidth="1"/>
    <col min="10508" max="10508" width="11.28515625" style="9" customWidth="1"/>
    <col min="10509" max="10509" width="11.42578125" style="9" customWidth="1"/>
    <col min="10510" max="10510" width="13.28515625" style="9" customWidth="1"/>
    <col min="10511" max="10511" width="14.5703125" style="9" customWidth="1"/>
    <col min="10512" max="10513" width="9.140625" style="9"/>
    <col min="10514" max="10514" width="10.140625" style="9" bestFit="1" customWidth="1"/>
    <col min="10515" max="10752" width="9.140625" style="9"/>
    <col min="10753" max="10753" width="2.5703125" style="9" customWidth="1"/>
    <col min="10754" max="10754" width="10.7109375" style="9" customWidth="1"/>
    <col min="10755" max="10755" width="11.140625" style="9" customWidth="1"/>
    <col min="10756" max="10756" width="11.28515625" style="9" customWidth="1"/>
    <col min="10757" max="10758" width="12.85546875" style="9" customWidth="1"/>
    <col min="10759" max="10760" width="11" style="9" customWidth="1"/>
    <col min="10761" max="10761" width="11.28515625" style="9" customWidth="1"/>
    <col min="10762" max="10762" width="15.85546875" style="9" customWidth="1"/>
    <col min="10763" max="10763" width="12.140625" style="9" customWidth="1"/>
    <col min="10764" max="10764" width="11.28515625" style="9" customWidth="1"/>
    <col min="10765" max="10765" width="11.42578125" style="9" customWidth="1"/>
    <col min="10766" max="10766" width="13.28515625" style="9" customWidth="1"/>
    <col min="10767" max="10767" width="14.5703125" style="9" customWidth="1"/>
    <col min="10768" max="10769" width="9.140625" style="9"/>
    <col min="10770" max="10770" width="10.140625" style="9" bestFit="1" customWidth="1"/>
    <col min="10771" max="11008" width="9.140625" style="9"/>
    <col min="11009" max="11009" width="2.5703125" style="9" customWidth="1"/>
    <col min="11010" max="11010" width="10.7109375" style="9" customWidth="1"/>
    <col min="11011" max="11011" width="11.140625" style="9" customWidth="1"/>
    <col min="11012" max="11012" width="11.28515625" style="9" customWidth="1"/>
    <col min="11013" max="11014" width="12.85546875" style="9" customWidth="1"/>
    <col min="11015" max="11016" width="11" style="9" customWidth="1"/>
    <col min="11017" max="11017" width="11.28515625" style="9" customWidth="1"/>
    <col min="11018" max="11018" width="15.85546875" style="9" customWidth="1"/>
    <col min="11019" max="11019" width="12.140625" style="9" customWidth="1"/>
    <col min="11020" max="11020" width="11.28515625" style="9" customWidth="1"/>
    <col min="11021" max="11021" width="11.42578125" style="9" customWidth="1"/>
    <col min="11022" max="11022" width="13.28515625" style="9" customWidth="1"/>
    <col min="11023" max="11023" width="14.5703125" style="9" customWidth="1"/>
    <col min="11024" max="11025" width="9.140625" style="9"/>
    <col min="11026" max="11026" width="10.140625" style="9" bestFit="1" customWidth="1"/>
    <col min="11027" max="11264" width="9.140625" style="9"/>
    <col min="11265" max="11265" width="2.5703125" style="9" customWidth="1"/>
    <col min="11266" max="11266" width="10.7109375" style="9" customWidth="1"/>
    <col min="11267" max="11267" width="11.140625" style="9" customWidth="1"/>
    <col min="11268" max="11268" width="11.28515625" style="9" customWidth="1"/>
    <col min="11269" max="11270" width="12.85546875" style="9" customWidth="1"/>
    <col min="11271" max="11272" width="11" style="9" customWidth="1"/>
    <col min="11273" max="11273" width="11.28515625" style="9" customWidth="1"/>
    <col min="11274" max="11274" width="15.85546875" style="9" customWidth="1"/>
    <col min="11275" max="11275" width="12.140625" style="9" customWidth="1"/>
    <col min="11276" max="11276" width="11.28515625" style="9" customWidth="1"/>
    <col min="11277" max="11277" width="11.42578125" style="9" customWidth="1"/>
    <col min="11278" max="11278" width="13.28515625" style="9" customWidth="1"/>
    <col min="11279" max="11279" width="14.5703125" style="9" customWidth="1"/>
    <col min="11280" max="11281" width="9.140625" style="9"/>
    <col min="11282" max="11282" width="10.140625" style="9" bestFit="1" customWidth="1"/>
    <col min="11283" max="11520" width="9.140625" style="9"/>
    <col min="11521" max="11521" width="2.5703125" style="9" customWidth="1"/>
    <col min="11522" max="11522" width="10.7109375" style="9" customWidth="1"/>
    <col min="11523" max="11523" width="11.140625" style="9" customWidth="1"/>
    <col min="11524" max="11524" width="11.28515625" style="9" customWidth="1"/>
    <col min="11525" max="11526" width="12.85546875" style="9" customWidth="1"/>
    <col min="11527" max="11528" width="11" style="9" customWidth="1"/>
    <col min="11529" max="11529" width="11.28515625" style="9" customWidth="1"/>
    <col min="11530" max="11530" width="15.85546875" style="9" customWidth="1"/>
    <col min="11531" max="11531" width="12.140625" style="9" customWidth="1"/>
    <col min="11532" max="11532" width="11.28515625" style="9" customWidth="1"/>
    <col min="11533" max="11533" width="11.42578125" style="9" customWidth="1"/>
    <col min="11534" max="11534" width="13.28515625" style="9" customWidth="1"/>
    <col min="11535" max="11535" width="14.5703125" style="9" customWidth="1"/>
    <col min="11536" max="11537" width="9.140625" style="9"/>
    <col min="11538" max="11538" width="10.140625" style="9" bestFit="1" customWidth="1"/>
    <col min="11539" max="11776" width="9.140625" style="9"/>
    <col min="11777" max="11777" width="2.5703125" style="9" customWidth="1"/>
    <col min="11778" max="11778" width="10.7109375" style="9" customWidth="1"/>
    <col min="11779" max="11779" width="11.140625" style="9" customWidth="1"/>
    <col min="11780" max="11780" width="11.28515625" style="9" customWidth="1"/>
    <col min="11781" max="11782" width="12.85546875" style="9" customWidth="1"/>
    <col min="11783" max="11784" width="11" style="9" customWidth="1"/>
    <col min="11785" max="11785" width="11.28515625" style="9" customWidth="1"/>
    <col min="11786" max="11786" width="15.85546875" style="9" customWidth="1"/>
    <col min="11787" max="11787" width="12.140625" style="9" customWidth="1"/>
    <col min="11788" max="11788" width="11.28515625" style="9" customWidth="1"/>
    <col min="11789" max="11789" width="11.42578125" style="9" customWidth="1"/>
    <col min="11790" max="11790" width="13.28515625" style="9" customWidth="1"/>
    <col min="11791" max="11791" width="14.5703125" style="9" customWidth="1"/>
    <col min="11792" max="11793" width="9.140625" style="9"/>
    <col min="11794" max="11794" width="10.140625" style="9" bestFit="1" customWidth="1"/>
    <col min="11795" max="12032" width="9.140625" style="9"/>
    <col min="12033" max="12033" width="2.5703125" style="9" customWidth="1"/>
    <col min="12034" max="12034" width="10.7109375" style="9" customWidth="1"/>
    <col min="12035" max="12035" width="11.140625" style="9" customWidth="1"/>
    <col min="12036" max="12036" width="11.28515625" style="9" customWidth="1"/>
    <col min="12037" max="12038" width="12.85546875" style="9" customWidth="1"/>
    <col min="12039" max="12040" width="11" style="9" customWidth="1"/>
    <col min="12041" max="12041" width="11.28515625" style="9" customWidth="1"/>
    <col min="12042" max="12042" width="15.85546875" style="9" customWidth="1"/>
    <col min="12043" max="12043" width="12.140625" style="9" customWidth="1"/>
    <col min="12044" max="12044" width="11.28515625" style="9" customWidth="1"/>
    <col min="12045" max="12045" width="11.42578125" style="9" customWidth="1"/>
    <col min="12046" max="12046" width="13.28515625" style="9" customWidth="1"/>
    <col min="12047" max="12047" width="14.5703125" style="9" customWidth="1"/>
    <col min="12048" max="12049" width="9.140625" style="9"/>
    <col min="12050" max="12050" width="10.140625" style="9" bestFit="1" customWidth="1"/>
    <col min="12051" max="12288" width="9.140625" style="9"/>
    <col min="12289" max="12289" width="2.5703125" style="9" customWidth="1"/>
    <col min="12290" max="12290" width="10.7109375" style="9" customWidth="1"/>
    <col min="12291" max="12291" width="11.140625" style="9" customWidth="1"/>
    <col min="12292" max="12292" width="11.28515625" style="9" customWidth="1"/>
    <col min="12293" max="12294" width="12.85546875" style="9" customWidth="1"/>
    <col min="12295" max="12296" width="11" style="9" customWidth="1"/>
    <col min="12297" max="12297" width="11.28515625" style="9" customWidth="1"/>
    <col min="12298" max="12298" width="15.85546875" style="9" customWidth="1"/>
    <col min="12299" max="12299" width="12.140625" style="9" customWidth="1"/>
    <col min="12300" max="12300" width="11.28515625" style="9" customWidth="1"/>
    <col min="12301" max="12301" width="11.42578125" style="9" customWidth="1"/>
    <col min="12302" max="12302" width="13.28515625" style="9" customWidth="1"/>
    <col min="12303" max="12303" width="14.5703125" style="9" customWidth="1"/>
    <col min="12304" max="12305" width="9.140625" style="9"/>
    <col min="12306" max="12306" width="10.140625" style="9" bestFit="1" customWidth="1"/>
    <col min="12307" max="12544" width="9.140625" style="9"/>
    <col min="12545" max="12545" width="2.5703125" style="9" customWidth="1"/>
    <col min="12546" max="12546" width="10.7109375" style="9" customWidth="1"/>
    <col min="12547" max="12547" width="11.140625" style="9" customWidth="1"/>
    <col min="12548" max="12548" width="11.28515625" style="9" customWidth="1"/>
    <col min="12549" max="12550" width="12.85546875" style="9" customWidth="1"/>
    <col min="12551" max="12552" width="11" style="9" customWidth="1"/>
    <col min="12553" max="12553" width="11.28515625" style="9" customWidth="1"/>
    <col min="12554" max="12554" width="15.85546875" style="9" customWidth="1"/>
    <col min="12555" max="12555" width="12.140625" style="9" customWidth="1"/>
    <col min="12556" max="12556" width="11.28515625" style="9" customWidth="1"/>
    <col min="12557" max="12557" width="11.42578125" style="9" customWidth="1"/>
    <col min="12558" max="12558" width="13.28515625" style="9" customWidth="1"/>
    <col min="12559" max="12559" width="14.5703125" style="9" customWidth="1"/>
    <col min="12560" max="12561" width="9.140625" style="9"/>
    <col min="12562" max="12562" width="10.140625" style="9" bestFit="1" customWidth="1"/>
    <col min="12563" max="12800" width="9.140625" style="9"/>
    <col min="12801" max="12801" width="2.5703125" style="9" customWidth="1"/>
    <col min="12802" max="12802" width="10.7109375" style="9" customWidth="1"/>
    <col min="12803" max="12803" width="11.140625" style="9" customWidth="1"/>
    <col min="12804" max="12804" width="11.28515625" style="9" customWidth="1"/>
    <col min="12805" max="12806" width="12.85546875" style="9" customWidth="1"/>
    <col min="12807" max="12808" width="11" style="9" customWidth="1"/>
    <col min="12809" max="12809" width="11.28515625" style="9" customWidth="1"/>
    <col min="12810" max="12810" width="15.85546875" style="9" customWidth="1"/>
    <col min="12811" max="12811" width="12.140625" style="9" customWidth="1"/>
    <col min="12812" max="12812" width="11.28515625" style="9" customWidth="1"/>
    <col min="12813" max="12813" width="11.42578125" style="9" customWidth="1"/>
    <col min="12814" max="12814" width="13.28515625" style="9" customWidth="1"/>
    <col min="12815" max="12815" width="14.5703125" style="9" customWidth="1"/>
    <col min="12816" max="12817" width="9.140625" style="9"/>
    <col min="12818" max="12818" width="10.140625" style="9" bestFit="1" customWidth="1"/>
    <col min="12819" max="13056" width="9.140625" style="9"/>
    <col min="13057" max="13057" width="2.5703125" style="9" customWidth="1"/>
    <col min="13058" max="13058" width="10.7109375" style="9" customWidth="1"/>
    <col min="13059" max="13059" width="11.140625" style="9" customWidth="1"/>
    <col min="13060" max="13060" width="11.28515625" style="9" customWidth="1"/>
    <col min="13061" max="13062" width="12.85546875" style="9" customWidth="1"/>
    <col min="13063" max="13064" width="11" style="9" customWidth="1"/>
    <col min="13065" max="13065" width="11.28515625" style="9" customWidth="1"/>
    <col min="13066" max="13066" width="15.85546875" style="9" customWidth="1"/>
    <col min="13067" max="13067" width="12.140625" style="9" customWidth="1"/>
    <col min="13068" max="13068" width="11.28515625" style="9" customWidth="1"/>
    <col min="13069" max="13069" width="11.42578125" style="9" customWidth="1"/>
    <col min="13070" max="13070" width="13.28515625" style="9" customWidth="1"/>
    <col min="13071" max="13071" width="14.5703125" style="9" customWidth="1"/>
    <col min="13072" max="13073" width="9.140625" style="9"/>
    <col min="13074" max="13074" width="10.140625" style="9" bestFit="1" customWidth="1"/>
    <col min="13075" max="13312" width="9.140625" style="9"/>
    <col min="13313" max="13313" width="2.5703125" style="9" customWidth="1"/>
    <col min="13314" max="13314" width="10.7109375" style="9" customWidth="1"/>
    <col min="13315" max="13315" width="11.140625" style="9" customWidth="1"/>
    <col min="13316" max="13316" width="11.28515625" style="9" customWidth="1"/>
    <col min="13317" max="13318" width="12.85546875" style="9" customWidth="1"/>
    <col min="13319" max="13320" width="11" style="9" customWidth="1"/>
    <col min="13321" max="13321" width="11.28515625" style="9" customWidth="1"/>
    <col min="13322" max="13322" width="15.85546875" style="9" customWidth="1"/>
    <col min="13323" max="13323" width="12.140625" style="9" customWidth="1"/>
    <col min="13324" max="13324" width="11.28515625" style="9" customWidth="1"/>
    <col min="13325" max="13325" width="11.42578125" style="9" customWidth="1"/>
    <col min="13326" max="13326" width="13.28515625" style="9" customWidth="1"/>
    <col min="13327" max="13327" width="14.5703125" style="9" customWidth="1"/>
    <col min="13328" max="13329" width="9.140625" style="9"/>
    <col min="13330" max="13330" width="10.140625" style="9" bestFit="1" customWidth="1"/>
    <col min="13331" max="13568" width="9.140625" style="9"/>
    <col min="13569" max="13569" width="2.5703125" style="9" customWidth="1"/>
    <col min="13570" max="13570" width="10.7109375" style="9" customWidth="1"/>
    <col min="13571" max="13571" width="11.140625" style="9" customWidth="1"/>
    <col min="13572" max="13572" width="11.28515625" style="9" customWidth="1"/>
    <col min="13573" max="13574" width="12.85546875" style="9" customWidth="1"/>
    <col min="13575" max="13576" width="11" style="9" customWidth="1"/>
    <col min="13577" max="13577" width="11.28515625" style="9" customWidth="1"/>
    <col min="13578" max="13578" width="15.85546875" style="9" customWidth="1"/>
    <col min="13579" max="13579" width="12.140625" style="9" customWidth="1"/>
    <col min="13580" max="13580" width="11.28515625" style="9" customWidth="1"/>
    <col min="13581" max="13581" width="11.42578125" style="9" customWidth="1"/>
    <col min="13582" max="13582" width="13.28515625" style="9" customWidth="1"/>
    <col min="13583" max="13583" width="14.5703125" style="9" customWidth="1"/>
    <col min="13584" max="13585" width="9.140625" style="9"/>
    <col min="13586" max="13586" width="10.140625" style="9" bestFit="1" customWidth="1"/>
    <col min="13587" max="13824" width="9.140625" style="9"/>
    <col min="13825" max="13825" width="2.5703125" style="9" customWidth="1"/>
    <col min="13826" max="13826" width="10.7109375" style="9" customWidth="1"/>
    <col min="13827" max="13827" width="11.140625" style="9" customWidth="1"/>
    <col min="13828" max="13828" width="11.28515625" style="9" customWidth="1"/>
    <col min="13829" max="13830" width="12.85546875" style="9" customWidth="1"/>
    <col min="13831" max="13832" width="11" style="9" customWidth="1"/>
    <col min="13833" max="13833" width="11.28515625" style="9" customWidth="1"/>
    <col min="13834" max="13834" width="15.85546875" style="9" customWidth="1"/>
    <col min="13835" max="13835" width="12.140625" style="9" customWidth="1"/>
    <col min="13836" max="13836" width="11.28515625" style="9" customWidth="1"/>
    <col min="13837" max="13837" width="11.42578125" style="9" customWidth="1"/>
    <col min="13838" max="13838" width="13.28515625" style="9" customWidth="1"/>
    <col min="13839" max="13839" width="14.5703125" style="9" customWidth="1"/>
    <col min="13840" max="13841" width="9.140625" style="9"/>
    <col min="13842" max="13842" width="10.140625" style="9" bestFit="1" customWidth="1"/>
    <col min="13843" max="14080" width="9.140625" style="9"/>
    <col min="14081" max="14081" width="2.5703125" style="9" customWidth="1"/>
    <col min="14082" max="14082" width="10.7109375" style="9" customWidth="1"/>
    <col min="14083" max="14083" width="11.140625" style="9" customWidth="1"/>
    <col min="14084" max="14084" width="11.28515625" style="9" customWidth="1"/>
    <col min="14085" max="14086" width="12.85546875" style="9" customWidth="1"/>
    <col min="14087" max="14088" width="11" style="9" customWidth="1"/>
    <col min="14089" max="14089" width="11.28515625" style="9" customWidth="1"/>
    <col min="14090" max="14090" width="15.85546875" style="9" customWidth="1"/>
    <col min="14091" max="14091" width="12.140625" style="9" customWidth="1"/>
    <col min="14092" max="14092" width="11.28515625" style="9" customWidth="1"/>
    <col min="14093" max="14093" width="11.42578125" style="9" customWidth="1"/>
    <col min="14094" max="14094" width="13.28515625" style="9" customWidth="1"/>
    <col min="14095" max="14095" width="14.5703125" style="9" customWidth="1"/>
    <col min="14096" max="14097" width="9.140625" style="9"/>
    <col min="14098" max="14098" width="10.140625" style="9" bestFit="1" customWidth="1"/>
    <col min="14099" max="14336" width="9.140625" style="9"/>
    <col min="14337" max="14337" width="2.5703125" style="9" customWidth="1"/>
    <col min="14338" max="14338" width="10.7109375" style="9" customWidth="1"/>
    <col min="14339" max="14339" width="11.140625" style="9" customWidth="1"/>
    <col min="14340" max="14340" width="11.28515625" style="9" customWidth="1"/>
    <col min="14341" max="14342" width="12.85546875" style="9" customWidth="1"/>
    <col min="14343" max="14344" width="11" style="9" customWidth="1"/>
    <col min="14345" max="14345" width="11.28515625" style="9" customWidth="1"/>
    <col min="14346" max="14346" width="15.85546875" style="9" customWidth="1"/>
    <col min="14347" max="14347" width="12.140625" style="9" customWidth="1"/>
    <col min="14348" max="14348" width="11.28515625" style="9" customWidth="1"/>
    <col min="14349" max="14349" width="11.42578125" style="9" customWidth="1"/>
    <col min="14350" max="14350" width="13.28515625" style="9" customWidth="1"/>
    <col min="14351" max="14351" width="14.5703125" style="9" customWidth="1"/>
    <col min="14352" max="14353" width="9.140625" style="9"/>
    <col min="14354" max="14354" width="10.140625" style="9" bestFit="1" customWidth="1"/>
    <col min="14355" max="14592" width="9.140625" style="9"/>
    <col min="14593" max="14593" width="2.5703125" style="9" customWidth="1"/>
    <col min="14594" max="14594" width="10.7109375" style="9" customWidth="1"/>
    <col min="14595" max="14595" width="11.140625" style="9" customWidth="1"/>
    <col min="14596" max="14596" width="11.28515625" style="9" customWidth="1"/>
    <col min="14597" max="14598" width="12.85546875" style="9" customWidth="1"/>
    <col min="14599" max="14600" width="11" style="9" customWidth="1"/>
    <col min="14601" max="14601" width="11.28515625" style="9" customWidth="1"/>
    <col min="14602" max="14602" width="15.85546875" style="9" customWidth="1"/>
    <col min="14603" max="14603" width="12.140625" style="9" customWidth="1"/>
    <col min="14604" max="14604" width="11.28515625" style="9" customWidth="1"/>
    <col min="14605" max="14605" width="11.42578125" style="9" customWidth="1"/>
    <col min="14606" max="14606" width="13.28515625" style="9" customWidth="1"/>
    <col min="14607" max="14607" width="14.5703125" style="9" customWidth="1"/>
    <col min="14608" max="14609" width="9.140625" style="9"/>
    <col min="14610" max="14610" width="10.140625" style="9" bestFit="1" customWidth="1"/>
    <col min="14611" max="14848" width="9.140625" style="9"/>
    <col min="14849" max="14849" width="2.5703125" style="9" customWidth="1"/>
    <col min="14850" max="14850" width="10.7109375" style="9" customWidth="1"/>
    <col min="14851" max="14851" width="11.140625" style="9" customWidth="1"/>
    <col min="14852" max="14852" width="11.28515625" style="9" customWidth="1"/>
    <col min="14853" max="14854" width="12.85546875" style="9" customWidth="1"/>
    <col min="14855" max="14856" width="11" style="9" customWidth="1"/>
    <col min="14857" max="14857" width="11.28515625" style="9" customWidth="1"/>
    <col min="14858" max="14858" width="15.85546875" style="9" customWidth="1"/>
    <col min="14859" max="14859" width="12.140625" style="9" customWidth="1"/>
    <col min="14860" max="14860" width="11.28515625" style="9" customWidth="1"/>
    <col min="14861" max="14861" width="11.42578125" style="9" customWidth="1"/>
    <col min="14862" max="14862" width="13.28515625" style="9" customWidth="1"/>
    <col min="14863" max="14863" width="14.5703125" style="9" customWidth="1"/>
    <col min="14864" max="14865" width="9.140625" style="9"/>
    <col min="14866" max="14866" width="10.140625" style="9" bestFit="1" customWidth="1"/>
    <col min="14867" max="15104" width="9.140625" style="9"/>
    <col min="15105" max="15105" width="2.5703125" style="9" customWidth="1"/>
    <col min="15106" max="15106" width="10.7109375" style="9" customWidth="1"/>
    <col min="15107" max="15107" width="11.140625" style="9" customWidth="1"/>
    <col min="15108" max="15108" width="11.28515625" style="9" customWidth="1"/>
    <col min="15109" max="15110" width="12.85546875" style="9" customWidth="1"/>
    <col min="15111" max="15112" width="11" style="9" customWidth="1"/>
    <col min="15113" max="15113" width="11.28515625" style="9" customWidth="1"/>
    <col min="15114" max="15114" width="15.85546875" style="9" customWidth="1"/>
    <col min="15115" max="15115" width="12.140625" style="9" customWidth="1"/>
    <col min="15116" max="15116" width="11.28515625" style="9" customWidth="1"/>
    <col min="15117" max="15117" width="11.42578125" style="9" customWidth="1"/>
    <col min="15118" max="15118" width="13.28515625" style="9" customWidth="1"/>
    <col min="15119" max="15119" width="14.5703125" style="9" customWidth="1"/>
    <col min="15120" max="15121" width="9.140625" style="9"/>
    <col min="15122" max="15122" width="10.140625" style="9" bestFit="1" customWidth="1"/>
    <col min="15123" max="15360" width="9.140625" style="9"/>
    <col min="15361" max="15361" width="2.5703125" style="9" customWidth="1"/>
    <col min="15362" max="15362" width="10.7109375" style="9" customWidth="1"/>
    <col min="15363" max="15363" width="11.140625" style="9" customWidth="1"/>
    <col min="15364" max="15364" width="11.28515625" style="9" customWidth="1"/>
    <col min="15365" max="15366" width="12.85546875" style="9" customWidth="1"/>
    <col min="15367" max="15368" width="11" style="9" customWidth="1"/>
    <col min="15369" max="15369" width="11.28515625" style="9" customWidth="1"/>
    <col min="15370" max="15370" width="15.85546875" style="9" customWidth="1"/>
    <col min="15371" max="15371" width="12.140625" style="9" customWidth="1"/>
    <col min="15372" max="15372" width="11.28515625" style="9" customWidth="1"/>
    <col min="15373" max="15373" width="11.42578125" style="9" customWidth="1"/>
    <col min="15374" max="15374" width="13.28515625" style="9" customWidth="1"/>
    <col min="15375" max="15375" width="14.5703125" style="9" customWidth="1"/>
    <col min="15376" max="15377" width="9.140625" style="9"/>
    <col min="15378" max="15378" width="10.140625" style="9" bestFit="1" customWidth="1"/>
    <col min="15379" max="15616" width="9.140625" style="9"/>
    <col min="15617" max="15617" width="2.5703125" style="9" customWidth="1"/>
    <col min="15618" max="15618" width="10.7109375" style="9" customWidth="1"/>
    <col min="15619" max="15619" width="11.140625" style="9" customWidth="1"/>
    <col min="15620" max="15620" width="11.28515625" style="9" customWidth="1"/>
    <col min="15621" max="15622" width="12.85546875" style="9" customWidth="1"/>
    <col min="15623" max="15624" width="11" style="9" customWidth="1"/>
    <col min="15625" max="15625" width="11.28515625" style="9" customWidth="1"/>
    <col min="15626" max="15626" width="15.85546875" style="9" customWidth="1"/>
    <col min="15627" max="15627" width="12.140625" style="9" customWidth="1"/>
    <col min="15628" max="15628" width="11.28515625" style="9" customWidth="1"/>
    <col min="15629" max="15629" width="11.42578125" style="9" customWidth="1"/>
    <col min="15630" max="15630" width="13.28515625" style="9" customWidth="1"/>
    <col min="15631" max="15631" width="14.5703125" style="9" customWidth="1"/>
    <col min="15632" max="15633" width="9.140625" style="9"/>
    <col min="15634" max="15634" width="10.140625" style="9" bestFit="1" customWidth="1"/>
    <col min="15635" max="15872" width="9.140625" style="9"/>
    <col min="15873" max="15873" width="2.5703125" style="9" customWidth="1"/>
    <col min="15874" max="15874" width="10.7109375" style="9" customWidth="1"/>
    <col min="15875" max="15875" width="11.140625" style="9" customWidth="1"/>
    <col min="15876" max="15876" width="11.28515625" style="9" customWidth="1"/>
    <col min="15877" max="15878" width="12.85546875" style="9" customWidth="1"/>
    <col min="15879" max="15880" width="11" style="9" customWidth="1"/>
    <col min="15881" max="15881" width="11.28515625" style="9" customWidth="1"/>
    <col min="15882" max="15882" width="15.85546875" style="9" customWidth="1"/>
    <col min="15883" max="15883" width="12.140625" style="9" customWidth="1"/>
    <col min="15884" max="15884" width="11.28515625" style="9" customWidth="1"/>
    <col min="15885" max="15885" width="11.42578125" style="9" customWidth="1"/>
    <col min="15886" max="15886" width="13.28515625" style="9" customWidth="1"/>
    <col min="15887" max="15887" width="14.5703125" style="9" customWidth="1"/>
    <col min="15888" max="15889" width="9.140625" style="9"/>
    <col min="15890" max="15890" width="10.140625" style="9" bestFit="1" customWidth="1"/>
    <col min="15891" max="16128" width="9.140625" style="9"/>
    <col min="16129" max="16129" width="2.5703125" style="9" customWidth="1"/>
    <col min="16130" max="16130" width="10.7109375" style="9" customWidth="1"/>
    <col min="16131" max="16131" width="11.140625" style="9" customWidth="1"/>
    <col min="16132" max="16132" width="11.28515625" style="9" customWidth="1"/>
    <col min="16133" max="16134" width="12.85546875" style="9" customWidth="1"/>
    <col min="16135" max="16136" width="11" style="9" customWidth="1"/>
    <col min="16137" max="16137" width="11.28515625" style="9" customWidth="1"/>
    <col min="16138" max="16138" width="15.85546875" style="9" customWidth="1"/>
    <col min="16139" max="16139" width="12.140625" style="9" customWidth="1"/>
    <col min="16140" max="16140" width="11.28515625" style="9" customWidth="1"/>
    <col min="16141" max="16141" width="11.42578125" style="9" customWidth="1"/>
    <col min="16142" max="16142" width="13.28515625" style="9" customWidth="1"/>
    <col min="16143" max="16143" width="14.5703125" style="9" customWidth="1"/>
    <col min="16144" max="16145" width="9.140625" style="9"/>
    <col min="16146" max="16146" width="10.140625" style="9" bestFit="1" customWidth="1"/>
    <col min="16147" max="16384" width="9.140625" style="9"/>
  </cols>
  <sheetData>
    <row r="1" spans="1:23" ht="13.5" thickBot="1" x14ac:dyDescent="0.3">
      <c r="B1" s="201"/>
      <c r="C1" s="201"/>
      <c r="D1" s="201"/>
      <c r="E1" s="201"/>
      <c r="F1" s="201"/>
    </row>
    <row r="2" spans="1:23" s="10" customFormat="1" ht="39.950000000000003" customHeight="1" thickBot="1" x14ac:dyDescent="0.3">
      <c r="B2" s="11" t="s">
        <v>9</v>
      </c>
      <c r="C2" s="12" t="s">
        <v>10</v>
      </c>
      <c r="D2" s="12" t="s">
        <v>11</v>
      </c>
      <c r="E2" s="12" t="s">
        <v>12</v>
      </c>
      <c r="F2" s="12" t="s">
        <v>13</v>
      </c>
      <c r="G2" s="12" t="s">
        <v>14</v>
      </c>
      <c r="H2" s="12" t="s">
        <v>15</v>
      </c>
      <c r="I2" s="12" t="s">
        <v>16</v>
      </c>
      <c r="J2" s="12" t="s">
        <v>17</v>
      </c>
      <c r="K2" s="12" t="s">
        <v>18</v>
      </c>
      <c r="L2" s="12" t="s">
        <v>19</v>
      </c>
      <c r="M2" s="13" t="s">
        <v>20</v>
      </c>
    </row>
    <row r="3" spans="1:23" s="1" customFormat="1" ht="15.75" thickBot="1" x14ac:dyDescent="0.3">
      <c r="A3" s="10"/>
      <c r="B3" s="14">
        <v>43830</v>
      </c>
      <c r="C3" s="15">
        <v>16228333</v>
      </c>
      <c r="D3" s="16">
        <v>3990997</v>
      </c>
      <c r="E3" s="16">
        <v>223696</v>
      </c>
      <c r="F3" s="16">
        <v>521490</v>
      </c>
      <c r="G3" s="16">
        <v>5647</v>
      </c>
      <c r="H3" s="16"/>
      <c r="I3" s="16"/>
      <c r="J3" s="16"/>
      <c r="K3" s="17"/>
      <c r="L3" s="16"/>
      <c r="M3" s="18"/>
      <c r="N3" s="10"/>
      <c r="O3" s="10"/>
      <c r="P3" s="10"/>
      <c r="Q3" s="10"/>
      <c r="R3" s="19"/>
      <c r="S3" s="20"/>
      <c r="T3" s="6"/>
      <c r="U3" s="21"/>
      <c r="W3" s="6"/>
    </row>
    <row r="4" spans="1:23" s="10" customFormat="1" ht="12.95" customHeight="1" x14ac:dyDescent="0.2">
      <c r="B4" s="22">
        <v>44197</v>
      </c>
      <c r="C4" s="174">
        <v>16228335</v>
      </c>
      <c r="D4" s="175">
        <v>4463442</v>
      </c>
      <c r="E4" s="176">
        <v>277482</v>
      </c>
      <c r="F4" s="177">
        <v>575904</v>
      </c>
      <c r="G4" s="178">
        <v>225686</v>
      </c>
      <c r="H4" s="179">
        <v>0</v>
      </c>
      <c r="I4" s="179">
        <v>1954</v>
      </c>
      <c r="J4" s="179">
        <v>128</v>
      </c>
      <c r="K4" s="179">
        <v>114</v>
      </c>
      <c r="L4" s="181">
        <v>128</v>
      </c>
      <c r="M4" s="180">
        <v>2196</v>
      </c>
      <c r="Q4" s="20">
        <f>IF(L4="",1,0)</f>
        <v>0</v>
      </c>
    </row>
    <row r="5" spans="1:23" s="10" customFormat="1" ht="12.95" customHeight="1" x14ac:dyDescent="0.2">
      <c r="B5" s="22">
        <v>44198</v>
      </c>
      <c r="C5" s="174">
        <v>16228335</v>
      </c>
      <c r="D5" s="175">
        <v>4465332</v>
      </c>
      <c r="E5" s="176">
        <v>277603</v>
      </c>
      <c r="F5" s="177">
        <v>576035</v>
      </c>
      <c r="G5" s="178">
        <v>225791</v>
      </c>
      <c r="H5" s="179">
        <v>0</v>
      </c>
      <c r="I5" s="179">
        <v>1890</v>
      </c>
      <c r="J5" s="179">
        <v>121</v>
      </c>
      <c r="K5" s="179">
        <v>131</v>
      </c>
      <c r="L5" s="181">
        <v>105</v>
      </c>
      <c r="M5" s="180">
        <v>2142</v>
      </c>
      <c r="Q5" s="20">
        <f t="shared" ref="Q5:Q69" si="0">IF(L5="",1,0)</f>
        <v>0</v>
      </c>
    </row>
    <row r="6" spans="1:23" s="10" customFormat="1" ht="12.95" customHeight="1" x14ac:dyDescent="0.2">
      <c r="B6" s="22">
        <v>44199</v>
      </c>
      <c r="C6" s="174">
        <v>16228335</v>
      </c>
      <c r="D6" s="175">
        <v>4467510</v>
      </c>
      <c r="E6" s="176">
        <v>277734</v>
      </c>
      <c r="F6" s="177">
        <v>576163</v>
      </c>
      <c r="G6" s="178">
        <v>225895</v>
      </c>
      <c r="H6" s="179">
        <v>0</v>
      </c>
      <c r="I6" s="179">
        <v>2178</v>
      </c>
      <c r="J6" s="179">
        <v>131</v>
      </c>
      <c r="K6" s="179">
        <v>128</v>
      </c>
      <c r="L6" s="181">
        <v>104</v>
      </c>
      <c r="M6" s="180">
        <v>2437</v>
      </c>
      <c r="Q6" s="20">
        <f t="shared" si="0"/>
        <v>0</v>
      </c>
    </row>
    <row r="7" spans="1:23" s="10" customFormat="1" ht="12.95" customHeight="1" x14ac:dyDescent="0.2">
      <c r="B7" s="22">
        <v>44200</v>
      </c>
      <c r="C7" s="174">
        <v>16228335</v>
      </c>
      <c r="D7" s="175">
        <v>4469336</v>
      </c>
      <c r="E7" s="176">
        <v>277851</v>
      </c>
      <c r="F7" s="177">
        <v>576303</v>
      </c>
      <c r="G7" s="178">
        <v>226007</v>
      </c>
      <c r="H7" s="179">
        <v>0</v>
      </c>
      <c r="I7" s="179">
        <v>1826</v>
      </c>
      <c r="J7" s="179">
        <v>117</v>
      </c>
      <c r="K7" s="179">
        <v>140</v>
      </c>
      <c r="L7" s="181">
        <v>112</v>
      </c>
      <c r="M7" s="180">
        <v>2083</v>
      </c>
      <c r="Q7" s="20">
        <f t="shared" si="0"/>
        <v>0</v>
      </c>
    </row>
    <row r="8" spans="1:23" s="10" customFormat="1" ht="12.95" customHeight="1" x14ac:dyDescent="0.2">
      <c r="B8" s="22">
        <v>44201</v>
      </c>
      <c r="C8" s="174">
        <v>16228335</v>
      </c>
      <c r="D8" s="175">
        <v>4471208</v>
      </c>
      <c r="E8" s="176">
        <v>277990</v>
      </c>
      <c r="F8" s="177">
        <v>576427</v>
      </c>
      <c r="G8" s="178">
        <v>226107</v>
      </c>
      <c r="H8" s="179">
        <v>0</v>
      </c>
      <c r="I8" s="179">
        <v>1872</v>
      </c>
      <c r="J8" s="179">
        <v>139</v>
      </c>
      <c r="K8" s="179">
        <v>124</v>
      </c>
      <c r="L8" s="181">
        <v>100</v>
      </c>
      <c r="M8" s="180">
        <v>2135</v>
      </c>
      <c r="Q8" s="20">
        <f t="shared" si="0"/>
        <v>0</v>
      </c>
    </row>
    <row r="9" spans="1:23" s="10" customFormat="1" ht="12.95" customHeight="1" x14ac:dyDescent="0.2">
      <c r="B9" s="22">
        <v>44202</v>
      </c>
      <c r="C9" s="174">
        <v>16228335</v>
      </c>
      <c r="D9" s="175">
        <v>4473169</v>
      </c>
      <c r="E9" s="176">
        <v>278127</v>
      </c>
      <c r="F9" s="177">
        <v>576529</v>
      </c>
      <c r="G9" s="178">
        <v>226220</v>
      </c>
      <c r="H9" s="179">
        <v>0</v>
      </c>
      <c r="I9" s="179">
        <v>1961</v>
      </c>
      <c r="J9" s="179">
        <v>137</v>
      </c>
      <c r="K9" s="179">
        <v>102</v>
      </c>
      <c r="L9" s="181">
        <v>113</v>
      </c>
      <c r="M9" s="180">
        <v>2200</v>
      </c>
      <c r="Q9" s="20">
        <f t="shared" si="0"/>
        <v>0</v>
      </c>
    </row>
    <row r="10" spans="1:23" s="10" customFormat="1" ht="12.95" customHeight="1" x14ac:dyDescent="0.2">
      <c r="B10" s="22">
        <v>44203</v>
      </c>
      <c r="C10" s="174">
        <v>16228335</v>
      </c>
      <c r="D10" s="175">
        <v>4474988</v>
      </c>
      <c r="E10" s="176">
        <v>278259</v>
      </c>
      <c r="F10" s="177">
        <v>576653</v>
      </c>
      <c r="G10" s="178">
        <v>226326</v>
      </c>
      <c r="H10" s="179">
        <v>0</v>
      </c>
      <c r="I10" s="179">
        <v>1819</v>
      </c>
      <c r="J10" s="179">
        <v>132</v>
      </c>
      <c r="K10" s="179">
        <v>124</v>
      </c>
      <c r="L10" s="181">
        <v>106</v>
      </c>
      <c r="M10" s="180">
        <v>2075</v>
      </c>
      <c r="Q10" s="20">
        <f t="shared" si="0"/>
        <v>0</v>
      </c>
    </row>
    <row r="11" spans="1:23" s="10" customFormat="1" ht="12.95" customHeight="1" x14ac:dyDescent="0.2">
      <c r="B11" s="22">
        <v>44204</v>
      </c>
      <c r="C11" s="174">
        <v>16228335</v>
      </c>
      <c r="D11" s="175">
        <v>4476515</v>
      </c>
      <c r="E11" s="176">
        <v>278386</v>
      </c>
      <c r="F11" s="177">
        <v>576784</v>
      </c>
      <c r="G11" s="178">
        <v>226440</v>
      </c>
      <c r="H11" s="179">
        <v>0</v>
      </c>
      <c r="I11" s="179">
        <v>1527</v>
      </c>
      <c r="J11" s="179">
        <v>127</v>
      </c>
      <c r="K11" s="179">
        <v>131</v>
      </c>
      <c r="L11" s="181">
        <v>114</v>
      </c>
      <c r="M11" s="180">
        <v>1785</v>
      </c>
      <c r="Q11" s="20">
        <f t="shared" si="0"/>
        <v>0</v>
      </c>
    </row>
    <row r="12" spans="1:23" s="10" customFormat="1" ht="12.95" customHeight="1" x14ac:dyDescent="0.2">
      <c r="B12" s="22">
        <v>44205</v>
      </c>
      <c r="C12" s="174">
        <v>16228335</v>
      </c>
      <c r="D12" s="175">
        <v>4478432</v>
      </c>
      <c r="E12" s="176">
        <v>278504</v>
      </c>
      <c r="F12" s="177">
        <v>576904</v>
      </c>
      <c r="G12" s="178">
        <v>226516</v>
      </c>
      <c r="H12" s="179">
        <v>0</v>
      </c>
      <c r="I12" s="179">
        <v>1917</v>
      </c>
      <c r="J12" s="179">
        <v>118</v>
      </c>
      <c r="K12" s="179">
        <v>120</v>
      </c>
      <c r="L12" s="181">
        <v>76</v>
      </c>
      <c r="M12" s="180">
        <v>2155</v>
      </c>
      <c r="O12" s="31"/>
      <c r="Q12" s="20">
        <f t="shared" si="0"/>
        <v>0</v>
      </c>
    </row>
    <row r="13" spans="1:23" s="10" customFormat="1" ht="12.95" customHeight="1" x14ac:dyDescent="0.2">
      <c r="B13" s="22">
        <v>44206</v>
      </c>
      <c r="C13" s="174">
        <v>16228335</v>
      </c>
      <c r="D13" s="175">
        <v>4480830</v>
      </c>
      <c r="E13" s="176">
        <v>278634</v>
      </c>
      <c r="F13" s="177">
        <v>577018</v>
      </c>
      <c r="G13" s="178">
        <v>226607</v>
      </c>
      <c r="H13" s="179">
        <v>0</v>
      </c>
      <c r="I13" s="179">
        <v>2398</v>
      </c>
      <c r="J13" s="179">
        <v>130</v>
      </c>
      <c r="K13" s="179">
        <v>114</v>
      </c>
      <c r="L13" s="181">
        <v>91</v>
      </c>
      <c r="M13" s="180">
        <v>2642</v>
      </c>
      <c r="Q13" s="20">
        <f t="shared" si="0"/>
        <v>0</v>
      </c>
    </row>
    <row r="14" spans="1:23" s="10" customFormat="1" ht="12.95" customHeight="1" x14ac:dyDescent="0.2">
      <c r="B14" s="22">
        <v>44207</v>
      </c>
      <c r="C14" s="174">
        <v>16228335</v>
      </c>
      <c r="D14" s="175">
        <v>4482588</v>
      </c>
      <c r="E14" s="176">
        <v>278774</v>
      </c>
      <c r="F14" s="177">
        <v>577125</v>
      </c>
      <c r="G14" s="178">
        <v>226718</v>
      </c>
      <c r="H14" s="179">
        <v>0</v>
      </c>
      <c r="I14" s="179">
        <v>1758</v>
      </c>
      <c r="J14" s="179">
        <v>140</v>
      </c>
      <c r="K14" s="179">
        <v>107</v>
      </c>
      <c r="L14" s="181">
        <v>111</v>
      </c>
      <c r="M14" s="180">
        <v>2005</v>
      </c>
      <c r="Q14" s="20">
        <f t="shared" si="0"/>
        <v>0</v>
      </c>
    </row>
    <row r="15" spans="1:23" s="10" customFormat="1" ht="12.95" customHeight="1" x14ac:dyDescent="0.2">
      <c r="B15" s="22">
        <v>44208</v>
      </c>
      <c r="C15" s="174">
        <v>16228335</v>
      </c>
      <c r="D15" s="175">
        <v>4484455</v>
      </c>
      <c r="E15" s="176">
        <v>278913</v>
      </c>
      <c r="F15" s="177">
        <v>577236</v>
      </c>
      <c r="G15" s="178">
        <v>226805</v>
      </c>
      <c r="H15" s="179">
        <v>0</v>
      </c>
      <c r="I15" s="179">
        <v>1867</v>
      </c>
      <c r="J15" s="179">
        <v>139</v>
      </c>
      <c r="K15" s="179">
        <v>111</v>
      </c>
      <c r="L15" s="181">
        <v>87</v>
      </c>
      <c r="M15" s="180">
        <v>2117</v>
      </c>
      <c r="Q15" s="20">
        <f t="shared" si="0"/>
        <v>0</v>
      </c>
    </row>
    <row r="16" spans="1:23" s="10" customFormat="1" ht="12.95" customHeight="1" x14ac:dyDescent="0.2">
      <c r="B16" s="22">
        <v>44209</v>
      </c>
      <c r="C16" s="174">
        <v>16228335</v>
      </c>
      <c r="D16" s="175">
        <v>4487372</v>
      </c>
      <c r="E16" s="176">
        <v>279043</v>
      </c>
      <c r="F16" s="177">
        <v>577331</v>
      </c>
      <c r="G16" s="178">
        <v>226903</v>
      </c>
      <c r="H16" s="179">
        <v>0</v>
      </c>
      <c r="I16" s="179">
        <v>2917</v>
      </c>
      <c r="J16" s="179">
        <v>130</v>
      </c>
      <c r="K16" s="179">
        <v>95</v>
      </c>
      <c r="L16" s="181">
        <v>98</v>
      </c>
      <c r="M16" s="180">
        <v>3142</v>
      </c>
      <c r="Q16" s="20">
        <f t="shared" si="0"/>
        <v>0</v>
      </c>
    </row>
    <row r="17" spans="2:17" s="10" customFormat="1" ht="12.95" customHeight="1" x14ac:dyDescent="0.2">
      <c r="B17" s="22">
        <v>44210</v>
      </c>
      <c r="C17" s="174">
        <v>16228335</v>
      </c>
      <c r="D17" s="175">
        <v>4490725</v>
      </c>
      <c r="E17" s="176">
        <v>279185</v>
      </c>
      <c r="F17" s="177">
        <v>577439</v>
      </c>
      <c r="G17" s="178">
        <v>227002</v>
      </c>
      <c r="H17" s="179">
        <v>0</v>
      </c>
      <c r="I17" s="179">
        <v>3353</v>
      </c>
      <c r="J17" s="179">
        <v>142</v>
      </c>
      <c r="K17" s="179">
        <v>108</v>
      </c>
      <c r="L17" s="181">
        <v>99</v>
      </c>
      <c r="M17" s="180">
        <v>3603</v>
      </c>
      <c r="Q17" s="20">
        <f t="shared" si="0"/>
        <v>0</v>
      </c>
    </row>
    <row r="18" spans="2:17" s="10" customFormat="1" ht="12.95" customHeight="1" x14ac:dyDescent="0.2">
      <c r="B18" s="22">
        <v>44211</v>
      </c>
      <c r="C18" s="174">
        <v>16228335</v>
      </c>
      <c r="D18" s="175">
        <v>4494133</v>
      </c>
      <c r="E18" s="176">
        <v>279307</v>
      </c>
      <c r="F18" s="177">
        <v>577577</v>
      </c>
      <c r="G18" s="178">
        <v>227090</v>
      </c>
      <c r="H18" s="179">
        <v>0</v>
      </c>
      <c r="I18" s="179">
        <v>3408</v>
      </c>
      <c r="J18" s="179">
        <v>122</v>
      </c>
      <c r="K18" s="179">
        <v>138</v>
      </c>
      <c r="L18" s="181">
        <v>88</v>
      </c>
      <c r="M18" s="180">
        <v>3668</v>
      </c>
      <c r="Q18" s="20">
        <f t="shared" si="0"/>
        <v>0</v>
      </c>
    </row>
    <row r="19" spans="2:17" s="10" customFormat="1" ht="12.95" customHeight="1" x14ac:dyDescent="0.2">
      <c r="B19" s="22">
        <v>44212</v>
      </c>
      <c r="C19" s="174">
        <v>16228335</v>
      </c>
      <c r="D19" s="175">
        <v>4497609</v>
      </c>
      <c r="E19" s="176">
        <v>279439</v>
      </c>
      <c r="F19" s="177">
        <v>577683</v>
      </c>
      <c r="G19" s="178">
        <v>227174</v>
      </c>
      <c r="H19" s="179">
        <v>0</v>
      </c>
      <c r="I19" s="179">
        <v>3476</v>
      </c>
      <c r="J19" s="179">
        <v>132</v>
      </c>
      <c r="K19" s="179">
        <v>106</v>
      </c>
      <c r="L19" s="181">
        <v>84</v>
      </c>
      <c r="M19" s="180">
        <v>3714</v>
      </c>
      <c r="Q19" s="20">
        <f t="shared" si="0"/>
        <v>0</v>
      </c>
    </row>
    <row r="20" spans="2:17" s="10" customFormat="1" ht="12.95" customHeight="1" x14ac:dyDescent="0.2">
      <c r="B20" s="22">
        <v>44213</v>
      </c>
      <c r="C20" s="174">
        <v>16228335</v>
      </c>
      <c r="D20" s="175">
        <v>4501910</v>
      </c>
      <c r="E20" s="176">
        <v>279564</v>
      </c>
      <c r="F20" s="177">
        <v>577761</v>
      </c>
      <c r="G20" s="178">
        <v>227241</v>
      </c>
      <c r="H20" s="179">
        <v>0</v>
      </c>
      <c r="I20" s="179">
        <v>4301</v>
      </c>
      <c r="J20" s="179">
        <v>125</v>
      </c>
      <c r="K20" s="179">
        <v>78</v>
      </c>
      <c r="L20" s="181">
        <v>67</v>
      </c>
      <c r="M20" s="180">
        <v>4504</v>
      </c>
      <c r="Q20" s="20">
        <f t="shared" si="0"/>
        <v>0</v>
      </c>
    </row>
    <row r="21" spans="2:17" s="10" customFormat="1" ht="12.95" customHeight="1" x14ac:dyDescent="0.2">
      <c r="B21" s="22">
        <v>44214</v>
      </c>
      <c r="C21" s="174">
        <v>16228335</v>
      </c>
      <c r="D21" s="175">
        <v>4506254</v>
      </c>
      <c r="E21" s="176">
        <v>279689</v>
      </c>
      <c r="F21" s="177">
        <v>577873</v>
      </c>
      <c r="G21" s="178">
        <v>227336</v>
      </c>
      <c r="H21" s="179">
        <v>0</v>
      </c>
      <c r="I21" s="179">
        <v>4344</v>
      </c>
      <c r="J21" s="179">
        <v>125</v>
      </c>
      <c r="K21" s="179">
        <v>112</v>
      </c>
      <c r="L21" s="181">
        <v>95</v>
      </c>
      <c r="M21" s="180">
        <v>4581</v>
      </c>
      <c r="Q21" s="20">
        <f t="shared" si="0"/>
        <v>0</v>
      </c>
    </row>
    <row r="22" spans="2:17" s="10" customFormat="1" ht="12.95" customHeight="1" x14ac:dyDescent="0.2">
      <c r="B22" s="22">
        <v>44215</v>
      </c>
      <c r="C22" s="174">
        <v>16228335</v>
      </c>
      <c r="D22" s="175">
        <v>4510552</v>
      </c>
      <c r="E22" s="176">
        <v>279807</v>
      </c>
      <c r="F22" s="177">
        <v>577962</v>
      </c>
      <c r="G22" s="178">
        <v>227420</v>
      </c>
      <c r="H22" s="179">
        <v>0</v>
      </c>
      <c r="I22" s="179">
        <v>4298</v>
      </c>
      <c r="J22" s="179">
        <v>118</v>
      </c>
      <c r="K22" s="179">
        <v>89</v>
      </c>
      <c r="L22" s="181">
        <v>84</v>
      </c>
      <c r="M22" s="180">
        <v>4505</v>
      </c>
      <c r="Q22" s="20">
        <f t="shared" si="0"/>
        <v>0</v>
      </c>
    </row>
    <row r="23" spans="2:17" s="10" customFormat="1" ht="12.95" customHeight="1" x14ac:dyDescent="0.2">
      <c r="B23" s="22">
        <v>44216</v>
      </c>
      <c r="C23" s="174">
        <v>16228335</v>
      </c>
      <c r="D23" s="175">
        <v>4514006</v>
      </c>
      <c r="E23" s="176">
        <v>279917</v>
      </c>
      <c r="F23" s="177">
        <v>578052</v>
      </c>
      <c r="G23" s="178">
        <v>227509</v>
      </c>
      <c r="H23" s="179">
        <v>0</v>
      </c>
      <c r="I23" s="179">
        <v>3454</v>
      </c>
      <c r="J23" s="179">
        <v>110</v>
      </c>
      <c r="K23" s="179">
        <v>90</v>
      </c>
      <c r="L23" s="181">
        <v>89</v>
      </c>
      <c r="M23" s="180">
        <v>3654</v>
      </c>
      <c r="Q23" s="20">
        <f t="shared" si="0"/>
        <v>0</v>
      </c>
    </row>
    <row r="24" spans="2:17" s="10" customFormat="1" ht="12.95" customHeight="1" thickBot="1" x14ac:dyDescent="0.25">
      <c r="B24" s="22">
        <v>44217</v>
      </c>
      <c r="C24" s="174">
        <v>16228335</v>
      </c>
      <c r="D24" s="175">
        <v>4517220</v>
      </c>
      <c r="E24" s="176">
        <v>280051</v>
      </c>
      <c r="F24" s="177">
        <v>578160</v>
      </c>
      <c r="G24" s="178">
        <v>227610</v>
      </c>
      <c r="H24" s="179">
        <v>0</v>
      </c>
      <c r="I24" s="179">
        <v>3214</v>
      </c>
      <c r="J24" s="179">
        <v>134</v>
      </c>
      <c r="K24" s="179">
        <v>108</v>
      </c>
      <c r="L24" s="181">
        <v>101</v>
      </c>
      <c r="M24" s="180">
        <v>3456</v>
      </c>
      <c r="Q24" s="20">
        <f t="shared" si="0"/>
        <v>0</v>
      </c>
    </row>
    <row r="25" spans="2:17" s="10" customFormat="1" ht="12.95" customHeight="1" x14ac:dyDescent="0.2">
      <c r="B25" s="22">
        <v>44218</v>
      </c>
      <c r="C25" s="174">
        <v>16228335</v>
      </c>
      <c r="D25" s="175">
        <v>4519533</v>
      </c>
      <c r="E25" s="176">
        <v>280158</v>
      </c>
      <c r="F25" s="177">
        <v>578273</v>
      </c>
      <c r="G25" s="178">
        <v>227717</v>
      </c>
      <c r="H25" s="179">
        <v>0</v>
      </c>
      <c r="I25" s="179">
        <v>2313</v>
      </c>
      <c r="J25" s="179">
        <v>107</v>
      </c>
      <c r="K25" s="179">
        <v>113</v>
      </c>
      <c r="L25" s="181">
        <v>107</v>
      </c>
      <c r="M25" s="180">
        <v>2533</v>
      </c>
      <c r="N25" s="198" t="s">
        <v>21</v>
      </c>
      <c r="O25" s="198" t="s">
        <v>22</v>
      </c>
      <c r="Q25" s="20">
        <f t="shared" si="0"/>
        <v>0</v>
      </c>
    </row>
    <row r="26" spans="2:17" s="10" customFormat="1" ht="12.95" customHeight="1" x14ac:dyDescent="0.2">
      <c r="B26" s="22">
        <v>44219</v>
      </c>
      <c r="C26" s="174">
        <v>16228335</v>
      </c>
      <c r="D26" s="175">
        <v>4521970</v>
      </c>
      <c r="E26" s="176">
        <v>280289</v>
      </c>
      <c r="F26" s="177">
        <v>578391</v>
      </c>
      <c r="G26" s="178">
        <v>227832</v>
      </c>
      <c r="H26" s="179">
        <v>0</v>
      </c>
      <c r="I26" s="179">
        <v>2437</v>
      </c>
      <c r="J26" s="179">
        <v>131</v>
      </c>
      <c r="K26" s="179">
        <v>118</v>
      </c>
      <c r="L26" s="181">
        <v>115</v>
      </c>
      <c r="M26" s="180">
        <v>2686</v>
      </c>
      <c r="N26" s="199"/>
      <c r="O26" s="199"/>
      <c r="Q26" s="20">
        <f t="shared" si="0"/>
        <v>0</v>
      </c>
    </row>
    <row r="27" spans="2:17" s="10" customFormat="1" ht="12.95" customHeight="1" thickBot="1" x14ac:dyDescent="0.25">
      <c r="B27" s="22">
        <v>44220</v>
      </c>
      <c r="C27" s="174">
        <v>16228335</v>
      </c>
      <c r="D27" s="175">
        <v>4524269</v>
      </c>
      <c r="E27" s="176">
        <v>280407</v>
      </c>
      <c r="F27" s="177">
        <v>578505</v>
      </c>
      <c r="G27" s="178">
        <v>227920</v>
      </c>
      <c r="H27" s="179">
        <v>0</v>
      </c>
      <c r="I27" s="179">
        <v>2299</v>
      </c>
      <c r="J27" s="179">
        <v>118</v>
      </c>
      <c r="K27" s="179">
        <v>114</v>
      </c>
      <c r="L27" s="181">
        <v>88</v>
      </c>
      <c r="M27" s="180">
        <v>2531</v>
      </c>
      <c r="N27" s="200"/>
      <c r="O27" s="200"/>
      <c r="Q27" s="20">
        <f t="shared" si="0"/>
        <v>0</v>
      </c>
    </row>
    <row r="28" spans="2:17" s="10" customFormat="1" ht="12.95" customHeight="1" thickBot="1" x14ac:dyDescent="0.25">
      <c r="B28" s="22">
        <v>44221</v>
      </c>
      <c r="C28" s="174">
        <v>16228335</v>
      </c>
      <c r="D28" s="175">
        <v>4526764</v>
      </c>
      <c r="E28" s="176">
        <v>280553</v>
      </c>
      <c r="F28" s="177">
        <v>578615</v>
      </c>
      <c r="G28" s="178">
        <v>228007</v>
      </c>
      <c r="H28" s="179">
        <v>0</v>
      </c>
      <c r="I28" s="179">
        <v>2495</v>
      </c>
      <c r="J28" s="179">
        <v>146</v>
      </c>
      <c r="K28" s="179">
        <v>110</v>
      </c>
      <c r="L28" s="181">
        <v>87</v>
      </c>
      <c r="M28" s="180">
        <v>2751</v>
      </c>
      <c r="N28" s="32">
        <f>SUM(L4:L34)</f>
        <v>3034</v>
      </c>
      <c r="O28" s="32">
        <f>SUM(M4:M34)</f>
        <v>90629</v>
      </c>
      <c r="Q28" s="20">
        <f t="shared" si="0"/>
        <v>0</v>
      </c>
    </row>
    <row r="29" spans="2:17" s="10" customFormat="1" ht="12.95" customHeight="1" x14ac:dyDescent="0.2">
      <c r="B29" s="22">
        <v>44222</v>
      </c>
      <c r="C29" s="174">
        <v>16228335</v>
      </c>
      <c r="D29" s="175">
        <v>4529086</v>
      </c>
      <c r="E29" s="176">
        <v>280686</v>
      </c>
      <c r="F29" s="177">
        <v>578736</v>
      </c>
      <c r="G29" s="178">
        <v>228111</v>
      </c>
      <c r="H29" s="179">
        <v>0</v>
      </c>
      <c r="I29" s="179">
        <v>2322</v>
      </c>
      <c r="J29" s="179">
        <v>133</v>
      </c>
      <c r="K29" s="179">
        <v>121</v>
      </c>
      <c r="L29" s="181">
        <v>104</v>
      </c>
      <c r="M29" s="180">
        <v>2576</v>
      </c>
      <c r="N29" s="198" t="s">
        <v>23</v>
      </c>
      <c r="O29" s="198" t="s">
        <v>24</v>
      </c>
      <c r="Q29" s="20">
        <f t="shared" si="0"/>
        <v>0</v>
      </c>
    </row>
    <row r="30" spans="2:17" s="10" customFormat="1" ht="12.95" customHeight="1" thickBot="1" x14ac:dyDescent="0.25">
      <c r="B30" s="22">
        <v>44223</v>
      </c>
      <c r="C30" s="174">
        <v>16228335</v>
      </c>
      <c r="D30" s="175">
        <v>4532734</v>
      </c>
      <c r="E30" s="176">
        <v>280825</v>
      </c>
      <c r="F30" s="177">
        <v>578859</v>
      </c>
      <c r="G30" s="178">
        <v>228202</v>
      </c>
      <c r="H30" s="179">
        <v>0</v>
      </c>
      <c r="I30" s="179">
        <v>3648</v>
      </c>
      <c r="J30" s="179">
        <v>139</v>
      </c>
      <c r="K30" s="179">
        <v>123</v>
      </c>
      <c r="L30" s="181">
        <v>91</v>
      </c>
      <c r="M30" s="180">
        <v>3910</v>
      </c>
      <c r="N30" s="200"/>
      <c r="O30" s="200"/>
      <c r="Q30" s="20">
        <f t="shared" si="0"/>
        <v>0</v>
      </c>
    </row>
    <row r="31" spans="2:17" s="10" customFormat="1" ht="12.95" customHeight="1" thickBot="1" x14ac:dyDescent="0.25">
      <c r="B31" s="22">
        <v>44224</v>
      </c>
      <c r="C31" s="174">
        <v>16228335</v>
      </c>
      <c r="D31" s="175">
        <v>4536383</v>
      </c>
      <c r="E31" s="176">
        <v>280976</v>
      </c>
      <c r="F31" s="177">
        <v>578983</v>
      </c>
      <c r="G31" s="178">
        <v>228316</v>
      </c>
      <c r="H31" s="179">
        <v>0</v>
      </c>
      <c r="I31" s="179">
        <v>3649</v>
      </c>
      <c r="J31" s="179">
        <v>151</v>
      </c>
      <c r="K31" s="179">
        <v>124</v>
      </c>
      <c r="L31" s="181">
        <v>114</v>
      </c>
      <c r="M31" s="180">
        <v>3924</v>
      </c>
      <c r="N31" s="32">
        <f>AVERAGE(L4:L34)</f>
        <v>97.870967741935488</v>
      </c>
      <c r="O31" s="32">
        <f>AVERAGE(M4:M34)</f>
        <v>2923.516129032258</v>
      </c>
      <c r="Q31" s="20">
        <f t="shared" si="0"/>
        <v>0</v>
      </c>
    </row>
    <row r="32" spans="2:17" s="10" customFormat="1" ht="12.95" customHeight="1" x14ac:dyDescent="0.2">
      <c r="B32" s="22">
        <v>44225</v>
      </c>
      <c r="C32" s="174">
        <v>16228335</v>
      </c>
      <c r="D32" s="175">
        <v>4539594</v>
      </c>
      <c r="E32" s="176">
        <v>281116</v>
      </c>
      <c r="F32" s="177">
        <v>579121</v>
      </c>
      <c r="G32" s="178">
        <v>228427</v>
      </c>
      <c r="H32" s="179">
        <v>0</v>
      </c>
      <c r="I32" s="179">
        <v>3211</v>
      </c>
      <c r="J32" s="179">
        <v>140</v>
      </c>
      <c r="K32" s="179">
        <v>138</v>
      </c>
      <c r="L32" s="181">
        <v>111</v>
      </c>
      <c r="M32" s="180">
        <v>3489</v>
      </c>
      <c r="O32" s="20">
        <f>IF(L32="",1,0)</f>
        <v>0</v>
      </c>
    </row>
    <row r="33" spans="2:17" s="10" customFormat="1" ht="12.95" customHeight="1" x14ac:dyDescent="0.2">
      <c r="B33" s="22">
        <v>44226</v>
      </c>
      <c r="C33" s="174">
        <v>16228335</v>
      </c>
      <c r="D33" s="175">
        <v>4542176</v>
      </c>
      <c r="E33" s="176">
        <v>281242</v>
      </c>
      <c r="F33" s="177">
        <v>579234</v>
      </c>
      <c r="G33" s="178">
        <v>228513</v>
      </c>
      <c r="H33" s="179">
        <v>0</v>
      </c>
      <c r="I33" s="179">
        <v>2582</v>
      </c>
      <c r="J33" s="179">
        <v>126</v>
      </c>
      <c r="K33" s="179">
        <v>113</v>
      </c>
      <c r="L33" s="181">
        <v>86</v>
      </c>
      <c r="M33" s="180">
        <v>2821</v>
      </c>
      <c r="O33" s="20">
        <f>IF(L33="",1,0)</f>
        <v>0</v>
      </c>
    </row>
    <row r="34" spans="2:17" s="10" customFormat="1" ht="12.95" customHeight="1" x14ac:dyDescent="0.2">
      <c r="B34" s="22">
        <v>44227</v>
      </c>
      <c r="C34" s="182">
        <v>16228335</v>
      </c>
      <c r="D34" s="172">
        <v>4544555</v>
      </c>
      <c r="E34" s="172">
        <v>281363</v>
      </c>
      <c r="F34" s="172">
        <v>579343</v>
      </c>
      <c r="G34" s="172">
        <v>228592</v>
      </c>
      <c r="H34" s="173">
        <v>0</v>
      </c>
      <c r="I34" s="173">
        <v>2379</v>
      </c>
      <c r="J34" s="173">
        <v>121</v>
      </c>
      <c r="K34" s="173">
        <v>109</v>
      </c>
      <c r="L34" s="183">
        <v>79</v>
      </c>
      <c r="M34" s="184">
        <v>2609</v>
      </c>
      <c r="N34" s="9"/>
      <c r="O34" s="9"/>
      <c r="Q34" s="20">
        <f t="shared" si="0"/>
        <v>0</v>
      </c>
    </row>
    <row r="35" spans="2:17" s="10" customFormat="1" ht="12.95" customHeight="1" x14ac:dyDescent="0.2">
      <c r="B35" s="22">
        <v>44228</v>
      </c>
      <c r="C35" s="174">
        <v>16228335</v>
      </c>
      <c r="D35" s="175">
        <v>4546448</v>
      </c>
      <c r="E35" s="176">
        <v>281482</v>
      </c>
      <c r="F35" s="177">
        <v>579448</v>
      </c>
      <c r="G35" s="178">
        <v>228680</v>
      </c>
      <c r="H35" s="179">
        <v>0</v>
      </c>
      <c r="I35" s="179">
        <v>1893</v>
      </c>
      <c r="J35" s="179">
        <v>119</v>
      </c>
      <c r="K35" s="179">
        <v>105</v>
      </c>
      <c r="L35" s="181">
        <v>88</v>
      </c>
      <c r="M35" s="180">
        <v>2117</v>
      </c>
      <c r="N35" s="9"/>
      <c r="O35" s="9"/>
      <c r="Q35" s="20"/>
    </row>
    <row r="36" spans="2:17" ht="12.95" customHeight="1" x14ac:dyDescent="0.2">
      <c r="B36" s="22">
        <v>44229</v>
      </c>
      <c r="C36" s="174">
        <v>16228335</v>
      </c>
      <c r="D36" s="175">
        <v>4548532</v>
      </c>
      <c r="E36" s="176">
        <v>281601</v>
      </c>
      <c r="F36" s="177">
        <v>579542</v>
      </c>
      <c r="G36" s="178">
        <v>228806</v>
      </c>
      <c r="H36" s="179">
        <v>0</v>
      </c>
      <c r="I36" s="179">
        <v>2084</v>
      </c>
      <c r="J36" s="179">
        <v>119</v>
      </c>
      <c r="K36" s="179">
        <v>94</v>
      </c>
      <c r="L36" s="181">
        <v>126</v>
      </c>
      <c r="M36" s="180">
        <v>2297</v>
      </c>
      <c r="Q36" s="20">
        <f t="shared" si="0"/>
        <v>0</v>
      </c>
    </row>
    <row r="37" spans="2:17" ht="12.95" customHeight="1" x14ac:dyDescent="0.2">
      <c r="B37" s="22">
        <v>44230</v>
      </c>
      <c r="C37" s="174">
        <v>16228335</v>
      </c>
      <c r="D37" s="175">
        <v>4550676</v>
      </c>
      <c r="E37" s="176">
        <v>281742</v>
      </c>
      <c r="F37" s="177">
        <v>579654</v>
      </c>
      <c r="G37" s="178">
        <v>228977</v>
      </c>
      <c r="H37" s="179">
        <v>0</v>
      </c>
      <c r="I37" s="179">
        <v>2144</v>
      </c>
      <c r="J37" s="179">
        <v>141</v>
      </c>
      <c r="K37" s="179">
        <v>112</v>
      </c>
      <c r="L37" s="181">
        <v>171</v>
      </c>
      <c r="M37" s="180">
        <v>2397</v>
      </c>
      <c r="Q37" s="20">
        <f t="shared" si="0"/>
        <v>0</v>
      </c>
    </row>
    <row r="38" spans="2:17" ht="12.95" customHeight="1" x14ac:dyDescent="0.2">
      <c r="B38" s="22">
        <v>44231</v>
      </c>
      <c r="C38" s="174">
        <v>16228335</v>
      </c>
      <c r="D38" s="175">
        <v>4552886</v>
      </c>
      <c r="E38" s="176">
        <v>281882</v>
      </c>
      <c r="F38" s="177">
        <v>579760</v>
      </c>
      <c r="G38" s="178">
        <v>229131</v>
      </c>
      <c r="H38" s="179">
        <v>0</v>
      </c>
      <c r="I38" s="179">
        <v>2210</v>
      </c>
      <c r="J38" s="179">
        <v>140</v>
      </c>
      <c r="K38" s="179">
        <v>106</v>
      </c>
      <c r="L38" s="181">
        <v>154</v>
      </c>
      <c r="M38" s="180">
        <v>2456</v>
      </c>
      <c r="Q38" s="20">
        <f t="shared" si="0"/>
        <v>0</v>
      </c>
    </row>
    <row r="39" spans="2:17" ht="12.95" customHeight="1" x14ac:dyDescent="0.2">
      <c r="B39" s="22">
        <v>44232</v>
      </c>
      <c r="C39" s="174">
        <v>16228335</v>
      </c>
      <c r="D39" s="175">
        <v>4555153</v>
      </c>
      <c r="E39" s="176">
        <v>282033</v>
      </c>
      <c r="F39" s="177">
        <v>579891</v>
      </c>
      <c r="G39" s="178">
        <v>229262</v>
      </c>
      <c r="H39" s="179">
        <v>0</v>
      </c>
      <c r="I39" s="179">
        <v>2267</v>
      </c>
      <c r="J39" s="179">
        <v>151</v>
      </c>
      <c r="K39" s="179">
        <v>131</v>
      </c>
      <c r="L39" s="181">
        <v>131</v>
      </c>
      <c r="M39" s="180">
        <v>2549</v>
      </c>
      <c r="Q39" s="20">
        <f t="shared" si="0"/>
        <v>0</v>
      </c>
    </row>
    <row r="40" spans="2:17" ht="12.95" customHeight="1" x14ac:dyDescent="0.2">
      <c r="B40" s="22">
        <v>44233</v>
      </c>
      <c r="C40" s="174">
        <v>16228335</v>
      </c>
      <c r="D40" s="175">
        <v>4557430</v>
      </c>
      <c r="E40" s="176">
        <v>282160</v>
      </c>
      <c r="F40" s="177">
        <v>580030</v>
      </c>
      <c r="G40" s="178">
        <v>229393</v>
      </c>
      <c r="H40" s="179">
        <v>0</v>
      </c>
      <c r="I40" s="179">
        <v>2277</v>
      </c>
      <c r="J40" s="179">
        <v>127</v>
      </c>
      <c r="K40" s="179">
        <v>139</v>
      </c>
      <c r="L40" s="181">
        <v>131</v>
      </c>
      <c r="M40" s="180">
        <v>2543</v>
      </c>
      <c r="Q40" s="20">
        <f t="shared" si="0"/>
        <v>0</v>
      </c>
    </row>
    <row r="41" spans="2:17" ht="12.95" customHeight="1" x14ac:dyDescent="0.2">
      <c r="B41" s="22">
        <v>44234</v>
      </c>
      <c r="C41" s="174">
        <v>16228335</v>
      </c>
      <c r="D41" s="175">
        <v>4559442</v>
      </c>
      <c r="E41" s="176">
        <v>282285</v>
      </c>
      <c r="F41" s="177">
        <v>580173</v>
      </c>
      <c r="G41" s="178">
        <v>229516</v>
      </c>
      <c r="H41" s="179">
        <v>0</v>
      </c>
      <c r="I41" s="179">
        <v>2012</v>
      </c>
      <c r="J41" s="179">
        <v>125</v>
      </c>
      <c r="K41" s="179">
        <v>143</v>
      </c>
      <c r="L41" s="181">
        <v>123</v>
      </c>
      <c r="M41" s="180">
        <v>2280</v>
      </c>
      <c r="Q41" s="20">
        <f t="shared" si="0"/>
        <v>0</v>
      </c>
    </row>
    <row r="42" spans="2:17" ht="12.95" customHeight="1" x14ac:dyDescent="0.2">
      <c r="B42" s="22">
        <v>44235</v>
      </c>
      <c r="C42" s="174">
        <v>16228335</v>
      </c>
      <c r="D42" s="175">
        <v>4561022</v>
      </c>
      <c r="E42" s="176">
        <v>282439</v>
      </c>
      <c r="F42" s="177">
        <v>580311</v>
      </c>
      <c r="G42" s="178">
        <v>229611</v>
      </c>
      <c r="H42" s="179">
        <v>0</v>
      </c>
      <c r="I42" s="179">
        <v>1580</v>
      </c>
      <c r="J42" s="179">
        <v>154</v>
      </c>
      <c r="K42" s="179">
        <v>138</v>
      </c>
      <c r="L42" s="181">
        <v>95</v>
      </c>
      <c r="M42" s="180">
        <v>1872</v>
      </c>
      <c r="Q42" s="20">
        <f t="shared" si="0"/>
        <v>0</v>
      </c>
    </row>
    <row r="43" spans="2:17" ht="12.95" customHeight="1" x14ac:dyDescent="0.2">
      <c r="B43" s="22">
        <v>44236</v>
      </c>
      <c r="C43" s="174">
        <v>16228335</v>
      </c>
      <c r="D43" s="175">
        <v>4562745</v>
      </c>
      <c r="E43" s="176">
        <v>282581</v>
      </c>
      <c r="F43" s="177">
        <v>580422</v>
      </c>
      <c r="G43" s="178">
        <v>229710</v>
      </c>
      <c r="H43" s="179">
        <v>0</v>
      </c>
      <c r="I43" s="179">
        <v>1723</v>
      </c>
      <c r="J43" s="179">
        <v>142</v>
      </c>
      <c r="K43" s="179">
        <v>111</v>
      </c>
      <c r="L43" s="181">
        <v>99</v>
      </c>
      <c r="M43" s="180">
        <v>1976</v>
      </c>
      <c r="Q43" s="20">
        <f t="shared" si="0"/>
        <v>0</v>
      </c>
    </row>
    <row r="44" spans="2:17" ht="12.95" customHeight="1" x14ac:dyDescent="0.2">
      <c r="B44" s="22">
        <v>44237</v>
      </c>
      <c r="C44" s="174">
        <v>16228335</v>
      </c>
      <c r="D44" s="175">
        <v>4564656</v>
      </c>
      <c r="E44" s="176">
        <v>282701</v>
      </c>
      <c r="F44" s="177">
        <v>580551</v>
      </c>
      <c r="G44" s="178">
        <v>229812</v>
      </c>
      <c r="H44" s="179">
        <v>0</v>
      </c>
      <c r="I44" s="179">
        <v>1911</v>
      </c>
      <c r="J44" s="179">
        <v>120</v>
      </c>
      <c r="K44" s="179">
        <v>129</v>
      </c>
      <c r="L44" s="181">
        <v>102</v>
      </c>
      <c r="M44" s="180">
        <v>2160</v>
      </c>
      <c r="Q44" s="20">
        <f t="shared" si="0"/>
        <v>0</v>
      </c>
    </row>
    <row r="45" spans="2:17" ht="12.95" customHeight="1" x14ac:dyDescent="0.2">
      <c r="B45" s="22">
        <v>44238</v>
      </c>
      <c r="C45" s="174">
        <v>16228335</v>
      </c>
      <c r="D45" s="175">
        <v>4566425</v>
      </c>
      <c r="E45" s="176">
        <v>282827</v>
      </c>
      <c r="F45" s="177">
        <v>580680</v>
      </c>
      <c r="G45" s="178">
        <v>229984</v>
      </c>
      <c r="H45" s="179">
        <v>0</v>
      </c>
      <c r="I45" s="179">
        <v>1769</v>
      </c>
      <c r="J45" s="179">
        <v>126</v>
      </c>
      <c r="K45" s="179">
        <v>129</v>
      </c>
      <c r="L45" s="181">
        <v>172</v>
      </c>
      <c r="M45" s="180">
        <v>2024</v>
      </c>
      <c r="Q45" s="20">
        <f t="shared" si="0"/>
        <v>0</v>
      </c>
    </row>
    <row r="46" spans="2:17" ht="12.95" customHeight="1" x14ac:dyDescent="0.2">
      <c r="B46" s="22">
        <v>44239</v>
      </c>
      <c r="C46" s="174">
        <v>16228335</v>
      </c>
      <c r="D46" s="175">
        <v>4569862</v>
      </c>
      <c r="E46" s="176">
        <v>282962</v>
      </c>
      <c r="F46" s="177">
        <v>580824</v>
      </c>
      <c r="G46" s="178">
        <v>230106</v>
      </c>
      <c r="H46" s="179">
        <v>0</v>
      </c>
      <c r="I46" s="179">
        <v>3437</v>
      </c>
      <c r="J46" s="179">
        <v>135</v>
      </c>
      <c r="K46" s="179">
        <v>144</v>
      </c>
      <c r="L46" s="181">
        <v>122</v>
      </c>
      <c r="M46" s="180">
        <v>3716</v>
      </c>
      <c r="Q46" s="20">
        <f t="shared" si="0"/>
        <v>0</v>
      </c>
    </row>
    <row r="47" spans="2:17" ht="12.95" customHeight="1" x14ac:dyDescent="0.2">
      <c r="B47" s="22">
        <v>44240</v>
      </c>
      <c r="C47" s="174">
        <v>16228335</v>
      </c>
      <c r="D47" s="175">
        <v>4573447</v>
      </c>
      <c r="E47" s="176">
        <v>283081</v>
      </c>
      <c r="F47" s="177">
        <v>580933</v>
      </c>
      <c r="G47" s="178">
        <v>230295</v>
      </c>
      <c r="H47" s="179">
        <v>0</v>
      </c>
      <c r="I47" s="179">
        <v>3585</v>
      </c>
      <c r="J47" s="179">
        <v>119</v>
      </c>
      <c r="K47" s="179">
        <v>109</v>
      </c>
      <c r="L47" s="181">
        <v>189</v>
      </c>
      <c r="M47" s="180">
        <v>3813</v>
      </c>
      <c r="Q47" s="20">
        <f t="shared" si="0"/>
        <v>0</v>
      </c>
    </row>
    <row r="48" spans="2:17" ht="12.95" customHeight="1" x14ac:dyDescent="0.2">
      <c r="B48" s="22">
        <v>44241</v>
      </c>
      <c r="C48" s="174">
        <v>16228335</v>
      </c>
      <c r="D48" s="175">
        <v>4577765</v>
      </c>
      <c r="E48" s="176">
        <v>283222</v>
      </c>
      <c r="F48" s="177">
        <v>581063</v>
      </c>
      <c r="G48" s="178">
        <v>230373</v>
      </c>
      <c r="H48" s="179">
        <v>0</v>
      </c>
      <c r="I48" s="179">
        <v>4318</v>
      </c>
      <c r="J48" s="179">
        <v>141</v>
      </c>
      <c r="K48" s="179">
        <v>130</v>
      </c>
      <c r="L48" s="181">
        <v>78</v>
      </c>
      <c r="M48" s="180">
        <v>4589</v>
      </c>
      <c r="Q48" s="20">
        <f t="shared" si="0"/>
        <v>0</v>
      </c>
    </row>
    <row r="49" spans="2:17" ht="12.95" customHeight="1" x14ac:dyDescent="0.2">
      <c r="B49" s="22">
        <v>44242</v>
      </c>
      <c r="C49" s="174">
        <v>16228335</v>
      </c>
      <c r="D49" s="175">
        <v>4581994</v>
      </c>
      <c r="E49" s="176">
        <v>283360</v>
      </c>
      <c r="F49" s="177">
        <v>581236</v>
      </c>
      <c r="G49" s="178">
        <v>230392</v>
      </c>
      <c r="H49" s="179">
        <v>0</v>
      </c>
      <c r="I49" s="179">
        <v>4229</v>
      </c>
      <c r="J49" s="179">
        <v>138</v>
      </c>
      <c r="K49" s="179">
        <v>173</v>
      </c>
      <c r="L49" s="181">
        <v>19</v>
      </c>
      <c r="M49" s="180">
        <v>4540</v>
      </c>
      <c r="Q49" s="20">
        <f t="shared" si="0"/>
        <v>0</v>
      </c>
    </row>
    <row r="50" spans="2:17" ht="12.95" customHeight="1" x14ac:dyDescent="0.2">
      <c r="B50" s="22">
        <v>44243</v>
      </c>
      <c r="C50" s="174">
        <v>16228335</v>
      </c>
      <c r="D50" s="175">
        <v>4586195</v>
      </c>
      <c r="E50" s="176">
        <v>283494</v>
      </c>
      <c r="F50" s="177">
        <v>581383</v>
      </c>
      <c r="G50" s="178">
        <v>230401</v>
      </c>
      <c r="H50" s="179">
        <v>0</v>
      </c>
      <c r="I50" s="179">
        <v>4201</v>
      </c>
      <c r="J50" s="179">
        <v>134</v>
      </c>
      <c r="K50" s="179">
        <v>147</v>
      </c>
      <c r="L50" s="181">
        <v>9</v>
      </c>
      <c r="M50" s="180">
        <v>4482</v>
      </c>
      <c r="Q50" s="20">
        <f t="shared" si="0"/>
        <v>0</v>
      </c>
    </row>
    <row r="51" spans="2:17" ht="12.95" customHeight="1" x14ac:dyDescent="0.2">
      <c r="B51" s="22">
        <v>44244</v>
      </c>
      <c r="C51" s="174">
        <v>16228335</v>
      </c>
      <c r="D51" s="175">
        <v>4590465</v>
      </c>
      <c r="E51" s="176">
        <v>283646</v>
      </c>
      <c r="F51" s="177">
        <v>581523</v>
      </c>
      <c r="G51" s="178">
        <v>230580</v>
      </c>
      <c r="H51" s="179">
        <v>0</v>
      </c>
      <c r="I51" s="179">
        <v>4270</v>
      </c>
      <c r="J51" s="179">
        <v>152</v>
      </c>
      <c r="K51" s="179">
        <v>140</v>
      </c>
      <c r="L51" s="181">
        <v>179</v>
      </c>
      <c r="M51" s="180">
        <v>4562</v>
      </c>
      <c r="Q51" s="20">
        <f t="shared" si="0"/>
        <v>0</v>
      </c>
    </row>
    <row r="52" spans="2:17" ht="12.95" customHeight="1" thickBot="1" x14ac:dyDescent="0.25">
      <c r="B52" s="22">
        <v>44245</v>
      </c>
      <c r="C52" s="174">
        <v>16228335</v>
      </c>
      <c r="D52" s="175">
        <v>4594466</v>
      </c>
      <c r="E52" s="176">
        <v>283813</v>
      </c>
      <c r="F52" s="177">
        <v>581645</v>
      </c>
      <c r="G52" s="178">
        <v>230926</v>
      </c>
      <c r="H52" s="179">
        <v>0</v>
      </c>
      <c r="I52" s="179">
        <v>4001</v>
      </c>
      <c r="J52" s="179">
        <v>167</v>
      </c>
      <c r="K52" s="179">
        <v>122</v>
      </c>
      <c r="L52" s="181">
        <v>346</v>
      </c>
      <c r="M52" s="180">
        <v>4290</v>
      </c>
      <c r="Q52" s="20">
        <f t="shared" si="0"/>
        <v>0</v>
      </c>
    </row>
    <row r="53" spans="2:17" ht="12.95" customHeight="1" x14ac:dyDescent="0.2">
      <c r="B53" s="22">
        <v>44246</v>
      </c>
      <c r="C53" s="174">
        <v>16228335</v>
      </c>
      <c r="D53" s="175">
        <v>4598082</v>
      </c>
      <c r="E53" s="176">
        <v>283934</v>
      </c>
      <c r="F53" s="177">
        <v>581764</v>
      </c>
      <c r="G53" s="178">
        <v>230946</v>
      </c>
      <c r="H53" s="179">
        <v>0</v>
      </c>
      <c r="I53" s="179">
        <v>3616</v>
      </c>
      <c r="J53" s="179">
        <v>121</v>
      </c>
      <c r="K53" s="179">
        <v>119</v>
      </c>
      <c r="L53" s="181">
        <v>20</v>
      </c>
      <c r="M53" s="180">
        <v>3856</v>
      </c>
      <c r="N53" s="198" t="s">
        <v>21</v>
      </c>
      <c r="O53" s="198" t="s">
        <v>22</v>
      </c>
      <c r="Q53" s="20">
        <f t="shared" si="0"/>
        <v>0</v>
      </c>
    </row>
    <row r="54" spans="2:17" ht="12.95" customHeight="1" x14ac:dyDescent="0.2">
      <c r="B54" s="22">
        <v>44247</v>
      </c>
      <c r="C54" s="174">
        <v>16228335</v>
      </c>
      <c r="D54" s="175">
        <v>4602445</v>
      </c>
      <c r="E54" s="176">
        <v>284071</v>
      </c>
      <c r="F54" s="177">
        <v>581856</v>
      </c>
      <c r="G54" s="178">
        <v>231160</v>
      </c>
      <c r="H54" s="179">
        <v>0</v>
      </c>
      <c r="I54" s="179">
        <v>4363</v>
      </c>
      <c r="J54" s="179">
        <v>137</v>
      </c>
      <c r="K54" s="179">
        <v>92</v>
      </c>
      <c r="L54" s="181">
        <v>214</v>
      </c>
      <c r="M54" s="180">
        <v>4592</v>
      </c>
      <c r="N54" s="199"/>
      <c r="O54" s="199"/>
      <c r="Q54" s="20">
        <f t="shared" si="0"/>
        <v>0</v>
      </c>
    </row>
    <row r="55" spans="2:17" ht="12.95" customHeight="1" thickBot="1" x14ac:dyDescent="0.25">
      <c r="B55" s="22">
        <v>44248</v>
      </c>
      <c r="C55" s="174">
        <v>16228335</v>
      </c>
      <c r="D55" s="175">
        <v>4605943</v>
      </c>
      <c r="E55" s="176">
        <v>284193</v>
      </c>
      <c r="F55" s="177">
        <v>581976</v>
      </c>
      <c r="G55" s="178">
        <v>231357</v>
      </c>
      <c r="H55" s="179">
        <v>0</v>
      </c>
      <c r="I55" s="179">
        <v>3498</v>
      </c>
      <c r="J55" s="179">
        <v>122</v>
      </c>
      <c r="K55" s="179">
        <v>120</v>
      </c>
      <c r="L55" s="181">
        <v>197</v>
      </c>
      <c r="M55" s="180">
        <v>3740</v>
      </c>
      <c r="N55" s="200"/>
      <c r="O55" s="200"/>
      <c r="Q55" s="20">
        <f t="shared" si="0"/>
        <v>0</v>
      </c>
    </row>
    <row r="56" spans="2:17" ht="12.95" customHeight="1" thickBot="1" x14ac:dyDescent="0.25">
      <c r="B56" s="22">
        <v>44249</v>
      </c>
      <c r="C56" s="174">
        <v>16228335</v>
      </c>
      <c r="D56" s="175">
        <v>4609428</v>
      </c>
      <c r="E56" s="176">
        <v>284334</v>
      </c>
      <c r="F56" s="177">
        <v>582122</v>
      </c>
      <c r="G56" s="178">
        <v>231535</v>
      </c>
      <c r="H56" s="179">
        <v>0</v>
      </c>
      <c r="I56" s="179">
        <v>3485</v>
      </c>
      <c r="J56" s="179">
        <v>141</v>
      </c>
      <c r="K56" s="179">
        <v>146</v>
      </c>
      <c r="L56" s="181">
        <v>178</v>
      </c>
      <c r="M56" s="180">
        <v>3772</v>
      </c>
      <c r="N56" s="32">
        <f>SUM(L35:L63)</f>
        <v>3937</v>
      </c>
      <c r="O56" s="32">
        <f>SUM(M35:M63)</f>
        <v>95062</v>
      </c>
      <c r="Q56" s="20">
        <f t="shared" si="0"/>
        <v>0</v>
      </c>
    </row>
    <row r="57" spans="2:17" ht="12.95" customHeight="1" x14ac:dyDescent="0.2">
      <c r="B57" s="22">
        <v>44250</v>
      </c>
      <c r="C57" s="174">
        <v>16228335</v>
      </c>
      <c r="D57" s="175">
        <v>4612707</v>
      </c>
      <c r="E57" s="176">
        <v>284487</v>
      </c>
      <c r="F57" s="177">
        <v>582252</v>
      </c>
      <c r="G57" s="178">
        <v>231719</v>
      </c>
      <c r="H57" s="179">
        <v>0</v>
      </c>
      <c r="I57" s="179">
        <v>3279</v>
      </c>
      <c r="J57" s="179">
        <v>153</v>
      </c>
      <c r="K57" s="179">
        <v>130</v>
      </c>
      <c r="L57" s="181">
        <v>184</v>
      </c>
      <c r="M57" s="180">
        <v>3562</v>
      </c>
      <c r="N57" s="198" t="s">
        <v>23</v>
      </c>
      <c r="O57" s="198" t="s">
        <v>24</v>
      </c>
      <c r="Q57" s="20">
        <f t="shared" si="0"/>
        <v>0</v>
      </c>
    </row>
    <row r="58" spans="2:17" ht="12.95" customHeight="1" thickBot="1" x14ac:dyDescent="0.25">
      <c r="B58" s="22">
        <v>44251</v>
      </c>
      <c r="C58" s="174">
        <v>16228335</v>
      </c>
      <c r="D58" s="175">
        <v>4616132</v>
      </c>
      <c r="E58" s="176">
        <v>284654</v>
      </c>
      <c r="F58" s="177">
        <v>582392</v>
      </c>
      <c r="G58" s="178">
        <v>231847</v>
      </c>
      <c r="H58" s="179">
        <v>0</v>
      </c>
      <c r="I58" s="179">
        <v>3425</v>
      </c>
      <c r="J58" s="179">
        <v>167</v>
      </c>
      <c r="K58" s="179">
        <v>140</v>
      </c>
      <c r="L58" s="181">
        <v>128</v>
      </c>
      <c r="M58" s="180">
        <v>3732</v>
      </c>
      <c r="N58" s="200"/>
      <c r="O58" s="200"/>
      <c r="Q58" s="20">
        <f t="shared" si="0"/>
        <v>0</v>
      </c>
    </row>
    <row r="59" spans="2:17" ht="12.95" customHeight="1" thickBot="1" x14ac:dyDescent="0.25">
      <c r="B59" s="22">
        <v>44252</v>
      </c>
      <c r="C59" s="174">
        <v>16228335</v>
      </c>
      <c r="D59" s="175">
        <v>4619459</v>
      </c>
      <c r="E59" s="176">
        <v>284828</v>
      </c>
      <c r="F59" s="177">
        <v>582532</v>
      </c>
      <c r="G59" s="178">
        <v>231981</v>
      </c>
      <c r="H59" s="179">
        <v>0</v>
      </c>
      <c r="I59" s="179">
        <v>3327</v>
      </c>
      <c r="J59" s="179">
        <v>174</v>
      </c>
      <c r="K59" s="179">
        <v>140</v>
      </c>
      <c r="L59" s="181">
        <v>134</v>
      </c>
      <c r="M59" s="180">
        <v>3641</v>
      </c>
      <c r="N59" s="32">
        <f>AVERAGE(L35:L63)</f>
        <v>135.75862068965517</v>
      </c>
      <c r="O59" s="32">
        <f>AVERAGE(M35:M63)</f>
        <v>3278</v>
      </c>
      <c r="Q59" s="20">
        <f t="shared" si="0"/>
        <v>0</v>
      </c>
    </row>
    <row r="60" spans="2:17" ht="12.95" customHeight="1" x14ac:dyDescent="0.2">
      <c r="B60" s="22">
        <v>44253</v>
      </c>
      <c r="C60" s="174">
        <v>16228335</v>
      </c>
      <c r="D60" s="175">
        <v>4622424</v>
      </c>
      <c r="E60" s="176">
        <v>284969</v>
      </c>
      <c r="F60" s="177">
        <v>582673</v>
      </c>
      <c r="G60" s="178">
        <v>232103</v>
      </c>
      <c r="H60" s="179">
        <v>0</v>
      </c>
      <c r="I60" s="179">
        <v>2965</v>
      </c>
      <c r="J60" s="179">
        <v>141</v>
      </c>
      <c r="K60" s="179">
        <v>141</v>
      </c>
      <c r="L60" s="181">
        <v>122</v>
      </c>
      <c r="M60" s="180">
        <v>3247</v>
      </c>
      <c r="N60" s="198" t="s">
        <v>25</v>
      </c>
      <c r="O60" s="198" t="s">
        <v>26</v>
      </c>
      <c r="Q60" s="20">
        <f t="shared" si="0"/>
        <v>0</v>
      </c>
    </row>
    <row r="61" spans="2:17" ht="12.95" customHeight="1" thickBot="1" x14ac:dyDescent="0.25">
      <c r="B61" s="22">
        <v>44254</v>
      </c>
      <c r="C61" s="174">
        <v>16228335</v>
      </c>
      <c r="D61" s="175">
        <v>4625493</v>
      </c>
      <c r="E61" s="176">
        <v>285116</v>
      </c>
      <c r="F61" s="177">
        <v>582816</v>
      </c>
      <c r="G61" s="178">
        <v>232246</v>
      </c>
      <c r="H61" s="179">
        <v>0</v>
      </c>
      <c r="I61" s="179">
        <v>3069</v>
      </c>
      <c r="J61" s="179">
        <v>147</v>
      </c>
      <c r="K61" s="179">
        <v>143</v>
      </c>
      <c r="L61" s="181">
        <v>143</v>
      </c>
      <c r="M61" s="180">
        <v>3359</v>
      </c>
      <c r="N61" s="200"/>
      <c r="O61" s="200"/>
      <c r="Q61" s="20">
        <f t="shared" si="0"/>
        <v>0</v>
      </c>
    </row>
    <row r="62" spans="2:17" ht="12.95" customHeight="1" thickBot="1" x14ac:dyDescent="0.25">
      <c r="B62" s="22">
        <v>44255</v>
      </c>
      <c r="C62" s="182">
        <v>16228335</v>
      </c>
      <c r="D62" s="172">
        <v>4628697</v>
      </c>
      <c r="E62" s="172">
        <v>285269</v>
      </c>
      <c r="F62" s="172">
        <v>582955</v>
      </c>
      <c r="G62" s="172">
        <v>232399</v>
      </c>
      <c r="H62" s="185">
        <v>0</v>
      </c>
      <c r="I62" s="173">
        <v>3204</v>
      </c>
      <c r="J62" s="173">
        <v>153</v>
      </c>
      <c r="K62" s="173">
        <v>139</v>
      </c>
      <c r="L62" s="183">
        <v>153</v>
      </c>
      <c r="M62" s="184">
        <v>3496</v>
      </c>
      <c r="N62" s="32">
        <f>N56+(N59*SUM(Q35:Q63))</f>
        <v>3937</v>
      </c>
      <c r="O62" s="32">
        <f>O56+(O59*SUM(Q35:Q63))</f>
        <v>95062</v>
      </c>
      <c r="Q62" s="20">
        <f t="shared" si="0"/>
        <v>0</v>
      </c>
    </row>
    <row r="63" spans="2:17" ht="12.95" customHeight="1" x14ac:dyDescent="0.2">
      <c r="B63" s="22">
        <v>44256</v>
      </c>
      <c r="C63" s="186">
        <v>16228335</v>
      </c>
      <c r="D63" s="187">
        <v>4631793</v>
      </c>
      <c r="E63" s="188">
        <v>285403</v>
      </c>
      <c r="F63" s="189">
        <v>583127</v>
      </c>
      <c r="G63" s="190">
        <v>232529</v>
      </c>
      <c r="H63" s="191">
        <v>0</v>
      </c>
      <c r="I63" s="191">
        <v>3096</v>
      </c>
      <c r="J63" s="191">
        <v>134</v>
      </c>
      <c r="K63" s="191">
        <v>172</v>
      </c>
      <c r="L63" s="193">
        <v>130</v>
      </c>
      <c r="M63" s="192">
        <v>3402</v>
      </c>
      <c r="Q63" s="20">
        <f t="shared" si="0"/>
        <v>0</v>
      </c>
    </row>
    <row r="64" spans="2:17" ht="12.95" customHeight="1" x14ac:dyDescent="0.2">
      <c r="B64" s="22">
        <v>44257</v>
      </c>
      <c r="C64" s="186">
        <v>16228335</v>
      </c>
      <c r="D64" s="187">
        <v>4635049</v>
      </c>
      <c r="E64" s="188">
        <v>285544</v>
      </c>
      <c r="F64" s="189">
        <v>583278</v>
      </c>
      <c r="G64" s="190">
        <v>232637</v>
      </c>
      <c r="H64" s="191">
        <v>0</v>
      </c>
      <c r="I64" s="191">
        <v>3256</v>
      </c>
      <c r="J64" s="191">
        <v>141</v>
      </c>
      <c r="K64" s="191">
        <v>151</v>
      </c>
      <c r="L64" s="193">
        <v>108</v>
      </c>
      <c r="M64" s="192">
        <v>3548</v>
      </c>
      <c r="Q64" s="20">
        <f t="shared" si="0"/>
        <v>0</v>
      </c>
    </row>
    <row r="65" spans="2:17" ht="12.95" customHeight="1" x14ac:dyDescent="0.2">
      <c r="B65" s="22">
        <v>44258</v>
      </c>
      <c r="C65" s="186">
        <v>16228335</v>
      </c>
      <c r="D65" s="187">
        <v>4638185</v>
      </c>
      <c r="E65" s="188">
        <v>285697</v>
      </c>
      <c r="F65" s="189">
        <v>583396</v>
      </c>
      <c r="G65" s="190">
        <v>232765</v>
      </c>
      <c r="H65" s="191">
        <v>0</v>
      </c>
      <c r="I65" s="191">
        <v>3136</v>
      </c>
      <c r="J65" s="191">
        <v>153</v>
      </c>
      <c r="K65" s="191">
        <v>118</v>
      </c>
      <c r="L65" s="193">
        <v>128</v>
      </c>
      <c r="M65" s="192">
        <v>3407</v>
      </c>
      <c r="Q65" s="20">
        <f t="shared" si="0"/>
        <v>0</v>
      </c>
    </row>
    <row r="66" spans="2:17" ht="12.95" customHeight="1" x14ac:dyDescent="0.2">
      <c r="B66" s="22">
        <v>44259</v>
      </c>
      <c r="C66" s="186">
        <v>16228335</v>
      </c>
      <c r="D66" s="187">
        <v>4641040</v>
      </c>
      <c r="E66" s="188">
        <v>285869</v>
      </c>
      <c r="F66" s="189">
        <v>583552</v>
      </c>
      <c r="G66" s="190">
        <v>232905</v>
      </c>
      <c r="H66" s="191">
        <v>0</v>
      </c>
      <c r="I66" s="191">
        <v>2855</v>
      </c>
      <c r="J66" s="191">
        <v>172</v>
      </c>
      <c r="K66" s="191">
        <v>156</v>
      </c>
      <c r="L66" s="193">
        <v>140</v>
      </c>
      <c r="M66" s="192">
        <v>3183</v>
      </c>
      <c r="Q66" s="20">
        <f t="shared" si="0"/>
        <v>0</v>
      </c>
    </row>
    <row r="67" spans="2:17" ht="12.95" customHeight="1" x14ac:dyDescent="0.2">
      <c r="B67" s="22">
        <v>44260</v>
      </c>
      <c r="C67" s="186">
        <v>16228335</v>
      </c>
      <c r="D67" s="187">
        <v>4643466</v>
      </c>
      <c r="E67" s="188">
        <v>286009</v>
      </c>
      <c r="F67" s="189">
        <v>583725</v>
      </c>
      <c r="G67" s="190">
        <v>233210</v>
      </c>
      <c r="H67" s="191">
        <v>0</v>
      </c>
      <c r="I67" s="191">
        <v>2426</v>
      </c>
      <c r="J67" s="191">
        <v>140</v>
      </c>
      <c r="K67" s="191">
        <v>173</v>
      </c>
      <c r="L67" s="193">
        <v>305</v>
      </c>
      <c r="M67" s="192">
        <v>2739</v>
      </c>
      <c r="Q67" s="20">
        <f t="shared" si="0"/>
        <v>0</v>
      </c>
    </row>
    <row r="68" spans="2:17" ht="12.95" customHeight="1" x14ac:dyDescent="0.2">
      <c r="B68" s="22">
        <v>44261</v>
      </c>
      <c r="C68" s="186">
        <v>16228335</v>
      </c>
      <c r="D68" s="187">
        <v>4646431</v>
      </c>
      <c r="E68" s="188">
        <v>286146</v>
      </c>
      <c r="F68" s="189">
        <v>583878</v>
      </c>
      <c r="G68" s="190">
        <v>233378</v>
      </c>
      <c r="H68" s="191">
        <v>0</v>
      </c>
      <c r="I68" s="191">
        <v>2965</v>
      </c>
      <c r="J68" s="191">
        <v>137</v>
      </c>
      <c r="K68" s="191">
        <v>153</v>
      </c>
      <c r="L68" s="193">
        <v>168</v>
      </c>
      <c r="M68" s="192">
        <v>3255</v>
      </c>
      <c r="Q68" s="20">
        <f t="shared" si="0"/>
        <v>0</v>
      </c>
    </row>
    <row r="69" spans="2:17" ht="12.95" customHeight="1" x14ac:dyDescent="0.2">
      <c r="B69" s="22">
        <v>44262</v>
      </c>
      <c r="C69" s="186">
        <v>16228335</v>
      </c>
      <c r="D69" s="187">
        <v>4649860</v>
      </c>
      <c r="E69" s="188">
        <v>286296</v>
      </c>
      <c r="F69" s="189">
        <v>584049</v>
      </c>
      <c r="G69" s="190">
        <v>233533</v>
      </c>
      <c r="H69" s="191">
        <v>0</v>
      </c>
      <c r="I69" s="191">
        <v>3429</v>
      </c>
      <c r="J69" s="191">
        <v>150</v>
      </c>
      <c r="K69" s="191">
        <v>171</v>
      </c>
      <c r="L69" s="193">
        <v>155</v>
      </c>
      <c r="M69" s="192">
        <v>3750</v>
      </c>
      <c r="Q69" s="20">
        <f t="shared" si="0"/>
        <v>0</v>
      </c>
    </row>
    <row r="70" spans="2:17" ht="12.95" customHeight="1" x14ac:dyDescent="0.2">
      <c r="B70" s="22">
        <v>44263</v>
      </c>
      <c r="C70" s="186">
        <v>16228335</v>
      </c>
      <c r="D70" s="187">
        <v>4653014</v>
      </c>
      <c r="E70" s="188">
        <v>286469</v>
      </c>
      <c r="F70" s="189">
        <v>584204</v>
      </c>
      <c r="G70" s="190">
        <v>233676</v>
      </c>
      <c r="H70" s="191">
        <v>0</v>
      </c>
      <c r="I70" s="191">
        <v>3154</v>
      </c>
      <c r="J70" s="191">
        <v>173</v>
      </c>
      <c r="K70" s="191">
        <v>155</v>
      </c>
      <c r="L70" s="193">
        <v>143</v>
      </c>
      <c r="M70" s="192">
        <v>3482</v>
      </c>
      <c r="Q70" s="20">
        <f t="shared" ref="Q70:Q133" si="1">IF(L70="",1,0)</f>
        <v>0</v>
      </c>
    </row>
    <row r="71" spans="2:17" ht="12.95" customHeight="1" x14ac:dyDescent="0.2">
      <c r="B71" s="22">
        <v>44264</v>
      </c>
      <c r="C71" s="186">
        <v>16228335</v>
      </c>
      <c r="D71" s="187">
        <v>4655730</v>
      </c>
      <c r="E71" s="188">
        <v>286643</v>
      </c>
      <c r="F71" s="189">
        <v>584351</v>
      </c>
      <c r="G71" s="190">
        <v>233817</v>
      </c>
      <c r="H71" s="191">
        <v>0</v>
      </c>
      <c r="I71" s="191">
        <v>2716</v>
      </c>
      <c r="J71" s="191">
        <v>174</v>
      </c>
      <c r="K71" s="191">
        <v>147</v>
      </c>
      <c r="L71" s="193">
        <v>141</v>
      </c>
      <c r="M71" s="192">
        <v>3037</v>
      </c>
      <c r="O71" s="9" t="s">
        <v>27</v>
      </c>
      <c r="Q71" s="20">
        <f t="shared" si="1"/>
        <v>0</v>
      </c>
    </row>
    <row r="72" spans="2:17" ht="12.95" customHeight="1" x14ac:dyDescent="0.2">
      <c r="B72" s="22">
        <v>44265</v>
      </c>
      <c r="C72" s="186">
        <v>16228335</v>
      </c>
      <c r="D72" s="187">
        <v>4658474</v>
      </c>
      <c r="E72" s="188">
        <v>286815</v>
      </c>
      <c r="F72" s="189">
        <v>584484</v>
      </c>
      <c r="G72" s="190">
        <v>233964</v>
      </c>
      <c r="H72" s="191">
        <v>0</v>
      </c>
      <c r="I72" s="191">
        <v>2744</v>
      </c>
      <c r="J72" s="191">
        <v>172</v>
      </c>
      <c r="K72" s="191">
        <v>133</v>
      </c>
      <c r="L72" s="193">
        <v>147</v>
      </c>
      <c r="M72" s="192">
        <v>3049</v>
      </c>
      <c r="Q72" s="20">
        <f t="shared" si="1"/>
        <v>0</v>
      </c>
    </row>
    <row r="73" spans="2:17" ht="12.95" customHeight="1" x14ac:dyDescent="0.2">
      <c r="B73" s="22">
        <v>44266</v>
      </c>
      <c r="C73" s="186">
        <v>16228335</v>
      </c>
      <c r="D73" s="187">
        <v>4661966</v>
      </c>
      <c r="E73" s="188">
        <v>286968</v>
      </c>
      <c r="F73" s="189">
        <v>584641</v>
      </c>
      <c r="G73" s="190">
        <v>234106</v>
      </c>
      <c r="H73" s="191">
        <v>0</v>
      </c>
      <c r="I73" s="191">
        <v>3492</v>
      </c>
      <c r="J73" s="191">
        <v>153</v>
      </c>
      <c r="K73" s="191">
        <v>157</v>
      </c>
      <c r="L73" s="193">
        <v>142</v>
      </c>
      <c r="M73" s="192">
        <v>3802</v>
      </c>
      <c r="Q73" s="20">
        <f t="shared" si="1"/>
        <v>0</v>
      </c>
    </row>
    <row r="74" spans="2:17" ht="12.95" customHeight="1" x14ac:dyDescent="0.2">
      <c r="B74" s="22">
        <v>44267</v>
      </c>
      <c r="C74" s="186">
        <v>16228335</v>
      </c>
      <c r="D74" s="187">
        <v>4665199</v>
      </c>
      <c r="E74" s="188">
        <v>287151</v>
      </c>
      <c r="F74" s="189">
        <v>584791</v>
      </c>
      <c r="G74" s="190">
        <v>234266</v>
      </c>
      <c r="H74" s="191">
        <v>0</v>
      </c>
      <c r="I74" s="191">
        <v>3233</v>
      </c>
      <c r="J74" s="191">
        <v>183</v>
      </c>
      <c r="K74" s="191">
        <v>150</v>
      </c>
      <c r="L74" s="193">
        <v>160</v>
      </c>
      <c r="M74" s="192">
        <v>3566</v>
      </c>
      <c r="Q74" s="20">
        <f t="shared" si="1"/>
        <v>0</v>
      </c>
    </row>
    <row r="75" spans="2:17" ht="12.95" customHeight="1" x14ac:dyDescent="0.2">
      <c r="B75" s="22">
        <v>44268</v>
      </c>
      <c r="C75" s="186">
        <v>16228335</v>
      </c>
      <c r="D75" s="187">
        <v>4668028</v>
      </c>
      <c r="E75" s="188">
        <v>287295</v>
      </c>
      <c r="F75" s="189">
        <v>584930</v>
      </c>
      <c r="G75" s="190">
        <v>234401</v>
      </c>
      <c r="H75" s="191">
        <v>0</v>
      </c>
      <c r="I75" s="191">
        <v>2829</v>
      </c>
      <c r="J75" s="191">
        <v>144</v>
      </c>
      <c r="K75" s="191">
        <v>139</v>
      </c>
      <c r="L75" s="193">
        <v>135</v>
      </c>
      <c r="M75" s="192">
        <v>3112</v>
      </c>
      <c r="Q75" s="20">
        <f t="shared" si="1"/>
        <v>0</v>
      </c>
    </row>
    <row r="76" spans="2:17" ht="12.95" customHeight="1" x14ac:dyDescent="0.2">
      <c r="B76" s="22">
        <v>44269</v>
      </c>
      <c r="C76" s="186">
        <v>16228335</v>
      </c>
      <c r="D76" s="187">
        <v>4670698</v>
      </c>
      <c r="E76" s="188">
        <v>287453</v>
      </c>
      <c r="F76" s="189">
        <v>585086</v>
      </c>
      <c r="G76" s="190">
        <v>234557</v>
      </c>
      <c r="H76" s="191">
        <v>0</v>
      </c>
      <c r="I76" s="191">
        <v>2670</v>
      </c>
      <c r="J76" s="191">
        <v>158</v>
      </c>
      <c r="K76" s="191">
        <v>156</v>
      </c>
      <c r="L76" s="193">
        <v>156</v>
      </c>
      <c r="M76" s="192">
        <v>2984</v>
      </c>
      <c r="Q76" s="20">
        <f t="shared" si="1"/>
        <v>0</v>
      </c>
    </row>
    <row r="77" spans="2:17" ht="12.95" customHeight="1" x14ac:dyDescent="0.2">
      <c r="B77" s="22">
        <v>44270</v>
      </c>
      <c r="C77" s="186">
        <v>16228335</v>
      </c>
      <c r="D77" s="187">
        <v>4672955</v>
      </c>
      <c r="E77" s="188">
        <v>287611</v>
      </c>
      <c r="F77" s="189">
        <v>585242</v>
      </c>
      <c r="G77" s="190">
        <v>234700</v>
      </c>
      <c r="H77" s="191">
        <v>0</v>
      </c>
      <c r="I77" s="191">
        <v>2257</v>
      </c>
      <c r="J77" s="191">
        <v>158</v>
      </c>
      <c r="K77" s="191">
        <v>156</v>
      </c>
      <c r="L77" s="193">
        <v>143</v>
      </c>
      <c r="M77" s="192">
        <v>2571</v>
      </c>
      <c r="Q77" s="20">
        <f t="shared" si="1"/>
        <v>0</v>
      </c>
    </row>
    <row r="78" spans="2:17" ht="12.95" customHeight="1" x14ac:dyDescent="0.2">
      <c r="B78" s="22">
        <v>44271</v>
      </c>
      <c r="C78" s="186">
        <v>16228335</v>
      </c>
      <c r="D78" s="24">
        <v>4675580</v>
      </c>
      <c r="E78" s="25">
        <v>287772</v>
      </c>
      <c r="F78" s="26">
        <v>585380</v>
      </c>
      <c r="G78" s="27">
        <v>234859</v>
      </c>
      <c r="H78" s="28">
        <f t="shared" ref="H78:K133" si="2">IF(C78="","",+(C78-C77))</f>
        <v>0</v>
      </c>
      <c r="I78" s="28">
        <f t="shared" si="2"/>
        <v>2625</v>
      </c>
      <c r="J78" s="28">
        <f t="shared" si="2"/>
        <v>161</v>
      </c>
      <c r="K78" s="28">
        <f t="shared" si="2"/>
        <v>138</v>
      </c>
      <c r="L78" s="29">
        <f>IF(G78="","",+(G78-G77))</f>
        <v>159</v>
      </c>
      <c r="M78" s="30">
        <f t="shared" ref="M78:M133" si="3">IF(H78="","",+(H78+I78+J78+K78))</f>
        <v>2924</v>
      </c>
      <c r="Q78" s="20">
        <f t="shared" si="1"/>
        <v>0</v>
      </c>
    </row>
    <row r="79" spans="2:17" ht="12.95" customHeight="1" x14ac:dyDescent="0.2">
      <c r="B79" s="22">
        <v>44272</v>
      </c>
      <c r="C79" s="186">
        <v>16228335</v>
      </c>
      <c r="D79" s="24">
        <v>4678672</v>
      </c>
      <c r="E79" s="25">
        <v>287956</v>
      </c>
      <c r="F79" s="26">
        <v>585520</v>
      </c>
      <c r="G79" s="27">
        <v>234980</v>
      </c>
      <c r="H79" s="28">
        <f t="shared" si="2"/>
        <v>0</v>
      </c>
      <c r="I79" s="28">
        <f t="shared" si="2"/>
        <v>3092</v>
      </c>
      <c r="J79" s="28">
        <f t="shared" si="2"/>
        <v>184</v>
      </c>
      <c r="K79" s="28">
        <f t="shared" si="2"/>
        <v>140</v>
      </c>
      <c r="L79" s="29">
        <f>IF(G79="","",+(G79-G78))</f>
        <v>121</v>
      </c>
      <c r="M79" s="30">
        <f t="shared" si="3"/>
        <v>3416</v>
      </c>
      <c r="Q79" s="20">
        <f t="shared" si="1"/>
        <v>0</v>
      </c>
    </row>
    <row r="80" spans="2:17" ht="12.95" customHeight="1" x14ac:dyDescent="0.2">
      <c r="B80" s="22">
        <v>44273</v>
      </c>
      <c r="C80" s="186">
        <v>16228335</v>
      </c>
      <c r="D80" s="24">
        <v>4681476</v>
      </c>
      <c r="E80" s="25">
        <v>288125</v>
      </c>
      <c r="F80" s="26">
        <v>585660</v>
      </c>
      <c r="G80" s="27">
        <v>235102</v>
      </c>
      <c r="H80" s="28">
        <f t="shared" si="2"/>
        <v>0</v>
      </c>
      <c r="I80" s="28">
        <f t="shared" si="2"/>
        <v>2804</v>
      </c>
      <c r="J80" s="28">
        <f t="shared" si="2"/>
        <v>169</v>
      </c>
      <c r="K80" s="28">
        <f t="shared" si="2"/>
        <v>140</v>
      </c>
      <c r="L80" s="29">
        <f>IF(G80="","",+(G80-G79))</f>
        <v>122</v>
      </c>
      <c r="M80" s="30">
        <f t="shared" si="3"/>
        <v>3113</v>
      </c>
      <c r="Q80" s="20">
        <f t="shared" si="1"/>
        <v>0</v>
      </c>
    </row>
    <row r="81" spans="2:18" ht="12.95" customHeight="1" x14ac:dyDescent="0.2">
      <c r="B81" s="22">
        <v>44274</v>
      </c>
      <c r="C81" s="23">
        <v>16228335</v>
      </c>
      <c r="D81" s="24">
        <v>4684564</v>
      </c>
      <c r="E81" s="25">
        <v>288290</v>
      </c>
      <c r="F81" s="26">
        <v>585810</v>
      </c>
      <c r="G81" s="27">
        <v>235255</v>
      </c>
      <c r="H81" s="28">
        <f t="shared" si="2"/>
        <v>0</v>
      </c>
      <c r="I81" s="28">
        <f t="shared" si="2"/>
        <v>3088</v>
      </c>
      <c r="J81" s="28">
        <f t="shared" si="2"/>
        <v>165</v>
      </c>
      <c r="K81" s="28">
        <f t="shared" si="2"/>
        <v>150</v>
      </c>
      <c r="L81" s="29">
        <f t="shared" ref="L81:L144" si="4">IF(G81="","",+(G81-G80))</f>
        <v>153</v>
      </c>
      <c r="M81" s="30">
        <f t="shared" si="3"/>
        <v>3403</v>
      </c>
      <c r="Q81" s="20">
        <f t="shared" si="1"/>
        <v>0</v>
      </c>
    </row>
    <row r="82" spans="2:18" ht="12.95" customHeight="1" x14ac:dyDescent="0.2">
      <c r="B82" s="22">
        <v>44275</v>
      </c>
      <c r="C82" s="23">
        <v>16228335</v>
      </c>
      <c r="D82" s="24">
        <v>4687272</v>
      </c>
      <c r="E82" s="25">
        <v>288425</v>
      </c>
      <c r="F82" s="26">
        <v>585964</v>
      </c>
      <c r="G82" s="27">
        <v>235410</v>
      </c>
      <c r="H82" s="28">
        <f t="shared" si="2"/>
        <v>0</v>
      </c>
      <c r="I82" s="28">
        <f t="shared" si="2"/>
        <v>2708</v>
      </c>
      <c r="J82" s="28">
        <f t="shared" si="2"/>
        <v>135</v>
      </c>
      <c r="K82" s="28">
        <f t="shared" si="2"/>
        <v>154</v>
      </c>
      <c r="L82" s="29">
        <f t="shared" si="4"/>
        <v>155</v>
      </c>
      <c r="M82" s="30">
        <f t="shared" si="3"/>
        <v>2997</v>
      </c>
      <c r="Q82" s="20">
        <f t="shared" si="1"/>
        <v>0</v>
      </c>
    </row>
    <row r="83" spans="2:18" ht="14.25" customHeight="1" thickBot="1" x14ac:dyDescent="0.25">
      <c r="B83" s="22">
        <v>44276</v>
      </c>
      <c r="C83" s="23">
        <v>16228335</v>
      </c>
      <c r="D83" s="24">
        <v>4690181</v>
      </c>
      <c r="E83" s="25">
        <v>288564</v>
      </c>
      <c r="F83" s="26">
        <v>586133</v>
      </c>
      <c r="G83" s="27">
        <v>235551</v>
      </c>
      <c r="H83" s="28">
        <f t="shared" ref="H83" si="5">IF(C83="","",+(C83-C82))</f>
        <v>0</v>
      </c>
      <c r="I83" s="28">
        <f t="shared" ref="I83" si="6">IF(D83="","",+(D83-D82))</f>
        <v>2909</v>
      </c>
      <c r="J83" s="28">
        <f t="shared" ref="J83" si="7">IF(E83="","",+(E83-E82))</f>
        <v>139</v>
      </c>
      <c r="K83" s="28">
        <f t="shared" ref="K83" si="8">IF(F83="","",+(F83-F82))</f>
        <v>169</v>
      </c>
      <c r="L83" s="29">
        <f t="shared" si="4"/>
        <v>141</v>
      </c>
      <c r="M83" s="30">
        <f t="shared" ref="M83" si="9">IF(H83="","",+(H83+I83+J83+K83))</f>
        <v>3217</v>
      </c>
      <c r="Q83" s="20">
        <f t="shared" si="1"/>
        <v>0</v>
      </c>
    </row>
    <row r="84" spans="2:18" ht="12.95" customHeight="1" x14ac:dyDescent="0.2">
      <c r="B84" s="22">
        <v>44277</v>
      </c>
      <c r="C84" s="23">
        <v>16228335</v>
      </c>
      <c r="D84" s="24">
        <v>4693009</v>
      </c>
      <c r="E84" s="25">
        <v>288717</v>
      </c>
      <c r="F84" s="26">
        <v>586298</v>
      </c>
      <c r="G84" s="27">
        <v>235694</v>
      </c>
      <c r="H84" s="28">
        <f>IF(C84="","",+(C84-C83))</f>
        <v>0</v>
      </c>
      <c r="I84" s="28">
        <f t="shared" si="2"/>
        <v>2828</v>
      </c>
      <c r="J84" s="28">
        <f t="shared" si="2"/>
        <v>153</v>
      </c>
      <c r="K84" s="28">
        <f t="shared" si="2"/>
        <v>165</v>
      </c>
      <c r="L84" s="29">
        <f t="shared" si="4"/>
        <v>143</v>
      </c>
      <c r="M84" s="30">
        <f t="shared" si="3"/>
        <v>3146</v>
      </c>
      <c r="N84" s="198" t="s">
        <v>21</v>
      </c>
      <c r="O84" s="198" t="s">
        <v>22</v>
      </c>
      <c r="Q84" s="20">
        <f t="shared" si="1"/>
        <v>0</v>
      </c>
    </row>
    <row r="85" spans="2:18" ht="12.95" customHeight="1" x14ac:dyDescent="0.2">
      <c r="B85" s="22">
        <v>44278</v>
      </c>
      <c r="C85" s="23">
        <v>16228335</v>
      </c>
      <c r="D85" s="24">
        <v>4696534</v>
      </c>
      <c r="E85" s="25">
        <v>288853</v>
      </c>
      <c r="F85" s="26">
        <v>586460</v>
      </c>
      <c r="G85" s="27">
        <v>235858</v>
      </c>
      <c r="H85" s="28">
        <f t="shared" si="2"/>
        <v>0</v>
      </c>
      <c r="I85" s="28">
        <f t="shared" si="2"/>
        <v>3525</v>
      </c>
      <c r="J85" s="28">
        <f t="shared" si="2"/>
        <v>136</v>
      </c>
      <c r="K85" s="28">
        <f t="shared" si="2"/>
        <v>162</v>
      </c>
      <c r="L85" s="29">
        <f t="shared" si="4"/>
        <v>164</v>
      </c>
      <c r="M85" s="30">
        <f t="shared" si="3"/>
        <v>3823</v>
      </c>
      <c r="N85" s="199"/>
      <c r="O85" s="199"/>
      <c r="Q85" s="20">
        <f t="shared" si="1"/>
        <v>0</v>
      </c>
    </row>
    <row r="86" spans="2:18" ht="12.95" customHeight="1" thickBot="1" x14ac:dyDescent="0.25">
      <c r="B86" s="22">
        <v>44279</v>
      </c>
      <c r="C86" s="23">
        <v>16228335</v>
      </c>
      <c r="D86" s="24">
        <v>4700181</v>
      </c>
      <c r="E86" s="25">
        <v>289010</v>
      </c>
      <c r="F86" s="26">
        <v>586638</v>
      </c>
      <c r="G86" s="27">
        <v>236008</v>
      </c>
      <c r="H86" s="28">
        <f t="shared" si="2"/>
        <v>0</v>
      </c>
      <c r="I86" s="28">
        <f t="shared" si="2"/>
        <v>3647</v>
      </c>
      <c r="J86" s="28">
        <f t="shared" si="2"/>
        <v>157</v>
      </c>
      <c r="K86" s="28">
        <f t="shared" si="2"/>
        <v>178</v>
      </c>
      <c r="L86" s="29">
        <f t="shared" si="4"/>
        <v>150</v>
      </c>
      <c r="M86" s="30">
        <f t="shared" si="3"/>
        <v>3982</v>
      </c>
      <c r="N86" s="200"/>
      <c r="O86" s="200"/>
      <c r="Q86" s="20">
        <f t="shared" si="1"/>
        <v>0</v>
      </c>
    </row>
    <row r="87" spans="2:18" ht="12.95" customHeight="1" thickBot="1" x14ac:dyDescent="0.25">
      <c r="B87" s="22">
        <v>44280</v>
      </c>
      <c r="C87" s="23">
        <v>16228335</v>
      </c>
      <c r="D87" s="24">
        <v>4703638</v>
      </c>
      <c r="E87" s="25">
        <v>289148</v>
      </c>
      <c r="F87" s="26">
        <v>586812</v>
      </c>
      <c r="G87" s="27">
        <v>236147</v>
      </c>
      <c r="H87" s="28">
        <f t="shared" si="2"/>
        <v>0</v>
      </c>
      <c r="I87" s="28">
        <f t="shared" si="2"/>
        <v>3457</v>
      </c>
      <c r="J87" s="28">
        <f t="shared" si="2"/>
        <v>138</v>
      </c>
      <c r="K87" s="28">
        <f t="shared" si="2"/>
        <v>174</v>
      </c>
      <c r="L87" s="29">
        <f t="shared" si="4"/>
        <v>139</v>
      </c>
      <c r="M87" s="30">
        <f t="shared" si="3"/>
        <v>3769</v>
      </c>
      <c r="N87" s="32">
        <f>SUM(L64:L94)</f>
        <v>4764</v>
      </c>
      <c r="O87" s="32">
        <f>SUM(M64:M94)</f>
        <v>101601</v>
      </c>
      <c r="Q87" s="20">
        <f t="shared" si="1"/>
        <v>0</v>
      </c>
    </row>
    <row r="88" spans="2:18" ht="12.95" customHeight="1" x14ac:dyDescent="0.2">
      <c r="B88" s="22">
        <v>44281</v>
      </c>
      <c r="C88" s="23">
        <v>16228335</v>
      </c>
      <c r="D88" s="24">
        <v>4706852</v>
      </c>
      <c r="E88" s="25">
        <v>289330</v>
      </c>
      <c r="F88" s="26">
        <v>587002</v>
      </c>
      <c r="G88" s="27">
        <v>236307</v>
      </c>
      <c r="H88" s="28">
        <f t="shared" si="2"/>
        <v>0</v>
      </c>
      <c r="I88" s="28">
        <f t="shared" si="2"/>
        <v>3214</v>
      </c>
      <c r="J88" s="28">
        <f t="shared" si="2"/>
        <v>182</v>
      </c>
      <c r="K88" s="28">
        <f t="shared" si="2"/>
        <v>190</v>
      </c>
      <c r="L88" s="29">
        <f t="shared" si="4"/>
        <v>160</v>
      </c>
      <c r="M88" s="30">
        <f t="shared" si="3"/>
        <v>3586</v>
      </c>
      <c r="N88" s="198" t="s">
        <v>23</v>
      </c>
      <c r="O88" s="198" t="s">
        <v>24</v>
      </c>
      <c r="Q88" s="20">
        <f t="shared" si="1"/>
        <v>0</v>
      </c>
    </row>
    <row r="89" spans="2:18" ht="12.95" customHeight="1" thickBot="1" x14ac:dyDescent="0.25">
      <c r="B89" s="22">
        <v>44282</v>
      </c>
      <c r="C89" s="23">
        <v>16228335</v>
      </c>
      <c r="D89" s="24">
        <v>4709837</v>
      </c>
      <c r="E89" s="25">
        <v>289498</v>
      </c>
      <c r="F89" s="26">
        <v>587171</v>
      </c>
      <c r="G89" s="27">
        <v>236475</v>
      </c>
      <c r="H89" s="28">
        <f t="shared" si="2"/>
        <v>0</v>
      </c>
      <c r="I89" s="28">
        <f t="shared" si="2"/>
        <v>2985</v>
      </c>
      <c r="J89" s="28">
        <f t="shared" si="2"/>
        <v>168</v>
      </c>
      <c r="K89" s="28">
        <f t="shared" si="2"/>
        <v>169</v>
      </c>
      <c r="L89" s="29">
        <f t="shared" si="4"/>
        <v>168</v>
      </c>
      <c r="M89" s="30">
        <f t="shared" si="3"/>
        <v>3322</v>
      </c>
      <c r="N89" s="200"/>
      <c r="O89" s="200"/>
      <c r="Q89" s="20">
        <f t="shared" si="1"/>
        <v>0</v>
      </c>
    </row>
    <row r="90" spans="2:18" ht="12.95" customHeight="1" thickBot="1" x14ac:dyDescent="0.25">
      <c r="B90" s="22">
        <v>44283</v>
      </c>
      <c r="C90" s="23">
        <v>16228335</v>
      </c>
      <c r="D90" s="24">
        <v>4712294</v>
      </c>
      <c r="E90" s="25">
        <v>289623</v>
      </c>
      <c r="F90" s="26">
        <v>587351</v>
      </c>
      <c r="G90" s="27">
        <v>236618</v>
      </c>
      <c r="H90" s="28">
        <f t="shared" si="2"/>
        <v>0</v>
      </c>
      <c r="I90" s="28">
        <f t="shared" si="2"/>
        <v>2457</v>
      </c>
      <c r="J90" s="28">
        <f t="shared" si="2"/>
        <v>125</v>
      </c>
      <c r="K90" s="28">
        <f t="shared" si="2"/>
        <v>180</v>
      </c>
      <c r="L90" s="29">
        <f t="shared" si="4"/>
        <v>143</v>
      </c>
      <c r="M90" s="30">
        <f t="shared" si="3"/>
        <v>2762</v>
      </c>
      <c r="N90" s="32">
        <f>AVERAGE(L64:L94)</f>
        <v>153.67741935483872</v>
      </c>
      <c r="O90" s="32">
        <f>AVERAGE(M64:M94)</f>
        <v>3277.4516129032259</v>
      </c>
      <c r="Q90" s="20">
        <f t="shared" si="1"/>
        <v>0</v>
      </c>
    </row>
    <row r="91" spans="2:18" ht="12.95" customHeight="1" x14ac:dyDescent="0.2">
      <c r="B91" s="22">
        <v>44284</v>
      </c>
      <c r="C91" s="23">
        <v>16228335</v>
      </c>
      <c r="D91" s="24">
        <v>4714860</v>
      </c>
      <c r="E91" s="25">
        <v>289777</v>
      </c>
      <c r="F91" s="26">
        <v>587524</v>
      </c>
      <c r="G91" s="27">
        <v>236779</v>
      </c>
      <c r="H91" s="28">
        <f t="shared" si="2"/>
        <v>0</v>
      </c>
      <c r="I91" s="28">
        <f t="shared" si="2"/>
        <v>2566</v>
      </c>
      <c r="J91" s="28">
        <f t="shared" si="2"/>
        <v>154</v>
      </c>
      <c r="K91" s="28">
        <f t="shared" si="2"/>
        <v>173</v>
      </c>
      <c r="L91" s="29">
        <f t="shared" si="4"/>
        <v>161</v>
      </c>
      <c r="M91" s="30">
        <f t="shared" si="3"/>
        <v>2893</v>
      </c>
      <c r="N91" s="198" t="s">
        <v>25</v>
      </c>
      <c r="O91" s="198" t="s">
        <v>26</v>
      </c>
      <c r="Q91" s="20">
        <f t="shared" si="1"/>
        <v>0</v>
      </c>
    </row>
    <row r="92" spans="2:18" ht="12.95" customHeight="1" thickBot="1" x14ac:dyDescent="0.25">
      <c r="B92" s="22">
        <v>44285</v>
      </c>
      <c r="C92" s="23">
        <v>16228335</v>
      </c>
      <c r="D92" s="24">
        <v>4717722</v>
      </c>
      <c r="E92" s="25">
        <v>289953</v>
      </c>
      <c r="F92" s="26">
        <v>587703</v>
      </c>
      <c r="G92" s="27">
        <v>236935</v>
      </c>
      <c r="H92" s="28">
        <f t="shared" si="2"/>
        <v>0</v>
      </c>
      <c r="I92" s="28">
        <f t="shared" si="2"/>
        <v>2862</v>
      </c>
      <c r="J92" s="28">
        <f t="shared" si="2"/>
        <v>176</v>
      </c>
      <c r="K92" s="28">
        <f t="shared" si="2"/>
        <v>179</v>
      </c>
      <c r="L92" s="29">
        <f t="shared" si="4"/>
        <v>156</v>
      </c>
      <c r="M92" s="30">
        <f t="shared" si="3"/>
        <v>3217</v>
      </c>
      <c r="N92" s="200"/>
      <c r="O92" s="200"/>
      <c r="Q92" s="20">
        <f t="shared" si="1"/>
        <v>0</v>
      </c>
    </row>
    <row r="93" spans="2:18" ht="12.95" customHeight="1" thickBot="1" x14ac:dyDescent="0.25">
      <c r="B93" s="22">
        <v>44286</v>
      </c>
      <c r="C93" s="23">
        <v>16228335</v>
      </c>
      <c r="D93" s="24">
        <v>4720744</v>
      </c>
      <c r="E93" s="25">
        <v>290093</v>
      </c>
      <c r="F93" s="26">
        <v>587881</v>
      </c>
      <c r="G93" s="27">
        <v>237098</v>
      </c>
      <c r="H93" s="28">
        <f>IF(C93="","",+(C93-C92))</f>
        <v>0</v>
      </c>
      <c r="I93" s="28">
        <f t="shared" si="2"/>
        <v>3022</v>
      </c>
      <c r="J93" s="28">
        <f t="shared" si="2"/>
        <v>140</v>
      </c>
      <c r="K93" s="28">
        <f t="shared" si="2"/>
        <v>178</v>
      </c>
      <c r="L93" s="29">
        <f t="shared" si="4"/>
        <v>163</v>
      </c>
      <c r="M93" s="30">
        <f t="shared" si="3"/>
        <v>3340</v>
      </c>
      <c r="N93" s="32">
        <f>N87+(N90*SUM(Q64:Q94))</f>
        <v>4764</v>
      </c>
      <c r="O93" s="32">
        <f>O87+(O90*SUM(Q64:Q94))</f>
        <v>101601</v>
      </c>
      <c r="Q93" s="20">
        <f t="shared" si="1"/>
        <v>0</v>
      </c>
      <c r="R93" s="40"/>
    </row>
    <row r="94" spans="2:18" ht="12.95" customHeight="1" x14ac:dyDescent="0.2">
      <c r="B94" s="22">
        <v>44287</v>
      </c>
      <c r="C94" s="23">
        <v>16228335</v>
      </c>
      <c r="D94" s="33">
        <v>4723626</v>
      </c>
      <c r="E94" s="33">
        <v>290236</v>
      </c>
      <c r="F94" s="33">
        <v>588062</v>
      </c>
      <c r="G94" s="33">
        <v>237293</v>
      </c>
      <c r="H94" s="35">
        <f>IF(C94="","",+(C94-C93))</f>
        <v>0</v>
      </c>
      <c r="I94" s="35">
        <f t="shared" si="2"/>
        <v>2882</v>
      </c>
      <c r="J94" s="35">
        <f t="shared" si="2"/>
        <v>143</v>
      </c>
      <c r="K94" s="35">
        <f t="shared" si="2"/>
        <v>181</v>
      </c>
      <c r="L94" s="29">
        <f t="shared" si="4"/>
        <v>195</v>
      </c>
      <c r="M94" s="35">
        <f t="shared" si="3"/>
        <v>3206</v>
      </c>
      <c r="Q94" s="20">
        <f t="shared" si="1"/>
        <v>0</v>
      </c>
    </row>
    <row r="95" spans="2:18" ht="12.95" customHeight="1" x14ac:dyDescent="0.2">
      <c r="B95" s="22">
        <v>44288</v>
      </c>
      <c r="C95" s="23">
        <v>16228335</v>
      </c>
      <c r="D95" s="24">
        <v>4726155</v>
      </c>
      <c r="E95" s="25">
        <v>290380</v>
      </c>
      <c r="F95" s="26">
        <v>588230</v>
      </c>
      <c r="G95" s="27">
        <v>237437</v>
      </c>
      <c r="H95" s="28">
        <f>IF(C95="","",+(C95-C94))</f>
        <v>0</v>
      </c>
      <c r="I95" s="28">
        <f t="shared" si="2"/>
        <v>2529</v>
      </c>
      <c r="J95" s="28">
        <f t="shared" si="2"/>
        <v>144</v>
      </c>
      <c r="K95" s="28">
        <f t="shared" si="2"/>
        <v>168</v>
      </c>
      <c r="L95" s="29">
        <f t="shared" si="4"/>
        <v>144</v>
      </c>
      <c r="M95" s="30">
        <f t="shared" si="3"/>
        <v>2841</v>
      </c>
      <c r="Q95" s="20">
        <f t="shared" si="1"/>
        <v>0</v>
      </c>
    </row>
    <row r="96" spans="2:18" ht="12.95" customHeight="1" x14ac:dyDescent="0.2">
      <c r="B96" s="22">
        <v>44289</v>
      </c>
      <c r="C96" s="23">
        <v>16228335</v>
      </c>
      <c r="D96" s="24">
        <v>4728098</v>
      </c>
      <c r="E96" s="25">
        <v>290529</v>
      </c>
      <c r="F96" s="26">
        <v>588412</v>
      </c>
      <c r="G96" s="27">
        <v>237590</v>
      </c>
      <c r="H96" s="28">
        <f t="shared" si="2"/>
        <v>0</v>
      </c>
      <c r="I96" s="28">
        <f t="shared" si="2"/>
        <v>1943</v>
      </c>
      <c r="J96" s="28">
        <f t="shared" si="2"/>
        <v>149</v>
      </c>
      <c r="K96" s="28">
        <f t="shared" si="2"/>
        <v>182</v>
      </c>
      <c r="L96" s="29">
        <f t="shared" si="4"/>
        <v>153</v>
      </c>
      <c r="M96" s="30">
        <f t="shared" si="3"/>
        <v>2274</v>
      </c>
      <c r="Q96" s="20">
        <f t="shared" si="1"/>
        <v>0</v>
      </c>
    </row>
    <row r="97" spans="2:17" ht="12.95" customHeight="1" x14ac:dyDescent="0.2">
      <c r="B97" s="22">
        <v>44290</v>
      </c>
      <c r="C97" s="23">
        <v>16228335</v>
      </c>
      <c r="D97" s="24">
        <v>4730566</v>
      </c>
      <c r="E97" s="25">
        <v>290666</v>
      </c>
      <c r="F97" s="26">
        <v>588591</v>
      </c>
      <c r="G97" s="27">
        <v>237791</v>
      </c>
      <c r="H97" s="28">
        <f t="shared" si="2"/>
        <v>0</v>
      </c>
      <c r="I97" s="28">
        <f t="shared" si="2"/>
        <v>2468</v>
      </c>
      <c r="J97" s="28">
        <f t="shared" si="2"/>
        <v>137</v>
      </c>
      <c r="K97" s="28">
        <f t="shared" si="2"/>
        <v>179</v>
      </c>
      <c r="L97" s="29">
        <f t="shared" si="4"/>
        <v>201</v>
      </c>
      <c r="M97" s="30">
        <f t="shared" si="3"/>
        <v>2784</v>
      </c>
      <c r="Q97" s="20">
        <f t="shared" si="1"/>
        <v>0</v>
      </c>
    </row>
    <row r="98" spans="2:17" ht="12.95" customHeight="1" x14ac:dyDescent="0.2">
      <c r="B98" s="22">
        <v>44291</v>
      </c>
      <c r="C98" s="23">
        <v>16228335</v>
      </c>
      <c r="D98" s="24">
        <v>4733340</v>
      </c>
      <c r="E98" s="25">
        <v>290797</v>
      </c>
      <c r="F98" s="26">
        <v>588757</v>
      </c>
      <c r="G98" s="27">
        <v>237954</v>
      </c>
      <c r="H98" s="28">
        <f t="shared" si="2"/>
        <v>0</v>
      </c>
      <c r="I98" s="28">
        <f t="shared" si="2"/>
        <v>2774</v>
      </c>
      <c r="J98" s="28">
        <f t="shared" si="2"/>
        <v>131</v>
      </c>
      <c r="K98" s="28">
        <f t="shared" si="2"/>
        <v>166</v>
      </c>
      <c r="L98" s="29">
        <f t="shared" si="4"/>
        <v>163</v>
      </c>
      <c r="M98" s="30">
        <f t="shared" si="3"/>
        <v>3071</v>
      </c>
      <c r="Q98" s="20">
        <f t="shared" si="1"/>
        <v>0</v>
      </c>
    </row>
    <row r="99" spans="2:17" ht="12.95" customHeight="1" x14ac:dyDescent="0.2">
      <c r="B99" s="22">
        <v>44292</v>
      </c>
      <c r="C99" s="23">
        <v>16228335</v>
      </c>
      <c r="D99" s="24">
        <v>4735248</v>
      </c>
      <c r="E99" s="25">
        <v>290972</v>
      </c>
      <c r="F99" s="26">
        <v>588939</v>
      </c>
      <c r="G99" s="27">
        <v>238121</v>
      </c>
      <c r="H99" s="28">
        <f t="shared" si="2"/>
        <v>0</v>
      </c>
      <c r="I99" s="28">
        <f t="shared" si="2"/>
        <v>1908</v>
      </c>
      <c r="J99" s="28">
        <f t="shared" si="2"/>
        <v>175</v>
      </c>
      <c r="K99" s="28">
        <f t="shared" si="2"/>
        <v>182</v>
      </c>
      <c r="L99" s="29">
        <f t="shared" si="4"/>
        <v>167</v>
      </c>
      <c r="M99" s="30">
        <f t="shared" si="3"/>
        <v>2265</v>
      </c>
      <c r="Q99" s="20">
        <f t="shared" si="1"/>
        <v>0</v>
      </c>
    </row>
    <row r="100" spans="2:17" ht="12.95" customHeight="1" x14ac:dyDescent="0.2">
      <c r="B100" s="22">
        <v>44293</v>
      </c>
      <c r="C100" s="23">
        <v>16228335</v>
      </c>
      <c r="D100" s="24">
        <v>4737202</v>
      </c>
      <c r="E100" s="25">
        <v>291111</v>
      </c>
      <c r="F100" s="26">
        <v>589114</v>
      </c>
      <c r="G100" s="27">
        <v>238296</v>
      </c>
      <c r="H100" s="28">
        <f t="shared" si="2"/>
        <v>0</v>
      </c>
      <c r="I100" s="28">
        <f t="shared" si="2"/>
        <v>1954</v>
      </c>
      <c r="J100" s="28">
        <f t="shared" si="2"/>
        <v>139</v>
      </c>
      <c r="K100" s="28">
        <f t="shared" si="2"/>
        <v>175</v>
      </c>
      <c r="L100" s="29">
        <f t="shared" si="4"/>
        <v>175</v>
      </c>
      <c r="M100" s="30">
        <f t="shared" si="3"/>
        <v>2268</v>
      </c>
      <c r="Q100" s="20">
        <f t="shared" si="1"/>
        <v>0</v>
      </c>
    </row>
    <row r="101" spans="2:17" ht="12.95" customHeight="1" x14ac:dyDescent="0.2">
      <c r="B101" s="22">
        <v>44294</v>
      </c>
      <c r="C101" s="23">
        <v>16228335</v>
      </c>
      <c r="D101" s="24">
        <v>4740068</v>
      </c>
      <c r="E101" s="25">
        <v>291261</v>
      </c>
      <c r="F101" s="26">
        <v>589292</v>
      </c>
      <c r="G101" s="27">
        <v>238446</v>
      </c>
      <c r="H101" s="28">
        <f t="shared" si="2"/>
        <v>0</v>
      </c>
      <c r="I101" s="28">
        <f t="shared" si="2"/>
        <v>2866</v>
      </c>
      <c r="J101" s="28">
        <f t="shared" si="2"/>
        <v>150</v>
      </c>
      <c r="K101" s="28">
        <f t="shared" si="2"/>
        <v>178</v>
      </c>
      <c r="L101" s="29">
        <f t="shared" si="4"/>
        <v>150</v>
      </c>
      <c r="M101" s="30">
        <f t="shared" si="3"/>
        <v>3194</v>
      </c>
      <c r="Q101" s="20">
        <f t="shared" si="1"/>
        <v>0</v>
      </c>
    </row>
    <row r="102" spans="2:17" ht="12.95" customHeight="1" x14ac:dyDescent="0.2">
      <c r="B102" s="22">
        <v>44295</v>
      </c>
      <c r="C102" s="23">
        <v>16228335</v>
      </c>
      <c r="D102" s="24">
        <v>4742762</v>
      </c>
      <c r="E102" s="25">
        <v>291403</v>
      </c>
      <c r="F102" s="26">
        <v>589454</v>
      </c>
      <c r="G102" s="27">
        <v>238650</v>
      </c>
      <c r="H102" s="28">
        <f t="shared" si="2"/>
        <v>0</v>
      </c>
      <c r="I102" s="28">
        <f t="shared" si="2"/>
        <v>2694</v>
      </c>
      <c r="J102" s="28">
        <f t="shared" si="2"/>
        <v>142</v>
      </c>
      <c r="K102" s="28">
        <f t="shared" si="2"/>
        <v>162</v>
      </c>
      <c r="L102" s="29">
        <f t="shared" si="4"/>
        <v>204</v>
      </c>
      <c r="M102" s="30">
        <f t="shared" si="3"/>
        <v>2998</v>
      </c>
      <c r="Q102" s="20">
        <f t="shared" si="1"/>
        <v>0</v>
      </c>
    </row>
    <row r="103" spans="2:17" ht="12.95" customHeight="1" x14ac:dyDescent="0.2">
      <c r="B103" s="22">
        <v>44296</v>
      </c>
      <c r="C103" s="23">
        <v>16228335</v>
      </c>
      <c r="D103" s="24">
        <v>4745326</v>
      </c>
      <c r="E103" s="25">
        <v>291545</v>
      </c>
      <c r="F103" s="26">
        <v>589620</v>
      </c>
      <c r="G103" s="27">
        <v>238776</v>
      </c>
      <c r="H103" s="28">
        <f t="shared" si="2"/>
        <v>0</v>
      </c>
      <c r="I103" s="28">
        <f>IF(D103="","",+(D103-D102))</f>
        <v>2564</v>
      </c>
      <c r="J103" s="28">
        <f t="shared" si="2"/>
        <v>142</v>
      </c>
      <c r="K103" s="28">
        <f t="shared" si="2"/>
        <v>166</v>
      </c>
      <c r="L103" s="29">
        <f t="shared" si="4"/>
        <v>126</v>
      </c>
      <c r="M103" s="30">
        <f t="shared" si="3"/>
        <v>2872</v>
      </c>
      <c r="Q103" s="20">
        <f t="shared" si="1"/>
        <v>0</v>
      </c>
    </row>
    <row r="104" spans="2:17" ht="12.95" customHeight="1" x14ac:dyDescent="0.2">
      <c r="B104" s="22">
        <v>44297</v>
      </c>
      <c r="C104" s="23">
        <v>16228335</v>
      </c>
      <c r="D104" s="24">
        <v>4747633</v>
      </c>
      <c r="E104" s="25">
        <v>291706</v>
      </c>
      <c r="F104" s="26">
        <v>589792</v>
      </c>
      <c r="G104" s="27">
        <v>238907</v>
      </c>
      <c r="H104" s="28">
        <f t="shared" si="2"/>
        <v>0</v>
      </c>
      <c r="I104" s="28">
        <f t="shared" si="2"/>
        <v>2307</v>
      </c>
      <c r="J104" s="28">
        <f t="shared" si="2"/>
        <v>161</v>
      </c>
      <c r="K104" s="28">
        <f t="shared" si="2"/>
        <v>172</v>
      </c>
      <c r="L104" s="29">
        <f t="shared" si="4"/>
        <v>131</v>
      </c>
      <c r="M104" s="30">
        <f t="shared" si="3"/>
        <v>2640</v>
      </c>
      <c r="Q104" s="20">
        <f t="shared" si="1"/>
        <v>0</v>
      </c>
    </row>
    <row r="105" spans="2:17" ht="12.95" customHeight="1" x14ac:dyDescent="0.2">
      <c r="B105" s="22">
        <v>44298</v>
      </c>
      <c r="C105" s="23">
        <v>16228335</v>
      </c>
      <c r="D105" s="24">
        <v>4749949</v>
      </c>
      <c r="E105" s="25">
        <v>291882</v>
      </c>
      <c r="F105" s="26">
        <v>589953</v>
      </c>
      <c r="G105" s="27">
        <v>239041</v>
      </c>
      <c r="H105" s="28">
        <f t="shared" si="2"/>
        <v>0</v>
      </c>
      <c r="I105" s="28">
        <f t="shared" si="2"/>
        <v>2316</v>
      </c>
      <c r="J105" s="28">
        <f t="shared" si="2"/>
        <v>176</v>
      </c>
      <c r="K105" s="28">
        <f t="shared" si="2"/>
        <v>161</v>
      </c>
      <c r="L105" s="29">
        <f t="shared" si="4"/>
        <v>134</v>
      </c>
      <c r="M105" s="30">
        <f t="shared" si="3"/>
        <v>2653</v>
      </c>
      <c r="Q105" s="20">
        <f t="shared" si="1"/>
        <v>0</v>
      </c>
    </row>
    <row r="106" spans="2:17" ht="12.95" customHeight="1" x14ac:dyDescent="0.2">
      <c r="B106" s="22">
        <v>44299</v>
      </c>
      <c r="C106" s="23">
        <v>16228335</v>
      </c>
      <c r="D106" s="24">
        <v>4751924</v>
      </c>
      <c r="E106" s="25">
        <v>292031</v>
      </c>
      <c r="F106" s="26">
        <v>590086</v>
      </c>
      <c r="G106" s="27">
        <v>239161</v>
      </c>
      <c r="H106" s="28">
        <f>IF(C106="","",+(C106-C105))</f>
        <v>0</v>
      </c>
      <c r="I106" s="28">
        <f t="shared" si="2"/>
        <v>1975</v>
      </c>
      <c r="J106" s="28">
        <f t="shared" si="2"/>
        <v>149</v>
      </c>
      <c r="K106" s="28">
        <f t="shared" si="2"/>
        <v>133</v>
      </c>
      <c r="L106" s="29">
        <f t="shared" si="4"/>
        <v>120</v>
      </c>
      <c r="M106" s="30">
        <f t="shared" si="3"/>
        <v>2257</v>
      </c>
      <c r="Q106" s="20">
        <f t="shared" si="1"/>
        <v>0</v>
      </c>
    </row>
    <row r="107" spans="2:17" ht="12.95" customHeight="1" x14ac:dyDescent="0.2">
      <c r="B107" s="22">
        <v>44300</v>
      </c>
      <c r="C107" s="23">
        <v>16228335</v>
      </c>
      <c r="D107" s="24">
        <v>4753687</v>
      </c>
      <c r="E107" s="25">
        <v>292165</v>
      </c>
      <c r="F107" s="26">
        <v>590208</v>
      </c>
      <c r="G107" s="27">
        <v>239407</v>
      </c>
      <c r="H107" s="28">
        <f>IF(C107="","",+(C107-C106))</f>
        <v>0</v>
      </c>
      <c r="I107" s="28">
        <f t="shared" si="2"/>
        <v>1763</v>
      </c>
      <c r="J107" s="28">
        <f t="shared" si="2"/>
        <v>134</v>
      </c>
      <c r="K107" s="28">
        <f t="shared" si="2"/>
        <v>122</v>
      </c>
      <c r="L107" s="29">
        <f t="shared" si="4"/>
        <v>246</v>
      </c>
      <c r="M107" s="30">
        <f t="shared" si="3"/>
        <v>2019</v>
      </c>
      <c r="Q107" s="20">
        <f t="shared" si="1"/>
        <v>0</v>
      </c>
    </row>
    <row r="108" spans="2:17" ht="12.95" customHeight="1" x14ac:dyDescent="0.2">
      <c r="B108" s="22">
        <v>44301</v>
      </c>
      <c r="C108" s="23">
        <v>16228335</v>
      </c>
      <c r="D108" s="24">
        <v>4756227</v>
      </c>
      <c r="E108" s="25">
        <v>292309</v>
      </c>
      <c r="F108" s="26">
        <v>590325</v>
      </c>
      <c r="G108" s="27">
        <v>239802</v>
      </c>
      <c r="H108" s="28">
        <f>IF(C108="","",+(C108-C107))</f>
        <v>0</v>
      </c>
      <c r="I108" s="28">
        <f t="shared" si="2"/>
        <v>2540</v>
      </c>
      <c r="J108" s="28">
        <f t="shared" si="2"/>
        <v>144</v>
      </c>
      <c r="K108" s="28">
        <f t="shared" si="2"/>
        <v>117</v>
      </c>
      <c r="L108" s="29">
        <f t="shared" si="4"/>
        <v>395</v>
      </c>
      <c r="M108" s="30">
        <f t="shared" si="3"/>
        <v>2801</v>
      </c>
      <c r="Q108" s="20">
        <f t="shared" si="1"/>
        <v>0</v>
      </c>
    </row>
    <row r="109" spans="2:17" ht="12.95" customHeight="1" x14ac:dyDescent="0.2">
      <c r="B109" s="22">
        <v>44302</v>
      </c>
      <c r="C109" s="23">
        <v>16228335</v>
      </c>
      <c r="D109" s="24">
        <v>4758580</v>
      </c>
      <c r="E109" s="25">
        <v>292449</v>
      </c>
      <c r="F109" s="26">
        <v>590435</v>
      </c>
      <c r="G109" s="27">
        <v>239910</v>
      </c>
      <c r="H109" s="28">
        <f t="shared" si="2"/>
        <v>0</v>
      </c>
      <c r="I109" s="28">
        <f t="shared" si="2"/>
        <v>2353</v>
      </c>
      <c r="J109" s="28">
        <f t="shared" si="2"/>
        <v>140</v>
      </c>
      <c r="K109" s="28">
        <f t="shared" si="2"/>
        <v>110</v>
      </c>
      <c r="L109" s="29">
        <f t="shared" si="4"/>
        <v>108</v>
      </c>
      <c r="M109" s="30">
        <f t="shared" si="3"/>
        <v>2603</v>
      </c>
      <c r="Q109" s="20">
        <f t="shared" si="1"/>
        <v>0</v>
      </c>
    </row>
    <row r="110" spans="2:17" ht="12.95" customHeight="1" x14ac:dyDescent="0.2">
      <c r="B110" s="22">
        <v>44303</v>
      </c>
      <c r="C110" s="23">
        <v>16228335</v>
      </c>
      <c r="D110" s="24">
        <v>4761038</v>
      </c>
      <c r="E110" s="25">
        <v>292590</v>
      </c>
      <c r="F110" s="26">
        <v>590538</v>
      </c>
      <c r="G110" s="27">
        <v>240007</v>
      </c>
      <c r="H110" s="28">
        <f t="shared" si="2"/>
        <v>0</v>
      </c>
      <c r="I110" s="28">
        <f t="shared" si="2"/>
        <v>2458</v>
      </c>
      <c r="J110" s="28">
        <f t="shared" si="2"/>
        <v>141</v>
      </c>
      <c r="K110" s="28">
        <f t="shared" si="2"/>
        <v>103</v>
      </c>
      <c r="L110" s="29">
        <f t="shared" si="4"/>
        <v>97</v>
      </c>
      <c r="M110" s="30">
        <f t="shared" si="3"/>
        <v>2702</v>
      </c>
      <c r="Q110" s="20">
        <f t="shared" si="1"/>
        <v>0</v>
      </c>
    </row>
    <row r="111" spans="2:17" ht="12.95" customHeight="1" x14ac:dyDescent="0.2">
      <c r="B111" s="22">
        <v>44304</v>
      </c>
      <c r="C111" s="23">
        <v>16228335</v>
      </c>
      <c r="D111" s="24">
        <v>4763404</v>
      </c>
      <c r="E111" s="25">
        <v>292718</v>
      </c>
      <c r="F111" s="26">
        <v>590665</v>
      </c>
      <c r="G111" s="27">
        <v>240137</v>
      </c>
      <c r="H111" s="28">
        <f t="shared" si="2"/>
        <v>0</v>
      </c>
      <c r="I111" s="28">
        <f t="shared" si="2"/>
        <v>2366</v>
      </c>
      <c r="J111" s="28">
        <f t="shared" si="2"/>
        <v>128</v>
      </c>
      <c r="K111" s="28">
        <f t="shared" si="2"/>
        <v>127</v>
      </c>
      <c r="L111" s="29">
        <f t="shared" si="4"/>
        <v>130</v>
      </c>
      <c r="M111" s="30">
        <f t="shared" si="3"/>
        <v>2621</v>
      </c>
      <c r="Q111" s="20">
        <f t="shared" si="1"/>
        <v>0</v>
      </c>
    </row>
    <row r="112" spans="2:17" ht="12.95" customHeight="1" x14ac:dyDescent="0.2">
      <c r="B112" s="22">
        <v>44305</v>
      </c>
      <c r="C112" s="23">
        <v>16228335</v>
      </c>
      <c r="D112" s="24">
        <v>4765923</v>
      </c>
      <c r="E112" s="25">
        <v>292843</v>
      </c>
      <c r="F112" s="26">
        <v>590781</v>
      </c>
      <c r="G112" s="27">
        <v>240252</v>
      </c>
      <c r="H112" s="28">
        <f t="shared" si="2"/>
        <v>0</v>
      </c>
      <c r="I112" s="28">
        <f t="shared" si="2"/>
        <v>2519</v>
      </c>
      <c r="J112" s="28">
        <f t="shared" si="2"/>
        <v>125</v>
      </c>
      <c r="K112" s="28">
        <f t="shared" si="2"/>
        <v>116</v>
      </c>
      <c r="L112" s="29">
        <f t="shared" si="4"/>
        <v>115</v>
      </c>
      <c r="M112" s="30">
        <f t="shared" si="3"/>
        <v>2760</v>
      </c>
      <c r="Q112" s="20">
        <f t="shared" si="1"/>
        <v>0</v>
      </c>
    </row>
    <row r="113" spans="2:17" ht="12.95" customHeight="1" thickBot="1" x14ac:dyDescent="0.25">
      <c r="B113" s="22">
        <v>44306</v>
      </c>
      <c r="C113" s="23">
        <v>16228335</v>
      </c>
      <c r="D113" s="24">
        <v>4768173</v>
      </c>
      <c r="E113" s="25">
        <v>292994</v>
      </c>
      <c r="F113" s="26">
        <v>590922</v>
      </c>
      <c r="G113" s="27">
        <v>240372</v>
      </c>
      <c r="H113" s="28">
        <f t="shared" si="2"/>
        <v>0</v>
      </c>
      <c r="I113" s="28">
        <f t="shared" si="2"/>
        <v>2250</v>
      </c>
      <c r="J113" s="28">
        <f t="shared" si="2"/>
        <v>151</v>
      </c>
      <c r="K113" s="28">
        <f t="shared" si="2"/>
        <v>141</v>
      </c>
      <c r="L113" s="29">
        <f t="shared" si="4"/>
        <v>120</v>
      </c>
      <c r="M113" s="30">
        <f t="shared" si="3"/>
        <v>2542</v>
      </c>
      <c r="Q113" s="20">
        <f t="shared" si="1"/>
        <v>0</v>
      </c>
    </row>
    <row r="114" spans="2:17" ht="12.95" customHeight="1" x14ac:dyDescent="0.2">
      <c r="B114" s="22">
        <v>44307</v>
      </c>
      <c r="C114" s="23">
        <v>16228335</v>
      </c>
      <c r="D114" s="24">
        <v>4770399</v>
      </c>
      <c r="E114" s="25">
        <v>293157</v>
      </c>
      <c r="F114" s="26">
        <v>591040</v>
      </c>
      <c r="G114" s="27">
        <v>240538</v>
      </c>
      <c r="H114" s="28">
        <f t="shared" si="2"/>
        <v>0</v>
      </c>
      <c r="I114" s="28">
        <f t="shared" si="2"/>
        <v>2226</v>
      </c>
      <c r="J114" s="28">
        <f t="shared" si="2"/>
        <v>163</v>
      </c>
      <c r="K114" s="28">
        <f t="shared" si="2"/>
        <v>118</v>
      </c>
      <c r="L114" s="29">
        <f t="shared" si="4"/>
        <v>166</v>
      </c>
      <c r="M114" s="30">
        <f t="shared" si="3"/>
        <v>2507</v>
      </c>
      <c r="N114" s="198" t="s">
        <v>21</v>
      </c>
      <c r="O114" s="198" t="s">
        <v>22</v>
      </c>
      <c r="Q114" s="20">
        <f t="shared" si="1"/>
        <v>0</v>
      </c>
    </row>
    <row r="115" spans="2:17" x14ac:dyDescent="0.2">
      <c r="B115" s="22">
        <v>44308</v>
      </c>
      <c r="C115" s="23">
        <v>16228335</v>
      </c>
      <c r="D115" s="24">
        <v>4772606</v>
      </c>
      <c r="E115" s="25">
        <v>293282</v>
      </c>
      <c r="F115" s="26">
        <v>591152</v>
      </c>
      <c r="G115" s="27">
        <v>240705</v>
      </c>
      <c r="H115" s="28">
        <f t="shared" si="2"/>
        <v>0</v>
      </c>
      <c r="I115" s="28">
        <f t="shared" si="2"/>
        <v>2207</v>
      </c>
      <c r="J115" s="28">
        <f t="shared" si="2"/>
        <v>125</v>
      </c>
      <c r="K115" s="28">
        <f t="shared" si="2"/>
        <v>112</v>
      </c>
      <c r="L115" s="29">
        <f t="shared" si="4"/>
        <v>167</v>
      </c>
      <c r="M115" s="30">
        <f t="shared" si="3"/>
        <v>2444</v>
      </c>
      <c r="N115" s="199"/>
      <c r="O115" s="199"/>
      <c r="Q115" s="20">
        <f t="shared" si="1"/>
        <v>0</v>
      </c>
    </row>
    <row r="116" spans="2:17" ht="12.95" customHeight="1" thickBot="1" x14ac:dyDescent="0.25">
      <c r="B116" s="22">
        <v>44309</v>
      </c>
      <c r="C116" s="23">
        <v>16228335</v>
      </c>
      <c r="D116" s="24">
        <v>4774664</v>
      </c>
      <c r="E116" s="25">
        <v>293415</v>
      </c>
      <c r="F116" s="26">
        <v>591289</v>
      </c>
      <c r="G116" s="27">
        <v>240831</v>
      </c>
      <c r="H116" s="28">
        <f t="shared" si="2"/>
        <v>0</v>
      </c>
      <c r="I116" s="28">
        <f t="shared" si="2"/>
        <v>2058</v>
      </c>
      <c r="J116" s="28">
        <f t="shared" si="2"/>
        <v>133</v>
      </c>
      <c r="K116" s="28">
        <f t="shared" si="2"/>
        <v>137</v>
      </c>
      <c r="L116" s="29">
        <f t="shared" si="4"/>
        <v>126</v>
      </c>
      <c r="M116" s="30">
        <f t="shared" si="3"/>
        <v>2328</v>
      </c>
      <c r="N116" s="200"/>
      <c r="O116" s="200"/>
      <c r="Q116" s="20">
        <f t="shared" si="1"/>
        <v>0</v>
      </c>
    </row>
    <row r="117" spans="2:17" ht="12.95" customHeight="1" thickBot="1" x14ac:dyDescent="0.25">
      <c r="B117" s="22">
        <v>44310</v>
      </c>
      <c r="C117" s="23">
        <v>16228335</v>
      </c>
      <c r="D117" s="24">
        <v>4776923</v>
      </c>
      <c r="E117" s="25">
        <v>293556</v>
      </c>
      <c r="F117" s="26">
        <v>591405</v>
      </c>
      <c r="G117" s="27">
        <v>240945</v>
      </c>
      <c r="H117" s="28">
        <f t="shared" si="2"/>
        <v>0</v>
      </c>
      <c r="I117" s="28">
        <f t="shared" si="2"/>
        <v>2259</v>
      </c>
      <c r="J117" s="28">
        <f t="shared" si="2"/>
        <v>141</v>
      </c>
      <c r="K117" s="28">
        <f t="shared" si="2"/>
        <v>116</v>
      </c>
      <c r="L117" s="29">
        <f t="shared" si="4"/>
        <v>114</v>
      </c>
      <c r="M117" s="30">
        <f t="shared" si="3"/>
        <v>2516</v>
      </c>
      <c r="N117" s="32">
        <f>SUM(L95:L124)</f>
        <v>4431</v>
      </c>
      <c r="O117" s="32">
        <f>SUM(M95:M124)</f>
        <v>74704</v>
      </c>
      <c r="Q117" s="20">
        <f t="shared" si="1"/>
        <v>0</v>
      </c>
    </row>
    <row r="118" spans="2:17" ht="12.95" customHeight="1" x14ac:dyDescent="0.2">
      <c r="B118" s="22">
        <v>44311</v>
      </c>
      <c r="C118" s="23">
        <v>16228335</v>
      </c>
      <c r="D118" s="24">
        <v>4779395</v>
      </c>
      <c r="E118" s="25">
        <v>293692</v>
      </c>
      <c r="F118" s="26">
        <v>591512</v>
      </c>
      <c r="G118" s="27">
        <v>241049</v>
      </c>
      <c r="H118" s="28">
        <f t="shared" si="2"/>
        <v>0</v>
      </c>
      <c r="I118" s="28">
        <f t="shared" si="2"/>
        <v>2472</v>
      </c>
      <c r="J118" s="28">
        <f t="shared" si="2"/>
        <v>136</v>
      </c>
      <c r="K118" s="28">
        <f t="shared" si="2"/>
        <v>107</v>
      </c>
      <c r="L118" s="29">
        <f t="shared" si="4"/>
        <v>104</v>
      </c>
      <c r="M118" s="30">
        <f t="shared" si="3"/>
        <v>2715</v>
      </c>
      <c r="N118" s="198" t="s">
        <v>23</v>
      </c>
      <c r="O118" s="198" t="s">
        <v>24</v>
      </c>
      <c r="Q118" s="20">
        <f t="shared" si="1"/>
        <v>0</v>
      </c>
    </row>
    <row r="119" spans="2:17" ht="12.95" customHeight="1" thickBot="1" x14ac:dyDescent="0.25">
      <c r="B119" s="22">
        <v>44312</v>
      </c>
      <c r="C119" s="23">
        <v>16228335</v>
      </c>
      <c r="D119" s="24">
        <v>4781626</v>
      </c>
      <c r="E119" s="25">
        <v>293820</v>
      </c>
      <c r="F119" s="26">
        <v>591626</v>
      </c>
      <c r="G119" s="27">
        <v>241159</v>
      </c>
      <c r="H119" s="28">
        <f t="shared" si="2"/>
        <v>0</v>
      </c>
      <c r="I119" s="28">
        <f t="shared" si="2"/>
        <v>2231</v>
      </c>
      <c r="J119" s="28">
        <f t="shared" si="2"/>
        <v>128</v>
      </c>
      <c r="K119" s="28">
        <f t="shared" si="2"/>
        <v>114</v>
      </c>
      <c r="L119" s="29">
        <f t="shared" si="4"/>
        <v>110</v>
      </c>
      <c r="M119" s="30">
        <f t="shared" si="3"/>
        <v>2473</v>
      </c>
      <c r="N119" s="200"/>
      <c r="O119" s="200"/>
      <c r="Q119" s="20">
        <f t="shared" si="1"/>
        <v>0</v>
      </c>
    </row>
    <row r="120" spans="2:17" ht="12.95" customHeight="1" thickBot="1" x14ac:dyDescent="0.25">
      <c r="B120" s="22">
        <v>44313</v>
      </c>
      <c r="C120" s="23">
        <v>16228335</v>
      </c>
      <c r="D120" s="24">
        <v>4783629</v>
      </c>
      <c r="E120" s="25">
        <v>293956</v>
      </c>
      <c r="F120" s="26">
        <v>591726</v>
      </c>
      <c r="G120" s="27">
        <v>241249</v>
      </c>
      <c r="H120" s="28">
        <f t="shared" si="2"/>
        <v>0</v>
      </c>
      <c r="I120" s="28">
        <f t="shared" si="2"/>
        <v>2003</v>
      </c>
      <c r="J120" s="28">
        <f t="shared" si="2"/>
        <v>136</v>
      </c>
      <c r="K120" s="28">
        <f t="shared" si="2"/>
        <v>100</v>
      </c>
      <c r="L120" s="29">
        <f t="shared" si="4"/>
        <v>90</v>
      </c>
      <c r="M120" s="30">
        <f t="shared" si="3"/>
        <v>2239</v>
      </c>
      <c r="N120" s="32">
        <f>AVERAGE(L95:L124)</f>
        <v>147.69999999999999</v>
      </c>
      <c r="O120" s="32">
        <f>AVERAGE(M95:M124)</f>
        <v>2490.1333333333332</v>
      </c>
      <c r="Q120" s="20">
        <f t="shared" si="1"/>
        <v>0</v>
      </c>
    </row>
    <row r="121" spans="2:17" ht="12.95" customHeight="1" x14ac:dyDescent="0.2">
      <c r="B121" s="22">
        <v>44314</v>
      </c>
      <c r="C121" s="23">
        <v>16228335</v>
      </c>
      <c r="D121" s="24">
        <v>4785437</v>
      </c>
      <c r="E121" s="25">
        <v>294086</v>
      </c>
      <c r="F121" s="26">
        <v>591822</v>
      </c>
      <c r="G121" s="27">
        <v>241353</v>
      </c>
      <c r="H121" s="28">
        <f t="shared" si="2"/>
        <v>0</v>
      </c>
      <c r="I121" s="28">
        <f t="shared" si="2"/>
        <v>1808</v>
      </c>
      <c r="J121" s="28">
        <f t="shared" si="2"/>
        <v>130</v>
      </c>
      <c r="K121" s="28">
        <f t="shared" si="2"/>
        <v>96</v>
      </c>
      <c r="L121" s="29">
        <f t="shared" si="4"/>
        <v>104</v>
      </c>
      <c r="M121" s="30">
        <f t="shared" si="3"/>
        <v>2034</v>
      </c>
      <c r="O121" s="20">
        <f>IF(L121="",1,0)</f>
        <v>0</v>
      </c>
    </row>
    <row r="122" spans="2:17" ht="12.95" customHeight="1" x14ac:dyDescent="0.2">
      <c r="B122" s="22">
        <v>44315</v>
      </c>
      <c r="C122" s="23">
        <v>16228335</v>
      </c>
      <c r="D122" s="24">
        <v>4787177</v>
      </c>
      <c r="E122" s="25">
        <v>294224</v>
      </c>
      <c r="F122" s="26">
        <v>591949</v>
      </c>
      <c r="G122" s="27">
        <v>241447</v>
      </c>
      <c r="H122" s="28">
        <f t="shared" si="2"/>
        <v>0</v>
      </c>
      <c r="I122" s="28">
        <f t="shared" si="2"/>
        <v>1740</v>
      </c>
      <c r="J122" s="28">
        <f t="shared" si="2"/>
        <v>138</v>
      </c>
      <c r="K122" s="28">
        <f>IF(F122="","",+(F122-F121))</f>
        <v>127</v>
      </c>
      <c r="L122" s="29">
        <f t="shared" si="4"/>
        <v>94</v>
      </c>
      <c r="M122" s="30">
        <f t="shared" si="3"/>
        <v>2005</v>
      </c>
      <c r="O122" s="20">
        <f>IF(L122="",1,0)</f>
        <v>0</v>
      </c>
    </row>
    <row r="123" spans="2:17" ht="12.95" customHeight="1" x14ac:dyDescent="0.2">
      <c r="B123" s="22">
        <v>44316</v>
      </c>
      <c r="C123" s="23">
        <v>16228335</v>
      </c>
      <c r="D123" s="24">
        <v>4788702</v>
      </c>
      <c r="E123" s="25">
        <v>294358</v>
      </c>
      <c r="F123" s="26">
        <v>592071</v>
      </c>
      <c r="G123" s="27">
        <v>241598</v>
      </c>
      <c r="H123" s="28">
        <f t="shared" si="2"/>
        <v>0</v>
      </c>
      <c r="I123" s="28">
        <f>IF(D123="","",+(D123-D122))</f>
        <v>1525</v>
      </c>
      <c r="J123" s="28">
        <f t="shared" si="2"/>
        <v>134</v>
      </c>
      <c r="K123" s="28">
        <f t="shared" si="2"/>
        <v>122</v>
      </c>
      <c r="L123" s="29">
        <f t="shared" si="4"/>
        <v>151</v>
      </c>
      <c r="M123" s="30">
        <f t="shared" si="3"/>
        <v>1781</v>
      </c>
      <c r="O123" s="20">
        <f>IF(L123="",1,0)</f>
        <v>0</v>
      </c>
      <c r="P123" s="40"/>
    </row>
    <row r="124" spans="2:17" ht="12.95" customHeight="1" x14ac:dyDescent="0.2">
      <c r="B124" s="22">
        <v>44317</v>
      </c>
      <c r="C124" s="23">
        <v>16228335</v>
      </c>
      <c r="D124" s="33">
        <v>4789938</v>
      </c>
      <c r="E124" s="33">
        <v>294486</v>
      </c>
      <c r="F124" s="33">
        <v>592204</v>
      </c>
      <c r="G124" s="33">
        <v>241724</v>
      </c>
      <c r="H124" s="35">
        <f t="shared" si="2"/>
        <v>0</v>
      </c>
      <c r="I124" s="35">
        <f>IF(D124="","",+(D124-D123))</f>
        <v>1236</v>
      </c>
      <c r="J124" s="35">
        <f t="shared" si="2"/>
        <v>128</v>
      </c>
      <c r="K124" s="35">
        <f t="shared" si="2"/>
        <v>133</v>
      </c>
      <c r="L124" s="29">
        <f t="shared" si="4"/>
        <v>126</v>
      </c>
      <c r="M124" s="35">
        <f t="shared" si="3"/>
        <v>1497</v>
      </c>
      <c r="Q124" s="20">
        <f t="shared" si="1"/>
        <v>0</v>
      </c>
    </row>
    <row r="125" spans="2:17" ht="12.95" customHeight="1" x14ac:dyDescent="0.2">
      <c r="B125" s="22">
        <v>44318</v>
      </c>
      <c r="C125" s="23">
        <v>16228335</v>
      </c>
      <c r="D125" s="24">
        <v>4791150</v>
      </c>
      <c r="E125" s="25">
        <v>294604</v>
      </c>
      <c r="F125" s="26">
        <v>592295</v>
      </c>
      <c r="G125" s="27">
        <v>241880</v>
      </c>
      <c r="H125" s="28">
        <f t="shared" si="2"/>
        <v>0</v>
      </c>
      <c r="I125" s="28">
        <f>IF(D125="","",+(D125-D124))</f>
        <v>1212</v>
      </c>
      <c r="J125" s="28">
        <f t="shared" si="2"/>
        <v>118</v>
      </c>
      <c r="K125" s="28">
        <f t="shared" si="2"/>
        <v>91</v>
      </c>
      <c r="L125" s="29">
        <f t="shared" si="4"/>
        <v>156</v>
      </c>
      <c r="M125" s="30">
        <f t="shared" si="3"/>
        <v>1421</v>
      </c>
      <c r="Q125" s="20">
        <f t="shared" si="1"/>
        <v>0</v>
      </c>
    </row>
    <row r="126" spans="2:17" ht="12.95" customHeight="1" x14ac:dyDescent="0.2">
      <c r="B126" s="22">
        <v>44319</v>
      </c>
      <c r="C126" s="23">
        <v>16228335</v>
      </c>
      <c r="D126" s="24">
        <v>4792383</v>
      </c>
      <c r="E126" s="25">
        <v>294749</v>
      </c>
      <c r="F126" s="26">
        <v>592416</v>
      </c>
      <c r="G126" s="27">
        <v>242013</v>
      </c>
      <c r="H126" s="38">
        <f t="shared" si="2"/>
        <v>0</v>
      </c>
      <c r="I126" s="28">
        <f t="shared" si="2"/>
        <v>1233</v>
      </c>
      <c r="J126" s="28">
        <f t="shared" si="2"/>
        <v>145</v>
      </c>
      <c r="K126" s="28">
        <f t="shared" si="2"/>
        <v>121</v>
      </c>
      <c r="L126" s="29">
        <f t="shared" si="4"/>
        <v>133</v>
      </c>
      <c r="M126" s="30">
        <f t="shared" si="3"/>
        <v>1499</v>
      </c>
      <c r="Q126" s="20">
        <f t="shared" si="1"/>
        <v>0</v>
      </c>
    </row>
    <row r="127" spans="2:17" ht="12.95" customHeight="1" x14ac:dyDescent="0.2">
      <c r="B127" s="22">
        <v>44320</v>
      </c>
      <c r="C127" s="23">
        <v>16228335</v>
      </c>
      <c r="D127" s="24">
        <v>4793840</v>
      </c>
      <c r="E127" s="25">
        <v>294915</v>
      </c>
      <c r="F127" s="26">
        <v>592476</v>
      </c>
      <c r="G127" s="27">
        <v>242142</v>
      </c>
      <c r="H127" s="28">
        <f t="shared" si="2"/>
        <v>0</v>
      </c>
      <c r="I127" s="28">
        <f t="shared" si="2"/>
        <v>1457</v>
      </c>
      <c r="J127" s="28">
        <f t="shared" si="2"/>
        <v>166</v>
      </c>
      <c r="K127" s="28">
        <f t="shared" si="2"/>
        <v>60</v>
      </c>
      <c r="L127" s="29">
        <f t="shared" si="4"/>
        <v>129</v>
      </c>
      <c r="M127" s="30">
        <f t="shared" si="3"/>
        <v>1683</v>
      </c>
      <c r="Q127" s="20">
        <f t="shared" si="1"/>
        <v>0</v>
      </c>
    </row>
    <row r="128" spans="2:17" ht="12.95" customHeight="1" x14ac:dyDescent="0.2">
      <c r="B128" s="22">
        <v>44321</v>
      </c>
      <c r="C128" s="23">
        <v>16228335</v>
      </c>
      <c r="D128" s="24">
        <v>4795154</v>
      </c>
      <c r="E128" s="25">
        <v>295047</v>
      </c>
      <c r="F128" s="26">
        <v>592540</v>
      </c>
      <c r="G128" s="27">
        <v>242279</v>
      </c>
      <c r="H128" s="38">
        <f t="shared" si="2"/>
        <v>0</v>
      </c>
      <c r="I128" s="28">
        <f t="shared" si="2"/>
        <v>1314</v>
      </c>
      <c r="J128" s="28">
        <f t="shared" si="2"/>
        <v>132</v>
      </c>
      <c r="K128" s="28">
        <f t="shared" si="2"/>
        <v>64</v>
      </c>
      <c r="L128" s="29">
        <f t="shared" si="4"/>
        <v>137</v>
      </c>
      <c r="M128" s="30">
        <f t="shared" si="3"/>
        <v>1510</v>
      </c>
      <c r="Q128" s="20">
        <f t="shared" si="1"/>
        <v>0</v>
      </c>
    </row>
    <row r="129" spans="2:17" ht="12.95" customHeight="1" x14ac:dyDescent="0.2">
      <c r="B129" s="22">
        <v>44322</v>
      </c>
      <c r="C129" s="23">
        <v>16228335</v>
      </c>
      <c r="D129" s="24">
        <v>4796523</v>
      </c>
      <c r="E129" s="25">
        <v>295214</v>
      </c>
      <c r="F129" s="26">
        <v>592665</v>
      </c>
      <c r="G129" s="27">
        <v>242420</v>
      </c>
      <c r="H129" s="28">
        <f t="shared" si="2"/>
        <v>0</v>
      </c>
      <c r="I129" s="28">
        <f t="shared" si="2"/>
        <v>1369</v>
      </c>
      <c r="J129" s="28">
        <f t="shared" si="2"/>
        <v>167</v>
      </c>
      <c r="K129" s="28">
        <f t="shared" si="2"/>
        <v>125</v>
      </c>
      <c r="L129" s="29">
        <f t="shared" si="4"/>
        <v>141</v>
      </c>
      <c r="M129" s="30">
        <f t="shared" si="3"/>
        <v>1661</v>
      </c>
      <c r="Q129" s="20">
        <f t="shared" si="1"/>
        <v>0</v>
      </c>
    </row>
    <row r="130" spans="2:17" ht="12.95" customHeight="1" x14ac:dyDescent="0.2">
      <c r="B130" s="22">
        <v>44323</v>
      </c>
      <c r="C130" s="23">
        <v>16228335</v>
      </c>
      <c r="D130" s="24">
        <v>4797664</v>
      </c>
      <c r="E130" s="25">
        <v>295304</v>
      </c>
      <c r="F130" s="26">
        <v>592695</v>
      </c>
      <c r="G130" s="27">
        <v>242587</v>
      </c>
      <c r="H130" s="28">
        <f t="shared" si="2"/>
        <v>0</v>
      </c>
      <c r="I130" s="28">
        <f t="shared" si="2"/>
        <v>1141</v>
      </c>
      <c r="J130" s="28">
        <f t="shared" si="2"/>
        <v>90</v>
      </c>
      <c r="K130" s="28">
        <f t="shared" si="2"/>
        <v>30</v>
      </c>
      <c r="L130" s="29">
        <f t="shared" si="4"/>
        <v>167</v>
      </c>
      <c r="M130" s="30">
        <f t="shared" si="3"/>
        <v>1261</v>
      </c>
      <c r="Q130" s="20">
        <f t="shared" si="1"/>
        <v>0</v>
      </c>
    </row>
    <row r="131" spans="2:17" ht="12.95" customHeight="1" x14ac:dyDescent="0.2">
      <c r="B131" s="22">
        <v>44324</v>
      </c>
      <c r="C131" s="23">
        <v>16228335</v>
      </c>
      <c r="D131" s="24">
        <v>4799171</v>
      </c>
      <c r="E131" s="25">
        <v>295419</v>
      </c>
      <c r="F131" s="26">
        <v>592757</v>
      </c>
      <c r="G131" s="27">
        <v>242750</v>
      </c>
      <c r="H131" s="28">
        <f t="shared" si="2"/>
        <v>0</v>
      </c>
      <c r="I131" s="28">
        <f t="shared" si="2"/>
        <v>1507</v>
      </c>
      <c r="J131" s="28">
        <f t="shared" si="2"/>
        <v>115</v>
      </c>
      <c r="K131" s="28">
        <f t="shared" si="2"/>
        <v>62</v>
      </c>
      <c r="L131" s="29">
        <f t="shared" si="4"/>
        <v>163</v>
      </c>
      <c r="M131" s="30">
        <f t="shared" si="3"/>
        <v>1684</v>
      </c>
      <c r="Q131" s="20">
        <f t="shared" si="1"/>
        <v>0</v>
      </c>
    </row>
    <row r="132" spans="2:17" ht="12.95" customHeight="1" x14ac:dyDescent="0.2">
      <c r="B132" s="22">
        <v>44325</v>
      </c>
      <c r="C132" s="23">
        <v>16228335</v>
      </c>
      <c r="D132" s="24">
        <v>4800949</v>
      </c>
      <c r="E132" s="25">
        <v>295542</v>
      </c>
      <c r="F132" s="26">
        <v>592845</v>
      </c>
      <c r="G132" s="27">
        <v>242811</v>
      </c>
      <c r="H132" s="28">
        <f t="shared" si="2"/>
        <v>0</v>
      </c>
      <c r="I132" s="28">
        <f t="shared" si="2"/>
        <v>1778</v>
      </c>
      <c r="J132" s="28">
        <f t="shared" si="2"/>
        <v>123</v>
      </c>
      <c r="K132" s="28">
        <f t="shared" si="2"/>
        <v>88</v>
      </c>
      <c r="L132" s="29">
        <f t="shared" si="4"/>
        <v>61</v>
      </c>
      <c r="M132" s="30">
        <f t="shared" si="3"/>
        <v>1989</v>
      </c>
      <c r="Q132" s="20">
        <f t="shared" si="1"/>
        <v>0</v>
      </c>
    </row>
    <row r="133" spans="2:17" ht="12.95" customHeight="1" x14ac:dyDescent="0.2">
      <c r="B133" s="22">
        <v>44326</v>
      </c>
      <c r="C133" s="41">
        <v>16228335</v>
      </c>
      <c r="D133" s="24">
        <v>4802645</v>
      </c>
      <c r="E133" s="25">
        <v>295664</v>
      </c>
      <c r="F133" s="26">
        <v>592895</v>
      </c>
      <c r="G133" s="27">
        <v>242993</v>
      </c>
      <c r="H133" s="28">
        <f t="shared" si="2"/>
        <v>0</v>
      </c>
      <c r="I133" s="28">
        <f t="shared" si="2"/>
        <v>1696</v>
      </c>
      <c r="J133" s="28">
        <f t="shared" si="2"/>
        <v>122</v>
      </c>
      <c r="K133" s="28">
        <f t="shared" si="2"/>
        <v>50</v>
      </c>
      <c r="L133" s="29">
        <f t="shared" si="4"/>
        <v>182</v>
      </c>
      <c r="M133" s="30">
        <f t="shared" si="3"/>
        <v>1868</v>
      </c>
      <c r="Q133" s="20">
        <f t="shared" si="1"/>
        <v>0</v>
      </c>
    </row>
    <row r="134" spans="2:17" ht="12.95" customHeight="1" x14ac:dyDescent="0.2">
      <c r="B134" s="22">
        <v>44327</v>
      </c>
      <c r="C134" s="41">
        <v>16228335</v>
      </c>
      <c r="D134" s="24">
        <v>4804310</v>
      </c>
      <c r="E134" s="25">
        <v>295792</v>
      </c>
      <c r="F134" s="26">
        <v>592978</v>
      </c>
      <c r="G134" s="27">
        <v>243122</v>
      </c>
      <c r="H134" s="28">
        <f t="shared" ref="H134:K185" si="10">IF(C134="","",+(C134-C133))</f>
        <v>0</v>
      </c>
      <c r="I134" s="28">
        <f t="shared" si="10"/>
        <v>1665</v>
      </c>
      <c r="J134" s="28">
        <f t="shared" si="10"/>
        <v>128</v>
      </c>
      <c r="K134" s="28">
        <f t="shared" si="10"/>
        <v>83</v>
      </c>
      <c r="L134" s="29">
        <f t="shared" si="4"/>
        <v>129</v>
      </c>
      <c r="M134" s="30">
        <f t="shared" ref="M134:M197" si="11">IF(H134="","",+(H134+I134+J134+K134))</f>
        <v>1876</v>
      </c>
      <c r="Q134" s="20">
        <f t="shared" ref="Q134:Q197" si="12">IF(L134="",1,0)</f>
        <v>0</v>
      </c>
    </row>
    <row r="135" spans="2:17" ht="12.95" customHeight="1" x14ac:dyDescent="0.2">
      <c r="B135" s="22">
        <v>44328</v>
      </c>
      <c r="C135" s="41">
        <v>16228335</v>
      </c>
      <c r="D135" s="24">
        <v>4805826</v>
      </c>
      <c r="E135" s="25">
        <v>295913</v>
      </c>
      <c r="F135" s="26">
        <v>593037</v>
      </c>
      <c r="G135" s="27">
        <v>243275</v>
      </c>
      <c r="H135" s="28">
        <f t="shared" si="10"/>
        <v>0</v>
      </c>
      <c r="I135" s="28">
        <f t="shared" si="10"/>
        <v>1516</v>
      </c>
      <c r="J135" s="28">
        <f t="shared" si="10"/>
        <v>121</v>
      </c>
      <c r="K135" s="28">
        <f t="shared" si="10"/>
        <v>59</v>
      </c>
      <c r="L135" s="29">
        <f t="shared" si="4"/>
        <v>153</v>
      </c>
      <c r="M135" s="30">
        <f t="shared" si="11"/>
        <v>1696</v>
      </c>
      <c r="Q135" s="20">
        <f t="shared" si="12"/>
        <v>0</v>
      </c>
    </row>
    <row r="136" spans="2:17" ht="12.95" customHeight="1" x14ac:dyDescent="0.2">
      <c r="B136" s="22">
        <v>44329</v>
      </c>
      <c r="C136" s="41">
        <v>16228335</v>
      </c>
      <c r="D136" s="24">
        <v>4807191</v>
      </c>
      <c r="E136" s="25">
        <v>296017</v>
      </c>
      <c r="F136" s="26">
        <v>593126</v>
      </c>
      <c r="G136" s="27">
        <v>243394</v>
      </c>
      <c r="H136" s="28">
        <f t="shared" si="10"/>
        <v>0</v>
      </c>
      <c r="I136" s="28">
        <f t="shared" si="10"/>
        <v>1365</v>
      </c>
      <c r="J136" s="28">
        <f t="shared" si="10"/>
        <v>104</v>
      </c>
      <c r="K136" s="28">
        <f t="shared" si="10"/>
        <v>89</v>
      </c>
      <c r="L136" s="29">
        <f t="shared" si="4"/>
        <v>119</v>
      </c>
      <c r="M136" s="30">
        <f t="shared" si="11"/>
        <v>1558</v>
      </c>
      <c r="Q136" s="20">
        <f t="shared" si="12"/>
        <v>0</v>
      </c>
    </row>
    <row r="137" spans="2:17" ht="12.95" customHeight="1" x14ac:dyDescent="0.2">
      <c r="B137" s="22">
        <v>44330</v>
      </c>
      <c r="C137" s="41">
        <v>16228335</v>
      </c>
      <c r="D137" s="24">
        <v>4808477</v>
      </c>
      <c r="E137" s="25">
        <v>296130</v>
      </c>
      <c r="F137" s="26">
        <v>593218</v>
      </c>
      <c r="G137" s="27">
        <v>243545</v>
      </c>
      <c r="H137" s="28">
        <f t="shared" si="10"/>
        <v>0</v>
      </c>
      <c r="I137" s="28">
        <f t="shared" si="10"/>
        <v>1286</v>
      </c>
      <c r="J137" s="28">
        <f t="shared" si="10"/>
        <v>113</v>
      </c>
      <c r="K137" s="28">
        <f t="shared" si="10"/>
        <v>92</v>
      </c>
      <c r="L137" s="29">
        <f t="shared" si="4"/>
        <v>151</v>
      </c>
      <c r="M137" s="30">
        <f t="shared" si="11"/>
        <v>1491</v>
      </c>
      <c r="Q137" s="20">
        <f t="shared" si="12"/>
        <v>0</v>
      </c>
    </row>
    <row r="138" spans="2:17" ht="12.95" customHeight="1" x14ac:dyDescent="0.2">
      <c r="B138" s="22">
        <v>44331</v>
      </c>
      <c r="C138" s="41">
        <v>16228335</v>
      </c>
      <c r="D138" s="24">
        <v>4809619</v>
      </c>
      <c r="E138" s="25">
        <v>296239</v>
      </c>
      <c r="F138" s="26">
        <v>593291</v>
      </c>
      <c r="G138" s="27">
        <v>243680</v>
      </c>
      <c r="H138" s="28">
        <f t="shared" si="10"/>
        <v>0</v>
      </c>
      <c r="I138" s="28">
        <f t="shared" si="10"/>
        <v>1142</v>
      </c>
      <c r="J138" s="28">
        <f t="shared" si="10"/>
        <v>109</v>
      </c>
      <c r="K138" s="28">
        <f t="shared" si="10"/>
        <v>73</v>
      </c>
      <c r="L138" s="29">
        <f t="shared" si="4"/>
        <v>135</v>
      </c>
      <c r="M138" s="30">
        <f t="shared" si="11"/>
        <v>1324</v>
      </c>
      <c r="Q138" s="20">
        <f t="shared" si="12"/>
        <v>0</v>
      </c>
    </row>
    <row r="139" spans="2:17" ht="12.95" customHeight="1" x14ac:dyDescent="0.2">
      <c r="B139" s="22">
        <v>44332</v>
      </c>
      <c r="C139" s="41">
        <v>16228335</v>
      </c>
      <c r="D139" s="24">
        <v>4810961</v>
      </c>
      <c r="E139" s="25">
        <v>296336</v>
      </c>
      <c r="F139" s="26">
        <v>593371</v>
      </c>
      <c r="G139" s="27">
        <v>243833</v>
      </c>
      <c r="H139" s="28">
        <f t="shared" si="10"/>
        <v>0</v>
      </c>
      <c r="I139" s="28">
        <f t="shared" si="10"/>
        <v>1342</v>
      </c>
      <c r="J139" s="28">
        <f t="shared" si="10"/>
        <v>97</v>
      </c>
      <c r="K139" s="28">
        <f t="shared" si="10"/>
        <v>80</v>
      </c>
      <c r="L139" s="29">
        <f t="shared" si="4"/>
        <v>153</v>
      </c>
      <c r="M139" s="30">
        <f t="shared" si="11"/>
        <v>1519</v>
      </c>
      <c r="Q139" s="20">
        <f t="shared" si="12"/>
        <v>0</v>
      </c>
    </row>
    <row r="140" spans="2:17" ht="12.95" customHeight="1" x14ac:dyDescent="0.2">
      <c r="B140" s="22">
        <v>44333</v>
      </c>
      <c r="C140" s="41">
        <v>16228335</v>
      </c>
      <c r="D140" s="24">
        <v>4812267</v>
      </c>
      <c r="E140" s="25">
        <v>296445</v>
      </c>
      <c r="F140" s="26">
        <v>593468</v>
      </c>
      <c r="G140" s="27">
        <v>243972</v>
      </c>
      <c r="H140" s="28">
        <f t="shared" si="10"/>
        <v>0</v>
      </c>
      <c r="I140" s="28">
        <f t="shared" si="10"/>
        <v>1306</v>
      </c>
      <c r="J140" s="28">
        <f t="shared" si="10"/>
        <v>109</v>
      </c>
      <c r="K140" s="28">
        <f t="shared" si="10"/>
        <v>97</v>
      </c>
      <c r="L140" s="29">
        <f t="shared" si="4"/>
        <v>139</v>
      </c>
      <c r="M140" s="30">
        <f t="shared" si="11"/>
        <v>1512</v>
      </c>
      <c r="Q140" s="20">
        <f t="shared" si="12"/>
        <v>0</v>
      </c>
    </row>
    <row r="141" spans="2:17" ht="12.95" customHeight="1" x14ac:dyDescent="0.2">
      <c r="B141" s="22">
        <v>44334</v>
      </c>
      <c r="C141" s="41">
        <v>16228335</v>
      </c>
      <c r="D141" s="24">
        <v>4813662</v>
      </c>
      <c r="E141" s="25">
        <v>296565</v>
      </c>
      <c r="F141" s="26">
        <v>593565</v>
      </c>
      <c r="G141" s="27">
        <v>244104</v>
      </c>
      <c r="H141" s="28">
        <f t="shared" si="10"/>
        <v>0</v>
      </c>
      <c r="I141" s="28">
        <f t="shared" si="10"/>
        <v>1395</v>
      </c>
      <c r="J141" s="28">
        <f t="shared" si="10"/>
        <v>120</v>
      </c>
      <c r="K141" s="28">
        <f t="shared" si="10"/>
        <v>97</v>
      </c>
      <c r="L141" s="29">
        <f t="shared" si="4"/>
        <v>132</v>
      </c>
      <c r="M141" s="30">
        <f t="shared" si="11"/>
        <v>1612</v>
      </c>
      <c r="Q141" s="20">
        <f t="shared" si="12"/>
        <v>0</v>
      </c>
    </row>
    <row r="142" spans="2:17" ht="12.95" customHeight="1" x14ac:dyDescent="0.2">
      <c r="B142" s="22">
        <v>44335</v>
      </c>
      <c r="C142" s="41">
        <v>16228335</v>
      </c>
      <c r="D142" s="24">
        <v>4814901</v>
      </c>
      <c r="E142" s="25">
        <v>296689</v>
      </c>
      <c r="F142" s="26">
        <v>593685</v>
      </c>
      <c r="G142" s="27">
        <v>244250</v>
      </c>
      <c r="H142" s="28">
        <f t="shared" si="10"/>
        <v>0</v>
      </c>
      <c r="I142" s="28">
        <f t="shared" si="10"/>
        <v>1239</v>
      </c>
      <c r="J142" s="28">
        <f t="shared" si="10"/>
        <v>124</v>
      </c>
      <c r="K142" s="28">
        <f t="shared" si="10"/>
        <v>120</v>
      </c>
      <c r="L142" s="29">
        <f t="shared" si="4"/>
        <v>146</v>
      </c>
      <c r="M142" s="30">
        <f t="shared" si="11"/>
        <v>1483</v>
      </c>
      <c r="Q142" s="20">
        <f t="shared" si="12"/>
        <v>0</v>
      </c>
    </row>
    <row r="143" spans="2:17" ht="12.95" customHeight="1" x14ac:dyDescent="0.2">
      <c r="B143" s="22">
        <v>44336</v>
      </c>
      <c r="C143" s="41">
        <v>16228335</v>
      </c>
      <c r="D143" s="24">
        <v>4816126</v>
      </c>
      <c r="E143" s="25">
        <v>296810</v>
      </c>
      <c r="F143" s="26">
        <v>593809</v>
      </c>
      <c r="G143" s="27">
        <v>244397</v>
      </c>
      <c r="H143" s="28">
        <f t="shared" si="10"/>
        <v>0</v>
      </c>
      <c r="I143" s="28">
        <f t="shared" si="10"/>
        <v>1225</v>
      </c>
      <c r="J143" s="28">
        <f t="shared" si="10"/>
        <v>121</v>
      </c>
      <c r="K143" s="28">
        <f t="shared" si="10"/>
        <v>124</v>
      </c>
      <c r="L143" s="29">
        <f t="shared" si="4"/>
        <v>147</v>
      </c>
      <c r="M143" s="30">
        <f t="shared" si="11"/>
        <v>1470</v>
      </c>
      <c r="O143" s="9" t="s">
        <v>28</v>
      </c>
      <c r="Q143" s="20">
        <f t="shared" si="12"/>
        <v>0</v>
      </c>
    </row>
    <row r="144" spans="2:17" ht="12.95" customHeight="1" thickBot="1" x14ac:dyDescent="0.25">
      <c r="B144" s="22">
        <v>44337</v>
      </c>
      <c r="C144" s="41">
        <v>16228335</v>
      </c>
      <c r="D144" s="24">
        <v>4817880</v>
      </c>
      <c r="E144" s="25">
        <v>296954</v>
      </c>
      <c r="F144" s="26">
        <v>593948</v>
      </c>
      <c r="G144" s="27">
        <v>244538</v>
      </c>
      <c r="H144" s="28">
        <f t="shared" si="10"/>
        <v>0</v>
      </c>
      <c r="I144" s="28">
        <f t="shared" si="10"/>
        <v>1754</v>
      </c>
      <c r="J144" s="28">
        <f t="shared" si="10"/>
        <v>144</v>
      </c>
      <c r="K144" s="28">
        <f t="shared" si="10"/>
        <v>139</v>
      </c>
      <c r="L144" s="29">
        <f t="shared" si="4"/>
        <v>141</v>
      </c>
      <c r="M144" s="30">
        <f t="shared" si="11"/>
        <v>2037</v>
      </c>
      <c r="Q144" s="20">
        <f t="shared" si="12"/>
        <v>0</v>
      </c>
    </row>
    <row r="145" spans="2:18" ht="12.95" customHeight="1" x14ac:dyDescent="0.2">
      <c r="B145" s="22">
        <v>44338</v>
      </c>
      <c r="C145" s="41">
        <v>16228335</v>
      </c>
      <c r="D145" s="24">
        <v>4819347</v>
      </c>
      <c r="E145" s="25">
        <v>297101</v>
      </c>
      <c r="F145" s="26">
        <v>594079</v>
      </c>
      <c r="G145" s="27">
        <v>244682</v>
      </c>
      <c r="H145" s="28">
        <f t="shared" si="10"/>
        <v>0</v>
      </c>
      <c r="I145" s="28">
        <f t="shared" si="10"/>
        <v>1467</v>
      </c>
      <c r="J145" s="28">
        <f t="shared" si="10"/>
        <v>147</v>
      </c>
      <c r="K145" s="28">
        <f>IF(F145="","",+(F145-F144))</f>
        <v>131</v>
      </c>
      <c r="L145" s="29">
        <f t="shared" ref="L145:L154" si="13">IF(G145="","",+(G145-G144))</f>
        <v>144</v>
      </c>
      <c r="M145" s="30">
        <f t="shared" si="11"/>
        <v>1745</v>
      </c>
      <c r="N145" s="198" t="s">
        <v>21</v>
      </c>
      <c r="O145" s="198" t="s">
        <v>22</v>
      </c>
      <c r="Q145" s="20">
        <f t="shared" si="12"/>
        <v>0</v>
      </c>
    </row>
    <row r="146" spans="2:18" ht="12.95" customHeight="1" x14ac:dyDescent="0.2">
      <c r="B146" s="22">
        <v>44339</v>
      </c>
      <c r="C146" s="41">
        <v>16228335</v>
      </c>
      <c r="D146" s="24">
        <v>4820658</v>
      </c>
      <c r="E146" s="25">
        <v>297232</v>
      </c>
      <c r="F146" s="26">
        <v>594217</v>
      </c>
      <c r="G146" s="27">
        <v>244801</v>
      </c>
      <c r="H146" s="28">
        <f t="shared" si="10"/>
        <v>0</v>
      </c>
      <c r="I146" s="28">
        <f t="shared" si="10"/>
        <v>1311</v>
      </c>
      <c r="J146" s="28">
        <f t="shared" si="10"/>
        <v>131</v>
      </c>
      <c r="K146" s="28">
        <f>IF(F146="","",+(F146-F145))</f>
        <v>138</v>
      </c>
      <c r="L146" s="29">
        <f t="shared" si="13"/>
        <v>119</v>
      </c>
      <c r="M146" s="30">
        <f t="shared" si="11"/>
        <v>1580</v>
      </c>
      <c r="N146" s="199"/>
      <c r="O146" s="199"/>
      <c r="Q146" s="20">
        <f t="shared" si="12"/>
        <v>0</v>
      </c>
    </row>
    <row r="147" spans="2:18" ht="12.95" customHeight="1" thickBot="1" x14ac:dyDescent="0.25">
      <c r="B147" s="22">
        <v>44340</v>
      </c>
      <c r="C147" s="41">
        <v>16228335</v>
      </c>
      <c r="D147" s="24">
        <v>4821839</v>
      </c>
      <c r="E147" s="25">
        <v>297376</v>
      </c>
      <c r="F147" s="26">
        <v>594364</v>
      </c>
      <c r="G147" s="27">
        <v>244986</v>
      </c>
      <c r="H147" s="28">
        <f t="shared" si="10"/>
        <v>0</v>
      </c>
      <c r="I147" s="28">
        <f t="shared" si="10"/>
        <v>1181</v>
      </c>
      <c r="J147" s="28">
        <f t="shared" si="10"/>
        <v>144</v>
      </c>
      <c r="K147" s="28">
        <f t="shared" si="10"/>
        <v>147</v>
      </c>
      <c r="L147" s="29">
        <f t="shared" si="13"/>
        <v>185</v>
      </c>
      <c r="M147" s="30">
        <f>IF(H147="","",+(H147+I147+J147+K147))</f>
        <v>1472</v>
      </c>
      <c r="N147" s="200"/>
      <c r="O147" s="200"/>
      <c r="Q147" s="20">
        <f>IF(L147="",1,0)</f>
        <v>0</v>
      </c>
    </row>
    <row r="148" spans="2:18" ht="12.95" customHeight="1" thickBot="1" x14ac:dyDescent="0.25">
      <c r="B148" s="22">
        <v>44341</v>
      </c>
      <c r="C148" s="41">
        <v>16228335</v>
      </c>
      <c r="D148" s="24">
        <v>4823039</v>
      </c>
      <c r="E148" s="25">
        <v>297509</v>
      </c>
      <c r="F148" s="26">
        <v>594500</v>
      </c>
      <c r="G148" s="27">
        <v>245194</v>
      </c>
      <c r="H148" s="28">
        <f t="shared" si="10"/>
        <v>0</v>
      </c>
      <c r="I148" s="28">
        <f t="shared" si="10"/>
        <v>1200</v>
      </c>
      <c r="J148" s="28">
        <f t="shared" si="10"/>
        <v>133</v>
      </c>
      <c r="K148" s="28">
        <f t="shared" si="10"/>
        <v>136</v>
      </c>
      <c r="L148" s="29">
        <f t="shared" si="13"/>
        <v>208</v>
      </c>
      <c r="M148" s="30">
        <f>IF(H148="","",+(H148+I148+J148+K148))</f>
        <v>1469</v>
      </c>
      <c r="N148" s="32">
        <f>SUM(L125:L155)</f>
        <v>4619</v>
      </c>
      <c r="O148" s="32">
        <f>SUM(M12:M155)</f>
        <v>396393</v>
      </c>
      <c r="Q148" s="20">
        <f>IF(L148="",1,0)</f>
        <v>0</v>
      </c>
    </row>
    <row r="149" spans="2:18" ht="12.95" customHeight="1" x14ac:dyDescent="0.2">
      <c r="B149" s="22">
        <v>44342</v>
      </c>
      <c r="C149" s="41">
        <v>16228335</v>
      </c>
      <c r="D149" s="24">
        <v>4824512</v>
      </c>
      <c r="E149" s="25">
        <v>297657</v>
      </c>
      <c r="F149" s="26">
        <v>594656</v>
      </c>
      <c r="G149" s="27">
        <v>245384</v>
      </c>
      <c r="H149" s="28">
        <f t="shared" si="10"/>
        <v>0</v>
      </c>
      <c r="I149" s="28">
        <f t="shared" si="10"/>
        <v>1473</v>
      </c>
      <c r="J149" s="28">
        <f t="shared" si="10"/>
        <v>148</v>
      </c>
      <c r="K149" s="28">
        <f t="shared" si="10"/>
        <v>156</v>
      </c>
      <c r="L149" s="29">
        <f t="shared" si="13"/>
        <v>190</v>
      </c>
      <c r="M149" s="30">
        <f>IF(H149="","",+(H149+I149+J149+K149))</f>
        <v>1777</v>
      </c>
      <c r="N149" s="198" t="s">
        <v>23</v>
      </c>
      <c r="O149" s="198" t="s">
        <v>24</v>
      </c>
      <c r="Q149" s="20">
        <f>IF(L149="",1,0)</f>
        <v>0</v>
      </c>
    </row>
    <row r="150" spans="2:18" ht="12.95" customHeight="1" thickBot="1" x14ac:dyDescent="0.25">
      <c r="B150" s="22">
        <v>44343</v>
      </c>
      <c r="C150" s="41">
        <v>16228335</v>
      </c>
      <c r="D150" s="24">
        <v>4825764</v>
      </c>
      <c r="E150" s="25">
        <v>297805</v>
      </c>
      <c r="F150" s="26">
        <v>594821</v>
      </c>
      <c r="G150" s="27">
        <v>245518</v>
      </c>
      <c r="H150" s="28">
        <f t="shared" si="10"/>
        <v>0</v>
      </c>
      <c r="I150" s="28">
        <f t="shared" si="10"/>
        <v>1252</v>
      </c>
      <c r="J150" s="28">
        <f t="shared" si="10"/>
        <v>148</v>
      </c>
      <c r="K150" s="28">
        <f t="shared" si="10"/>
        <v>165</v>
      </c>
      <c r="L150" s="29">
        <f t="shared" si="13"/>
        <v>134</v>
      </c>
      <c r="M150" s="30">
        <f>IF(H150="","",+(H150+I150+J150+K150))</f>
        <v>1565</v>
      </c>
      <c r="N150" s="200"/>
      <c r="O150" s="200"/>
      <c r="Q150" s="20">
        <f>IF(L150="",1,0)</f>
        <v>0</v>
      </c>
    </row>
    <row r="151" spans="2:18" ht="12.95" customHeight="1" thickBot="1" x14ac:dyDescent="0.25">
      <c r="B151" s="22">
        <v>44344</v>
      </c>
      <c r="C151" s="41">
        <v>16228335</v>
      </c>
      <c r="D151" s="24">
        <v>4827198</v>
      </c>
      <c r="E151" s="25">
        <v>297977</v>
      </c>
      <c r="F151" s="26">
        <v>594989</v>
      </c>
      <c r="G151" s="27">
        <v>245672</v>
      </c>
      <c r="H151" s="28">
        <f t="shared" si="10"/>
        <v>0</v>
      </c>
      <c r="I151" s="28">
        <f t="shared" si="10"/>
        <v>1434</v>
      </c>
      <c r="J151" s="28">
        <f t="shared" si="10"/>
        <v>172</v>
      </c>
      <c r="K151" s="28">
        <f t="shared" si="10"/>
        <v>168</v>
      </c>
      <c r="L151" s="29">
        <f t="shared" si="13"/>
        <v>154</v>
      </c>
      <c r="M151" s="30">
        <f>IF(H151="","",+(H151+I151+J151+K151))</f>
        <v>1774</v>
      </c>
      <c r="N151" s="32">
        <f>AVERAGE(L125:L155)</f>
        <v>149</v>
      </c>
      <c r="O151" s="32">
        <f>AVERAGE(M125:M155)</f>
        <v>1659.6774193548388</v>
      </c>
      <c r="Q151" s="20">
        <f>IF(L151="",1,0)</f>
        <v>0</v>
      </c>
    </row>
    <row r="152" spans="2:18" ht="12.95" customHeight="1" x14ac:dyDescent="0.2">
      <c r="B152" s="22">
        <v>44345</v>
      </c>
      <c r="C152" s="41">
        <v>16228335</v>
      </c>
      <c r="D152" s="24">
        <v>4828988</v>
      </c>
      <c r="E152" s="25">
        <v>298129</v>
      </c>
      <c r="F152" s="26">
        <v>595150</v>
      </c>
      <c r="G152" s="27">
        <v>245815</v>
      </c>
      <c r="H152" s="28">
        <f t="shared" si="10"/>
        <v>0</v>
      </c>
      <c r="I152" s="28">
        <f t="shared" si="10"/>
        <v>1790</v>
      </c>
      <c r="J152" s="28">
        <f t="shared" si="10"/>
        <v>152</v>
      </c>
      <c r="K152" s="28">
        <f t="shared" si="10"/>
        <v>161</v>
      </c>
      <c r="L152" s="29">
        <f t="shared" si="13"/>
        <v>143</v>
      </c>
      <c r="M152" s="30">
        <f t="shared" si="11"/>
        <v>2103</v>
      </c>
      <c r="O152" s="20">
        <f>IF(L152="",1,0)</f>
        <v>0</v>
      </c>
    </row>
    <row r="153" spans="2:18" ht="12.95" customHeight="1" x14ac:dyDescent="0.2">
      <c r="B153" s="22">
        <v>44346</v>
      </c>
      <c r="C153" s="41">
        <v>16228335</v>
      </c>
      <c r="D153" s="24">
        <v>4830602</v>
      </c>
      <c r="E153" s="25">
        <v>298266</v>
      </c>
      <c r="F153" s="26">
        <v>595322</v>
      </c>
      <c r="G153" s="27">
        <v>245986</v>
      </c>
      <c r="H153" s="28">
        <f t="shared" si="10"/>
        <v>0</v>
      </c>
      <c r="I153" s="28">
        <f t="shared" si="10"/>
        <v>1614</v>
      </c>
      <c r="J153" s="28">
        <f t="shared" si="10"/>
        <v>137</v>
      </c>
      <c r="K153" s="28">
        <f t="shared" si="10"/>
        <v>172</v>
      </c>
      <c r="L153" s="29">
        <f t="shared" si="13"/>
        <v>171</v>
      </c>
      <c r="M153" s="30">
        <f t="shared" si="11"/>
        <v>1923</v>
      </c>
      <c r="O153" s="20">
        <f>IF(L153="",1,0)</f>
        <v>0</v>
      </c>
    </row>
    <row r="154" spans="2:18" ht="12.95" customHeight="1" x14ac:dyDescent="0.2">
      <c r="B154" s="22">
        <v>44347</v>
      </c>
      <c r="C154" s="41">
        <v>16228335</v>
      </c>
      <c r="D154" s="24">
        <v>4832299</v>
      </c>
      <c r="E154" s="25">
        <v>298447</v>
      </c>
      <c r="F154" s="26">
        <v>595516</v>
      </c>
      <c r="G154" s="27">
        <v>246206</v>
      </c>
      <c r="H154" s="28">
        <f t="shared" si="10"/>
        <v>0</v>
      </c>
      <c r="I154" s="28">
        <f t="shared" si="10"/>
        <v>1697</v>
      </c>
      <c r="J154" s="28">
        <f t="shared" si="10"/>
        <v>181</v>
      </c>
      <c r="K154" s="28">
        <f t="shared" si="10"/>
        <v>194</v>
      </c>
      <c r="L154" s="29">
        <f t="shared" si="13"/>
        <v>220</v>
      </c>
      <c r="M154" s="30">
        <f>IF(H154="","",+(H154+I154+J154+K154))</f>
        <v>2072</v>
      </c>
      <c r="O154" s="20">
        <f>IF(L154="",1,0)</f>
        <v>0</v>
      </c>
      <c r="P154" s="40"/>
    </row>
    <row r="155" spans="2:18" ht="12.95" customHeight="1" x14ac:dyDescent="0.2">
      <c r="B155" s="22">
        <v>44348</v>
      </c>
      <c r="C155" s="34">
        <v>16228335</v>
      </c>
      <c r="D155" s="33">
        <v>4833801</v>
      </c>
      <c r="E155" s="33">
        <v>298604</v>
      </c>
      <c r="F155" s="33">
        <v>595673</v>
      </c>
      <c r="G155" s="33">
        <v>246343</v>
      </c>
      <c r="H155" s="33">
        <f t="shared" si="10"/>
        <v>0</v>
      </c>
      <c r="I155" s="33">
        <f t="shared" si="10"/>
        <v>1502</v>
      </c>
      <c r="J155" s="33">
        <f t="shared" si="10"/>
        <v>157</v>
      </c>
      <c r="K155" s="33">
        <f t="shared" si="10"/>
        <v>157</v>
      </c>
      <c r="L155" s="42">
        <f>IF(G155="","",+(G155-G154))</f>
        <v>137</v>
      </c>
      <c r="M155" s="33">
        <f t="shared" si="11"/>
        <v>1816</v>
      </c>
      <c r="Q155" s="20">
        <f t="shared" si="12"/>
        <v>0</v>
      </c>
    </row>
    <row r="156" spans="2:18" ht="12.95" customHeight="1" x14ac:dyDescent="0.2">
      <c r="B156" s="22">
        <v>44349</v>
      </c>
      <c r="C156" s="41">
        <v>16228335</v>
      </c>
      <c r="D156" s="24">
        <v>4835367</v>
      </c>
      <c r="E156" s="25">
        <v>298780</v>
      </c>
      <c r="F156" s="26">
        <v>595825</v>
      </c>
      <c r="G156" s="27">
        <v>246512</v>
      </c>
      <c r="H156" s="28">
        <f t="shared" si="10"/>
        <v>0</v>
      </c>
      <c r="I156" s="28">
        <f t="shared" si="10"/>
        <v>1566</v>
      </c>
      <c r="J156" s="28">
        <f t="shared" si="10"/>
        <v>176</v>
      </c>
      <c r="K156" s="28">
        <f t="shared" si="10"/>
        <v>152</v>
      </c>
      <c r="L156" s="29">
        <f>IF(G156="","",+(G156-G155))</f>
        <v>169</v>
      </c>
      <c r="M156" s="30">
        <f t="shared" si="11"/>
        <v>1894</v>
      </c>
      <c r="Q156" s="20">
        <f t="shared" si="12"/>
        <v>0</v>
      </c>
    </row>
    <row r="157" spans="2:18" ht="12.95" customHeight="1" x14ac:dyDescent="0.2">
      <c r="B157" s="22">
        <v>44350</v>
      </c>
      <c r="C157" s="41">
        <v>16228335</v>
      </c>
      <c r="D157" s="24">
        <v>4837085</v>
      </c>
      <c r="E157" s="25">
        <v>298982</v>
      </c>
      <c r="F157" s="26">
        <v>595995</v>
      </c>
      <c r="G157" s="27">
        <v>246673</v>
      </c>
      <c r="H157" s="28">
        <f t="shared" si="10"/>
        <v>0</v>
      </c>
      <c r="I157" s="28">
        <f t="shared" si="10"/>
        <v>1718</v>
      </c>
      <c r="J157" s="28">
        <f t="shared" si="10"/>
        <v>202</v>
      </c>
      <c r="K157" s="28">
        <f t="shared" si="10"/>
        <v>170</v>
      </c>
      <c r="L157" s="29">
        <f t="shared" ref="L157:L195" si="14">IF(G157="","",+(G157-G156))</f>
        <v>161</v>
      </c>
      <c r="M157" s="30">
        <f t="shared" si="11"/>
        <v>2090</v>
      </c>
      <c r="Q157" s="20">
        <f t="shared" si="12"/>
        <v>0</v>
      </c>
    </row>
    <row r="158" spans="2:18" ht="12.95" customHeight="1" x14ac:dyDescent="0.2">
      <c r="B158" s="22">
        <v>44351</v>
      </c>
      <c r="C158" s="41">
        <v>16228335</v>
      </c>
      <c r="D158" s="24">
        <v>4838625</v>
      </c>
      <c r="E158" s="25">
        <v>299120</v>
      </c>
      <c r="F158" s="26">
        <v>596160</v>
      </c>
      <c r="G158" s="27">
        <v>246891</v>
      </c>
      <c r="H158" s="28">
        <f t="shared" si="10"/>
        <v>0</v>
      </c>
      <c r="I158" s="28">
        <f t="shared" si="10"/>
        <v>1540</v>
      </c>
      <c r="J158" s="28">
        <f t="shared" si="10"/>
        <v>138</v>
      </c>
      <c r="K158" s="28">
        <f t="shared" si="10"/>
        <v>165</v>
      </c>
      <c r="L158" s="29">
        <f t="shared" si="14"/>
        <v>218</v>
      </c>
      <c r="M158" s="30">
        <f t="shared" si="11"/>
        <v>1843</v>
      </c>
      <c r="Q158" s="20">
        <f t="shared" si="12"/>
        <v>0</v>
      </c>
    </row>
    <row r="159" spans="2:18" ht="12.95" customHeight="1" x14ac:dyDescent="0.2">
      <c r="B159" s="22">
        <v>44352</v>
      </c>
      <c r="C159" s="41">
        <v>16228335</v>
      </c>
      <c r="D159" s="24">
        <v>4839958</v>
      </c>
      <c r="E159" s="25">
        <v>299264</v>
      </c>
      <c r="F159" s="26">
        <v>596347</v>
      </c>
      <c r="G159" s="27">
        <v>247018</v>
      </c>
      <c r="H159" s="28">
        <f t="shared" si="10"/>
        <v>0</v>
      </c>
      <c r="I159" s="28">
        <f t="shared" si="10"/>
        <v>1333</v>
      </c>
      <c r="J159" s="28">
        <f t="shared" si="10"/>
        <v>144</v>
      </c>
      <c r="K159" s="28">
        <f t="shared" si="10"/>
        <v>187</v>
      </c>
      <c r="L159" s="29">
        <f t="shared" si="14"/>
        <v>127</v>
      </c>
      <c r="M159" s="30">
        <f t="shared" si="11"/>
        <v>1664</v>
      </c>
      <c r="Q159" s="20">
        <f t="shared" si="12"/>
        <v>0</v>
      </c>
    </row>
    <row r="160" spans="2:18" ht="12.95" customHeight="1" x14ac:dyDescent="0.2">
      <c r="B160" s="22">
        <v>44353</v>
      </c>
      <c r="C160" s="41">
        <v>16228335</v>
      </c>
      <c r="D160" s="24">
        <v>4841116</v>
      </c>
      <c r="E160" s="25">
        <v>299399</v>
      </c>
      <c r="F160" s="26">
        <v>596535</v>
      </c>
      <c r="G160" s="27">
        <v>247172</v>
      </c>
      <c r="H160" s="28">
        <f t="shared" si="10"/>
        <v>0</v>
      </c>
      <c r="I160" s="28">
        <f t="shared" si="10"/>
        <v>1158</v>
      </c>
      <c r="J160" s="28">
        <f t="shared" si="10"/>
        <v>135</v>
      </c>
      <c r="K160" s="28">
        <f t="shared" si="10"/>
        <v>188</v>
      </c>
      <c r="L160" s="29">
        <f t="shared" si="14"/>
        <v>154</v>
      </c>
      <c r="M160" s="30">
        <f t="shared" si="11"/>
        <v>1481</v>
      </c>
      <c r="Q160" s="20">
        <f t="shared" si="12"/>
        <v>0</v>
      </c>
      <c r="R160" s="43"/>
    </row>
    <row r="161" spans="2:20" ht="12.95" customHeight="1" x14ac:dyDescent="0.2">
      <c r="B161" s="22">
        <v>44354</v>
      </c>
      <c r="C161" s="41">
        <v>16228335</v>
      </c>
      <c r="D161" s="24">
        <v>4842357</v>
      </c>
      <c r="E161" s="25">
        <v>299553</v>
      </c>
      <c r="F161" s="26">
        <v>596718</v>
      </c>
      <c r="G161" s="27">
        <v>247334</v>
      </c>
      <c r="H161" s="28">
        <f t="shared" si="10"/>
        <v>0</v>
      </c>
      <c r="I161" s="28">
        <f t="shared" si="10"/>
        <v>1241</v>
      </c>
      <c r="J161" s="28">
        <f t="shared" si="10"/>
        <v>154</v>
      </c>
      <c r="K161" s="28">
        <f t="shared" si="10"/>
        <v>183</v>
      </c>
      <c r="L161" s="29">
        <f t="shared" si="14"/>
        <v>162</v>
      </c>
      <c r="M161" s="30">
        <f t="shared" si="11"/>
        <v>1578</v>
      </c>
      <c r="Q161" s="20">
        <f t="shared" si="12"/>
        <v>0</v>
      </c>
      <c r="R161" s="43"/>
      <c r="S161" s="44"/>
      <c r="T161" s="44"/>
    </row>
    <row r="162" spans="2:20" ht="12.95" customHeight="1" x14ac:dyDescent="0.2">
      <c r="B162" s="22">
        <v>44355</v>
      </c>
      <c r="C162" s="41">
        <v>16228335</v>
      </c>
      <c r="D162" s="24">
        <v>4843037</v>
      </c>
      <c r="E162" s="25">
        <v>299705</v>
      </c>
      <c r="F162" s="26">
        <v>596882</v>
      </c>
      <c r="G162" s="27">
        <v>247519</v>
      </c>
      <c r="H162" s="28">
        <f t="shared" si="10"/>
        <v>0</v>
      </c>
      <c r="I162" s="28">
        <f t="shared" si="10"/>
        <v>680</v>
      </c>
      <c r="J162" s="28">
        <f t="shared" si="10"/>
        <v>152</v>
      </c>
      <c r="K162" s="28">
        <f t="shared" si="10"/>
        <v>164</v>
      </c>
      <c r="L162" s="29">
        <f t="shared" si="14"/>
        <v>185</v>
      </c>
      <c r="M162" s="30">
        <f t="shared" si="11"/>
        <v>996</v>
      </c>
      <c r="Q162" s="20">
        <f t="shared" si="12"/>
        <v>0</v>
      </c>
      <c r="R162" s="43"/>
      <c r="S162" s="44"/>
      <c r="T162" s="44"/>
    </row>
    <row r="163" spans="2:20" ht="12.95" customHeight="1" x14ac:dyDescent="0.2">
      <c r="B163" s="22">
        <v>44356</v>
      </c>
      <c r="C163" s="41">
        <v>16228335</v>
      </c>
      <c r="D163" s="24">
        <v>4844301</v>
      </c>
      <c r="E163" s="25">
        <v>299872</v>
      </c>
      <c r="F163" s="26">
        <v>597062</v>
      </c>
      <c r="G163" s="27">
        <v>247748</v>
      </c>
      <c r="H163" s="28">
        <f t="shared" si="10"/>
        <v>0</v>
      </c>
      <c r="I163" s="28">
        <f t="shared" si="10"/>
        <v>1264</v>
      </c>
      <c r="J163" s="28">
        <f t="shared" si="10"/>
        <v>167</v>
      </c>
      <c r="K163" s="28">
        <f t="shared" si="10"/>
        <v>180</v>
      </c>
      <c r="L163" s="29">
        <f t="shared" si="14"/>
        <v>229</v>
      </c>
      <c r="M163" s="30">
        <f t="shared" si="11"/>
        <v>1611</v>
      </c>
      <c r="Q163" s="20">
        <f t="shared" si="12"/>
        <v>0</v>
      </c>
      <c r="R163" s="43"/>
      <c r="S163" s="44"/>
      <c r="T163" s="44"/>
    </row>
    <row r="164" spans="2:20" ht="12.95" customHeight="1" x14ac:dyDescent="0.2">
      <c r="B164" s="22">
        <v>44357</v>
      </c>
      <c r="C164" s="41">
        <v>16228335</v>
      </c>
      <c r="D164" s="24">
        <v>4845765</v>
      </c>
      <c r="E164" s="25">
        <v>300032</v>
      </c>
      <c r="F164" s="26">
        <v>597236</v>
      </c>
      <c r="G164" s="27">
        <v>248023</v>
      </c>
      <c r="H164" s="28">
        <f t="shared" si="10"/>
        <v>0</v>
      </c>
      <c r="I164" s="28">
        <f t="shared" si="10"/>
        <v>1464</v>
      </c>
      <c r="J164" s="28">
        <f t="shared" si="10"/>
        <v>160</v>
      </c>
      <c r="K164" s="28">
        <f t="shared" si="10"/>
        <v>174</v>
      </c>
      <c r="L164" s="29">
        <f t="shared" si="14"/>
        <v>275</v>
      </c>
      <c r="M164" s="30">
        <f t="shared" si="11"/>
        <v>1798</v>
      </c>
      <c r="Q164" s="20">
        <f t="shared" si="12"/>
        <v>0</v>
      </c>
      <c r="R164" s="43"/>
      <c r="S164" s="44"/>
      <c r="T164" s="44"/>
    </row>
    <row r="165" spans="2:20" ht="12.95" customHeight="1" x14ac:dyDescent="0.2">
      <c r="B165" s="22">
        <v>44358</v>
      </c>
      <c r="C165" s="41">
        <v>16228335</v>
      </c>
      <c r="D165" s="24">
        <v>4847195</v>
      </c>
      <c r="E165" s="25">
        <v>300202</v>
      </c>
      <c r="F165" s="26">
        <v>597429</v>
      </c>
      <c r="G165" s="27">
        <v>248259</v>
      </c>
      <c r="H165" s="28">
        <f t="shared" si="10"/>
        <v>0</v>
      </c>
      <c r="I165" s="28">
        <f t="shared" si="10"/>
        <v>1430</v>
      </c>
      <c r="J165" s="28">
        <f t="shared" si="10"/>
        <v>170</v>
      </c>
      <c r="K165" s="28">
        <f t="shared" si="10"/>
        <v>193</v>
      </c>
      <c r="L165" s="29">
        <f t="shared" si="14"/>
        <v>236</v>
      </c>
      <c r="M165" s="30">
        <f t="shared" si="11"/>
        <v>1793</v>
      </c>
      <c r="Q165" s="20">
        <f t="shared" si="12"/>
        <v>0</v>
      </c>
      <c r="R165" s="43"/>
      <c r="S165" s="44"/>
      <c r="T165" s="44"/>
    </row>
    <row r="166" spans="2:20" ht="12.95" customHeight="1" x14ac:dyDescent="0.2">
      <c r="B166" s="22">
        <v>44359</v>
      </c>
      <c r="C166" s="41">
        <v>16228335</v>
      </c>
      <c r="D166" s="24">
        <v>4849005</v>
      </c>
      <c r="E166" s="25">
        <v>300383</v>
      </c>
      <c r="F166" s="26">
        <v>597628</v>
      </c>
      <c r="G166" s="27">
        <v>248474</v>
      </c>
      <c r="H166" s="28">
        <f t="shared" si="10"/>
        <v>0</v>
      </c>
      <c r="I166" s="28">
        <f t="shared" si="10"/>
        <v>1810</v>
      </c>
      <c r="J166" s="28">
        <f t="shared" si="10"/>
        <v>181</v>
      </c>
      <c r="K166" s="28">
        <f t="shared" si="10"/>
        <v>199</v>
      </c>
      <c r="L166" s="29">
        <f t="shared" si="14"/>
        <v>215</v>
      </c>
      <c r="M166" s="30">
        <f t="shared" si="11"/>
        <v>2190</v>
      </c>
      <c r="Q166" s="20">
        <f t="shared" si="12"/>
        <v>0</v>
      </c>
    </row>
    <row r="167" spans="2:20" ht="12.95" customHeight="1" x14ac:dyDescent="0.2">
      <c r="B167" s="22">
        <v>44360</v>
      </c>
      <c r="C167" s="41">
        <v>16228335</v>
      </c>
      <c r="D167" s="24">
        <v>4850612</v>
      </c>
      <c r="E167" s="25">
        <v>300568</v>
      </c>
      <c r="F167" s="26">
        <v>597831</v>
      </c>
      <c r="G167" s="27">
        <v>248683</v>
      </c>
      <c r="H167" s="28">
        <f t="shared" si="10"/>
        <v>0</v>
      </c>
      <c r="I167" s="28">
        <f t="shared" si="10"/>
        <v>1607</v>
      </c>
      <c r="J167" s="28">
        <f t="shared" si="10"/>
        <v>185</v>
      </c>
      <c r="K167" s="28">
        <f t="shared" si="10"/>
        <v>203</v>
      </c>
      <c r="L167" s="29">
        <f t="shared" si="14"/>
        <v>209</v>
      </c>
      <c r="M167" s="30">
        <f t="shared" si="11"/>
        <v>1995</v>
      </c>
      <c r="Q167" s="20">
        <f t="shared" si="12"/>
        <v>0</v>
      </c>
    </row>
    <row r="168" spans="2:20" ht="12.95" customHeight="1" x14ac:dyDescent="0.2">
      <c r="B168" s="22">
        <v>44361</v>
      </c>
      <c r="C168" s="41">
        <v>16228335</v>
      </c>
      <c r="D168" s="24">
        <v>4852254</v>
      </c>
      <c r="E168" s="25">
        <v>300738</v>
      </c>
      <c r="F168" s="26">
        <v>598005</v>
      </c>
      <c r="G168" s="27">
        <v>248868</v>
      </c>
      <c r="H168" s="28">
        <f t="shared" si="10"/>
        <v>0</v>
      </c>
      <c r="I168" s="28">
        <f t="shared" si="10"/>
        <v>1642</v>
      </c>
      <c r="J168" s="28">
        <f t="shared" si="10"/>
        <v>170</v>
      </c>
      <c r="K168" s="28">
        <f t="shared" si="10"/>
        <v>174</v>
      </c>
      <c r="L168" s="29">
        <f t="shared" si="14"/>
        <v>185</v>
      </c>
      <c r="M168" s="30">
        <f t="shared" si="11"/>
        <v>1986</v>
      </c>
      <c r="Q168" s="20">
        <f t="shared" si="12"/>
        <v>0</v>
      </c>
    </row>
    <row r="169" spans="2:20" ht="12.95" customHeight="1" x14ac:dyDescent="0.2">
      <c r="B169" s="22">
        <v>44362</v>
      </c>
      <c r="C169" s="41">
        <v>16228335</v>
      </c>
      <c r="D169" s="24">
        <v>4853992</v>
      </c>
      <c r="E169" s="25">
        <v>300948</v>
      </c>
      <c r="F169" s="26">
        <v>598184</v>
      </c>
      <c r="G169" s="27">
        <v>249024</v>
      </c>
      <c r="H169" s="28">
        <f t="shared" si="10"/>
        <v>0</v>
      </c>
      <c r="I169" s="28">
        <f t="shared" si="10"/>
        <v>1738</v>
      </c>
      <c r="J169" s="28">
        <f t="shared" si="10"/>
        <v>210</v>
      </c>
      <c r="K169" s="28">
        <f t="shared" si="10"/>
        <v>179</v>
      </c>
      <c r="L169" s="29">
        <f t="shared" si="14"/>
        <v>156</v>
      </c>
      <c r="M169" s="30">
        <f t="shared" si="11"/>
        <v>2127</v>
      </c>
      <c r="Q169" s="20">
        <f t="shared" si="12"/>
        <v>0</v>
      </c>
    </row>
    <row r="170" spans="2:20" ht="12.95" customHeight="1" x14ac:dyDescent="0.2">
      <c r="B170" s="22">
        <v>44363</v>
      </c>
      <c r="C170" s="41">
        <v>16228335</v>
      </c>
      <c r="D170" s="24">
        <v>4855222</v>
      </c>
      <c r="E170" s="25">
        <v>301113</v>
      </c>
      <c r="F170" s="26">
        <v>598341</v>
      </c>
      <c r="G170" s="27">
        <v>249168</v>
      </c>
      <c r="H170" s="28">
        <f t="shared" si="10"/>
        <v>0</v>
      </c>
      <c r="I170" s="28">
        <f t="shared" si="10"/>
        <v>1230</v>
      </c>
      <c r="J170" s="28">
        <f t="shared" si="10"/>
        <v>165</v>
      </c>
      <c r="K170" s="28">
        <f t="shared" si="10"/>
        <v>157</v>
      </c>
      <c r="L170" s="29">
        <f t="shared" si="14"/>
        <v>144</v>
      </c>
      <c r="M170" s="30">
        <f t="shared" si="11"/>
        <v>1552</v>
      </c>
      <c r="Q170" s="20">
        <f t="shared" si="12"/>
        <v>0</v>
      </c>
    </row>
    <row r="171" spans="2:20" ht="12.95" customHeight="1" x14ac:dyDescent="0.2">
      <c r="B171" s="22">
        <v>44364</v>
      </c>
      <c r="C171" s="41">
        <v>16228335</v>
      </c>
      <c r="D171" s="24">
        <v>4856415</v>
      </c>
      <c r="E171" s="25">
        <v>301313</v>
      </c>
      <c r="F171" s="26">
        <v>598504</v>
      </c>
      <c r="G171" s="27">
        <v>249352</v>
      </c>
      <c r="H171" s="28">
        <f t="shared" si="10"/>
        <v>0</v>
      </c>
      <c r="I171" s="28">
        <f t="shared" si="10"/>
        <v>1193</v>
      </c>
      <c r="J171" s="28">
        <f t="shared" si="10"/>
        <v>200</v>
      </c>
      <c r="K171" s="28">
        <f t="shared" si="10"/>
        <v>163</v>
      </c>
      <c r="L171" s="29">
        <f t="shared" si="14"/>
        <v>184</v>
      </c>
      <c r="M171" s="30">
        <f t="shared" si="11"/>
        <v>1556</v>
      </c>
      <c r="Q171" s="20">
        <f t="shared" si="12"/>
        <v>0</v>
      </c>
    </row>
    <row r="172" spans="2:20" ht="12.95" customHeight="1" x14ac:dyDescent="0.2">
      <c r="B172" s="22">
        <v>44365</v>
      </c>
      <c r="C172" s="41">
        <v>16228335</v>
      </c>
      <c r="D172" s="24">
        <v>4857893</v>
      </c>
      <c r="E172" s="25">
        <v>301499</v>
      </c>
      <c r="F172" s="26">
        <v>598681</v>
      </c>
      <c r="G172" s="27">
        <v>249500</v>
      </c>
      <c r="H172" s="28">
        <f t="shared" si="10"/>
        <v>0</v>
      </c>
      <c r="I172" s="28">
        <f t="shared" si="10"/>
        <v>1478</v>
      </c>
      <c r="J172" s="28">
        <f t="shared" si="10"/>
        <v>186</v>
      </c>
      <c r="K172" s="28">
        <f t="shared" si="10"/>
        <v>177</v>
      </c>
      <c r="L172" s="29">
        <f t="shared" si="14"/>
        <v>148</v>
      </c>
      <c r="M172" s="30">
        <f t="shared" si="11"/>
        <v>1841</v>
      </c>
      <c r="Q172" s="20">
        <f t="shared" si="12"/>
        <v>0</v>
      </c>
    </row>
    <row r="173" spans="2:20" ht="12.95" customHeight="1" x14ac:dyDescent="0.2">
      <c r="B173" s="22">
        <v>44366</v>
      </c>
      <c r="C173" s="41">
        <v>16228335</v>
      </c>
      <c r="D173" s="24">
        <v>4859218</v>
      </c>
      <c r="E173" s="25">
        <v>301709</v>
      </c>
      <c r="F173" s="26">
        <v>598852</v>
      </c>
      <c r="G173" s="27">
        <v>249670</v>
      </c>
      <c r="H173" s="28">
        <f t="shared" si="10"/>
        <v>0</v>
      </c>
      <c r="I173" s="28">
        <f t="shared" si="10"/>
        <v>1325</v>
      </c>
      <c r="J173" s="28">
        <f t="shared" si="10"/>
        <v>210</v>
      </c>
      <c r="K173" s="28">
        <f t="shared" si="10"/>
        <v>171</v>
      </c>
      <c r="L173" s="29">
        <f t="shared" si="14"/>
        <v>170</v>
      </c>
      <c r="M173" s="30">
        <f t="shared" si="11"/>
        <v>1706</v>
      </c>
      <c r="Q173" s="20">
        <f t="shared" si="12"/>
        <v>0</v>
      </c>
    </row>
    <row r="174" spans="2:20" ht="12.95" customHeight="1" thickBot="1" x14ac:dyDescent="0.25">
      <c r="B174" s="22">
        <v>44367</v>
      </c>
      <c r="C174" s="41">
        <v>16228335</v>
      </c>
      <c r="D174" s="24">
        <v>4861200</v>
      </c>
      <c r="E174" s="25">
        <v>301898</v>
      </c>
      <c r="F174" s="26">
        <v>599042</v>
      </c>
      <c r="G174" s="27">
        <v>249840</v>
      </c>
      <c r="H174" s="28">
        <f t="shared" si="10"/>
        <v>0</v>
      </c>
      <c r="I174" s="28">
        <f t="shared" si="10"/>
        <v>1982</v>
      </c>
      <c r="J174" s="28">
        <f t="shared" si="10"/>
        <v>189</v>
      </c>
      <c r="K174" s="28">
        <f t="shared" si="10"/>
        <v>190</v>
      </c>
      <c r="L174" s="29">
        <f t="shared" si="14"/>
        <v>170</v>
      </c>
      <c r="M174" s="30">
        <f t="shared" si="11"/>
        <v>2361</v>
      </c>
      <c r="Q174" s="20">
        <f t="shared" si="12"/>
        <v>0</v>
      </c>
    </row>
    <row r="175" spans="2:20" ht="12.95" customHeight="1" x14ac:dyDescent="0.2">
      <c r="B175" s="22">
        <v>44368</v>
      </c>
      <c r="C175" s="41">
        <v>16228335</v>
      </c>
      <c r="D175" s="24">
        <v>4862850</v>
      </c>
      <c r="E175" s="25">
        <v>302094</v>
      </c>
      <c r="F175" s="26">
        <v>599228</v>
      </c>
      <c r="G175" s="27">
        <v>250034</v>
      </c>
      <c r="H175" s="28">
        <f t="shared" si="10"/>
        <v>0</v>
      </c>
      <c r="I175" s="28">
        <f t="shared" si="10"/>
        <v>1650</v>
      </c>
      <c r="J175" s="28">
        <f t="shared" si="10"/>
        <v>196</v>
      </c>
      <c r="K175" s="28">
        <f t="shared" si="10"/>
        <v>186</v>
      </c>
      <c r="L175" s="29">
        <f t="shared" si="14"/>
        <v>194</v>
      </c>
      <c r="M175" s="30">
        <f t="shared" si="11"/>
        <v>2032</v>
      </c>
      <c r="N175" s="198" t="s">
        <v>21</v>
      </c>
      <c r="O175" s="198" t="s">
        <v>22</v>
      </c>
      <c r="Q175" s="20">
        <f t="shared" si="12"/>
        <v>0</v>
      </c>
    </row>
    <row r="176" spans="2:20" ht="12.95" customHeight="1" x14ac:dyDescent="0.2">
      <c r="B176" s="22">
        <v>44369</v>
      </c>
      <c r="C176" s="41">
        <v>16228335</v>
      </c>
      <c r="D176" s="24">
        <v>4864080</v>
      </c>
      <c r="E176" s="25">
        <v>302312</v>
      </c>
      <c r="F176" s="26">
        <v>599417</v>
      </c>
      <c r="G176" s="27">
        <v>250247</v>
      </c>
      <c r="H176" s="28">
        <f t="shared" si="10"/>
        <v>0</v>
      </c>
      <c r="I176" s="28">
        <f t="shared" si="10"/>
        <v>1230</v>
      </c>
      <c r="J176" s="28">
        <f t="shared" si="10"/>
        <v>218</v>
      </c>
      <c r="K176" s="28">
        <f t="shared" si="10"/>
        <v>189</v>
      </c>
      <c r="L176" s="29">
        <f t="shared" si="14"/>
        <v>213</v>
      </c>
      <c r="M176" s="30">
        <f t="shared" si="11"/>
        <v>1637</v>
      </c>
      <c r="N176" s="199"/>
      <c r="O176" s="199"/>
      <c r="Q176" s="20">
        <f t="shared" si="12"/>
        <v>0</v>
      </c>
    </row>
    <row r="177" spans="2:17" ht="12.95" customHeight="1" thickBot="1" x14ac:dyDescent="0.25">
      <c r="B177" s="22">
        <v>44370</v>
      </c>
      <c r="C177" s="41">
        <v>16228335</v>
      </c>
      <c r="D177" s="24">
        <v>4844610</v>
      </c>
      <c r="E177" s="25">
        <v>302525</v>
      </c>
      <c r="F177" s="26">
        <v>599615</v>
      </c>
      <c r="G177" s="27">
        <v>250475</v>
      </c>
      <c r="H177" s="28">
        <f t="shared" si="10"/>
        <v>0</v>
      </c>
      <c r="I177" s="28">
        <f>IF(D177="","",+(D177-D176))+20926</f>
        <v>1456</v>
      </c>
      <c r="J177" s="28">
        <f t="shared" si="10"/>
        <v>213</v>
      </c>
      <c r="K177" s="28">
        <f t="shared" si="10"/>
        <v>198</v>
      </c>
      <c r="L177" s="29">
        <f t="shared" si="14"/>
        <v>228</v>
      </c>
      <c r="M177" s="30">
        <f t="shared" si="11"/>
        <v>1867</v>
      </c>
      <c r="N177" s="200"/>
      <c r="O177" s="200"/>
      <c r="Q177" s="20">
        <f t="shared" si="12"/>
        <v>0</v>
      </c>
    </row>
    <row r="178" spans="2:17" ht="12.95" customHeight="1" thickBot="1" x14ac:dyDescent="0.25">
      <c r="B178" s="22">
        <v>44371</v>
      </c>
      <c r="C178" s="41">
        <v>16228335</v>
      </c>
      <c r="D178" s="24">
        <v>4845869</v>
      </c>
      <c r="E178" s="25">
        <v>302744</v>
      </c>
      <c r="F178" s="26">
        <v>599812</v>
      </c>
      <c r="G178" s="27">
        <v>250684</v>
      </c>
      <c r="H178" s="28">
        <f t="shared" si="10"/>
        <v>0</v>
      </c>
      <c r="I178" s="28">
        <f t="shared" si="10"/>
        <v>1259</v>
      </c>
      <c r="J178" s="28">
        <f t="shared" si="10"/>
        <v>219</v>
      </c>
      <c r="K178" s="28">
        <f t="shared" si="10"/>
        <v>197</v>
      </c>
      <c r="L178" s="29">
        <f t="shared" si="14"/>
        <v>209</v>
      </c>
      <c r="M178" s="30">
        <f t="shared" si="11"/>
        <v>1675</v>
      </c>
      <c r="N178" s="32">
        <f>SUM(L156:L185)</f>
        <v>6037</v>
      </c>
      <c r="O178" s="32">
        <f>SUM(M156:M185)</f>
        <v>51145</v>
      </c>
      <c r="Q178" s="20">
        <f t="shared" si="12"/>
        <v>0</v>
      </c>
    </row>
    <row r="179" spans="2:17" ht="12.95" customHeight="1" x14ac:dyDescent="0.2">
      <c r="B179" s="22">
        <v>44372</v>
      </c>
      <c r="C179" s="41">
        <v>16228335</v>
      </c>
      <c r="D179" s="24">
        <v>4846844</v>
      </c>
      <c r="E179" s="25">
        <v>302999</v>
      </c>
      <c r="F179" s="26">
        <v>600000</v>
      </c>
      <c r="G179" s="27">
        <v>250888</v>
      </c>
      <c r="H179" s="28">
        <f t="shared" si="10"/>
        <v>0</v>
      </c>
      <c r="I179" s="28">
        <f t="shared" si="10"/>
        <v>975</v>
      </c>
      <c r="J179" s="28">
        <f t="shared" si="10"/>
        <v>255</v>
      </c>
      <c r="K179" s="28">
        <f t="shared" si="10"/>
        <v>188</v>
      </c>
      <c r="L179" s="29">
        <f t="shared" si="14"/>
        <v>204</v>
      </c>
      <c r="M179" s="30">
        <f t="shared" si="11"/>
        <v>1418</v>
      </c>
      <c r="N179" s="198" t="s">
        <v>23</v>
      </c>
      <c r="O179" s="198" t="s">
        <v>24</v>
      </c>
      <c r="Q179" s="20">
        <f t="shared" si="12"/>
        <v>0</v>
      </c>
    </row>
    <row r="180" spans="2:17" ht="13.5" thickBot="1" x14ac:dyDescent="0.25">
      <c r="B180" s="22">
        <v>44373</v>
      </c>
      <c r="C180" s="41">
        <v>16228335</v>
      </c>
      <c r="D180" s="24">
        <v>4847859</v>
      </c>
      <c r="E180" s="25">
        <v>303257</v>
      </c>
      <c r="F180" s="26">
        <v>600250</v>
      </c>
      <c r="G180" s="27">
        <v>251105</v>
      </c>
      <c r="H180" s="28">
        <f t="shared" si="10"/>
        <v>0</v>
      </c>
      <c r="I180" s="28">
        <f t="shared" si="10"/>
        <v>1015</v>
      </c>
      <c r="J180" s="28">
        <f t="shared" si="10"/>
        <v>258</v>
      </c>
      <c r="K180" s="28">
        <f t="shared" si="10"/>
        <v>250</v>
      </c>
      <c r="L180" s="29">
        <f t="shared" si="14"/>
        <v>217</v>
      </c>
      <c r="M180" s="30">
        <f t="shared" si="11"/>
        <v>1523</v>
      </c>
      <c r="N180" s="200"/>
      <c r="O180" s="200"/>
      <c r="Q180" s="20">
        <f t="shared" si="12"/>
        <v>0</v>
      </c>
    </row>
    <row r="181" spans="2:17" ht="12.95" customHeight="1" thickBot="1" x14ac:dyDescent="0.25">
      <c r="B181" s="22">
        <v>44374</v>
      </c>
      <c r="C181" s="41">
        <v>16228335</v>
      </c>
      <c r="D181" s="24">
        <v>4848859</v>
      </c>
      <c r="E181" s="25">
        <v>303473</v>
      </c>
      <c r="F181" s="26">
        <v>600460</v>
      </c>
      <c r="G181" s="27">
        <v>251347</v>
      </c>
      <c r="H181" s="28">
        <f t="shared" si="10"/>
        <v>0</v>
      </c>
      <c r="I181" s="28">
        <f t="shared" si="10"/>
        <v>1000</v>
      </c>
      <c r="J181" s="28">
        <f t="shared" si="10"/>
        <v>216</v>
      </c>
      <c r="K181" s="28">
        <f t="shared" si="10"/>
        <v>210</v>
      </c>
      <c r="L181" s="29">
        <f t="shared" si="14"/>
        <v>242</v>
      </c>
      <c r="M181" s="30">
        <f t="shared" si="11"/>
        <v>1426</v>
      </c>
      <c r="N181" s="32">
        <f>AVERAGE(L156:L185)</f>
        <v>201.23333333333332</v>
      </c>
      <c r="O181" s="32">
        <f>AVERAGE(M156:M185)</f>
        <v>1704.8333333333333</v>
      </c>
      <c r="Q181" s="20">
        <f t="shared" si="12"/>
        <v>0</v>
      </c>
    </row>
    <row r="182" spans="2:17" ht="12.95" customHeight="1" x14ac:dyDescent="0.2">
      <c r="B182" s="22">
        <v>44375</v>
      </c>
      <c r="C182" s="41">
        <v>16228335</v>
      </c>
      <c r="D182" s="24">
        <v>4849720</v>
      </c>
      <c r="E182" s="25">
        <v>303692</v>
      </c>
      <c r="F182" s="26">
        <v>600663</v>
      </c>
      <c r="G182" s="27">
        <v>251582</v>
      </c>
      <c r="H182" s="28">
        <f t="shared" si="10"/>
        <v>0</v>
      </c>
      <c r="I182" s="28">
        <f t="shared" si="10"/>
        <v>861</v>
      </c>
      <c r="J182" s="28">
        <f t="shared" si="10"/>
        <v>219</v>
      </c>
      <c r="K182" s="28">
        <f t="shared" si="10"/>
        <v>203</v>
      </c>
      <c r="L182" s="29">
        <f t="shared" si="14"/>
        <v>235</v>
      </c>
      <c r="M182" s="30">
        <f t="shared" si="11"/>
        <v>1283</v>
      </c>
      <c r="O182" s="20">
        <f>IF(L182="",1,0)</f>
        <v>0</v>
      </c>
    </row>
    <row r="183" spans="2:17" ht="12.95" customHeight="1" x14ac:dyDescent="0.2">
      <c r="B183" s="22">
        <v>44376</v>
      </c>
      <c r="C183" s="41">
        <v>16228335</v>
      </c>
      <c r="D183" s="24">
        <v>4850747</v>
      </c>
      <c r="E183" s="25">
        <v>303917</v>
      </c>
      <c r="F183" s="26">
        <v>600872</v>
      </c>
      <c r="G183" s="27">
        <v>251842</v>
      </c>
      <c r="H183" s="28">
        <f t="shared" si="10"/>
        <v>0</v>
      </c>
      <c r="I183" s="28">
        <f t="shared" si="10"/>
        <v>1027</v>
      </c>
      <c r="J183" s="28">
        <f t="shared" si="10"/>
        <v>225</v>
      </c>
      <c r="K183" s="28">
        <f t="shared" si="10"/>
        <v>209</v>
      </c>
      <c r="L183" s="29">
        <f t="shared" si="14"/>
        <v>260</v>
      </c>
      <c r="M183" s="30">
        <f t="shared" si="11"/>
        <v>1461</v>
      </c>
      <c r="O183" s="20">
        <f>IF(L183="",1,0)</f>
        <v>0</v>
      </c>
    </row>
    <row r="184" spans="2:17" ht="12.95" customHeight="1" x14ac:dyDescent="0.2">
      <c r="B184" s="22">
        <v>44377</v>
      </c>
      <c r="C184" s="41">
        <v>16228335</v>
      </c>
      <c r="D184" s="24">
        <v>4851683</v>
      </c>
      <c r="E184" s="25">
        <v>304148</v>
      </c>
      <c r="F184" s="26">
        <v>601081</v>
      </c>
      <c r="G184" s="27">
        <v>252078</v>
      </c>
      <c r="H184" s="28">
        <f t="shared" si="10"/>
        <v>0</v>
      </c>
      <c r="I184" s="28">
        <f t="shared" si="10"/>
        <v>936</v>
      </c>
      <c r="J184" s="28">
        <f t="shared" si="10"/>
        <v>231</v>
      </c>
      <c r="K184" s="28">
        <f t="shared" si="10"/>
        <v>209</v>
      </c>
      <c r="L184" s="29">
        <f t="shared" si="14"/>
        <v>236</v>
      </c>
      <c r="M184" s="30">
        <f>IF(H184="","",+(H184+I184+J184+K184))</f>
        <v>1376</v>
      </c>
      <c r="O184" s="20">
        <f>IF(L184="",1,0)</f>
        <v>0</v>
      </c>
      <c r="P184" s="40"/>
    </row>
    <row r="185" spans="2:17" ht="12.95" customHeight="1" x14ac:dyDescent="0.2">
      <c r="B185" s="22">
        <v>44378</v>
      </c>
      <c r="C185" s="41">
        <v>16228335</v>
      </c>
      <c r="D185" s="34">
        <v>4852604</v>
      </c>
      <c r="E185" s="34">
        <v>304410</v>
      </c>
      <c r="F185" s="34">
        <v>601283</v>
      </c>
      <c r="G185" s="34">
        <v>252380</v>
      </c>
      <c r="H185" s="35">
        <f t="shared" si="10"/>
        <v>0</v>
      </c>
      <c r="I185" s="35">
        <f t="shared" si="10"/>
        <v>921</v>
      </c>
      <c r="J185" s="35">
        <f t="shared" si="10"/>
        <v>262</v>
      </c>
      <c r="K185" s="35">
        <f t="shared" si="10"/>
        <v>202</v>
      </c>
      <c r="L185" s="29">
        <f t="shared" si="14"/>
        <v>302</v>
      </c>
      <c r="M185" s="196">
        <f t="shared" si="11"/>
        <v>1385</v>
      </c>
      <c r="Q185" s="20">
        <f t="shared" si="12"/>
        <v>0</v>
      </c>
    </row>
    <row r="186" spans="2:17" ht="12.95" customHeight="1" x14ac:dyDescent="0.2">
      <c r="B186" s="22">
        <v>44379</v>
      </c>
      <c r="C186" s="41">
        <v>16228335</v>
      </c>
      <c r="D186" s="24">
        <v>4853510</v>
      </c>
      <c r="E186" s="25">
        <v>304648</v>
      </c>
      <c r="F186" s="26">
        <v>601497</v>
      </c>
      <c r="G186" s="27">
        <v>252652</v>
      </c>
      <c r="H186" s="28">
        <f t="shared" ref="H186:K201" si="15">IF(C186="","",+(C186-C185))</f>
        <v>0</v>
      </c>
      <c r="I186" s="28">
        <f t="shared" si="15"/>
        <v>906</v>
      </c>
      <c r="J186" s="28">
        <f t="shared" si="15"/>
        <v>238</v>
      </c>
      <c r="K186" s="28">
        <f t="shared" si="15"/>
        <v>214</v>
      </c>
      <c r="L186" s="29">
        <f t="shared" si="14"/>
        <v>272</v>
      </c>
      <c r="M186" s="30">
        <f t="shared" si="11"/>
        <v>1358</v>
      </c>
      <c r="Q186" s="20">
        <f t="shared" si="12"/>
        <v>0</v>
      </c>
    </row>
    <row r="187" spans="2:17" ht="12.95" customHeight="1" x14ac:dyDescent="0.2">
      <c r="B187" s="22">
        <v>44380</v>
      </c>
      <c r="C187" s="41">
        <v>16228335</v>
      </c>
      <c r="D187" s="24">
        <v>4854370</v>
      </c>
      <c r="E187" s="25">
        <v>304924</v>
      </c>
      <c r="F187" s="26">
        <v>601719</v>
      </c>
      <c r="G187" s="27">
        <v>252909</v>
      </c>
      <c r="H187" s="28">
        <f t="shared" si="15"/>
        <v>0</v>
      </c>
      <c r="I187" s="28">
        <f t="shared" si="15"/>
        <v>860</v>
      </c>
      <c r="J187" s="28">
        <f t="shared" si="15"/>
        <v>276</v>
      </c>
      <c r="K187" s="28">
        <f t="shared" si="15"/>
        <v>222</v>
      </c>
      <c r="L187" s="29">
        <f t="shared" si="14"/>
        <v>257</v>
      </c>
      <c r="M187" s="30">
        <f t="shared" si="11"/>
        <v>1358</v>
      </c>
      <c r="Q187" s="20">
        <f t="shared" si="12"/>
        <v>0</v>
      </c>
    </row>
    <row r="188" spans="2:17" ht="12.95" customHeight="1" x14ac:dyDescent="0.2">
      <c r="B188" s="22">
        <v>44381</v>
      </c>
      <c r="C188" s="41">
        <v>16228335</v>
      </c>
      <c r="D188" s="24">
        <v>4855352</v>
      </c>
      <c r="E188" s="25">
        <v>305191</v>
      </c>
      <c r="F188" s="26">
        <v>601930</v>
      </c>
      <c r="G188" s="27">
        <v>253186</v>
      </c>
      <c r="H188" s="28">
        <f t="shared" si="15"/>
        <v>0</v>
      </c>
      <c r="I188" s="28">
        <f t="shared" si="15"/>
        <v>982</v>
      </c>
      <c r="J188" s="28">
        <f t="shared" si="15"/>
        <v>267</v>
      </c>
      <c r="K188" s="28">
        <f t="shared" si="15"/>
        <v>211</v>
      </c>
      <c r="L188" s="29">
        <f t="shared" si="14"/>
        <v>277</v>
      </c>
      <c r="M188" s="30">
        <f t="shared" si="11"/>
        <v>1460</v>
      </c>
      <c r="Q188" s="20">
        <f t="shared" si="12"/>
        <v>0</v>
      </c>
    </row>
    <row r="189" spans="2:17" ht="12.95" customHeight="1" x14ac:dyDescent="0.2">
      <c r="B189" s="22">
        <v>44382</v>
      </c>
      <c r="C189" s="41">
        <v>16228335</v>
      </c>
      <c r="D189" s="24">
        <v>4856384</v>
      </c>
      <c r="E189" s="25">
        <v>305411</v>
      </c>
      <c r="F189" s="26">
        <v>602138</v>
      </c>
      <c r="G189" s="27">
        <v>253529</v>
      </c>
      <c r="H189" s="28">
        <f t="shared" si="15"/>
        <v>0</v>
      </c>
      <c r="I189" s="28">
        <f t="shared" si="15"/>
        <v>1032</v>
      </c>
      <c r="J189" s="28">
        <f t="shared" si="15"/>
        <v>220</v>
      </c>
      <c r="K189" s="28">
        <f t="shared" si="15"/>
        <v>208</v>
      </c>
      <c r="L189" s="29">
        <f t="shared" si="14"/>
        <v>343</v>
      </c>
      <c r="M189" s="30">
        <f t="shared" si="11"/>
        <v>1460</v>
      </c>
      <c r="Q189" s="20">
        <f t="shared" si="12"/>
        <v>0</v>
      </c>
    </row>
    <row r="190" spans="2:17" ht="12.95" customHeight="1" x14ac:dyDescent="0.2">
      <c r="B190" s="22">
        <v>44383</v>
      </c>
      <c r="C190" s="41">
        <v>16228335</v>
      </c>
      <c r="D190" s="24">
        <v>4857352</v>
      </c>
      <c r="E190" s="25">
        <v>305646</v>
      </c>
      <c r="F190" s="26">
        <v>602335</v>
      </c>
      <c r="G190" s="27">
        <v>253766</v>
      </c>
      <c r="H190" s="28">
        <f t="shared" si="15"/>
        <v>0</v>
      </c>
      <c r="I190" s="28">
        <f t="shared" si="15"/>
        <v>968</v>
      </c>
      <c r="J190" s="28">
        <f t="shared" si="15"/>
        <v>235</v>
      </c>
      <c r="K190" s="28">
        <f t="shared" si="15"/>
        <v>197</v>
      </c>
      <c r="L190" s="29">
        <f t="shared" si="14"/>
        <v>237</v>
      </c>
      <c r="M190" s="30">
        <f t="shared" si="11"/>
        <v>1400</v>
      </c>
      <c r="Q190" s="20">
        <f t="shared" si="12"/>
        <v>0</v>
      </c>
    </row>
    <row r="191" spans="2:17" ht="12.95" customHeight="1" x14ac:dyDescent="0.2">
      <c r="B191" s="22">
        <v>44384</v>
      </c>
      <c r="C191" s="41">
        <v>16228335</v>
      </c>
      <c r="D191" s="24">
        <v>4858219</v>
      </c>
      <c r="E191" s="25">
        <v>305905</v>
      </c>
      <c r="F191" s="26">
        <v>602524</v>
      </c>
      <c r="G191" s="27">
        <v>254007</v>
      </c>
      <c r="H191" s="28">
        <f t="shared" si="15"/>
        <v>0</v>
      </c>
      <c r="I191" s="28">
        <f t="shared" si="15"/>
        <v>867</v>
      </c>
      <c r="J191" s="28">
        <f t="shared" si="15"/>
        <v>259</v>
      </c>
      <c r="K191" s="28">
        <f t="shared" si="15"/>
        <v>189</v>
      </c>
      <c r="L191" s="29">
        <f t="shared" si="14"/>
        <v>241</v>
      </c>
      <c r="M191" s="30">
        <f t="shared" si="11"/>
        <v>1315</v>
      </c>
      <c r="Q191" s="20">
        <f t="shared" si="12"/>
        <v>0</v>
      </c>
    </row>
    <row r="192" spans="2:17" ht="12.95" customHeight="1" x14ac:dyDescent="0.2">
      <c r="B192" s="22">
        <v>44385</v>
      </c>
      <c r="C192" s="41">
        <v>16228335</v>
      </c>
      <c r="D192" s="24">
        <v>4859153</v>
      </c>
      <c r="E192" s="25">
        <v>306145</v>
      </c>
      <c r="F192" s="26">
        <v>602706</v>
      </c>
      <c r="G192" s="27">
        <v>254235</v>
      </c>
      <c r="H192" s="28">
        <f t="shared" si="15"/>
        <v>0</v>
      </c>
      <c r="I192" s="28">
        <f t="shared" si="15"/>
        <v>934</v>
      </c>
      <c r="J192" s="28">
        <f>IF(E192="","",+(E192-E191))</f>
        <v>240</v>
      </c>
      <c r="K192" s="28">
        <f t="shared" si="15"/>
        <v>182</v>
      </c>
      <c r="L192" s="29">
        <f t="shared" si="14"/>
        <v>228</v>
      </c>
      <c r="M192" s="30">
        <f t="shared" si="11"/>
        <v>1356</v>
      </c>
      <c r="Q192" s="20">
        <f t="shared" si="12"/>
        <v>0</v>
      </c>
    </row>
    <row r="193" spans="2:17" ht="12.95" customHeight="1" x14ac:dyDescent="0.2">
      <c r="B193" s="22">
        <v>44386</v>
      </c>
      <c r="C193" s="41">
        <v>16228335</v>
      </c>
      <c r="D193" s="24">
        <v>4860089</v>
      </c>
      <c r="E193" s="25">
        <v>205340</v>
      </c>
      <c r="F193" s="26">
        <v>602912</v>
      </c>
      <c r="G193" s="27">
        <v>254511</v>
      </c>
      <c r="H193" s="28">
        <f t="shared" si="15"/>
        <v>0</v>
      </c>
      <c r="I193" s="28">
        <f t="shared" si="15"/>
        <v>936</v>
      </c>
      <c r="J193" s="197">
        <f>IF(E193="","",+(E193-E192))+101072</f>
        <v>267</v>
      </c>
      <c r="K193" s="28">
        <f t="shared" si="15"/>
        <v>206</v>
      </c>
      <c r="L193" s="29">
        <f t="shared" si="14"/>
        <v>276</v>
      </c>
      <c r="M193" s="30">
        <f t="shared" si="11"/>
        <v>1409</v>
      </c>
      <c r="N193" s="9" t="s">
        <v>76</v>
      </c>
      <c r="Q193" s="20">
        <f t="shared" si="12"/>
        <v>0</v>
      </c>
    </row>
    <row r="194" spans="2:17" ht="12.95" customHeight="1" x14ac:dyDescent="0.2">
      <c r="B194" s="22">
        <v>44387</v>
      </c>
      <c r="C194" s="41">
        <v>16228335</v>
      </c>
      <c r="D194" s="24">
        <v>4861065</v>
      </c>
      <c r="E194" s="25">
        <v>205587</v>
      </c>
      <c r="F194" s="26">
        <v>603134</v>
      </c>
      <c r="G194" s="27">
        <v>254765</v>
      </c>
      <c r="H194" s="28">
        <f t="shared" si="15"/>
        <v>0</v>
      </c>
      <c r="I194" s="28">
        <f t="shared" si="15"/>
        <v>976</v>
      </c>
      <c r="J194" s="28">
        <f t="shared" si="15"/>
        <v>247</v>
      </c>
      <c r="K194" s="28">
        <f t="shared" si="15"/>
        <v>222</v>
      </c>
      <c r="L194" s="29">
        <f t="shared" si="14"/>
        <v>254</v>
      </c>
      <c r="M194" s="30">
        <f t="shared" si="11"/>
        <v>1445</v>
      </c>
      <c r="Q194" s="20">
        <f t="shared" si="12"/>
        <v>0</v>
      </c>
    </row>
    <row r="195" spans="2:17" ht="12.95" customHeight="1" x14ac:dyDescent="0.2">
      <c r="B195" s="22">
        <v>44388</v>
      </c>
      <c r="C195" s="41">
        <v>16228335</v>
      </c>
      <c r="D195" s="24">
        <v>4862016</v>
      </c>
      <c r="E195" s="25">
        <v>205855</v>
      </c>
      <c r="F195" s="26">
        <v>603367</v>
      </c>
      <c r="G195" s="27">
        <v>255121</v>
      </c>
      <c r="H195" s="28">
        <f t="shared" si="15"/>
        <v>0</v>
      </c>
      <c r="I195" s="28">
        <f t="shared" si="15"/>
        <v>951</v>
      </c>
      <c r="J195" s="28">
        <f t="shared" si="15"/>
        <v>268</v>
      </c>
      <c r="K195" s="28">
        <f t="shared" si="15"/>
        <v>233</v>
      </c>
      <c r="L195" s="29">
        <f t="shared" si="14"/>
        <v>356</v>
      </c>
      <c r="M195" s="30">
        <f t="shared" si="11"/>
        <v>1452</v>
      </c>
      <c r="Q195" s="20">
        <f t="shared" si="12"/>
        <v>0</v>
      </c>
    </row>
    <row r="196" spans="2:17" ht="12.95" customHeight="1" x14ac:dyDescent="0.2">
      <c r="B196" s="22">
        <v>44389</v>
      </c>
      <c r="C196" s="41">
        <v>16228335</v>
      </c>
      <c r="D196" s="24">
        <v>4862886</v>
      </c>
      <c r="E196" s="25">
        <v>206110</v>
      </c>
      <c r="F196" s="26">
        <v>603586</v>
      </c>
      <c r="G196" s="27">
        <v>255393</v>
      </c>
      <c r="H196" s="28">
        <f t="shared" si="15"/>
        <v>0</v>
      </c>
      <c r="I196" s="28">
        <f t="shared" si="15"/>
        <v>870</v>
      </c>
      <c r="J196" s="28">
        <f t="shared" si="15"/>
        <v>255</v>
      </c>
      <c r="K196" s="28">
        <f t="shared" si="15"/>
        <v>219</v>
      </c>
      <c r="L196" s="29">
        <f>IF(G196="","",+(G196-G195))</f>
        <v>272</v>
      </c>
      <c r="M196" s="30">
        <f t="shared" si="11"/>
        <v>1344</v>
      </c>
      <c r="Q196" s="20">
        <f t="shared" si="12"/>
        <v>0</v>
      </c>
    </row>
    <row r="197" spans="2:17" ht="12.95" customHeight="1" x14ac:dyDescent="0.2">
      <c r="B197" s="22">
        <v>44390</v>
      </c>
      <c r="C197" s="41">
        <v>16228335</v>
      </c>
      <c r="D197" s="24">
        <v>4863740</v>
      </c>
      <c r="E197" s="25">
        <v>206370</v>
      </c>
      <c r="F197" s="26">
        <v>603813</v>
      </c>
      <c r="G197" s="27">
        <v>255714</v>
      </c>
      <c r="H197" s="28">
        <f t="shared" si="15"/>
        <v>0</v>
      </c>
      <c r="I197" s="28">
        <f t="shared" si="15"/>
        <v>854</v>
      </c>
      <c r="J197" s="28">
        <f t="shared" si="15"/>
        <v>260</v>
      </c>
      <c r="K197" s="28">
        <f t="shared" si="15"/>
        <v>227</v>
      </c>
      <c r="L197" s="29">
        <f t="shared" ref="L197:L200" si="16">IF(G197="","",+(G197-G196))</f>
        <v>321</v>
      </c>
      <c r="M197" s="30">
        <f t="shared" si="11"/>
        <v>1341</v>
      </c>
      <c r="Q197" s="20">
        <f t="shared" si="12"/>
        <v>0</v>
      </c>
    </row>
    <row r="198" spans="2:17" ht="12.95" customHeight="1" x14ac:dyDescent="0.2">
      <c r="B198" s="22">
        <v>44391</v>
      </c>
      <c r="C198" s="41">
        <v>16228335</v>
      </c>
      <c r="D198" s="24">
        <v>4864583</v>
      </c>
      <c r="E198" s="25">
        <v>206619</v>
      </c>
      <c r="F198" s="26">
        <v>604024</v>
      </c>
      <c r="G198" s="27">
        <v>256014</v>
      </c>
      <c r="H198" s="28">
        <f t="shared" si="15"/>
        <v>0</v>
      </c>
      <c r="I198" s="28">
        <f t="shared" si="15"/>
        <v>843</v>
      </c>
      <c r="J198" s="28">
        <f t="shared" si="15"/>
        <v>249</v>
      </c>
      <c r="K198" s="28">
        <f t="shared" si="15"/>
        <v>211</v>
      </c>
      <c r="L198" s="29">
        <f t="shared" si="16"/>
        <v>300</v>
      </c>
      <c r="M198" s="30">
        <f t="shared" ref="M198:M261" si="17">IF(H198="","",+(H198+I198+J198+K198))</f>
        <v>1303</v>
      </c>
      <c r="Q198" s="20">
        <f t="shared" ref="Q198:Q212" si="18">IF(L198="",1,0)</f>
        <v>0</v>
      </c>
    </row>
    <row r="199" spans="2:17" ht="12.95" customHeight="1" x14ac:dyDescent="0.2">
      <c r="B199" s="22">
        <v>44392</v>
      </c>
      <c r="C199" s="41">
        <v>16228335</v>
      </c>
      <c r="D199" s="24">
        <v>4865456</v>
      </c>
      <c r="E199" s="25">
        <v>206868</v>
      </c>
      <c r="F199" s="26">
        <v>604259</v>
      </c>
      <c r="G199" s="27">
        <v>256346</v>
      </c>
      <c r="H199" s="28">
        <f t="shared" si="15"/>
        <v>0</v>
      </c>
      <c r="I199" s="28">
        <f t="shared" si="15"/>
        <v>873</v>
      </c>
      <c r="J199" s="28">
        <f t="shared" si="15"/>
        <v>249</v>
      </c>
      <c r="K199" s="28">
        <f t="shared" si="15"/>
        <v>235</v>
      </c>
      <c r="L199" s="29">
        <f t="shared" si="16"/>
        <v>332</v>
      </c>
      <c r="M199" s="30">
        <f t="shared" si="17"/>
        <v>1357</v>
      </c>
      <c r="Q199" s="20">
        <f t="shared" si="18"/>
        <v>0</v>
      </c>
    </row>
    <row r="200" spans="2:17" ht="12.95" customHeight="1" x14ac:dyDescent="0.2">
      <c r="B200" s="22">
        <v>44393</v>
      </c>
      <c r="C200" s="41">
        <v>16228335</v>
      </c>
      <c r="D200" s="24">
        <v>4866287</v>
      </c>
      <c r="E200" s="25">
        <v>207098</v>
      </c>
      <c r="F200" s="26">
        <v>604486</v>
      </c>
      <c r="G200" s="27">
        <v>256646</v>
      </c>
      <c r="H200" s="28">
        <f t="shared" si="15"/>
        <v>0</v>
      </c>
      <c r="I200" s="28">
        <f t="shared" si="15"/>
        <v>831</v>
      </c>
      <c r="J200" s="28">
        <f t="shared" si="15"/>
        <v>230</v>
      </c>
      <c r="K200" s="28">
        <f t="shared" si="15"/>
        <v>227</v>
      </c>
      <c r="L200" s="29">
        <f t="shared" si="16"/>
        <v>300</v>
      </c>
      <c r="M200" s="30">
        <f t="shared" si="17"/>
        <v>1288</v>
      </c>
      <c r="Q200" s="20">
        <f t="shared" si="18"/>
        <v>0</v>
      </c>
    </row>
    <row r="201" spans="2:17" ht="12.95" customHeight="1" x14ac:dyDescent="0.2">
      <c r="B201" s="22">
        <v>44394</v>
      </c>
      <c r="C201" s="41">
        <v>16228335</v>
      </c>
      <c r="D201" s="24">
        <v>4867102</v>
      </c>
      <c r="E201" s="25">
        <v>207341</v>
      </c>
      <c r="F201" s="26">
        <v>604697</v>
      </c>
      <c r="G201" s="27">
        <v>257021</v>
      </c>
      <c r="H201" s="28">
        <f t="shared" si="15"/>
        <v>0</v>
      </c>
      <c r="I201" s="28">
        <f t="shared" si="15"/>
        <v>815</v>
      </c>
      <c r="J201" s="28">
        <f t="shared" si="15"/>
        <v>243</v>
      </c>
      <c r="K201" s="28">
        <f t="shared" si="15"/>
        <v>211</v>
      </c>
      <c r="L201" s="29">
        <f>IF(G201="","",+(G201-G200))</f>
        <v>375</v>
      </c>
      <c r="M201" s="30">
        <f t="shared" si="17"/>
        <v>1269</v>
      </c>
      <c r="Q201" s="20">
        <f t="shared" si="18"/>
        <v>0</v>
      </c>
    </row>
    <row r="202" spans="2:17" ht="12.95" customHeight="1" x14ac:dyDescent="0.2">
      <c r="B202" s="22">
        <v>44395</v>
      </c>
      <c r="C202" s="41">
        <v>16228335</v>
      </c>
      <c r="D202" s="24">
        <v>4867948</v>
      </c>
      <c r="E202" s="25">
        <v>207536</v>
      </c>
      <c r="F202" s="26">
        <v>604930</v>
      </c>
      <c r="G202" s="27">
        <v>257263</v>
      </c>
      <c r="H202" s="28">
        <f t="shared" ref="H202:L219" si="19">IF(C202="","",+(C202-C201))</f>
        <v>0</v>
      </c>
      <c r="I202" s="28">
        <f t="shared" si="19"/>
        <v>846</v>
      </c>
      <c r="J202" s="28">
        <f t="shared" si="19"/>
        <v>195</v>
      </c>
      <c r="K202" s="28">
        <f t="shared" si="19"/>
        <v>233</v>
      </c>
      <c r="L202" s="29">
        <f t="shared" si="19"/>
        <v>242</v>
      </c>
      <c r="M202" s="30">
        <f t="shared" si="17"/>
        <v>1274</v>
      </c>
      <c r="N202" s="45"/>
      <c r="Q202" s="20">
        <f t="shared" si="18"/>
        <v>0</v>
      </c>
    </row>
    <row r="203" spans="2:17" ht="12.95" customHeight="1" x14ac:dyDescent="0.2">
      <c r="B203" s="22">
        <v>44396</v>
      </c>
      <c r="C203" s="41">
        <v>16228335</v>
      </c>
      <c r="D203" s="24">
        <v>4868738</v>
      </c>
      <c r="E203" s="25">
        <v>207726</v>
      </c>
      <c r="F203" s="26">
        <v>605137</v>
      </c>
      <c r="G203" s="27">
        <v>257513</v>
      </c>
      <c r="H203" s="28">
        <f t="shared" si="19"/>
        <v>0</v>
      </c>
      <c r="I203" s="28">
        <f t="shared" si="19"/>
        <v>790</v>
      </c>
      <c r="J203" s="28">
        <f t="shared" si="19"/>
        <v>190</v>
      </c>
      <c r="K203" s="28">
        <f t="shared" si="19"/>
        <v>207</v>
      </c>
      <c r="L203" s="29">
        <f t="shared" si="19"/>
        <v>250</v>
      </c>
      <c r="M203" s="30">
        <f t="shared" si="17"/>
        <v>1187</v>
      </c>
      <c r="Q203" s="20">
        <f t="shared" si="18"/>
        <v>0</v>
      </c>
    </row>
    <row r="204" spans="2:17" ht="12.95" customHeight="1" x14ac:dyDescent="0.2">
      <c r="B204" s="22">
        <v>44397</v>
      </c>
      <c r="C204" s="41">
        <v>16228335</v>
      </c>
      <c r="D204" s="24">
        <v>4869490</v>
      </c>
      <c r="E204" s="25">
        <v>207903</v>
      </c>
      <c r="F204" s="26">
        <v>605335</v>
      </c>
      <c r="G204" s="27">
        <v>257741</v>
      </c>
      <c r="H204" s="28">
        <f t="shared" si="19"/>
        <v>0</v>
      </c>
      <c r="I204" s="28">
        <f t="shared" si="19"/>
        <v>752</v>
      </c>
      <c r="J204" s="28">
        <f t="shared" si="19"/>
        <v>177</v>
      </c>
      <c r="K204" s="28">
        <f t="shared" si="19"/>
        <v>198</v>
      </c>
      <c r="L204" s="29">
        <f t="shared" si="19"/>
        <v>228</v>
      </c>
      <c r="M204" s="30">
        <f t="shared" si="17"/>
        <v>1127</v>
      </c>
      <c r="Q204" s="20">
        <f t="shared" si="18"/>
        <v>0</v>
      </c>
    </row>
    <row r="205" spans="2:17" ht="12.95" customHeight="1" thickBot="1" x14ac:dyDescent="0.25">
      <c r="B205" s="22">
        <v>44398</v>
      </c>
      <c r="C205" s="41">
        <v>16228335</v>
      </c>
      <c r="D205" s="24">
        <v>4870232</v>
      </c>
      <c r="E205" s="25">
        <v>208098</v>
      </c>
      <c r="F205" s="26">
        <v>605547</v>
      </c>
      <c r="G205" s="27">
        <v>257988</v>
      </c>
      <c r="H205" s="28">
        <f t="shared" si="19"/>
        <v>0</v>
      </c>
      <c r="I205" s="28">
        <f t="shared" si="19"/>
        <v>742</v>
      </c>
      <c r="J205" s="28">
        <f t="shared" si="19"/>
        <v>195</v>
      </c>
      <c r="K205" s="28">
        <f t="shared" si="19"/>
        <v>212</v>
      </c>
      <c r="L205" s="29">
        <f t="shared" si="19"/>
        <v>247</v>
      </c>
      <c r="M205" s="30">
        <f t="shared" si="17"/>
        <v>1149</v>
      </c>
      <c r="Q205" s="20">
        <f t="shared" si="18"/>
        <v>0</v>
      </c>
    </row>
    <row r="206" spans="2:17" ht="12.95" customHeight="1" x14ac:dyDescent="0.2">
      <c r="B206" s="22">
        <v>44399</v>
      </c>
      <c r="C206" s="41">
        <v>16228335</v>
      </c>
      <c r="D206" s="24">
        <v>4870993</v>
      </c>
      <c r="E206" s="25">
        <v>208298</v>
      </c>
      <c r="F206" s="26">
        <v>605752</v>
      </c>
      <c r="G206" s="27">
        <v>258230</v>
      </c>
      <c r="H206" s="28">
        <f t="shared" si="19"/>
        <v>0</v>
      </c>
      <c r="I206" s="28">
        <f t="shared" si="19"/>
        <v>761</v>
      </c>
      <c r="J206" s="28">
        <f t="shared" si="19"/>
        <v>200</v>
      </c>
      <c r="K206" s="28">
        <f t="shared" si="19"/>
        <v>205</v>
      </c>
      <c r="L206" s="29">
        <f t="shared" si="19"/>
        <v>242</v>
      </c>
      <c r="M206" s="30">
        <f t="shared" si="17"/>
        <v>1166</v>
      </c>
      <c r="N206" s="198" t="s">
        <v>21</v>
      </c>
      <c r="O206" s="198" t="s">
        <v>22</v>
      </c>
      <c r="Q206" s="20">
        <f t="shared" si="18"/>
        <v>0</v>
      </c>
    </row>
    <row r="207" spans="2:17" ht="12.95" customHeight="1" x14ac:dyDescent="0.2">
      <c r="B207" s="22">
        <v>44400</v>
      </c>
      <c r="C207" s="41">
        <v>16228335</v>
      </c>
      <c r="D207" s="24">
        <v>4871737</v>
      </c>
      <c r="E207" s="25">
        <v>208487</v>
      </c>
      <c r="F207" s="26">
        <v>605952</v>
      </c>
      <c r="G207" s="27">
        <v>258492</v>
      </c>
      <c r="H207" s="28">
        <f t="shared" si="19"/>
        <v>0</v>
      </c>
      <c r="I207" s="28">
        <f t="shared" si="19"/>
        <v>744</v>
      </c>
      <c r="J207" s="28">
        <f t="shared" si="19"/>
        <v>189</v>
      </c>
      <c r="K207" s="28">
        <f t="shared" si="19"/>
        <v>200</v>
      </c>
      <c r="L207" s="29">
        <f t="shared" si="19"/>
        <v>262</v>
      </c>
      <c r="M207" s="30">
        <f t="shared" si="17"/>
        <v>1133</v>
      </c>
      <c r="N207" s="199"/>
      <c r="O207" s="199"/>
      <c r="Q207" s="20">
        <f t="shared" si="18"/>
        <v>0</v>
      </c>
    </row>
    <row r="208" spans="2:17" ht="12.95" customHeight="1" thickBot="1" x14ac:dyDescent="0.25">
      <c r="B208" s="22">
        <v>44401</v>
      </c>
      <c r="C208" s="41">
        <v>16228335</v>
      </c>
      <c r="D208" s="24">
        <v>4872526</v>
      </c>
      <c r="E208" s="25">
        <v>208685</v>
      </c>
      <c r="F208" s="26">
        <v>606169</v>
      </c>
      <c r="G208" s="27">
        <v>258763</v>
      </c>
      <c r="H208" s="28">
        <f t="shared" si="19"/>
        <v>0</v>
      </c>
      <c r="I208" s="28">
        <f t="shared" si="19"/>
        <v>789</v>
      </c>
      <c r="J208" s="28">
        <f t="shared" si="19"/>
        <v>198</v>
      </c>
      <c r="K208" s="28">
        <f t="shared" si="19"/>
        <v>217</v>
      </c>
      <c r="L208" s="29">
        <f t="shared" si="19"/>
        <v>271</v>
      </c>
      <c r="M208" s="30">
        <f t="shared" si="17"/>
        <v>1204</v>
      </c>
      <c r="N208" s="200"/>
      <c r="O208" s="200"/>
      <c r="Q208" s="20">
        <f t="shared" si="18"/>
        <v>0</v>
      </c>
    </row>
    <row r="209" spans="2:17" ht="12.95" customHeight="1" thickBot="1" x14ac:dyDescent="0.25">
      <c r="B209" s="22">
        <v>44402</v>
      </c>
      <c r="C209" s="41">
        <v>16228335</v>
      </c>
      <c r="D209" s="24">
        <v>4873305</v>
      </c>
      <c r="E209" s="25">
        <v>208895</v>
      </c>
      <c r="F209" s="26">
        <v>606380</v>
      </c>
      <c r="G209" s="27">
        <v>259037</v>
      </c>
      <c r="H209" s="28">
        <f t="shared" si="19"/>
        <v>0</v>
      </c>
      <c r="I209" s="28">
        <f t="shared" si="19"/>
        <v>779</v>
      </c>
      <c r="J209" s="28">
        <f t="shared" si="19"/>
        <v>210</v>
      </c>
      <c r="K209" s="28">
        <f t="shared" si="19"/>
        <v>211</v>
      </c>
      <c r="L209" s="29">
        <f t="shared" si="19"/>
        <v>274</v>
      </c>
      <c r="M209" s="30">
        <f t="shared" si="17"/>
        <v>1200</v>
      </c>
      <c r="N209" s="32">
        <f>SUM(L186:L216)</f>
        <v>8476</v>
      </c>
      <c r="O209" s="32">
        <f>SUM(M186:M216)</f>
        <v>40683</v>
      </c>
      <c r="Q209" s="20">
        <f t="shared" si="18"/>
        <v>0</v>
      </c>
    </row>
    <row r="210" spans="2:17" ht="12.95" customHeight="1" x14ac:dyDescent="0.2">
      <c r="B210" s="22">
        <v>44403</v>
      </c>
      <c r="C210" s="41">
        <v>16228335</v>
      </c>
      <c r="D210" s="24">
        <v>4874195</v>
      </c>
      <c r="E210" s="25">
        <v>209145</v>
      </c>
      <c r="F210" s="26">
        <v>606589</v>
      </c>
      <c r="G210" s="27">
        <v>259288</v>
      </c>
      <c r="H210" s="28">
        <f t="shared" si="19"/>
        <v>0</v>
      </c>
      <c r="I210" s="28">
        <f t="shared" si="19"/>
        <v>890</v>
      </c>
      <c r="J210" s="28">
        <f t="shared" si="19"/>
        <v>250</v>
      </c>
      <c r="K210" s="28">
        <f t="shared" si="19"/>
        <v>209</v>
      </c>
      <c r="L210" s="29">
        <f t="shared" si="19"/>
        <v>251</v>
      </c>
      <c r="M210" s="30">
        <f t="shared" si="17"/>
        <v>1349</v>
      </c>
      <c r="N210" s="198" t="s">
        <v>23</v>
      </c>
      <c r="O210" s="198" t="s">
        <v>24</v>
      </c>
      <c r="Q210" s="20">
        <f t="shared" si="18"/>
        <v>0</v>
      </c>
    </row>
    <row r="211" spans="2:17" ht="12.95" customHeight="1" thickBot="1" x14ac:dyDescent="0.25">
      <c r="B211" s="22">
        <v>44404</v>
      </c>
      <c r="C211" s="41">
        <v>16228335</v>
      </c>
      <c r="D211" s="24">
        <v>4875075</v>
      </c>
      <c r="E211" s="25">
        <v>209419</v>
      </c>
      <c r="F211" s="26">
        <v>606787</v>
      </c>
      <c r="G211" s="27">
        <v>259554</v>
      </c>
      <c r="H211" s="28">
        <f>IF(C211="","",+(C211-C210))</f>
        <v>0</v>
      </c>
      <c r="I211" s="28">
        <f t="shared" si="19"/>
        <v>880</v>
      </c>
      <c r="J211" s="28">
        <f>IF(E211="","",+(E211-E210))</f>
        <v>274</v>
      </c>
      <c r="K211" s="28">
        <f>IF(F211="","",+(F211-F210))</f>
        <v>198</v>
      </c>
      <c r="L211" s="29">
        <f t="shared" si="19"/>
        <v>266</v>
      </c>
      <c r="M211" s="30">
        <f t="shared" si="17"/>
        <v>1352</v>
      </c>
      <c r="N211" s="200"/>
      <c r="O211" s="200"/>
      <c r="Q211" s="20">
        <f t="shared" si="18"/>
        <v>0</v>
      </c>
    </row>
    <row r="212" spans="2:17" ht="12.95" customHeight="1" thickBot="1" x14ac:dyDescent="0.25">
      <c r="B212" s="22">
        <v>44405</v>
      </c>
      <c r="C212" s="41">
        <v>16228335</v>
      </c>
      <c r="D212" s="24">
        <v>4875900</v>
      </c>
      <c r="E212" s="25">
        <v>209716</v>
      </c>
      <c r="F212" s="26">
        <v>606993</v>
      </c>
      <c r="G212" s="27">
        <v>259792</v>
      </c>
      <c r="H212" s="28">
        <f t="shared" si="19"/>
        <v>0</v>
      </c>
      <c r="I212" s="28">
        <f t="shared" si="19"/>
        <v>825</v>
      </c>
      <c r="J212" s="28">
        <f t="shared" si="19"/>
        <v>297</v>
      </c>
      <c r="K212" s="28">
        <f t="shared" si="19"/>
        <v>206</v>
      </c>
      <c r="L212" s="29">
        <f t="shared" si="19"/>
        <v>238</v>
      </c>
      <c r="M212" s="30">
        <f t="shared" si="17"/>
        <v>1328</v>
      </c>
      <c r="N212" s="32">
        <f>AVERAGE(L186:L216)</f>
        <v>273.41935483870969</v>
      </c>
      <c r="O212" s="32">
        <f>AVERAGE(M186:M216)</f>
        <v>1312.3548387096773</v>
      </c>
      <c r="Q212" s="20">
        <f t="shared" si="18"/>
        <v>0</v>
      </c>
    </row>
    <row r="213" spans="2:17" ht="12.95" customHeight="1" x14ac:dyDescent="0.2">
      <c r="B213" s="22">
        <v>44406</v>
      </c>
      <c r="C213" s="41">
        <v>16228335</v>
      </c>
      <c r="D213" s="24">
        <v>4876737</v>
      </c>
      <c r="E213" s="25">
        <v>209975</v>
      </c>
      <c r="F213" s="26">
        <v>607208</v>
      </c>
      <c r="G213" s="27">
        <v>260092</v>
      </c>
      <c r="H213" s="28">
        <f t="shared" si="19"/>
        <v>0</v>
      </c>
      <c r="I213" s="28">
        <f t="shared" si="19"/>
        <v>837</v>
      </c>
      <c r="J213" s="28">
        <f t="shared" si="19"/>
        <v>259</v>
      </c>
      <c r="K213" s="28">
        <f t="shared" si="19"/>
        <v>215</v>
      </c>
      <c r="L213" s="29">
        <f t="shared" si="19"/>
        <v>300</v>
      </c>
      <c r="M213" s="30">
        <f t="shared" si="17"/>
        <v>1311</v>
      </c>
      <c r="O213" s="20">
        <f>IF(L213="",1,0)</f>
        <v>0</v>
      </c>
    </row>
    <row r="214" spans="2:17" ht="12.95" customHeight="1" x14ac:dyDescent="0.2">
      <c r="B214" s="22">
        <v>44407</v>
      </c>
      <c r="C214" s="41">
        <v>16228335</v>
      </c>
      <c r="D214" s="24">
        <v>4877607</v>
      </c>
      <c r="E214" s="25">
        <v>210232</v>
      </c>
      <c r="F214" s="26">
        <v>607417</v>
      </c>
      <c r="G214" s="27">
        <v>260324</v>
      </c>
      <c r="H214" s="28">
        <f t="shared" si="19"/>
        <v>0</v>
      </c>
      <c r="I214" s="28">
        <f t="shared" si="19"/>
        <v>870</v>
      </c>
      <c r="J214" s="28">
        <f t="shared" si="19"/>
        <v>257</v>
      </c>
      <c r="K214" s="28">
        <f t="shared" si="19"/>
        <v>209</v>
      </c>
      <c r="L214" s="29">
        <f t="shared" si="19"/>
        <v>232</v>
      </c>
      <c r="M214" s="30">
        <f t="shared" si="17"/>
        <v>1336</v>
      </c>
      <c r="O214" s="20">
        <f>IF(L214="",1,0)</f>
        <v>0</v>
      </c>
    </row>
    <row r="215" spans="2:17" ht="12.95" customHeight="1" x14ac:dyDescent="0.2">
      <c r="B215" s="22">
        <v>44408</v>
      </c>
      <c r="C215" s="41">
        <v>16228335</v>
      </c>
      <c r="D215" s="24">
        <v>4878477</v>
      </c>
      <c r="E215" s="25">
        <v>210501</v>
      </c>
      <c r="F215" s="26">
        <v>607642</v>
      </c>
      <c r="G215" s="27">
        <v>260613</v>
      </c>
      <c r="H215" s="28">
        <f t="shared" si="19"/>
        <v>0</v>
      </c>
      <c r="I215" s="28">
        <f t="shared" si="19"/>
        <v>870</v>
      </c>
      <c r="J215" s="28">
        <f t="shared" si="19"/>
        <v>269</v>
      </c>
      <c r="K215" s="28">
        <f t="shared" si="19"/>
        <v>225</v>
      </c>
      <c r="L215" s="29">
        <f t="shared" si="19"/>
        <v>289</v>
      </c>
      <c r="M215" s="30">
        <f t="shared" si="17"/>
        <v>1364</v>
      </c>
      <c r="O215" s="20">
        <f>IF(L215="",1,0)</f>
        <v>0</v>
      </c>
    </row>
    <row r="216" spans="2:17" ht="12.95" customHeight="1" x14ac:dyDescent="0.2">
      <c r="B216" s="22">
        <v>44409</v>
      </c>
      <c r="C216" s="41">
        <v>16228335</v>
      </c>
      <c r="D216" s="33">
        <v>4879323</v>
      </c>
      <c r="E216" s="33">
        <v>210730</v>
      </c>
      <c r="F216" s="33">
        <v>607855</v>
      </c>
      <c r="G216" s="33">
        <v>260856</v>
      </c>
      <c r="H216" s="39">
        <f t="shared" si="19"/>
        <v>0</v>
      </c>
      <c r="I216" s="39">
        <f t="shared" si="19"/>
        <v>846</v>
      </c>
      <c r="J216" s="39">
        <f>IF(E216="","",+(E216-E215))</f>
        <v>229</v>
      </c>
      <c r="K216" s="39">
        <f>IF(F216="","",+(F216-F215))</f>
        <v>213</v>
      </c>
      <c r="L216" s="36">
        <f t="shared" si="19"/>
        <v>243</v>
      </c>
      <c r="M216" s="37">
        <f>IF(H216="","",+(H216+I216+J216+K216))</f>
        <v>1288</v>
      </c>
      <c r="N216" s="20" t="e">
        <f>N210+(#REF!*SUM(Q187:Q217))</f>
        <v>#VALUE!</v>
      </c>
      <c r="O216" s="20" t="e">
        <f>O210+(#REF!*SUM(Q187:Q217))</f>
        <v>#VALUE!</v>
      </c>
      <c r="Q216" s="20">
        <f t="shared" ref="Q216:Q279" si="20">IF(L216="",1,0)</f>
        <v>0</v>
      </c>
    </row>
    <row r="217" spans="2:17" ht="12.95" customHeight="1" x14ac:dyDescent="0.2">
      <c r="B217" s="22">
        <v>44410</v>
      </c>
      <c r="C217" s="41">
        <v>16228335</v>
      </c>
      <c r="D217" s="24">
        <v>4880133</v>
      </c>
      <c r="E217" s="25">
        <v>211008</v>
      </c>
      <c r="F217" s="26">
        <v>608072</v>
      </c>
      <c r="G217" s="27">
        <v>261147</v>
      </c>
      <c r="H217" s="28">
        <f t="shared" si="19"/>
        <v>0</v>
      </c>
      <c r="I217" s="28">
        <f t="shared" si="19"/>
        <v>810</v>
      </c>
      <c r="J217" s="28">
        <f>IF(E217="","",+(E217-E216))</f>
        <v>278</v>
      </c>
      <c r="K217" s="28">
        <f>IF(F217="","",+(F217-F216))</f>
        <v>217</v>
      </c>
      <c r="L217" s="29">
        <f t="shared" si="19"/>
        <v>291</v>
      </c>
      <c r="M217" s="30">
        <f>IF(H217="","",+(H217+I217+J217+K217))</f>
        <v>1305</v>
      </c>
      <c r="Q217" s="20">
        <f t="shared" si="20"/>
        <v>0</v>
      </c>
    </row>
    <row r="218" spans="2:17" ht="12.95" customHeight="1" x14ac:dyDescent="0.2">
      <c r="B218" s="22">
        <v>44411</v>
      </c>
      <c r="C218" s="41">
        <v>16228335</v>
      </c>
      <c r="D218" s="24">
        <v>4880982</v>
      </c>
      <c r="E218" s="25">
        <v>211283</v>
      </c>
      <c r="F218" s="26">
        <v>608264</v>
      </c>
      <c r="G218" s="27">
        <v>261429</v>
      </c>
      <c r="H218" s="28">
        <f t="shared" si="19"/>
        <v>0</v>
      </c>
      <c r="I218" s="28">
        <f t="shared" si="19"/>
        <v>849</v>
      </c>
      <c r="J218" s="28">
        <f t="shared" si="19"/>
        <v>275</v>
      </c>
      <c r="K218" s="28">
        <f t="shared" si="19"/>
        <v>192</v>
      </c>
      <c r="L218" s="29">
        <f t="shared" si="19"/>
        <v>282</v>
      </c>
      <c r="M218" s="30">
        <f t="shared" si="17"/>
        <v>1316</v>
      </c>
      <c r="Q218" s="20">
        <f t="shared" si="20"/>
        <v>0</v>
      </c>
    </row>
    <row r="219" spans="2:17" ht="12.95" customHeight="1" x14ac:dyDescent="0.2">
      <c r="B219" s="22">
        <v>44412</v>
      </c>
      <c r="C219" s="41">
        <v>16228335</v>
      </c>
      <c r="D219" s="24">
        <v>4881984</v>
      </c>
      <c r="E219" s="25">
        <v>211562</v>
      </c>
      <c r="F219" s="26">
        <v>608475</v>
      </c>
      <c r="G219" s="27">
        <v>261703</v>
      </c>
      <c r="H219" s="28">
        <f t="shared" si="19"/>
        <v>0</v>
      </c>
      <c r="I219" s="28">
        <f t="shared" si="19"/>
        <v>1002</v>
      </c>
      <c r="J219" s="28">
        <f t="shared" si="19"/>
        <v>279</v>
      </c>
      <c r="K219" s="28">
        <f t="shared" si="19"/>
        <v>211</v>
      </c>
      <c r="L219" s="29">
        <f t="shared" si="19"/>
        <v>274</v>
      </c>
      <c r="M219" s="30">
        <f t="shared" si="17"/>
        <v>1492</v>
      </c>
      <c r="Q219" s="20">
        <f t="shared" si="20"/>
        <v>0</v>
      </c>
    </row>
    <row r="220" spans="2:17" ht="12.95" customHeight="1" x14ac:dyDescent="0.2">
      <c r="B220" s="22">
        <v>44413</v>
      </c>
      <c r="C220" s="41"/>
      <c r="D220" s="24"/>
      <c r="E220" s="25"/>
      <c r="F220" s="26"/>
      <c r="G220" s="27"/>
      <c r="H220" s="28" t="str">
        <f t="shared" ref="H220:L248" si="21">IF(C220="","",+(C220-C219))</f>
        <v/>
      </c>
      <c r="I220" s="28" t="str">
        <f t="shared" si="21"/>
        <v/>
      </c>
      <c r="J220" s="28" t="str">
        <f t="shared" si="21"/>
        <v/>
      </c>
      <c r="K220" s="28" t="str">
        <f t="shared" si="21"/>
        <v/>
      </c>
      <c r="L220" s="29" t="str">
        <f t="shared" si="21"/>
        <v/>
      </c>
      <c r="M220" s="30" t="str">
        <f t="shared" si="17"/>
        <v/>
      </c>
      <c r="Q220" s="20">
        <f t="shared" si="20"/>
        <v>1</v>
      </c>
    </row>
    <row r="221" spans="2:17" ht="12.95" customHeight="1" x14ac:dyDescent="0.2">
      <c r="B221" s="22">
        <v>44414</v>
      </c>
      <c r="C221" s="41"/>
      <c r="D221" s="24"/>
      <c r="E221" s="25"/>
      <c r="F221" s="26"/>
      <c r="G221" s="27"/>
      <c r="H221" s="28" t="str">
        <f t="shared" si="21"/>
        <v/>
      </c>
      <c r="I221" s="28" t="str">
        <f t="shared" si="21"/>
        <v/>
      </c>
      <c r="J221" s="28" t="str">
        <f t="shared" si="21"/>
        <v/>
      </c>
      <c r="K221" s="28" t="str">
        <f t="shared" si="21"/>
        <v/>
      </c>
      <c r="L221" s="29" t="str">
        <f t="shared" si="21"/>
        <v/>
      </c>
      <c r="M221" s="30" t="str">
        <f t="shared" si="17"/>
        <v/>
      </c>
      <c r="Q221" s="20">
        <f t="shared" si="20"/>
        <v>1</v>
      </c>
    </row>
    <row r="222" spans="2:17" ht="12.95" customHeight="1" x14ac:dyDescent="0.2">
      <c r="B222" s="22">
        <v>44415</v>
      </c>
      <c r="C222" s="41"/>
      <c r="D222" s="24"/>
      <c r="E222" s="25"/>
      <c r="F222" s="26"/>
      <c r="G222" s="27"/>
      <c r="H222" s="28" t="str">
        <f t="shared" si="21"/>
        <v/>
      </c>
      <c r="I222" s="28" t="str">
        <f t="shared" si="21"/>
        <v/>
      </c>
      <c r="J222" s="28" t="str">
        <f t="shared" si="21"/>
        <v/>
      </c>
      <c r="K222" s="28" t="str">
        <f t="shared" si="21"/>
        <v/>
      </c>
      <c r="L222" s="29" t="str">
        <f t="shared" si="21"/>
        <v/>
      </c>
      <c r="M222" s="30" t="str">
        <f t="shared" si="17"/>
        <v/>
      </c>
      <c r="Q222" s="20">
        <f t="shared" si="20"/>
        <v>1</v>
      </c>
    </row>
    <row r="223" spans="2:17" ht="12.95" customHeight="1" x14ac:dyDescent="0.2">
      <c r="B223" s="22">
        <v>44416</v>
      </c>
      <c r="C223" s="41"/>
      <c r="D223" s="24"/>
      <c r="E223" s="25"/>
      <c r="F223" s="26"/>
      <c r="G223" s="27"/>
      <c r="H223" s="28" t="str">
        <f t="shared" si="21"/>
        <v/>
      </c>
      <c r="I223" s="28" t="str">
        <f t="shared" si="21"/>
        <v/>
      </c>
      <c r="J223" s="28" t="str">
        <f t="shared" si="21"/>
        <v/>
      </c>
      <c r="K223" s="28" t="str">
        <f t="shared" si="21"/>
        <v/>
      </c>
      <c r="L223" s="29" t="str">
        <f t="shared" si="21"/>
        <v/>
      </c>
      <c r="M223" s="30" t="str">
        <f t="shared" si="17"/>
        <v/>
      </c>
      <c r="Q223" s="20">
        <f t="shared" si="20"/>
        <v>1</v>
      </c>
    </row>
    <row r="224" spans="2:17" ht="12.95" customHeight="1" x14ac:dyDescent="0.2">
      <c r="B224" s="22">
        <v>44417</v>
      </c>
      <c r="C224" s="41"/>
      <c r="D224" s="24"/>
      <c r="E224" s="25"/>
      <c r="F224" s="26"/>
      <c r="G224" s="27"/>
      <c r="H224" s="28" t="str">
        <f t="shared" si="21"/>
        <v/>
      </c>
      <c r="I224" s="28" t="str">
        <f t="shared" si="21"/>
        <v/>
      </c>
      <c r="J224" s="28" t="str">
        <f t="shared" si="21"/>
        <v/>
      </c>
      <c r="K224" s="28" t="str">
        <f t="shared" si="21"/>
        <v/>
      </c>
      <c r="L224" s="29" t="str">
        <f t="shared" si="21"/>
        <v/>
      </c>
      <c r="M224" s="30" t="str">
        <f t="shared" si="17"/>
        <v/>
      </c>
      <c r="Q224" s="20">
        <f t="shared" si="20"/>
        <v>1</v>
      </c>
    </row>
    <row r="225" spans="2:17" ht="12.95" customHeight="1" x14ac:dyDescent="0.2">
      <c r="B225" s="22">
        <v>44418</v>
      </c>
      <c r="C225" s="41"/>
      <c r="D225" s="24"/>
      <c r="E225" s="25"/>
      <c r="F225" s="26"/>
      <c r="G225" s="27"/>
      <c r="H225" s="28" t="str">
        <f t="shared" si="21"/>
        <v/>
      </c>
      <c r="I225" s="28" t="str">
        <f t="shared" si="21"/>
        <v/>
      </c>
      <c r="J225" s="28" t="str">
        <f t="shared" si="21"/>
        <v/>
      </c>
      <c r="K225" s="28" t="str">
        <f t="shared" si="21"/>
        <v/>
      </c>
      <c r="L225" s="29" t="str">
        <f t="shared" si="21"/>
        <v/>
      </c>
      <c r="M225" s="30" t="str">
        <f t="shared" si="17"/>
        <v/>
      </c>
      <c r="Q225" s="20">
        <f t="shared" si="20"/>
        <v>1</v>
      </c>
    </row>
    <row r="226" spans="2:17" ht="12.95" customHeight="1" x14ac:dyDescent="0.2">
      <c r="B226" s="22">
        <v>44419</v>
      </c>
      <c r="C226" s="41"/>
      <c r="D226" s="24"/>
      <c r="E226" s="25"/>
      <c r="F226" s="26"/>
      <c r="G226" s="27"/>
      <c r="H226" s="28" t="str">
        <f t="shared" si="21"/>
        <v/>
      </c>
      <c r="I226" s="28" t="str">
        <f t="shared" si="21"/>
        <v/>
      </c>
      <c r="J226" s="28" t="str">
        <f t="shared" si="21"/>
        <v/>
      </c>
      <c r="K226" s="28" t="str">
        <f t="shared" si="21"/>
        <v/>
      </c>
      <c r="L226" s="29" t="str">
        <f t="shared" si="21"/>
        <v/>
      </c>
      <c r="M226" s="30" t="str">
        <f t="shared" si="17"/>
        <v/>
      </c>
      <c r="Q226" s="20">
        <f t="shared" si="20"/>
        <v>1</v>
      </c>
    </row>
    <row r="227" spans="2:17" ht="12.95" customHeight="1" x14ac:dyDescent="0.2">
      <c r="B227" s="22">
        <v>44420</v>
      </c>
      <c r="C227" s="41"/>
      <c r="D227" s="24"/>
      <c r="E227" s="25"/>
      <c r="F227" s="26"/>
      <c r="G227" s="27"/>
      <c r="H227" s="28" t="str">
        <f t="shared" si="21"/>
        <v/>
      </c>
      <c r="I227" s="28" t="str">
        <f t="shared" si="21"/>
        <v/>
      </c>
      <c r="J227" s="28" t="str">
        <f t="shared" si="21"/>
        <v/>
      </c>
      <c r="K227" s="28" t="str">
        <f t="shared" si="21"/>
        <v/>
      </c>
      <c r="L227" s="29" t="str">
        <f t="shared" si="21"/>
        <v/>
      </c>
      <c r="M227" s="30" t="str">
        <f t="shared" si="17"/>
        <v/>
      </c>
      <c r="Q227" s="20">
        <f t="shared" si="20"/>
        <v>1</v>
      </c>
    </row>
    <row r="228" spans="2:17" ht="12.95" customHeight="1" x14ac:dyDescent="0.2">
      <c r="B228" s="22">
        <v>44421</v>
      </c>
      <c r="C228" s="41"/>
      <c r="D228" s="24"/>
      <c r="E228" s="25"/>
      <c r="F228" s="26"/>
      <c r="G228" s="27"/>
      <c r="H228" s="28" t="str">
        <f t="shared" si="21"/>
        <v/>
      </c>
      <c r="I228" s="28" t="str">
        <f t="shared" si="21"/>
        <v/>
      </c>
      <c r="J228" s="28" t="str">
        <f t="shared" si="21"/>
        <v/>
      </c>
      <c r="K228" s="28" t="str">
        <f t="shared" si="21"/>
        <v/>
      </c>
      <c r="L228" s="29" t="str">
        <f t="shared" si="21"/>
        <v/>
      </c>
      <c r="M228" s="30" t="str">
        <f t="shared" si="17"/>
        <v/>
      </c>
      <c r="Q228" s="20">
        <f t="shared" si="20"/>
        <v>1</v>
      </c>
    </row>
    <row r="229" spans="2:17" ht="12.95" customHeight="1" x14ac:dyDescent="0.2">
      <c r="B229" s="22">
        <v>44422</v>
      </c>
      <c r="C229" s="41"/>
      <c r="D229" s="24"/>
      <c r="E229" s="25"/>
      <c r="F229" s="26"/>
      <c r="G229" s="27"/>
      <c r="H229" s="28" t="str">
        <f t="shared" si="21"/>
        <v/>
      </c>
      <c r="I229" s="28" t="str">
        <f t="shared" si="21"/>
        <v/>
      </c>
      <c r="J229" s="28" t="str">
        <f t="shared" si="21"/>
        <v/>
      </c>
      <c r="K229" s="28" t="str">
        <f t="shared" si="21"/>
        <v/>
      </c>
      <c r="L229" s="29" t="str">
        <f t="shared" si="21"/>
        <v/>
      </c>
      <c r="M229" s="30" t="str">
        <f t="shared" si="17"/>
        <v/>
      </c>
      <c r="Q229" s="20">
        <f t="shared" si="20"/>
        <v>1</v>
      </c>
    </row>
    <row r="230" spans="2:17" ht="12.95" customHeight="1" x14ac:dyDescent="0.2">
      <c r="B230" s="22">
        <v>44423</v>
      </c>
      <c r="C230" s="41"/>
      <c r="D230" s="24"/>
      <c r="E230" s="25"/>
      <c r="F230" s="26"/>
      <c r="G230" s="27"/>
      <c r="H230" s="28" t="str">
        <f t="shared" si="21"/>
        <v/>
      </c>
      <c r="I230" s="28" t="str">
        <f t="shared" si="21"/>
        <v/>
      </c>
      <c r="J230" s="28" t="str">
        <f t="shared" si="21"/>
        <v/>
      </c>
      <c r="K230" s="28" t="str">
        <f t="shared" si="21"/>
        <v/>
      </c>
      <c r="L230" s="29" t="str">
        <f t="shared" si="21"/>
        <v/>
      </c>
      <c r="M230" s="30" t="str">
        <f t="shared" si="17"/>
        <v/>
      </c>
      <c r="Q230" s="20">
        <f t="shared" si="20"/>
        <v>1</v>
      </c>
    </row>
    <row r="231" spans="2:17" ht="12.95" customHeight="1" x14ac:dyDescent="0.2">
      <c r="B231" s="22">
        <v>44424</v>
      </c>
      <c r="C231" s="41"/>
      <c r="D231" s="24"/>
      <c r="E231" s="25"/>
      <c r="F231" s="26"/>
      <c r="G231" s="27"/>
      <c r="H231" s="28" t="str">
        <f t="shared" si="21"/>
        <v/>
      </c>
      <c r="I231" s="28" t="str">
        <f t="shared" si="21"/>
        <v/>
      </c>
      <c r="J231" s="28" t="str">
        <f t="shared" si="21"/>
        <v/>
      </c>
      <c r="K231" s="28" t="str">
        <f>IF(F231="","",+(F231-F230))</f>
        <v/>
      </c>
      <c r="L231" s="29" t="str">
        <f t="shared" si="21"/>
        <v/>
      </c>
      <c r="M231" s="30" t="str">
        <f t="shared" si="17"/>
        <v/>
      </c>
      <c r="Q231" s="20">
        <f t="shared" si="20"/>
        <v>1</v>
      </c>
    </row>
    <row r="232" spans="2:17" ht="12.95" customHeight="1" x14ac:dyDescent="0.2">
      <c r="B232" s="22">
        <v>44425</v>
      </c>
      <c r="C232" s="41"/>
      <c r="D232" s="24"/>
      <c r="E232" s="25"/>
      <c r="F232" s="26"/>
      <c r="G232" s="27"/>
      <c r="H232" s="28" t="str">
        <f t="shared" si="21"/>
        <v/>
      </c>
      <c r="I232" s="28" t="str">
        <f t="shared" si="21"/>
        <v/>
      </c>
      <c r="J232" s="28" t="str">
        <f t="shared" si="21"/>
        <v/>
      </c>
      <c r="K232" s="28" t="str">
        <f t="shared" si="21"/>
        <v/>
      </c>
      <c r="L232" s="29" t="str">
        <f t="shared" si="21"/>
        <v/>
      </c>
      <c r="M232" s="30" t="str">
        <f t="shared" si="17"/>
        <v/>
      </c>
      <c r="Q232" s="20">
        <f t="shared" si="20"/>
        <v>1</v>
      </c>
    </row>
    <row r="233" spans="2:17" ht="12.95" customHeight="1" x14ac:dyDescent="0.2">
      <c r="B233" s="22">
        <v>44426</v>
      </c>
      <c r="C233" s="41"/>
      <c r="D233" s="24"/>
      <c r="E233" s="25"/>
      <c r="F233" s="26"/>
      <c r="G233" s="27"/>
      <c r="H233" s="28" t="str">
        <f t="shared" si="21"/>
        <v/>
      </c>
      <c r="I233" s="28" t="str">
        <f t="shared" si="21"/>
        <v/>
      </c>
      <c r="J233" s="28" t="str">
        <f t="shared" si="21"/>
        <v/>
      </c>
      <c r="K233" s="28" t="str">
        <f t="shared" si="21"/>
        <v/>
      </c>
      <c r="L233" s="29" t="str">
        <f t="shared" si="21"/>
        <v/>
      </c>
      <c r="M233" s="30" t="str">
        <f t="shared" si="17"/>
        <v/>
      </c>
      <c r="Q233" s="20">
        <f t="shared" si="20"/>
        <v>1</v>
      </c>
    </row>
    <row r="234" spans="2:17" ht="12.95" customHeight="1" x14ac:dyDescent="0.2">
      <c r="B234" s="22">
        <v>44427</v>
      </c>
      <c r="C234" s="41"/>
      <c r="D234" s="24"/>
      <c r="E234" s="25"/>
      <c r="F234" s="26"/>
      <c r="G234" s="27"/>
      <c r="H234" s="28" t="str">
        <f t="shared" si="21"/>
        <v/>
      </c>
      <c r="I234" s="28" t="str">
        <f t="shared" si="21"/>
        <v/>
      </c>
      <c r="J234" s="28" t="str">
        <f t="shared" si="21"/>
        <v/>
      </c>
      <c r="K234" s="28" t="str">
        <f t="shared" si="21"/>
        <v/>
      </c>
      <c r="L234" s="29" t="str">
        <f t="shared" si="21"/>
        <v/>
      </c>
      <c r="M234" s="30" t="str">
        <f t="shared" si="17"/>
        <v/>
      </c>
      <c r="Q234" s="20">
        <f t="shared" si="20"/>
        <v>1</v>
      </c>
    </row>
    <row r="235" spans="2:17" ht="12.95" customHeight="1" x14ac:dyDescent="0.2">
      <c r="B235" s="22">
        <v>44428</v>
      </c>
      <c r="C235" s="41"/>
      <c r="D235" s="24"/>
      <c r="E235" s="25"/>
      <c r="F235" s="26"/>
      <c r="G235" s="27"/>
      <c r="H235" s="28" t="str">
        <f t="shared" si="21"/>
        <v/>
      </c>
      <c r="I235" s="28" t="str">
        <f t="shared" si="21"/>
        <v/>
      </c>
      <c r="J235" s="28" t="str">
        <f t="shared" si="21"/>
        <v/>
      </c>
      <c r="K235" s="28" t="str">
        <f t="shared" si="21"/>
        <v/>
      </c>
      <c r="L235" s="29" t="str">
        <f t="shared" si="21"/>
        <v/>
      </c>
      <c r="M235" s="30" t="str">
        <f t="shared" si="17"/>
        <v/>
      </c>
      <c r="Q235" s="20">
        <f t="shared" si="20"/>
        <v>1</v>
      </c>
    </row>
    <row r="236" spans="2:17" ht="12.95" customHeight="1" thickBot="1" x14ac:dyDescent="0.25">
      <c r="B236" s="22">
        <v>44429</v>
      </c>
      <c r="C236" s="41"/>
      <c r="D236" s="24"/>
      <c r="E236" s="25"/>
      <c r="F236" s="26"/>
      <c r="G236" s="27"/>
      <c r="H236" s="28" t="str">
        <f t="shared" si="21"/>
        <v/>
      </c>
      <c r="I236" s="28" t="str">
        <f t="shared" si="21"/>
        <v/>
      </c>
      <c r="J236" s="28" t="str">
        <f t="shared" si="21"/>
        <v/>
      </c>
      <c r="K236" s="28" t="str">
        <f t="shared" si="21"/>
        <v/>
      </c>
      <c r="L236" s="29" t="str">
        <f t="shared" si="21"/>
        <v/>
      </c>
      <c r="M236" s="30" t="str">
        <f t="shared" si="17"/>
        <v/>
      </c>
      <c r="Q236" s="20">
        <f t="shared" si="20"/>
        <v>1</v>
      </c>
    </row>
    <row r="237" spans="2:17" ht="12.95" customHeight="1" x14ac:dyDescent="0.2">
      <c r="B237" s="22">
        <v>44430</v>
      </c>
      <c r="C237" s="41"/>
      <c r="D237" s="24"/>
      <c r="E237" s="25"/>
      <c r="F237" s="26"/>
      <c r="G237" s="27"/>
      <c r="H237" s="28" t="str">
        <f t="shared" si="21"/>
        <v/>
      </c>
      <c r="I237" s="28" t="str">
        <f t="shared" si="21"/>
        <v/>
      </c>
      <c r="J237" s="28" t="str">
        <f t="shared" si="21"/>
        <v/>
      </c>
      <c r="K237" s="28" t="str">
        <f t="shared" si="21"/>
        <v/>
      </c>
      <c r="L237" s="29" t="str">
        <f t="shared" si="21"/>
        <v/>
      </c>
      <c r="M237" s="30" t="str">
        <f t="shared" si="17"/>
        <v/>
      </c>
      <c r="N237" s="198" t="s">
        <v>21</v>
      </c>
      <c r="O237" s="198" t="s">
        <v>22</v>
      </c>
      <c r="Q237" s="20">
        <f t="shared" si="20"/>
        <v>1</v>
      </c>
    </row>
    <row r="238" spans="2:17" ht="12.95" customHeight="1" x14ac:dyDescent="0.2">
      <c r="B238" s="22">
        <v>44431</v>
      </c>
      <c r="C238" s="41"/>
      <c r="D238" s="24"/>
      <c r="E238" s="25"/>
      <c r="F238" s="26"/>
      <c r="G238" s="27"/>
      <c r="H238" s="28" t="str">
        <f t="shared" si="21"/>
        <v/>
      </c>
      <c r="I238" s="28" t="str">
        <f t="shared" si="21"/>
        <v/>
      </c>
      <c r="J238" s="28" t="str">
        <f t="shared" si="21"/>
        <v/>
      </c>
      <c r="K238" s="28" t="str">
        <f t="shared" si="21"/>
        <v/>
      </c>
      <c r="L238" s="29" t="str">
        <f t="shared" si="21"/>
        <v/>
      </c>
      <c r="M238" s="30" t="str">
        <f t="shared" si="17"/>
        <v/>
      </c>
      <c r="N238" s="199"/>
      <c r="O238" s="199"/>
      <c r="Q238" s="20">
        <f t="shared" si="20"/>
        <v>1</v>
      </c>
    </row>
    <row r="239" spans="2:17" ht="12.95" customHeight="1" thickBot="1" x14ac:dyDescent="0.25">
      <c r="B239" s="22">
        <v>44432</v>
      </c>
      <c r="C239" s="41"/>
      <c r="D239" s="24"/>
      <c r="E239" s="25"/>
      <c r="F239" s="26"/>
      <c r="G239" s="27"/>
      <c r="H239" s="28" t="str">
        <f t="shared" si="21"/>
        <v/>
      </c>
      <c r="I239" s="28" t="str">
        <f t="shared" si="21"/>
        <v/>
      </c>
      <c r="J239" s="28" t="str">
        <f>IF(E239="","",+(E239-E238))</f>
        <v/>
      </c>
      <c r="K239" s="28" t="str">
        <f>IF(F239="","",+(F239-F238))</f>
        <v/>
      </c>
      <c r="L239" s="29" t="str">
        <f t="shared" si="21"/>
        <v/>
      </c>
      <c r="M239" s="30" t="str">
        <f t="shared" si="17"/>
        <v/>
      </c>
      <c r="N239" s="200"/>
      <c r="O239" s="200"/>
      <c r="Q239" s="20">
        <f t="shared" si="20"/>
        <v>1</v>
      </c>
    </row>
    <row r="240" spans="2:17" ht="12.95" customHeight="1" thickBot="1" x14ac:dyDescent="0.25">
      <c r="B240" s="22">
        <v>44433</v>
      </c>
      <c r="C240" s="41"/>
      <c r="D240" s="24"/>
      <c r="E240" s="25"/>
      <c r="F240" s="26"/>
      <c r="G240" s="27"/>
      <c r="H240" s="28" t="str">
        <f t="shared" si="21"/>
        <v/>
      </c>
      <c r="I240" s="28" t="str">
        <f t="shared" si="21"/>
        <v/>
      </c>
      <c r="J240" s="28" t="str">
        <f t="shared" si="21"/>
        <v/>
      </c>
      <c r="K240" s="28" t="str">
        <f t="shared" si="21"/>
        <v/>
      </c>
      <c r="L240" s="29" t="str">
        <f t="shared" si="21"/>
        <v/>
      </c>
      <c r="M240" s="30" t="str">
        <f t="shared" si="17"/>
        <v/>
      </c>
      <c r="N240" s="32">
        <f>SUM(L217:L247)</f>
        <v>847</v>
      </c>
      <c r="O240" s="32">
        <f>SUM(M217:M247)</f>
        <v>4113</v>
      </c>
      <c r="Q240" s="20">
        <f t="shared" si="20"/>
        <v>1</v>
      </c>
    </row>
    <row r="241" spans="2:17" ht="12.95" customHeight="1" x14ac:dyDescent="0.2">
      <c r="B241" s="22">
        <v>44434</v>
      </c>
      <c r="C241" s="41"/>
      <c r="D241" s="24"/>
      <c r="E241" s="25"/>
      <c r="F241" s="26"/>
      <c r="G241" s="27"/>
      <c r="H241" s="28" t="str">
        <f t="shared" si="21"/>
        <v/>
      </c>
      <c r="I241" s="28" t="str">
        <f t="shared" si="21"/>
        <v/>
      </c>
      <c r="J241" s="28" t="str">
        <f t="shared" si="21"/>
        <v/>
      </c>
      <c r="K241" s="28" t="str">
        <f t="shared" si="21"/>
        <v/>
      </c>
      <c r="L241" s="29" t="str">
        <f t="shared" si="21"/>
        <v/>
      </c>
      <c r="M241" s="30" t="str">
        <f t="shared" si="17"/>
        <v/>
      </c>
      <c r="N241" s="198" t="s">
        <v>23</v>
      </c>
      <c r="O241" s="198" t="s">
        <v>24</v>
      </c>
      <c r="Q241" s="20">
        <f t="shared" si="20"/>
        <v>1</v>
      </c>
    </row>
    <row r="242" spans="2:17" ht="12.95" customHeight="1" thickBot="1" x14ac:dyDescent="0.25">
      <c r="B242" s="22">
        <v>44435</v>
      </c>
      <c r="C242" s="41"/>
      <c r="D242" s="24"/>
      <c r="E242" s="25"/>
      <c r="F242" s="26"/>
      <c r="G242" s="27"/>
      <c r="H242" s="28" t="str">
        <f t="shared" si="21"/>
        <v/>
      </c>
      <c r="I242" s="28" t="str">
        <f t="shared" si="21"/>
        <v/>
      </c>
      <c r="J242" s="28" t="str">
        <f t="shared" si="21"/>
        <v/>
      </c>
      <c r="K242" s="28" t="str">
        <f t="shared" si="21"/>
        <v/>
      </c>
      <c r="L242" s="29" t="str">
        <f t="shared" si="21"/>
        <v/>
      </c>
      <c r="M242" s="30" t="str">
        <f t="shared" si="17"/>
        <v/>
      </c>
      <c r="N242" s="200"/>
      <c r="O242" s="200"/>
      <c r="Q242" s="20">
        <f t="shared" si="20"/>
        <v>1</v>
      </c>
    </row>
    <row r="243" spans="2:17" ht="12.95" customHeight="1" thickBot="1" x14ac:dyDescent="0.25">
      <c r="B243" s="22">
        <v>44436</v>
      </c>
      <c r="C243" s="41"/>
      <c r="D243" s="24"/>
      <c r="E243" s="25"/>
      <c r="F243" s="26"/>
      <c r="G243" s="27"/>
      <c r="H243" s="28" t="str">
        <f t="shared" si="21"/>
        <v/>
      </c>
      <c r="I243" s="28" t="str">
        <f t="shared" si="21"/>
        <v/>
      </c>
      <c r="J243" s="28" t="str">
        <f t="shared" si="21"/>
        <v/>
      </c>
      <c r="K243" s="28" t="str">
        <f t="shared" si="21"/>
        <v/>
      </c>
      <c r="L243" s="29" t="str">
        <f t="shared" si="21"/>
        <v/>
      </c>
      <c r="M243" s="30" t="str">
        <f t="shared" si="17"/>
        <v/>
      </c>
      <c r="N243" s="32">
        <f>AVERAGE(L217:L247)</f>
        <v>282.33333333333331</v>
      </c>
      <c r="O243" s="32">
        <f>AVERAGE(M217:M247)</f>
        <v>1371</v>
      </c>
      <c r="Q243" s="20">
        <f t="shared" si="20"/>
        <v>1</v>
      </c>
    </row>
    <row r="244" spans="2:17" ht="12.95" customHeight="1" x14ac:dyDescent="0.2">
      <c r="B244" s="22">
        <v>44437</v>
      </c>
      <c r="C244" s="41"/>
      <c r="D244" s="24"/>
      <c r="E244" s="25"/>
      <c r="F244" s="26"/>
      <c r="G244" s="27"/>
      <c r="H244" s="28" t="str">
        <f t="shared" si="21"/>
        <v/>
      </c>
      <c r="I244" s="28" t="str">
        <f t="shared" si="21"/>
        <v/>
      </c>
      <c r="J244" s="28" t="str">
        <f t="shared" si="21"/>
        <v/>
      </c>
      <c r="K244" s="28" t="str">
        <f t="shared" si="21"/>
        <v/>
      </c>
      <c r="L244" s="29" t="str">
        <f t="shared" si="21"/>
        <v/>
      </c>
      <c r="M244" s="30" t="str">
        <f t="shared" si="17"/>
        <v/>
      </c>
      <c r="O244" s="20">
        <f>IF(L244="",1,0)</f>
        <v>1</v>
      </c>
    </row>
    <row r="245" spans="2:17" ht="12.95" customHeight="1" x14ac:dyDescent="0.2">
      <c r="B245" s="22">
        <v>44438</v>
      </c>
      <c r="C245" s="41"/>
      <c r="D245" s="24"/>
      <c r="E245" s="25"/>
      <c r="F245" s="26"/>
      <c r="G245" s="27"/>
      <c r="H245" s="28" t="str">
        <f t="shared" si="21"/>
        <v/>
      </c>
      <c r="I245" s="28" t="str">
        <f t="shared" si="21"/>
        <v/>
      </c>
      <c r="J245" s="28" t="str">
        <f t="shared" si="21"/>
        <v/>
      </c>
      <c r="K245" s="28" t="str">
        <f t="shared" si="21"/>
        <v/>
      </c>
      <c r="L245" s="29" t="str">
        <f t="shared" si="21"/>
        <v/>
      </c>
      <c r="M245" s="30" t="str">
        <f t="shared" si="17"/>
        <v/>
      </c>
      <c r="O245" s="20">
        <f>IF(L245="",1,0)</f>
        <v>1</v>
      </c>
    </row>
    <row r="246" spans="2:17" ht="12.95" customHeight="1" x14ac:dyDescent="0.2">
      <c r="B246" s="22">
        <v>44439</v>
      </c>
      <c r="C246" s="41"/>
      <c r="D246" s="24"/>
      <c r="E246" s="25"/>
      <c r="F246" s="26"/>
      <c r="G246" s="27"/>
      <c r="H246" s="28" t="str">
        <f t="shared" si="21"/>
        <v/>
      </c>
      <c r="I246" s="28" t="str">
        <f t="shared" si="21"/>
        <v/>
      </c>
      <c r="J246" s="28" t="str">
        <f t="shared" si="21"/>
        <v/>
      </c>
      <c r="K246" s="28" t="str">
        <f t="shared" si="21"/>
        <v/>
      </c>
      <c r="L246" s="29" t="str">
        <f t="shared" si="21"/>
        <v/>
      </c>
      <c r="M246" s="30" t="str">
        <f t="shared" si="17"/>
        <v/>
      </c>
      <c r="O246" s="20">
        <f>IF(L246="",1,0)</f>
        <v>1</v>
      </c>
    </row>
    <row r="247" spans="2:17" ht="12.95" customHeight="1" x14ac:dyDescent="0.2">
      <c r="B247" s="22">
        <v>44440</v>
      </c>
      <c r="C247" s="34"/>
      <c r="D247" s="34"/>
      <c r="E247" s="34"/>
      <c r="F247" s="34"/>
      <c r="G247" s="34"/>
      <c r="H247" s="35" t="str">
        <f t="shared" si="21"/>
        <v/>
      </c>
      <c r="I247" s="39" t="str">
        <f t="shared" si="21"/>
        <v/>
      </c>
      <c r="J247" s="35" t="str">
        <f t="shared" si="21"/>
        <v/>
      </c>
      <c r="K247" s="35" t="str">
        <f t="shared" si="21"/>
        <v/>
      </c>
      <c r="L247" s="36" t="str">
        <f t="shared" si="21"/>
        <v/>
      </c>
      <c r="M247" s="35" t="str">
        <f t="shared" si="17"/>
        <v/>
      </c>
      <c r="Q247" s="20">
        <f t="shared" si="20"/>
        <v>1</v>
      </c>
    </row>
    <row r="248" spans="2:17" ht="12.95" customHeight="1" x14ac:dyDescent="0.2">
      <c r="B248" s="22">
        <v>44441</v>
      </c>
      <c r="C248" s="41"/>
      <c r="D248" s="24"/>
      <c r="E248" s="25"/>
      <c r="F248" s="26"/>
      <c r="G248" s="27"/>
      <c r="H248" s="38" t="str">
        <f t="shared" si="21"/>
        <v/>
      </c>
      <c r="I248" s="28" t="str">
        <f t="shared" si="21"/>
        <v/>
      </c>
      <c r="J248" s="28" t="str">
        <f t="shared" si="21"/>
        <v/>
      </c>
      <c r="K248" s="28" t="str">
        <f t="shared" si="21"/>
        <v/>
      </c>
      <c r="L248" s="29" t="str">
        <f t="shared" si="21"/>
        <v/>
      </c>
      <c r="M248" s="30" t="str">
        <f t="shared" si="17"/>
        <v/>
      </c>
      <c r="Q248" s="20">
        <f t="shared" si="20"/>
        <v>1</v>
      </c>
    </row>
    <row r="249" spans="2:17" ht="12.95" customHeight="1" x14ac:dyDescent="0.2">
      <c r="B249" s="22">
        <v>44442</v>
      </c>
      <c r="C249" s="41"/>
      <c r="D249" s="24"/>
      <c r="E249" s="25"/>
      <c r="F249" s="26"/>
      <c r="G249" s="27"/>
      <c r="H249" s="28" t="str">
        <f t="shared" ref="H249:L264" si="22">IF(C249="","",+(C249-C248))</f>
        <v/>
      </c>
      <c r="I249" s="28" t="str">
        <f t="shared" si="22"/>
        <v/>
      </c>
      <c r="J249" s="28" t="str">
        <f t="shared" si="22"/>
        <v/>
      </c>
      <c r="K249" s="28" t="str">
        <f t="shared" si="22"/>
        <v/>
      </c>
      <c r="L249" s="29" t="str">
        <f t="shared" si="22"/>
        <v/>
      </c>
      <c r="M249" s="30" t="str">
        <f t="shared" si="17"/>
        <v/>
      </c>
      <c r="Q249" s="20">
        <f t="shared" si="20"/>
        <v>1</v>
      </c>
    </row>
    <row r="250" spans="2:17" ht="12.95" customHeight="1" x14ac:dyDescent="0.2">
      <c r="B250" s="22">
        <v>44443</v>
      </c>
      <c r="C250" s="41"/>
      <c r="D250" s="24"/>
      <c r="E250" s="25"/>
      <c r="F250" s="26"/>
      <c r="G250" s="27"/>
      <c r="H250" s="28" t="str">
        <f t="shared" si="22"/>
        <v/>
      </c>
      <c r="I250" s="28" t="str">
        <f t="shared" si="22"/>
        <v/>
      </c>
      <c r="J250" s="28" t="str">
        <f t="shared" si="22"/>
        <v/>
      </c>
      <c r="K250" s="28" t="str">
        <f t="shared" si="22"/>
        <v/>
      </c>
      <c r="L250" s="29" t="str">
        <f t="shared" si="22"/>
        <v/>
      </c>
      <c r="M250" s="30" t="str">
        <f t="shared" si="17"/>
        <v/>
      </c>
      <c r="Q250" s="20">
        <f t="shared" si="20"/>
        <v>1</v>
      </c>
    </row>
    <row r="251" spans="2:17" ht="12.95" customHeight="1" x14ac:dyDescent="0.2">
      <c r="B251" s="22">
        <v>44444</v>
      </c>
      <c r="C251" s="41"/>
      <c r="D251" s="24"/>
      <c r="E251" s="25"/>
      <c r="F251" s="26"/>
      <c r="G251" s="27"/>
      <c r="H251" s="28" t="str">
        <f t="shared" si="22"/>
        <v/>
      </c>
      <c r="I251" s="28" t="str">
        <f t="shared" si="22"/>
        <v/>
      </c>
      <c r="J251" s="28" t="str">
        <f t="shared" si="22"/>
        <v/>
      </c>
      <c r="K251" s="28" t="str">
        <f t="shared" si="22"/>
        <v/>
      </c>
      <c r="L251" s="29" t="str">
        <f t="shared" si="22"/>
        <v/>
      </c>
      <c r="M251" s="30" t="str">
        <f t="shared" si="17"/>
        <v/>
      </c>
      <c r="Q251" s="20">
        <f t="shared" si="20"/>
        <v>1</v>
      </c>
    </row>
    <row r="252" spans="2:17" ht="12.95" customHeight="1" x14ac:dyDescent="0.2">
      <c r="B252" s="22">
        <v>44445</v>
      </c>
      <c r="C252" s="41"/>
      <c r="D252" s="24"/>
      <c r="E252" s="25"/>
      <c r="F252" s="26"/>
      <c r="G252" s="27"/>
      <c r="H252" s="28" t="str">
        <f t="shared" si="22"/>
        <v/>
      </c>
      <c r="I252" s="28" t="str">
        <f t="shared" si="22"/>
        <v/>
      </c>
      <c r="J252" s="28" t="str">
        <f t="shared" si="22"/>
        <v/>
      </c>
      <c r="K252" s="28" t="str">
        <f t="shared" si="22"/>
        <v/>
      </c>
      <c r="L252" s="29" t="str">
        <f t="shared" si="22"/>
        <v/>
      </c>
      <c r="M252" s="30" t="str">
        <f t="shared" si="17"/>
        <v/>
      </c>
      <c r="Q252" s="20">
        <f t="shared" si="20"/>
        <v>1</v>
      </c>
    </row>
    <row r="253" spans="2:17" ht="12.95" customHeight="1" x14ac:dyDescent="0.2">
      <c r="B253" s="22">
        <v>44446</v>
      </c>
      <c r="C253" s="41"/>
      <c r="D253" s="24"/>
      <c r="E253" s="25"/>
      <c r="F253" s="26"/>
      <c r="G253" s="27"/>
      <c r="H253" s="28" t="str">
        <f t="shared" si="22"/>
        <v/>
      </c>
      <c r="I253" s="28" t="str">
        <f t="shared" si="22"/>
        <v/>
      </c>
      <c r="J253" s="28" t="str">
        <f t="shared" si="22"/>
        <v/>
      </c>
      <c r="K253" s="28" t="str">
        <f t="shared" si="22"/>
        <v/>
      </c>
      <c r="L253" s="29" t="str">
        <f t="shared" si="22"/>
        <v/>
      </c>
      <c r="M253" s="30" t="str">
        <f t="shared" si="17"/>
        <v/>
      </c>
      <c r="Q253" s="20">
        <f t="shared" si="20"/>
        <v>1</v>
      </c>
    </row>
    <row r="254" spans="2:17" ht="12.95" customHeight="1" x14ac:dyDescent="0.2">
      <c r="B254" s="22">
        <v>44447</v>
      </c>
      <c r="C254" s="41"/>
      <c r="D254" s="24"/>
      <c r="E254" s="25"/>
      <c r="F254" s="26"/>
      <c r="G254" s="27"/>
      <c r="H254" s="28" t="str">
        <f t="shared" si="22"/>
        <v/>
      </c>
      <c r="I254" s="28" t="str">
        <f t="shared" si="22"/>
        <v/>
      </c>
      <c r="J254" s="28" t="str">
        <f t="shared" si="22"/>
        <v/>
      </c>
      <c r="K254" s="28" t="str">
        <f t="shared" si="22"/>
        <v/>
      </c>
      <c r="L254" s="29" t="str">
        <f t="shared" si="22"/>
        <v/>
      </c>
      <c r="M254" s="30" t="str">
        <f t="shared" si="17"/>
        <v/>
      </c>
      <c r="Q254" s="20">
        <f t="shared" si="20"/>
        <v>1</v>
      </c>
    </row>
    <row r="255" spans="2:17" ht="12.95" customHeight="1" x14ac:dyDescent="0.2">
      <c r="B255" s="22">
        <v>44448</v>
      </c>
      <c r="C255" s="41"/>
      <c r="D255" s="24"/>
      <c r="E255" s="25"/>
      <c r="F255" s="26"/>
      <c r="G255" s="27"/>
      <c r="H255" s="28" t="str">
        <f t="shared" si="22"/>
        <v/>
      </c>
      <c r="I255" s="28" t="str">
        <f t="shared" si="22"/>
        <v/>
      </c>
      <c r="J255" s="28" t="str">
        <f t="shared" si="22"/>
        <v/>
      </c>
      <c r="K255" s="28" t="str">
        <f t="shared" si="22"/>
        <v/>
      </c>
      <c r="L255" s="29" t="str">
        <f t="shared" si="22"/>
        <v/>
      </c>
      <c r="M255" s="30" t="str">
        <f t="shared" si="17"/>
        <v/>
      </c>
      <c r="Q255" s="20">
        <f t="shared" si="20"/>
        <v>1</v>
      </c>
    </row>
    <row r="256" spans="2:17" ht="12.95" customHeight="1" x14ac:dyDescent="0.2">
      <c r="B256" s="22">
        <v>44449</v>
      </c>
      <c r="C256" s="41"/>
      <c r="D256" s="24"/>
      <c r="E256" s="25"/>
      <c r="F256" s="26"/>
      <c r="G256" s="27"/>
      <c r="H256" s="28" t="str">
        <f t="shared" si="22"/>
        <v/>
      </c>
      <c r="I256" s="28" t="str">
        <f t="shared" si="22"/>
        <v/>
      </c>
      <c r="J256" s="28" t="str">
        <f t="shared" si="22"/>
        <v/>
      </c>
      <c r="K256" s="28" t="str">
        <f t="shared" si="22"/>
        <v/>
      </c>
      <c r="L256" s="29" t="str">
        <f t="shared" si="22"/>
        <v/>
      </c>
      <c r="M256" s="30" t="str">
        <f t="shared" si="17"/>
        <v/>
      </c>
      <c r="Q256" s="20">
        <f t="shared" si="20"/>
        <v>1</v>
      </c>
    </row>
    <row r="257" spans="2:17" ht="12.95" customHeight="1" x14ac:dyDescent="0.2">
      <c r="B257" s="22">
        <v>44450</v>
      </c>
      <c r="C257" s="41"/>
      <c r="D257" s="24"/>
      <c r="E257" s="25"/>
      <c r="F257" s="26"/>
      <c r="G257" s="27"/>
      <c r="H257" s="28" t="str">
        <f t="shared" si="22"/>
        <v/>
      </c>
      <c r="I257" s="28" t="str">
        <f t="shared" si="22"/>
        <v/>
      </c>
      <c r="J257" s="28" t="str">
        <f t="shared" si="22"/>
        <v/>
      </c>
      <c r="K257" s="28" t="str">
        <f t="shared" si="22"/>
        <v/>
      </c>
      <c r="L257" s="29" t="str">
        <f t="shared" si="22"/>
        <v/>
      </c>
      <c r="M257" s="30" t="str">
        <f t="shared" si="17"/>
        <v/>
      </c>
      <c r="Q257" s="20">
        <f t="shared" si="20"/>
        <v>1</v>
      </c>
    </row>
    <row r="258" spans="2:17" ht="12.95" customHeight="1" x14ac:dyDescent="0.2">
      <c r="B258" s="22">
        <v>44451</v>
      </c>
      <c r="C258" s="41"/>
      <c r="D258" s="24"/>
      <c r="E258" s="25"/>
      <c r="F258" s="26"/>
      <c r="G258" s="27"/>
      <c r="H258" s="28" t="str">
        <f t="shared" si="22"/>
        <v/>
      </c>
      <c r="I258" s="28" t="str">
        <f t="shared" si="22"/>
        <v/>
      </c>
      <c r="J258" s="28" t="str">
        <f t="shared" si="22"/>
        <v/>
      </c>
      <c r="K258" s="28" t="str">
        <f t="shared" si="22"/>
        <v/>
      </c>
      <c r="L258" s="29" t="str">
        <f t="shared" si="22"/>
        <v/>
      </c>
      <c r="M258" s="30" t="str">
        <f t="shared" si="17"/>
        <v/>
      </c>
      <c r="Q258" s="20">
        <f t="shared" si="20"/>
        <v>1</v>
      </c>
    </row>
    <row r="259" spans="2:17" ht="12.95" customHeight="1" x14ac:dyDescent="0.2">
      <c r="B259" s="22">
        <v>44452</v>
      </c>
      <c r="C259" s="41"/>
      <c r="D259" s="24"/>
      <c r="E259" s="25"/>
      <c r="F259" s="26"/>
      <c r="G259" s="27"/>
      <c r="H259" s="28" t="str">
        <f t="shared" si="22"/>
        <v/>
      </c>
      <c r="I259" s="28" t="str">
        <f t="shared" si="22"/>
        <v/>
      </c>
      <c r="J259" s="28" t="str">
        <f t="shared" si="22"/>
        <v/>
      </c>
      <c r="K259" s="28" t="str">
        <f t="shared" si="22"/>
        <v/>
      </c>
      <c r="L259" s="29" t="str">
        <f t="shared" si="22"/>
        <v/>
      </c>
      <c r="M259" s="30" t="str">
        <f t="shared" si="17"/>
        <v/>
      </c>
      <c r="Q259" s="20">
        <f t="shared" si="20"/>
        <v>1</v>
      </c>
    </row>
    <row r="260" spans="2:17" ht="12.95" customHeight="1" x14ac:dyDescent="0.2">
      <c r="B260" s="22">
        <v>44453</v>
      </c>
      <c r="C260" s="41"/>
      <c r="D260" s="24"/>
      <c r="E260" s="25"/>
      <c r="F260" s="26"/>
      <c r="G260" s="27"/>
      <c r="H260" s="28" t="str">
        <f t="shared" si="22"/>
        <v/>
      </c>
      <c r="I260" s="28" t="str">
        <f t="shared" si="22"/>
        <v/>
      </c>
      <c r="J260" s="28" t="str">
        <f t="shared" si="22"/>
        <v/>
      </c>
      <c r="K260" s="28" t="str">
        <f t="shared" si="22"/>
        <v/>
      </c>
      <c r="L260" s="29" t="str">
        <f t="shared" si="22"/>
        <v/>
      </c>
      <c r="M260" s="30" t="str">
        <f t="shared" si="17"/>
        <v/>
      </c>
      <c r="Q260" s="20">
        <f t="shared" si="20"/>
        <v>1</v>
      </c>
    </row>
    <row r="261" spans="2:17" ht="12.95" customHeight="1" x14ac:dyDescent="0.2">
      <c r="B261" s="22">
        <v>44454</v>
      </c>
      <c r="C261" s="41"/>
      <c r="D261" s="24"/>
      <c r="E261" s="25"/>
      <c r="F261" s="26"/>
      <c r="G261" s="27"/>
      <c r="H261" s="28" t="str">
        <f>IF(C261="","",+(C261-C260))</f>
        <v/>
      </c>
      <c r="I261" s="28" t="str">
        <f t="shared" si="22"/>
        <v/>
      </c>
      <c r="J261" s="28" t="str">
        <f t="shared" si="22"/>
        <v/>
      </c>
      <c r="K261" s="28" t="str">
        <f t="shared" si="22"/>
        <v/>
      </c>
      <c r="L261" s="29" t="str">
        <f t="shared" si="22"/>
        <v/>
      </c>
      <c r="M261" s="30" t="str">
        <f t="shared" si="17"/>
        <v/>
      </c>
      <c r="Q261" s="20">
        <f t="shared" si="20"/>
        <v>1</v>
      </c>
    </row>
    <row r="262" spans="2:17" ht="12.95" customHeight="1" x14ac:dyDescent="0.2">
      <c r="B262" s="22">
        <v>44455</v>
      </c>
      <c r="C262" s="41"/>
      <c r="D262" s="24"/>
      <c r="E262" s="25"/>
      <c r="F262" s="26"/>
      <c r="G262" s="27"/>
      <c r="H262" s="28" t="str">
        <f t="shared" ref="H262:L315" si="23">IF(C262="","",+(C262-C261))</f>
        <v/>
      </c>
      <c r="I262" s="28" t="str">
        <f t="shared" si="22"/>
        <v/>
      </c>
      <c r="J262" s="28" t="str">
        <f t="shared" si="22"/>
        <v/>
      </c>
      <c r="K262" s="28" t="str">
        <f t="shared" si="22"/>
        <v/>
      </c>
      <c r="L262" s="29" t="str">
        <f t="shared" si="22"/>
        <v/>
      </c>
      <c r="M262" s="30" t="str">
        <f t="shared" ref="M262:M325" si="24">IF(H262="","",+(H262+I262+J262+K262))</f>
        <v/>
      </c>
      <c r="Q262" s="20">
        <f t="shared" si="20"/>
        <v>1</v>
      </c>
    </row>
    <row r="263" spans="2:17" ht="12.95" customHeight="1" x14ac:dyDescent="0.2">
      <c r="B263" s="22">
        <v>44456</v>
      </c>
      <c r="C263" s="41"/>
      <c r="D263" s="24"/>
      <c r="E263" s="25"/>
      <c r="F263" s="26"/>
      <c r="G263" s="27"/>
      <c r="H263" s="28" t="str">
        <f t="shared" si="23"/>
        <v/>
      </c>
      <c r="I263" s="28" t="str">
        <f t="shared" si="22"/>
        <v/>
      </c>
      <c r="J263" s="28" t="str">
        <f t="shared" si="22"/>
        <v/>
      </c>
      <c r="K263" s="28" t="str">
        <f t="shared" si="22"/>
        <v/>
      </c>
      <c r="L263" s="29" t="str">
        <f t="shared" si="22"/>
        <v/>
      </c>
      <c r="M263" s="30" t="str">
        <f t="shared" si="24"/>
        <v/>
      </c>
      <c r="Q263" s="20">
        <f t="shared" si="20"/>
        <v>1</v>
      </c>
    </row>
    <row r="264" spans="2:17" ht="12.95" customHeight="1" x14ac:dyDescent="0.2">
      <c r="B264" s="22">
        <v>44457</v>
      </c>
      <c r="C264" s="41"/>
      <c r="D264" s="24"/>
      <c r="E264" s="25"/>
      <c r="F264" s="26"/>
      <c r="G264" s="27"/>
      <c r="H264" s="28" t="str">
        <f t="shared" si="23"/>
        <v/>
      </c>
      <c r="I264" s="28" t="str">
        <f t="shared" si="22"/>
        <v/>
      </c>
      <c r="J264" s="28" t="str">
        <f t="shared" si="22"/>
        <v/>
      </c>
      <c r="K264" s="28" t="str">
        <f t="shared" si="22"/>
        <v/>
      </c>
      <c r="L264" s="29" t="str">
        <f t="shared" si="22"/>
        <v/>
      </c>
      <c r="M264" s="30" t="str">
        <f t="shared" si="24"/>
        <v/>
      </c>
      <c r="Q264" s="20">
        <f t="shared" si="20"/>
        <v>1</v>
      </c>
    </row>
    <row r="265" spans="2:17" ht="12.95" customHeight="1" x14ac:dyDescent="0.2">
      <c r="B265" s="22">
        <v>44458</v>
      </c>
      <c r="C265" s="41"/>
      <c r="D265" s="24"/>
      <c r="E265" s="25"/>
      <c r="F265" s="26"/>
      <c r="G265" s="27"/>
      <c r="H265" s="28" t="str">
        <f t="shared" si="23"/>
        <v/>
      </c>
      <c r="I265" s="28" t="str">
        <f t="shared" si="23"/>
        <v/>
      </c>
      <c r="J265" s="28" t="str">
        <f t="shared" si="23"/>
        <v/>
      </c>
      <c r="K265" s="28" t="str">
        <f t="shared" si="23"/>
        <v/>
      </c>
      <c r="L265" s="29" t="str">
        <f t="shared" si="23"/>
        <v/>
      </c>
      <c r="M265" s="30" t="str">
        <f t="shared" si="24"/>
        <v/>
      </c>
      <c r="Q265" s="20">
        <f t="shared" si="20"/>
        <v>1</v>
      </c>
    </row>
    <row r="266" spans="2:17" ht="12.95" customHeight="1" thickBot="1" x14ac:dyDescent="0.25">
      <c r="B266" s="22">
        <v>44459</v>
      </c>
      <c r="C266" s="41"/>
      <c r="D266" s="24"/>
      <c r="E266" s="25"/>
      <c r="F266" s="26"/>
      <c r="G266" s="27"/>
      <c r="H266" s="28" t="str">
        <f t="shared" si="23"/>
        <v/>
      </c>
      <c r="I266" s="28" t="str">
        <f t="shared" si="23"/>
        <v/>
      </c>
      <c r="J266" s="28" t="str">
        <f t="shared" si="23"/>
        <v/>
      </c>
      <c r="K266" s="28" t="str">
        <f t="shared" si="23"/>
        <v/>
      </c>
      <c r="L266" s="29" t="str">
        <f t="shared" si="23"/>
        <v/>
      </c>
      <c r="M266" s="30" t="str">
        <f t="shared" si="24"/>
        <v/>
      </c>
      <c r="Q266" s="20">
        <f t="shared" si="20"/>
        <v>1</v>
      </c>
    </row>
    <row r="267" spans="2:17" ht="12.95" customHeight="1" x14ac:dyDescent="0.2">
      <c r="B267" s="22">
        <v>44460</v>
      </c>
      <c r="C267" s="41"/>
      <c r="D267" s="24"/>
      <c r="E267" s="25"/>
      <c r="F267" s="26"/>
      <c r="G267" s="27"/>
      <c r="H267" s="28" t="str">
        <f t="shared" si="23"/>
        <v/>
      </c>
      <c r="I267" s="28" t="str">
        <f t="shared" si="23"/>
        <v/>
      </c>
      <c r="J267" s="28" t="str">
        <f t="shared" si="23"/>
        <v/>
      </c>
      <c r="K267" s="28" t="str">
        <f t="shared" si="23"/>
        <v/>
      </c>
      <c r="L267" s="29" t="str">
        <f t="shared" si="23"/>
        <v/>
      </c>
      <c r="M267" s="30" t="str">
        <f t="shared" si="24"/>
        <v/>
      </c>
      <c r="N267" s="198" t="s">
        <v>21</v>
      </c>
      <c r="O267" s="198" t="s">
        <v>22</v>
      </c>
      <c r="Q267" s="20">
        <f t="shared" si="20"/>
        <v>1</v>
      </c>
    </row>
    <row r="268" spans="2:17" ht="12.95" customHeight="1" x14ac:dyDescent="0.2">
      <c r="B268" s="22">
        <v>44461</v>
      </c>
      <c r="C268" s="41"/>
      <c r="D268" s="24"/>
      <c r="E268" s="25"/>
      <c r="F268" s="26"/>
      <c r="G268" s="27"/>
      <c r="H268" s="28" t="str">
        <f t="shared" si="23"/>
        <v/>
      </c>
      <c r="I268" s="28" t="str">
        <f t="shared" si="23"/>
        <v/>
      </c>
      <c r="J268" s="28" t="str">
        <f t="shared" si="23"/>
        <v/>
      </c>
      <c r="K268" s="28" t="str">
        <f t="shared" si="23"/>
        <v/>
      </c>
      <c r="L268" s="29" t="str">
        <f t="shared" si="23"/>
        <v/>
      </c>
      <c r="M268" s="30" t="str">
        <f t="shared" si="24"/>
        <v/>
      </c>
      <c r="N268" s="199"/>
      <c r="O268" s="199"/>
      <c r="Q268" s="20">
        <f t="shared" si="20"/>
        <v>1</v>
      </c>
    </row>
    <row r="269" spans="2:17" ht="12.95" customHeight="1" thickBot="1" x14ac:dyDescent="0.25">
      <c r="B269" s="22">
        <v>44462</v>
      </c>
      <c r="C269" s="41"/>
      <c r="D269" s="24"/>
      <c r="E269" s="25"/>
      <c r="F269" s="26"/>
      <c r="G269" s="27"/>
      <c r="H269" s="28" t="str">
        <f t="shared" si="23"/>
        <v/>
      </c>
      <c r="I269" s="28" t="str">
        <f t="shared" si="23"/>
        <v/>
      </c>
      <c r="J269" s="28" t="str">
        <f t="shared" si="23"/>
        <v/>
      </c>
      <c r="K269" s="28" t="str">
        <f t="shared" si="23"/>
        <v/>
      </c>
      <c r="L269" s="29" t="str">
        <f t="shared" si="23"/>
        <v/>
      </c>
      <c r="M269" s="30" t="str">
        <f t="shared" si="24"/>
        <v/>
      </c>
      <c r="N269" s="200"/>
      <c r="O269" s="200"/>
      <c r="Q269" s="20">
        <f t="shared" si="20"/>
        <v>1</v>
      </c>
    </row>
    <row r="270" spans="2:17" ht="12.95" customHeight="1" thickBot="1" x14ac:dyDescent="0.25">
      <c r="B270" s="22">
        <v>44463</v>
      </c>
      <c r="C270" s="41"/>
      <c r="D270" s="24"/>
      <c r="E270" s="25"/>
      <c r="F270" s="26"/>
      <c r="G270" s="27"/>
      <c r="H270" s="28" t="str">
        <f t="shared" si="23"/>
        <v/>
      </c>
      <c r="I270" s="28" t="str">
        <f t="shared" si="23"/>
        <v/>
      </c>
      <c r="J270" s="28" t="str">
        <f t="shared" si="23"/>
        <v/>
      </c>
      <c r="K270" s="28" t="str">
        <f t="shared" si="23"/>
        <v/>
      </c>
      <c r="L270" s="29" t="str">
        <f t="shared" si="23"/>
        <v/>
      </c>
      <c r="M270" s="30" t="str">
        <f t="shared" si="24"/>
        <v/>
      </c>
      <c r="N270" s="32">
        <f>SUM(L248:L277)</f>
        <v>0</v>
      </c>
      <c r="O270" s="32">
        <f>SUM(M248:M277)</f>
        <v>0</v>
      </c>
      <c r="Q270" s="20">
        <f t="shared" si="20"/>
        <v>1</v>
      </c>
    </row>
    <row r="271" spans="2:17" ht="12.95" customHeight="1" x14ac:dyDescent="0.2">
      <c r="B271" s="22">
        <v>44464</v>
      </c>
      <c r="C271" s="41"/>
      <c r="D271" s="24"/>
      <c r="E271" s="25"/>
      <c r="F271" s="26"/>
      <c r="G271" s="27"/>
      <c r="H271" s="28" t="str">
        <f t="shared" si="23"/>
        <v/>
      </c>
      <c r="I271" s="28" t="str">
        <f t="shared" si="23"/>
        <v/>
      </c>
      <c r="J271" s="28" t="str">
        <f t="shared" si="23"/>
        <v/>
      </c>
      <c r="K271" s="28" t="str">
        <f t="shared" si="23"/>
        <v/>
      </c>
      <c r="L271" s="29" t="str">
        <f t="shared" si="23"/>
        <v/>
      </c>
      <c r="M271" s="30" t="str">
        <f t="shared" si="24"/>
        <v/>
      </c>
      <c r="N271" s="198" t="s">
        <v>23</v>
      </c>
      <c r="O271" s="198" t="s">
        <v>24</v>
      </c>
      <c r="Q271" s="20">
        <f t="shared" si="20"/>
        <v>1</v>
      </c>
    </row>
    <row r="272" spans="2:17" ht="12.95" customHeight="1" thickBot="1" x14ac:dyDescent="0.25">
      <c r="B272" s="22">
        <v>44465</v>
      </c>
      <c r="C272" s="41"/>
      <c r="D272" s="24"/>
      <c r="E272" s="25"/>
      <c r="F272" s="26"/>
      <c r="G272" s="27"/>
      <c r="H272" s="28" t="str">
        <f t="shared" si="23"/>
        <v/>
      </c>
      <c r="I272" s="28" t="str">
        <f t="shared" si="23"/>
        <v/>
      </c>
      <c r="J272" s="28" t="str">
        <f t="shared" si="23"/>
        <v/>
      </c>
      <c r="K272" s="28" t="str">
        <f t="shared" si="23"/>
        <v/>
      </c>
      <c r="L272" s="29" t="str">
        <f t="shared" si="23"/>
        <v/>
      </c>
      <c r="M272" s="30" t="str">
        <f t="shared" si="24"/>
        <v/>
      </c>
      <c r="N272" s="200"/>
      <c r="O272" s="200"/>
      <c r="Q272" s="20">
        <f t="shared" si="20"/>
        <v>1</v>
      </c>
    </row>
    <row r="273" spans="2:17" ht="12.95" customHeight="1" thickBot="1" x14ac:dyDescent="0.25">
      <c r="B273" s="22">
        <v>44466</v>
      </c>
      <c r="C273" s="41"/>
      <c r="D273" s="24"/>
      <c r="E273" s="25"/>
      <c r="F273" s="26"/>
      <c r="G273" s="27"/>
      <c r="H273" s="28" t="str">
        <f t="shared" si="23"/>
        <v/>
      </c>
      <c r="I273" s="28" t="str">
        <f t="shared" si="23"/>
        <v/>
      </c>
      <c r="J273" s="28" t="str">
        <f t="shared" si="23"/>
        <v/>
      </c>
      <c r="K273" s="28" t="str">
        <f t="shared" si="23"/>
        <v/>
      </c>
      <c r="L273" s="29" t="str">
        <f t="shared" si="23"/>
        <v/>
      </c>
      <c r="M273" s="30" t="str">
        <f t="shared" si="24"/>
        <v/>
      </c>
      <c r="N273" s="32" t="e">
        <f>AVERAGE(L248:L277)</f>
        <v>#DIV/0!</v>
      </c>
      <c r="O273" s="32" t="e">
        <f>AVERAGE(M248:M277)</f>
        <v>#DIV/0!</v>
      </c>
      <c r="Q273" s="20">
        <f t="shared" si="20"/>
        <v>1</v>
      </c>
    </row>
    <row r="274" spans="2:17" ht="12.95" customHeight="1" x14ac:dyDescent="0.2">
      <c r="B274" s="22">
        <v>44467</v>
      </c>
      <c r="C274" s="41"/>
      <c r="D274" s="24"/>
      <c r="E274" s="25"/>
      <c r="F274" s="26"/>
      <c r="G274" s="27"/>
      <c r="H274" s="28" t="str">
        <f t="shared" si="23"/>
        <v/>
      </c>
      <c r="I274" s="28" t="str">
        <f t="shared" si="23"/>
        <v/>
      </c>
      <c r="J274" s="28" t="str">
        <f t="shared" si="23"/>
        <v/>
      </c>
      <c r="K274" s="28" t="str">
        <f t="shared" si="23"/>
        <v/>
      </c>
      <c r="L274" s="29" t="str">
        <f t="shared" si="23"/>
        <v/>
      </c>
      <c r="M274" s="30" t="str">
        <f t="shared" si="24"/>
        <v/>
      </c>
      <c r="O274" s="20">
        <f>IF(L274="",1,0)</f>
        <v>1</v>
      </c>
    </row>
    <row r="275" spans="2:17" ht="12.95" customHeight="1" x14ac:dyDescent="0.2">
      <c r="B275" s="22">
        <v>44468</v>
      </c>
      <c r="C275" s="41"/>
      <c r="D275" s="24"/>
      <c r="E275" s="25"/>
      <c r="F275" s="26"/>
      <c r="G275" s="27"/>
      <c r="H275" s="28" t="str">
        <f t="shared" si="23"/>
        <v/>
      </c>
      <c r="I275" s="28" t="str">
        <f t="shared" si="23"/>
        <v/>
      </c>
      <c r="J275" s="28" t="str">
        <f t="shared" si="23"/>
        <v/>
      </c>
      <c r="K275" s="28" t="str">
        <f t="shared" si="23"/>
        <v/>
      </c>
      <c r="L275" s="29" t="str">
        <f t="shared" si="23"/>
        <v/>
      </c>
      <c r="M275" s="30" t="str">
        <f t="shared" si="24"/>
        <v/>
      </c>
      <c r="O275" s="20">
        <f>IF(L275="",1,0)</f>
        <v>1</v>
      </c>
    </row>
    <row r="276" spans="2:17" ht="12.95" customHeight="1" x14ac:dyDescent="0.2">
      <c r="B276" s="22">
        <v>44469</v>
      </c>
      <c r="C276" s="41"/>
      <c r="D276" s="24"/>
      <c r="E276" s="25"/>
      <c r="F276" s="26"/>
      <c r="G276" s="27"/>
      <c r="H276" s="28" t="str">
        <f t="shared" si="23"/>
        <v/>
      </c>
      <c r="I276" s="28" t="str">
        <f t="shared" si="23"/>
        <v/>
      </c>
      <c r="J276" s="28" t="str">
        <f t="shared" si="23"/>
        <v/>
      </c>
      <c r="K276" s="28" t="str">
        <f t="shared" si="23"/>
        <v/>
      </c>
      <c r="L276" s="29" t="str">
        <f t="shared" si="23"/>
        <v/>
      </c>
      <c r="M276" s="30" t="str">
        <f t="shared" si="24"/>
        <v/>
      </c>
      <c r="O276" s="20">
        <f>IF(L276="",1,0)</f>
        <v>1</v>
      </c>
    </row>
    <row r="277" spans="2:17" ht="12.95" customHeight="1" x14ac:dyDescent="0.2">
      <c r="B277" s="22">
        <v>44470</v>
      </c>
      <c r="C277" s="34"/>
      <c r="D277" s="34"/>
      <c r="E277" s="34"/>
      <c r="F277" s="34"/>
      <c r="G277" s="34"/>
      <c r="H277" s="35" t="str">
        <f t="shared" si="23"/>
        <v/>
      </c>
      <c r="I277" s="39" t="str">
        <f t="shared" si="23"/>
        <v/>
      </c>
      <c r="J277" s="35" t="str">
        <f t="shared" si="23"/>
        <v/>
      </c>
      <c r="K277" s="35" t="str">
        <f t="shared" si="23"/>
        <v/>
      </c>
      <c r="L277" s="36" t="str">
        <f t="shared" si="23"/>
        <v/>
      </c>
      <c r="M277" s="35" t="str">
        <f t="shared" si="24"/>
        <v/>
      </c>
      <c r="Q277" s="20">
        <f t="shared" si="20"/>
        <v>1</v>
      </c>
    </row>
    <row r="278" spans="2:17" ht="12.95" customHeight="1" x14ac:dyDescent="0.2">
      <c r="B278" s="22">
        <v>44471</v>
      </c>
      <c r="C278" s="41"/>
      <c r="D278" s="24"/>
      <c r="E278" s="25"/>
      <c r="F278" s="26"/>
      <c r="G278" s="27"/>
      <c r="H278" s="28" t="str">
        <f>IF(C278="","",+(C278-C277))</f>
        <v/>
      </c>
      <c r="I278" s="28" t="str">
        <f t="shared" si="23"/>
        <v/>
      </c>
      <c r="J278" s="28" t="str">
        <f t="shared" si="23"/>
        <v/>
      </c>
      <c r="K278" s="28" t="str">
        <f t="shared" si="23"/>
        <v/>
      </c>
      <c r="L278" s="29" t="str">
        <f t="shared" si="23"/>
        <v/>
      </c>
      <c r="M278" s="30" t="str">
        <f t="shared" si="24"/>
        <v/>
      </c>
      <c r="Q278" s="20">
        <f t="shared" si="20"/>
        <v>1</v>
      </c>
    </row>
    <row r="279" spans="2:17" ht="12.95" customHeight="1" x14ac:dyDescent="0.2">
      <c r="B279" s="22">
        <v>44472</v>
      </c>
      <c r="C279" s="41"/>
      <c r="D279" s="24"/>
      <c r="E279" s="25"/>
      <c r="F279" s="26"/>
      <c r="G279" s="27"/>
      <c r="H279" s="28" t="str">
        <f t="shared" si="23"/>
        <v/>
      </c>
      <c r="I279" s="28" t="str">
        <f t="shared" si="23"/>
        <v/>
      </c>
      <c r="J279" s="28" t="str">
        <f t="shared" si="23"/>
        <v/>
      </c>
      <c r="K279" s="28" t="str">
        <f t="shared" si="23"/>
        <v/>
      </c>
      <c r="L279" s="29" t="str">
        <f t="shared" si="23"/>
        <v/>
      </c>
      <c r="M279" s="30" t="str">
        <f t="shared" si="24"/>
        <v/>
      </c>
      <c r="Q279" s="20">
        <f t="shared" si="20"/>
        <v>1</v>
      </c>
    </row>
    <row r="280" spans="2:17" ht="12.95" customHeight="1" x14ac:dyDescent="0.2">
      <c r="B280" s="22">
        <v>44473</v>
      </c>
      <c r="C280" s="41"/>
      <c r="D280" s="24"/>
      <c r="E280" s="25"/>
      <c r="F280" s="26"/>
      <c r="G280" s="27"/>
      <c r="H280" s="28" t="str">
        <f t="shared" si="23"/>
        <v/>
      </c>
      <c r="I280" s="28" t="str">
        <f t="shared" si="23"/>
        <v/>
      </c>
      <c r="J280" s="28" t="str">
        <f t="shared" si="23"/>
        <v/>
      </c>
      <c r="K280" s="28" t="str">
        <f t="shared" si="23"/>
        <v/>
      </c>
      <c r="L280" s="29" t="str">
        <f t="shared" si="23"/>
        <v/>
      </c>
      <c r="M280" s="30" t="str">
        <f t="shared" si="24"/>
        <v/>
      </c>
      <c r="Q280" s="20">
        <f t="shared" ref="Q280:Q343" si="25">IF(L280="",1,0)</f>
        <v>1</v>
      </c>
    </row>
    <row r="281" spans="2:17" ht="12.95" customHeight="1" x14ac:dyDescent="0.2">
      <c r="B281" s="22">
        <v>44474</v>
      </c>
      <c r="C281" s="41"/>
      <c r="D281" s="24"/>
      <c r="E281" s="25"/>
      <c r="F281" s="26"/>
      <c r="G281" s="27"/>
      <c r="H281" s="28" t="str">
        <f t="shared" si="23"/>
        <v/>
      </c>
      <c r="I281" s="28" t="str">
        <f t="shared" si="23"/>
        <v/>
      </c>
      <c r="J281" s="28" t="str">
        <f t="shared" si="23"/>
        <v/>
      </c>
      <c r="K281" s="28" t="str">
        <f t="shared" si="23"/>
        <v/>
      </c>
      <c r="L281" s="29" t="str">
        <f t="shared" si="23"/>
        <v/>
      </c>
      <c r="M281" s="30" t="str">
        <f t="shared" si="24"/>
        <v/>
      </c>
      <c r="Q281" s="20">
        <f t="shared" si="25"/>
        <v>1</v>
      </c>
    </row>
    <row r="282" spans="2:17" ht="12.95" customHeight="1" x14ac:dyDescent="0.2">
      <c r="B282" s="22">
        <v>44475</v>
      </c>
      <c r="C282" s="41"/>
      <c r="D282" s="24"/>
      <c r="E282" s="25"/>
      <c r="F282" s="26"/>
      <c r="G282" s="27"/>
      <c r="H282" s="28" t="str">
        <f t="shared" si="23"/>
        <v/>
      </c>
      <c r="I282" s="28" t="str">
        <f t="shared" si="23"/>
        <v/>
      </c>
      <c r="J282" s="28" t="str">
        <f t="shared" si="23"/>
        <v/>
      </c>
      <c r="K282" s="28" t="str">
        <f t="shared" si="23"/>
        <v/>
      </c>
      <c r="L282" s="29" t="str">
        <f t="shared" si="23"/>
        <v/>
      </c>
      <c r="M282" s="30" t="str">
        <f t="shared" si="24"/>
        <v/>
      </c>
      <c r="Q282" s="20">
        <f t="shared" si="25"/>
        <v>1</v>
      </c>
    </row>
    <row r="283" spans="2:17" ht="12.95" customHeight="1" x14ac:dyDescent="0.2">
      <c r="B283" s="22">
        <v>44476</v>
      </c>
      <c r="C283" s="41"/>
      <c r="D283" s="24"/>
      <c r="E283" s="25"/>
      <c r="F283" s="26"/>
      <c r="G283" s="27"/>
      <c r="H283" s="28" t="str">
        <f>IF(C283="","",+(C283-C282))</f>
        <v/>
      </c>
      <c r="I283" s="28" t="str">
        <f t="shared" si="23"/>
        <v/>
      </c>
      <c r="J283" s="28" t="str">
        <f t="shared" si="23"/>
        <v/>
      </c>
      <c r="K283" s="28" t="str">
        <f t="shared" si="23"/>
        <v/>
      </c>
      <c r="L283" s="29" t="str">
        <f t="shared" si="23"/>
        <v/>
      </c>
      <c r="M283" s="30" t="str">
        <f t="shared" si="24"/>
        <v/>
      </c>
      <c r="Q283" s="20">
        <f t="shared" si="25"/>
        <v>1</v>
      </c>
    </row>
    <row r="284" spans="2:17" ht="12.95" customHeight="1" x14ac:dyDescent="0.2">
      <c r="B284" s="22">
        <v>44477</v>
      </c>
      <c r="C284" s="41"/>
      <c r="D284" s="24"/>
      <c r="E284" s="25"/>
      <c r="F284" s="26"/>
      <c r="G284" s="27"/>
      <c r="H284" s="28" t="str">
        <f t="shared" si="23"/>
        <v/>
      </c>
      <c r="I284" s="28" t="str">
        <f t="shared" si="23"/>
        <v/>
      </c>
      <c r="J284" s="28" t="str">
        <f t="shared" si="23"/>
        <v/>
      </c>
      <c r="K284" s="28" t="str">
        <f t="shared" si="23"/>
        <v/>
      </c>
      <c r="L284" s="29" t="str">
        <f t="shared" si="23"/>
        <v/>
      </c>
      <c r="M284" s="30" t="str">
        <f t="shared" si="24"/>
        <v/>
      </c>
      <c r="Q284" s="20">
        <f t="shared" si="25"/>
        <v>1</v>
      </c>
    </row>
    <row r="285" spans="2:17" ht="12.95" customHeight="1" x14ac:dyDescent="0.2">
      <c r="B285" s="22">
        <v>44478</v>
      </c>
      <c r="C285" s="41"/>
      <c r="D285" s="24"/>
      <c r="E285" s="25"/>
      <c r="F285" s="26"/>
      <c r="G285" s="27"/>
      <c r="H285" s="28" t="str">
        <f t="shared" si="23"/>
        <v/>
      </c>
      <c r="I285" s="28" t="str">
        <f t="shared" si="23"/>
        <v/>
      </c>
      <c r="J285" s="28" t="str">
        <f t="shared" si="23"/>
        <v/>
      </c>
      <c r="K285" s="28" t="str">
        <f t="shared" si="23"/>
        <v/>
      </c>
      <c r="L285" s="29" t="str">
        <f t="shared" si="23"/>
        <v/>
      </c>
      <c r="M285" s="30" t="str">
        <f t="shared" si="24"/>
        <v/>
      </c>
      <c r="Q285" s="20">
        <f t="shared" si="25"/>
        <v>1</v>
      </c>
    </row>
    <row r="286" spans="2:17" ht="12.95" customHeight="1" x14ac:dyDescent="0.2">
      <c r="B286" s="22">
        <v>44479</v>
      </c>
      <c r="C286" s="41"/>
      <c r="D286" s="24"/>
      <c r="E286" s="25"/>
      <c r="F286" s="26"/>
      <c r="G286" s="27"/>
      <c r="H286" s="28" t="str">
        <f t="shared" si="23"/>
        <v/>
      </c>
      <c r="I286" s="28" t="str">
        <f t="shared" si="23"/>
        <v/>
      </c>
      <c r="J286" s="28" t="str">
        <f t="shared" si="23"/>
        <v/>
      </c>
      <c r="K286" s="28" t="str">
        <f t="shared" si="23"/>
        <v/>
      </c>
      <c r="L286" s="29" t="str">
        <f t="shared" si="23"/>
        <v/>
      </c>
      <c r="M286" s="30" t="str">
        <f t="shared" si="24"/>
        <v/>
      </c>
      <c r="Q286" s="20">
        <f t="shared" si="25"/>
        <v>1</v>
      </c>
    </row>
    <row r="287" spans="2:17" ht="12.95" customHeight="1" x14ac:dyDescent="0.2">
      <c r="B287" s="22">
        <v>44480</v>
      </c>
      <c r="C287" s="41"/>
      <c r="D287" s="24"/>
      <c r="E287" s="25"/>
      <c r="F287" s="26"/>
      <c r="G287" s="27"/>
      <c r="H287" s="28" t="str">
        <f t="shared" si="23"/>
        <v/>
      </c>
      <c r="I287" s="28" t="str">
        <f t="shared" si="23"/>
        <v/>
      </c>
      <c r="J287" s="28" t="str">
        <f t="shared" si="23"/>
        <v/>
      </c>
      <c r="K287" s="28" t="str">
        <f t="shared" si="23"/>
        <v/>
      </c>
      <c r="L287" s="29" t="str">
        <f t="shared" si="23"/>
        <v/>
      </c>
      <c r="M287" s="30" t="str">
        <f t="shared" si="24"/>
        <v/>
      </c>
      <c r="Q287" s="20">
        <f t="shared" si="25"/>
        <v>1</v>
      </c>
    </row>
    <row r="288" spans="2:17" ht="12.95" customHeight="1" x14ac:dyDescent="0.2">
      <c r="B288" s="22">
        <v>44481</v>
      </c>
      <c r="C288" s="41"/>
      <c r="D288" s="24"/>
      <c r="E288" s="25"/>
      <c r="F288" s="26"/>
      <c r="G288" s="27"/>
      <c r="H288" s="28" t="str">
        <f t="shared" si="23"/>
        <v/>
      </c>
      <c r="I288" s="28" t="str">
        <f t="shared" si="23"/>
        <v/>
      </c>
      <c r="J288" s="28" t="str">
        <f t="shared" si="23"/>
        <v/>
      </c>
      <c r="K288" s="28" t="str">
        <f t="shared" si="23"/>
        <v/>
      </c>
      <c r="L288" s="29" t="str">
        <f t="shared" si="23"/>
        <v/>
      </c>
      <c r="M288" s="30" t="str">
        <f t="shared" si="24"/>
        <v/>
      </c>
      <c r="Q288" s="20">
        <f t="shared" si="25"/>
        <v>1</v>
      </c>
    </row>
    <row r="289" spans="2:17" ht="12.95" customHeight="1" x14ac:dyDescent="0.2">
      <c r="B289" s="22">
        <v>44482</v>
      </c>
      <c r="C289" s="41"/>
      <c r="D289" s="24"/>
      <c r="E289" s="25"/>
      <c r="F289" s="26"/>
      <c r="G289" s="27"/>
      <c r="H289" s="28" t="str">
        <f t="shared" si="23"/>
        <v/>
      </c>
      <c r="I289" s="28" t="str">
        <f t="shared" si="23"/>
        <v/>
      </c>
      <c r="J289" s="28" t="str">
        <f t="shared" si="23"/>
        <v/>
      </c>
      <c r="K289" s="28" t="str">
        <f t="shared" si="23"/>
        <v/>
      </c>
      <c r="L289" s="29" t="str">
        <f t="shared" si="23"/>
        <v/>
      </c>
      <c r="M289" s="30" t="str">
        <f t="shared" si="24"/>
        <v/>
      </c>
      <c r="Q289" s="20">
        <f t="shared" si="25"/>
        <v>1</v>
      </c>
    </row>
    <row r="290" spans="2:17" ht="12.95" customHeight="1" x14ac:dyDescent="0.2">
      <c r="B290" s="22">
        <v>44483</v>
      </c>
      <c r="C290" s="41"/>
      <c r="D290" s="24"/>
      <c r="E290" s="25"/>
      <c r="F290" s="26"/>
      <c r="G290" s="27"/>
      <c r="H290" s="28" t="str">
        <f t="shared" si="23"/>
        <v/>
      </c>
      <c r="I290" s="28" t="str">
        <f t="shared" si="23"/>
        <v/>
      </c>
      <c r="J290" s="28" t="str">
        <f t="shared" si="23"/>
        <v/>
      </c>
      <c r="K290" s="28" t="str">
        <f t="shared" si="23"/>
        <v/>
      </c>
      <c r="L290" s="29" t="str">
        <f t="shared" si="23"/>
        <v/>
      </c>
      <c r="M290" s="30" t="str">
        <f t="shared" si="24"/>
        <v/>
      </c>
      <c r="Q290" s="20">
        <f t="shared" si="25"/>
        <v>1</v>
      </c>
    </row>
    <row r="291" spans="2:17" ht="12.95" customHeight="1" x14ac:dyDescent="0.2">
      <c r="B291" s="22">
        <v>44484</v>
      </c>
      <c r="C291" s="41"/>
      <c r="D291" s="24"/>
      <c r="E291" s="25"/>
      <c r="F291" s="26"/>
      <c r="G291" s="27"/>
      <c r="H291" s="28" t="str">
        <f t="shared" si="23"/>
        <v/>
      </c>
      <c r="I291" s="28" t="str">
        <f t="shared" si="23"/>
        <v/>
      </c>
      <c r="J291" s="28" t="str">
        <f t="shared" si="23"/>
        <v/>
      </c>
      <c r="K291" s="28" t="str">
        <f t="shared" si="23"/>
        <v/>
      </c>
      <c r="L291" s="29" t="str">
        <f t="shared" si="23"/>
        <v/>
      </c>
      <c r="M291" s="30" t="str">
        <f t="shared" si="24"/>
        <v/>
      </c>
      <c r="Q291" s="20">
        <f t="shared" si="25"/>
        <v>1</v>
      </c>
    </row>
    <row r="292" spans="2:17" ht="12.95" customHeight="1" x14ac:dyDescent="0.2">
      <c r="B292" s="22">
        <v>44485</v>
      </c>
      <c r="C292" s="41"/>
      <c r="D292" s="24"/>
      <c r="E292" s="25"/>
      <c r="F292" s="26"/>
      <c r="G292" s="27"/>
      <c r="H292" s="28" t="str">
        <f t="shared" si="23"/>
        <v/>
      </c>
      <c r="I292" s="28" t="str">
        <f t="shared" si="23"/>
        <v/>
      </c>
      <c r="J292" s="28" t="str">
        <f t="shared" si="23"/>
        <v/>
      </c>
      <c r="K292" s="28" t="str">
        <f t="shared" si="23"/>
        <v/>
      </c>
      <c r="L292" s="29" t="str">
        <f t="shared" si="23"/>
        <v/>
      </c>
      <c r="M292" s="30" t="str">
        <f t="shared" si="24"/>
        <v/>
      </c>
      <c r="Q292" s="20">
        <f t="shared" si="25"/>
        <v>1</v>
      </c>
    </row>
    <row r="293" spans="2:17" ht="12.95" customHeight="1" x14ac:dyDescent="0.2">
      <c r="B293" s="22">
        <v>44486</v>
      </c>
      <c r="C293" s="41"/>
      <c r="D293" s="24"/>
      <c r="E293" s="25"/>
      <c r="F293" s="26"/>
      <c r="G293" s="27"/>
      <c r="H293" s="28" t="str">
        <f t="shared" si="23"/>
        <v/>
      </c>
      <c r="I293" s="28" t="str">
        <f t="shared" si="23"/>
        <v/>
      </c>
      <c r="J293" s="28" t="str">
        <f t="shared" si="23"/>
        <v/>
      </c>
      <c r="K293" s="28" t="str">
        <f t="shared" si="23"/>
        <v/>
      </c>
      <c r="L293" s="29" t="str">
        <f t="shared" si="23"/>
        <v/>
      </c>
      <c r="M293" s="30" t="str">
        <f t="shared" si="24"/>
        <v/>
      </c>
      <c r="Q293" s="20">
        <f t="shared" si="25"/>
        <v>1</v>
      </c>
    </row>
    <row r="294" spans="2:17" ht="12.95" customHeight="1" x14ac:dyDescent="0.2">
      <c r="B294" s="22">
        <v>44487</v>
      </c>
      <c r="C294" s="41"/>
      <c r="D294" s="24"/>
      <c r="E294" s="25"/>
      <c r="F294" s="26"/>
      <c r="G294" s="27"/>
      <c r="H294" s="28" t="str">
        <f t="shared" si="23"/>
        <v/>
      </c>
      <c r="I294" s="28" t="str">
        <f t="shared" si="23"/>
        <v/>
      </c>
      <c r="J294" s="28" t="str">
        <f t="shared" si="23"/>
        <v/>
      </c>
      <c r="K294" s="28" t="str">
        <f t="shared" si="23"/>
        <v/>
      </c>
      <c r="L294" s="29" t="str">
        <f t="shared" si="23"/>
        <v/>
      </c>
      <c r="M294" s="30" t="str">
        <f t="shared" si="24"/>
        <v/>
      </c>
      <c r="Q294" s="20">
        <f t="shared" si="25"/>
        <v>1</v>
      </c>
    </row>
    <row r="295" spans="2:17" ht="12.95" customHeight="1" x14ac:dyDescent="0.2">
      <c r="B295" s="22">
        <v>44488</v>
      </c>
      <c r="C295" s="41"/>
      <c r="D295" s="24"/>
      <c r="E295" s="25"/>
      <c r="F295" s="26"/>
      <c r="G295" s="27"/>
      <c r="H295" s="28" t="str">
        <f t="shared" si="23"/>
        <v/>
      </c>
      <c r="I295" s="28" t="str">
        <f t="shared" si="23"/>
        <v/>
      </c>
      <c r="J295" s="28" t="str">
        <f t="shared" si="23"/>
        <v/>
      </c>
      <c r="K295" s="28" t="str">
        <f t="shared" si="23"/>
        <v/>
      </c>
      <c r="L295" s="29" t="str">
        <f t="shared" si="23"/>
        <v/>
      </c>
      <c r="M295" s="30" t="str">
        <f t="shared" si="24"/>
        <v/>
      </c>
      <c r="Q295" s="20">
        <f t="shared" si="25"/>
        <v>1</v>
      </c>
    </row>
    <row r="296" spans="2:17" ht="12.95" customHeight="1" x14ac:dyDescent="0.2">
      <c r="B296" s="22">
        <v>44489</v>
      </c>
      <c r="C296" s="41"/>
      <c r="D296" s="24"/>
      <c r="E296" s="25"/>
      <c r="F296" s="26"/>
      <c r="G296" s="27"/>
      <c r="H296" s="28" t="str">
        <f t="shared" si="23"/>
        <v/>
      </c>
      <c r="I296" s="28" t="str">
        <f t="shared" si="23"/>
        <v/>
      </c>
      <c r="J296" s="28" t="str">
        <f t="shared" si="23"/>
        <v/>
      </c>
      <c r="K296" s="28" t="str">
        <f t="shared" si="23"/>
        <v/>
      </c>
      <c r="L296" s="29" t="str">
        <f t="shared" si="23"/>
        <v/>
      </c>
      <c r="M296" s="30" t="str">
        <f t="shared" si="24"/>
        <v/>
      </c>
      <c r="Q296" s="20">
        <f t="shared" si="25"/>
        <v>1</v>
      </c>
    </row>
    <row r="297" spans="2:17" ht="12.95" customHeight="1" thickBot="1" x14ac:dyDescent="0.25">
      <c r="B297" s="22">
        <v>44490</v>
      </c>
      <c r="C297" s="41"/>
      <c r="D297" s="24"/>
      <c r="E297" s="25"/>
      <c r="F297" s="26"/>
      <c r="G297" s="27"/>
      <c r="H297" s="28" t="str">
        <f t="shared" si="23"/>
        <v/>
      </c>
      <c r="I297" s="28" t="str">
        <f t="shared" si="23"/>
        <v/>
      </c>
      <c r="J297" s="28" t="str">
        <f t="shared" si="23"/>
        <v/>
      </c>
      <c r="K297" s="28" t="str">
        <f t="shared" si="23"/>
        <v/>
      </c>
      <c r="L297" s="29" t="str">
        <f t="shared" si="23"/>
        <v/>
      </c>
      <c r="M297" s="30" t="str">
        <f t="shared" si="24"/>
        <v/>
      </c>
      <c r="Q297" s="20">
        <f t="shared" si="25"/>
        <v>1</v>
      </c>
    </row>
    <row r="298" spans="2:17" ht="12.95" customHeight="1" x14ac:dyDescent="0.2">
      <c r="B298" s="22">
        <v>44491</v>
      </c>
      <c r="C298" s="41"/>
      <c r="D298" s="24"/>
      <c r="E298" s="25"/>
      <c r="F298" s="26"/>
      <c r="G298" s="27"/>
      <c r="H298" s="28" t="str">
        <f t="shared" si="23"/>
        <v/>
      </c>
      <c r="I298" s="28" t="str">
        <f t="shared" si="23"/>
        <v/>
      </c>
      <c r="J298" s="28" t="str">
        <f t="shared" si="23"/>
        <v/>
      </c>
      <c r="K298" s="28" t="str">
        <f t="shared" si="23"/>
        <v/>
      </c>
      <c r="L298" s="29" t="str">
        <f t="shared" si="23"/>
        <v/>
      </c>
      <c r="M298" s="30" t="str">
        <f t="shared" si="24"/>
        <v/>
      </c>
      <c r="N298" s="198" t="s">
        <v>21</v>
      </c>
      <c r="O298" s="198" t="s">
        <v>22</v>
      </c>
      <c r="Q298" s="20">
        <f t="shared" si="25"/>
        <v>1</v>
      </c>
    </row>
    <row r="299" spans="2:17" ht="12.95" customHeight="1" x14ac:dyDescent="0.2">
      <c r="B299" s="22">
        <v>44492</v>
      </c>
      <c r="C299" s="41"/>
      <c r="D299" s="24"/>
      <c r="E299" s="25"/>
      <c r="F299" s="26"/>
      <c r="G299" s="27"/>
      <c r="H299" s="28" t="str">
        <f t="shared" si="23"/>
        <v/>
      </c>
      <c r="I299" s="28" t="str">
        <f t="shared" si="23"/>
        <v/>
      </c>
      <c r="J299" s="28" t="str">
        <f t="shared" si="23"/>
        <v/>
      </c>
      <c r="K299" s="28" t="str">
        <f t="shared" si="23"/>
        <v/>
      </c>
      <c r="L299" s="29" t="str">
        <f t="shared" si="23"/>
        <v/>
      </c>
      <c r="M299" s="30" t="str">
        <f t="shared" si="24"/>
        <v/>
      </c>
      <c r="N299" s="199"/>
      <c r="O299" s="199"/>
      <c r="Q299" s="20">
        <f t="shared" si="25"/>
        <v>1</v>
      </c>
    </row>
    <row r="300" spans="2:17" ht="12.95" customHeight="1" thickBot="1" x14ac:dyDescent="0.25">
      <c r="B300" s="22">
        <v>44493</v>
      </c>
      <c r="C300" s="41"/>
      <c r="D300" s="24"/>
      <c r="E300" s="25"/>
      <c r="F300" s="26"/>
      <c r="G300" s="27"/>
      <c r="H300" s="28" t="str">
        <f t="shared" si="23"/>
        <v/>
      </c>
      <c r="I300" s="28" t="str">
        <f t="shared" si="23"/>
        <v/>
      </c>
      <c r="J300" s="28" t="str">
        <f t="shared" si="23"/>
        <v/>
      </c>
      <c r="K300" s="28" t="str">
        <f t="shared" si="23"/>
        <v/>
      </c>
      <c r="L300" s="29" t="str">
        <f t="shared" si="23"/>
        <v/>
      </c>
      <c r="M300" s="30" t="str">
        <f t="shared" si="24"/>
        <v/>
      </c>
      <c r="N300" s="200"/>
      <c r="O300" s="200"/>
      <c r="Q300" s="20">
        <f t="shared" si="25"/>
        <v>1</v>
      </c>
    </row>
    <row r="301" spans="2:17" ht="12.95" customHeight="1" thickBot="1" x14ac:dyDescent="0.25">
      <c r="B301" s="22">
        <v>44494</v>
      </c>
      <c r="C301" s="41"/>
      <c r="D301" s="24"/>
      <c r="E301" s="25"/>
      <c r="F301" s="26"/>
      <c r="G301" s="27"/>
      <c r="H301" s="28" t="str">
        <f>IF(C301="","",+(C301-C300))</f>
        <v/>
      </c>
      <c r="I301" s="28" t="str">
        <f t="shared" si="23"/>
        <v/>
      </c>
      <c r="J301" s="28" t="str">
        <f t="shared" si="23"/>
        <v/>
      </c>
      <c r="K301" s="28" t="str">
        <f t="shared" si="23"/>
        <v/>
      </c>
      <c r="L301" s="29" t="str">
        <f t="shared" si="23"/>
        <v/>
      </c>
      <c r="M301" s="30" t="str">
        <f t="shared" si="24"/>
        <v/>
      </c>
      <c r="N301" s="32">
        <f>SUM(L278:L308)</f>
        <v>0</v>
      </c>
      <c r="O301" s="32">
        <f>SUM(M278:M308)</f>
        <v>0</v>
      </c>
      <c r="Q301" s="20">
        <f t="shared" si="25"/>
        <v>1</v>
      </c>
    </row>
    <row r="302" spans="2:17" ht="12.95" customHeight="1" x14ac:dyDescent="0.2">
      <c r="B302" s="22">
        <v>44495</v>
      </c>
      <c r="C302" s="41"/>
      <c r="D302" s="24"/>
      <c r="E302" s="25"/>
      <c r="F302" s="26"/>
      <c r="G302" s="27"/>
      <c r="H302" s="28" t="str">
        <f t="shared" si="23"/>
        <v/>
      </c>
      <c r="I302" s="28" t="str">
        <f t="shared" si="23"/>
        <v/>
      </c>
      <c r="J302" s="28" t="str">
        <f t="shared" si="23"/>
        <v/>
      </c>
      <c r="K302" s="28" t="str">
        <f t="shared" si="23"/>
        <v/>
      </c>
      <c r="L302" s="29" t="str">
        <f t="shared" si="23"/>
        <v/>
      </c>
      <c r="M302" s="30" t="str">
        <f t="shared" si="24"/>
        <v/>
      </c>
      <c r="N302" s="198" t="s">
        <v>23</v>
      </c>
      <c r="O302" s="198" t="s">
        <v>24</v>
      </c>
      <c r="Q302" s="20">
        <f t="shared" si="25"/>
        <v>1</v>
      </c>
    </row>
    <row r="303" spans="2:17" ht="12.95" customHeight="1" thickBot="1" x14ac:dyDescent="0.25">
      <c r="B303" s="22">
        <v>44496</v>
      </c>
      <c r="C303" s="41"/>
      <c r="D303" s="24"/>
      <c r="E303" s="25"/>
      <c r="F303" s="26"/>
      <c r="G303" s="27"/>
      <c r="H303" s="28" t="str">
        <f t="shared" si="23"/>
        <v/>
      </c>
      <c r="I303" s="28" t="str">
        <f t="shared" si="23"/>
        <v/>
      </c>
      <c r="J303" s="28" t="str">
        <f t="shared" si="23"/>
        <v/>
      </c>
      <c r="K303" s="28" t="str">
        <f t="shared" si="23"/>
        <v/>
      </c>
      <c r="L303" s="29" t="str">
        <f t="shared" si="23"/>
        <v/>
      </c>
      <c r="M303" s="30" t="str">
        <f t="shared" si="24"/>
        <v/>
      </c>
      <c r="N303" s="200"/>
      <c r="O303" s="200"/>
      <c r="Q303" s="20">
        <f t="shared" si="25"/>
        <v>1</v>
      </c>
    </row>
    <row r="304" spans="2:17" ht="12.95" customHeight="1" thickBot="1" x14ac:dyDescent="0.25">
      <c r="B304" s="22">
        <v>44497</v>
      </c>
      <c r="C304" s="41"/>
      <c r="D304" s="24"/>
      <c r="E304" s="25"/>
      <c r="F304" s="26"/>
      <c r="G304" s="27"/>
      <c r="H304" s="28" t="str">
        <f t="shared" si="23"/>
        <v/>
      </c>
      <c r="I304" s="28" t="str">
        <f t="shared" si="23"/>
        <v/>
      </c>
      <c r="J304" s="28" t="str">
        <f t="shared" si="23"/>
        <v/>
      </c>
      <c r="K304" s="28" t="str">
        <f t="shared" si="23"/>
        <v/>
      </c>
      <c r="L304" s="29" t="str">
        <f t="shared" si="23"/>
        <v/>
      </c>
      <c r="M304" s="30" t="str">
        <f t="shared" si="24"/>
        <v/>
      </c>
      <c r="N304" s="32" t="e">
        <f>AVERAGE(L278:L308)</f>
        <v>#DIV/0!</v>
      </c>
      <c r="O304" s="32" t="e">
        <f>AVERAGE(M278:M308)</f>
        <v>#DIV/0!</v>
      </c>
      <c r="Q304" s="20">
        <f t="shared" si="25"/>
        <v>1</v>
      </c>
    </row>
    <row r="305" spans="1:17" ht="12.95" customHeight="1" x14ac:dyDescent="0.2">
      <c r="B305" s="22">
        <v>44498</v>
      </c>
      <c r="C305" s="41"/>
      <c r="D305" s="24"/>
      <c r="E305" s="25"/>
      <c r="F305" s="26"/>
      <c r="G305" s="27"/>
      <c r="H305" s="28" t="str">
        <f t="shared" si="23"/>
        <v/>
      </c>
      <c r="I305" s="28" t="str">
        <f t="shared" si="23"/>
        <v/>
      </c>
      <c r="J305" s="28" t="str">
        <f t="shared" si="23"/>
        <v/>
      </c>
      <c r="K305" s="28" t="str">
        <f t="shared" si="23"/>
        <v/>
      </c>
      <c r="L305" s="29" t="str">
        <f t="shared" si="23"/>
        <v/>
      </c>
      <c r="M305" s="30" t="str">
        <f t="shared" si="24"/>
        <v/>
      </c>
      <c r="O305" s="20">
        <f>IF(L305="",1,0)</f>
        <v>1</v>
      </c>
    </row>
    <row r="306" spans="1:17" ht="12.95" customHeight="1" x14ac:dyDescent="0.2">
      <c r="B306" s="22">
        <v>44499</v>
      </c>
      <c r="C306" s="41"/>
      <c r="D306" s="24"/>
      <c r="E306" s="25"/>
      <c r="F306" s="26"/>
      <c r="G306" s="27"/>
      <c r="H306" s="28" t="str">
        <f t="shared" si="23"/>
        <v/>
      </c>
      <c r="I306" s="28" t="str">
        <f t="shared" si="23"/>
        <v/>
      </c>
      <c r="J306" s="28" t="str">
        <f t="shared" si="23"/>
        <v/>
      </c>
      <c r="K306" s="28" t="str">
        <f t="shared" si="23"/>
        <v/>
      </c>
      <c r="L306" s="29" t="str">
        <f t="shared" si="23"/>
        <v/>
      </c>
      <c r="M306" s="30" t="str">
        <f t="shared" si="24"/>
        <v/>
      </c>
      <c r="O306" s="20">
        <f>IF(L306="",1,0)</f>
        <v>1</v>
      </c>
    </row>
    <row r="307" spans="1:17" ht="12.95" customHeight="1" x14ac:dyDescent="0.2">
      <c r="B307" s="22">
        <v>44500</v>
      </c>
      <c r="C307" s="41"/>
      <c r="D307" s="24"/>
      <c r="E307" s="25"/>
      <c r="F307" s="26"/>
      <c r="G307" s="27"/>
      <c r="H307" s="28" t="str">
        <f t="shared" si="23"/>
        <v/>
      </c>
      <c r="I307" s="28" t="str">
        <f t="shared" si="23"/>
        <v/>
      </c>
      <c r="J307" s="28" t="str">
        <f t="shared" si="23"/>
        <v/>
      </c>
      <c r="K307" s="28" t="str">
        <f t="shared" si="23"/>
        <v/>
      </c>
      <c r="L307" s="29" t="str">
        <f t="shared" si="23"/>
        <v/>
      </c>
      <c r="M307" s="30" t="str">
        <f t="shared" si="24"/>
        <v/>
      </c>
      <c r="O307" s="20">
        <f>IF(L307="",1,0)</f>
        <v>1</v>
      </c>
    </row>
    <row r="308" spans="1:17" ht="12.95" customHeight="1" x14ac:dyDescent="0.2">
      <c r="B308" s="22">
        <v>44501</v>
      </c>
      <c r="C308" s="34"/>
      <c r="D308" s="34"/>
      <c r="E308" s="34"/>
      <c r="F308" s="34"/>
      <c r="G308" s="34"/>
      <c r="H308" s="35" t="str">
        <f t="shared" si="23"/>
        <v/>
      </c>
      <c r="I308" s="39" t="str">
        <f t="shared" si="23"/>
        <v/>
      </c>
      <c r="J308" s="35" t="str">
        <f t="shared" si="23"/>
        <v/>
      </c>
      <c r="K308" s="35" t="str">
        <f t="shared" si="23"/>
        <v/>
      </c>
      <c r="L308" s="36" t="str">
        <f t="shared" si="23"/>
        <v/>
      </c>
      <c r="M308" s="35" t="str">
        <f t="shared" si="24"/>
        <v/>
      </c>
      <c r="Q308" s="20">
        <f t="shared" si="25"/>
        <v>1</v>
      </c>
    </row>
    <row r="309" spans="1:17" ht="12.95" customHeight="1" x14ac:dyDescent="0.2">
      <c r="B309" s="22">
        <v>44502</v>
      </c>
      <c r="C309" s="41"/>
      <c r="D309" s="24"/>
      <c r="E309" s="25"/>
      <c r="F309" s="26"/>
      <c r="G309" s="27"/>
      <c r="H309" s="28" t="str">
        <f t="shared" si="23"/>
        <v/>
      </c>
      <c r="I309" s="28" t="str">
        <f t="shared" si="23"/>
        <v/>
      </c>
      <c r="J309" s="28" t="str">
        <f t="shared" si="23"/>
        <v/>
      </c>
      <c r="K309" s="28" t="str">
        <f t="shared" si="23"/>
        <v/>
      </c>
      <c r="L309" s="29" t="str">
        <f t="shared" si="23"/>
        <v/>
      </c>
      <c r="M309" s="30" t="str">
        <f t="shared" si="24"/>
        <v/>
      </c>
      <c r="Q309" s="20">
        <f t="shared" si="25"/>
        <v>1</v>
      </c>
    </row>
    <row r="310" spans="1:17" ht="12.95" customHeight="1" x14ac:dyDescent="0.2">
      <c r="B310" s="22">
        <v>44503</v>
      </c>
      <c r="C310" s="41"/>
      <c r="D310" s="24"/>
      <c r="E310" s="25"/>
      <c r="F310" s="26"/>
      <c r="G310" s="27"/>
      <c r="H310" s="28" t="str">
        <f t="shared" si="23"/>
        <v/>
      </c>
      <c r="I310" s="28" t="str">
        <f t="shared" si="23"/>
        <v/>
      </c>
      <c r="J310" s="28" t="str">
        <f t="shared" si="23"/>
        <v/>
      </c>
      <c r="K310" s="28" t="str">
        <f t="shared" si="23"/>
        <v/>
      </c>
      <c r="L310" s="29" t="str">
        <f t="shared" si="23"/>
        <v/>
      </c>
      <c r="M310" s="30" t="str">
        <f t="shared" si="24"/>
        <v/>
      </c>
      <c r="Q310" s="20">
        <f t="shared" si="25"/>
        <v>1</v>
      </c>
    </row>
    <row r="311" spans="1:17" ht="12.95" customHeight="1" x14ac:dyDescent="0.2">
      <c r="B311" s="22">
        <v>44504</v>
      </c>
      <c r="C311" s="41"/>
      <c r="D311" s="24"/>
      <c r="E311" s="25"/>
      <c r="F311" s="26"/>
      <c r="G311" s="27"/>
      <c r="H311" s="28" t="str">
        <f t="shared" si="23"/>
        <v/>
      </c>
      <c r="I311" s="28" t="str">
        <f t="shared" si="23"/>
        <v/>
      </c>
      <c r="J311" s="28" t="str">
        <f t="shared" si="23"/>
        <v/>
      </c>
      <c r="K311" s="28" t="str">
        <f t="shared" si="23"/>
        <v/>
      </c>
      <c r="L311" s="29" t="str">
        <f t="shared" si="23"/>
        <v/>
      </c>
      <c r="M311" s="30" t="str">
        <f t="shared" si="24"/>
        <v/>
      </c>
      <c r="Q311" s="20">
        <f t="shared" si="25"/>
        <v>1</v>
      </c>
    </row>
    <row r="312" spans="1:17" ht="12.95" customHeight="1" x14ac:dyDescent="0.2">
      <c r="B312" s="22">
        <v>44505</v>
      </c>
      <c r="C312" s="41"/>
      <c r="D312" s="24"/>
      <c r="E312" s="25"/>
      <c r="F312" s="26"/>
      <c r="G312" s="27"/>
      <c r="H312" s="28" t="str">
        <f t="shared" si="23"/>
        <v/>
      </c>
      <c r="I312" s="28" t="str">
        <f t="shared" si="23"/>
        <v/>
      </c>
      <c r="J312" s="28" t="str">
        <f t="shared" si="23"/>
        <v/>
      </c>
      <c r="K312" s="28" t="str">
        <f t="shared" si="23"/>
        <v/>
      </c>
      <c r="L312" s="29" t="str">
        <f t="shared" si="23"/>
        <v/>
      </c>
      <c r="M312" s="30" t="str">
        <f t="shared" si="24"/>
        <v/>
      </c>
      <c r="Q312" s="20">
        <f t="shared" si="25"/>
        <v>1</v>
      </c>
    </row>
    <row r="313" spans="1:17" ht="12.95" customHeight="1" x14ac:dyDescent="0.2">
      <c r="A313" s="9" t="s">
        <v>29</v>
      </c>
      <c r="B313" s="22">
        <v>44506</v>
      </c>
      <c r="C313" s="41"/>
      <c r="D313" s="24"/>
      <c r="E313" s="25"/>
      <c r="F313" s="26"/>
      <c r="G313" s="27"/>
      <c r="H313" s="28" t="str">
        <f t="shared" si="23"/>
        <v/>
      </c>
      <c r="I313" s="28" t="str">
        <f t="shared" si="23"/>
        <v/>
      </c>
      <c r="J313" s="28" t="str">
        <f t="shared" si="23"/>
        <v/>
      </c>
      <c r="K313" s="28" t="str">
        <f t="shared" si="23"/>
        <v/>
      </c>
      <c r="L313" s="29" t="str">
        <f t="shared" si="23"/>
        <v/>
      </c>
      <c r="M313" s="30" t="str">
        <f t="shared" si="24"/>
        <v/>
      </c>
      <c r="Q313" s="20">
        <f t="shared" si="25"/>
        <v>1</v>
      </c>
    </row>
    <row r="314" spans="1:17" ht="12.95" customHeight="1" x14ac:dyDescent="0.2">
      <c r="B314" s="22">
        <v>44507</v>
      </c>
      <c r="C314" s="41"/>
      <c r="D314" s="24"/>
      <c r="E314" s="25"/>
      <c r="F314" s="26"/>
      <c r="G314" s="27"/>
      <c r="H314" s="28" t="str">
        <f t="shared" si="23"/>
        <v/>
      </c>
      <c r="I314" s="28" t="str">
        <f t="shared" si="23"/>
        <v/>
      </c>
      <c r="J314" s="28" t="str">
        <f t="shared" si="23"/>
        <v/>
      </c>
      <c r="K314" s="28" t="str">
        <f t="shared" si="23"/>
        <v/>
      </c>
      <c r="L314" s="29" t="str">
        <f t="shared" si="23"/>
        <v/>
      </c>
      <c r="M314" s="30" t="str">
        <f t="shared" si="24"/>
        <v/>
      </c>
      <c r="Q314" s="20">
        <f t="shared" si="25"/>
        <v>1</v>
      </c>
    </row>
    <row r="315" spans="1:17" ht="12.95" customHeight="1" x14ac:dyDescent="0.2">
      <c r="B315" s="22">
        <v>44508</v>
      </c>
      <c r="C315" s="41"/>
      <c r="D315" s="24"/>
      <c r="E315" s="25"/>
      <c r="F315" s="26"/>
      <c r="G315" s="27"/>
      <c r="H315" s="28" t="str">
        <f t="shared" si="23"/>
        <v/>
      </c>
      <c r="I315" s="28" t="str">
        <f t="shared" si="23"/>
        <v/>
      </c>
      <c r="J315" s="28" t="str">
        <f t="shared" si="23"/>
        <v/>
      </c>
      <c r="K315" s="28" t="str">
        <f t="shared" si="23"/>
        <v/>
      </c>
      <c r="L315" s="29" t="str">
        <f t="shared" si="23"/>
        <v/>
      </c>
      <c r="M315" s="30" t="str">
        <f t="shared" si="24"/>
        <v/>
      </c>
      <c r="Q315" s="20">
        <f t="shared" si="25"/>
        <v>1</v>
      </c>
    </row>
    <row r="316" spans="1:17" ht="12.95" customHeight="1" x14ac:dyDescent="0.2">
      <c r="B316" s="22">
        <v>44509</v>
      </c>
      <c r="C316" s="41"/>
      <c r="D316" s="24"/>
      <c r="E316" s="25"/>
      <c r="F316" s="26"/>
      <c r="G316" s="27"/>
      <c r="H316" s="28" t="str">
        <f t="shared" ref="H316:L367" si="26">IF(C316="","",+(C316-C315))</f>
        <v/>
      </c>
      <c r="I316" s="28" t="str">
        <f t="shared" si="26"/>
        <v/>
      </c>
      <c r="J316" s="28" t="str">
        <f t="shared" si="26"/>
        <v/>
      </c>
      <c r="K316" s="28" t="str">
        <f t="shared" si="26"/>
        <v/>
      </c>
      <c r="L316" s="29" t="str">
        <f t="shared" si="26"/>
        <v/>
      </c>
      <c r="M316" s="30" t="str">
        <f t="shared" si="24"/>
        <v/>
      </c>
      <c r="Q316" s="20">
        <f t="shared" si="25"/>
        <v>1</v>
      </c>
    </row>
    <row r="317" spans="1:17" ht="12.95" customHeight="1" x14ac:dyDescent="0.2">
      <c r="B317" s="22">
        <v>44510</v>
      </c>
      <c r="C317" s="41"/>
      <c r="D317" s="24"/>
      <c r="E317" s="25"/>
      <c r="F317" s="26"/>
      <c r="G317" s="27"/>
      <c r="H317" s="28" t="str">
        <f t="shared" si="26"/>
        <v/>
      </c>
      <c r="I317" s="28" t="str">
        <f t="shared" si="26"/>
        <v/>
      </c>
      <c r="J317" s="28" t="str">
        <f t="shared" si="26"/>
        <v/>
      </c>
      <c r="K317" s="28" t="str">
        <f t="shared" si="26"/>
        <v/>
      </c>
      <c r="L317" s="29" t="str">
        <f t="shared" si="26"/>
        <v/>
      </c>
      <c r="M317" s="30" t="str">
        <f t="shared" si="24"/>
        <v/>
      </c>
      <c r="Q317" s="20">
        <f t="shared" si="25"/>
        <v>1</v>
      </c>
    </row>
    <row r="318" spans="1:17" ht="12.95" customHeight="1" x14ac:dyDescent="0.2">
      <c r="B318" s="22">
        <v>44511</v>
      </c>
      <c r="C318" s="41"/>
      <c r="D318" s="24"/>
      <c r="E318" s="25"/>
      <c r="F318" s="26"/>
      <c r="G318" s="27"/>
      <c r="H318" s="28" t="str">
        <f t="shared" si="26"/>
        <v/>
      </c>
      <c r="I318" s="28" t="str">
        <f t="shared" si="26"/>
        <v/>
      </c>
      <c r="J318" s="28" t="str">
        <f t="shared" si="26"/>
        <v/>
      </c>
      <c r="K318" s="28" t="str">
        <f t="shared" si="26"/>
        <v/>
      </c>
      <c r="L318" s="29" t="str">
        <f t="shared" si="26"/>
        <v/>
      </c>
      <c r="M318" s="30" t="str">
        <f t="shared" si="24"/>
        <v/>
      </c>
      <c r="Q318" s="20">
        <f t="shared" si="25"/>
        <v>1</v>
      </c>
    </row>
    <row r="319" spans="1:17" ht="12.95" customHeight="1" x14ac:dyDescent="0.2">
      <c r="B319" s="22">
        <v>44512</v>
      </c>
      <c r="C319" s="41"/>
      <c r="D319" s="24"/>
      <c r="E319" s="25"/>
      <c r="F319" s="26"/>
      <c r="G319" s="27"/>
      <c r="H319" s="28" t="str">
        <f t="shared" si="26"/>
        <v/>
      </c>
      <c r="I319" s="28" t="str">
        <f t="shared" si="26"/>
        <v/>
      </c>
      <c r="J319" s="28" t="str">
        <f t="shared" si="26"/>
        <v/>
      </c>
      <c r="K319" s="28" t="str">
        <f t="shared" si="26"/>
        <v/>
      </c>
      <c r="L319" s="29" t="str">
        <f t="shared" si="26"/>
        <v/>
      </c>
      <c r="M319" s="30" t="str">
        <f t="shared" si="24"/>
        <v/>
      </c>
      <c r="Q319" s="20">
        <f t="shared" si="25"/>
        <v>1</v>
      </c>
    </row>
    <row r="320" spans="1:17" ht="12.95" customHeight="1" x14ac:dyDescent="0.2">
      <c r="B320" s="22">
        <v>44513</v>
      </c>
      <c r="C320" s="41"/>
      <c r="D320" s="24"/>
      <c r="E320" s="25"/>
      <c r="F320" s="26"/>
      <c r="G320" s="27"/>
      <c r="H320" s="28" t="str">
        <f t="shared" si="26"/>
        <v/>
      </c>
      <c r="I320" s="28" t="str">
        <f t="shared" si="26"/>
        <v/>
      </c>
      <c r="J320" s="28" t="str">
        <f t="shared" si="26"/>
        <v/>
      </c>
      <c r="K320" s="28" t="str">
        <f t="shared" si="26"/>
        <v/>
      </c>
      <c r="L320" s="29" t="str">
        <f t="shared" si="26"/>
        <v/>
      </c>
      <c r="M320" s="30" t="str">
        <f t="shared" si="24"/>
        <v/>
      </c>
      <c r="Q320" s="20">
        <f t="shared" si="25"/>
        <v>1</v>
      </c>
    </row>
    <row r="321" spans="1:17" ht="12.95" customHeight="1" x14ac:dyDescent="0.2">
      <c r="B321" s="22">
        <v>44514</v>
      </c>
      <c r="C321" s="41"/>
      <c r="D321" s="24"/>
      <c r="E321" s="25"/>
      <c r="F321" s="26"/>
      <c r="G321" s="27"/>
      <c r="H321" s="28" t="str">
        <f>IF(C321="","",+(C321-C320))</f>
        <v/>
      </c>
      <c r="I321" s="28" t="str">
        <f t="shared" si="26"/>
        <v/>
      </c>
      <c r="J321" s="28" t="str">
        <f t="shared" si="26"/>
        <v/>
      </c>
      <c r="K321" s="28" t="str">
        <f t="shared" si="26"/>
        <v/>
      </c>
      <c r="L321" s="29" t="str">
        <f t="shared" si="26"/>
        <v/>
      </c>
      <c r="M321" s="30" t="str">
        <f t="shared" si="24"/>
        <v/>
      </c>
      <c r="Q321" s="20">
        <f t="shared" si="25"/>
        <v>1</v>
      </c>
    </row>
    <row r="322" spans="1:17" ht="12.95" customHeight="1" x14ac:dyDescent="0.2">
      <c r="B322" s="22">
        <v>44515</v>
      </c>
      <c r="C322" s="41"/>
      <c r="D322" s="24"/>
      <c r="E322" s="25"/>
      <c r="F322" s="26"/>
      <c r="G322" s="27"/>
      <c r="H322" s="28" t="str">
        <f t="shared" si="26"/>
        <v/>
      </c>
      <c r="I322" s="28" t="str">
        <f t="shared" si="26"/>
        <v/>
      </c>
      <c r="J322" s="28" t="str">
        <f t="shared" si="26"/>
        <v/>
      </c>
      <c r="K322" s="28" t="str">
        <f t="shared" si="26"/>
        <v/>
      </c>
      <c r="L322" s="29" t="str">
        <f t="shared" si="26"/>
        <v/>
      </c>
      <c r="M322" s="30" t="str">
        <f t="shared" si="24"/>
        <v/>
      </c>
      <c r="Q322" s="20">
        <f t="shared" si="25"/>
        <v>1</v>
      </c>
    </row>
    <row r="323" spans="1:17" ht="12.95" customHeight="1" x14ac:dyDescent="0.2">
      <c r="B323" s="22">
        <v>44516</v>
      </c>
      <c r="C323" s="41"/>
      <c r="D323" s="24"/>
      <c r="E323" s="25"/>
      <c r="F323" s="26"/>
      <c r="G323" s="27"/>
      <c r="H323" s="28" t="str">
        <f t="shared" si="26"/>
        <v/>
      </c>
      <c r="I323" s="28" t="str">
        <f t="shared" si="26"/>
        <v/>
      </c>
      <c r="J323" s="28" t="str">
        <f t="shared" si="26"/>
        <v/>
      </c>
      <c r="K323" s="28" t="str">
        <f t="shared" si="26"/>
        <v/>
      </c>
      <c r="L323" s="29" t="str">
        <f t="shared" si="26"/>
        <v/>
      </c>
      <c r="M323" s="30" t="str">
        <f t="shared" si="24"/>
        <v/>
      </c>
      <c r="Q323" s="20">
        <f t="shared" si="25"/>
        <v>1</v>
      </c>
    </row>
    <row r="324" spans="1:17" ht="12.95" customHeight="1" x14ac:dyDescent="0.2">
      <c r="A324" s="9" t="s">
        <v>30</v>
      </c>
      <c r="B324" s="22">
        <v>44517</v>
      </c>
      <c r="C324" s="41"/>
      <c r="D324" s="24"/>
      <c r="E324" s="25"/>
      <c r="F324" s="26"/>
      <c r="G324" s="27"/>
      <c r="H324" s="28" t="str">
        <f t="shared" si="26"/>
        <v/>
      </c>
      <c r="I324" s="28" t="str">
        <f t="shared" si="26"/>
        <v/>
      </c>
      <c r="J324" s="28" t="str">
        <f t="shared" si="26"/>
        <v/>
      </c>
      <c r="K324" s="28" t="str">
        <f t="shared" si="26"/>
        <v/>
      </c>
      <c r="L324" s="29" t="str">
        <f t="shared" si="26"/>
        <v/>
      </c>
      <c r="M324" s="30" t="str">
        <f t="shared" si="24"/>
        <v/>
      </c>
      <c r="Q324" s="20">
        <f t="shared" si="25"/>
        <v>1</v>
      </c>
    </row>
    <row r="325" spans="1:17" ht="12.95" customHeight="1" x14ac:dyDescent="0.2">
      <c r="B325" s="22">
        <v>44518</v>
      </c>
      <c r="C325" s="41"/>
      <c r="D325" s="24"/>
      <c r="E325" s="25"/>
      <c r="F325" s="26"/>
      <c r="G325" s="27"/>
      <c r="H325" s="28" t="str">
        <f t="shared" si="26"/>
        <v/>
      </c>
      <c r="I325" s="28" t="str">
        <f t="shared" si="26"/>
        <v/>
      </c>
      <c r="J325" s="28" t="str">
        <f t="shared" si="26"/>
        <v/>
      </c>
      <c r="K325" s="28" t="str">
        <f t="shared" si="26"/>
        <v/>
      </c>
      <c r="L325" s="29" t="str">
        <f t="shared" si="26"/>
        <v/>
      </c>
      <c r="M325" s="30" t="str">
        <f t="shared" si="24"/>
        <v/>
      </c>
      <c r="Q325" s="20">
        <f t="shared" si="25"/>
        <v>1</v>
      </c>
    </row>
    <row r="326" spans="1:17" ht="12.95" customHeight="1" x14ac:dyDescent="0.2">
      <c r="B326" s="22">
        <v>44519</v>
      </c>
      <c r="C326" s="41"/>
      <c r="D326" s="24"/>
      <c r="E326" s="25"/>
      <c r="F326" s="26"/>
      <c r="G326" s="27"/>
      <c r="H326" s="28" t="str">
        <f t="shared" si="26"/>
        <v/>
      </c>
      <c r="I326" s="28" t="str">
        <f t="shared" si="26"/>
        <v/>
      </c>
      <c r="J326" s="28" t="str">
        <f t="shared" si="26"/>
        <v/>
      </c>
      <c r="K326" s="28" t="str">
        <f t="shared" si="26"/>
        <v/>
      </c>
      <c r="L326" s="29" t="str">
        <f t="shared" si="26"/>
        <v/>
      </c>
      <c r="M326" s="30" t="str">
        <f t="shared" ref="M326:M369" si="27">IF(H326="","",+(H326+I326+J326+K326))</f>
        <v/>
      </c>
      <c r="Q326" s="20">
        <f t="shared" si="25"/>
        <v>1</v>
      </c>
    </row>
    <row r="327" spans="1:17" ht="12.95" customHeight="1" thickBot="1" x14ac:dyDescent="0.25">
      <c r="B327" s="22">
        <v>44520</v>
      </c>
      <c r="C327" s="41"/>
      <c r="D327" s="24"/>
      <c r="E327" s="25"/>
      <c r="F327" s="26"/>
      <c r="G327" s="27"/>
      <c r="H327" s="28" t="str">
        <f t="shared" si="26"/>
        <v/>
      </c>
      <c r="I327" s="28" t="str">
        <f t="shared" si="26"/>
        <v/>
      </c>
      <c r="J327" s="28" t="str">
        <f t="shared" si="26"/>
        <v/>
      </c>
      <c r="K327" s="28" t="str">
        <f t="shared" si="26"/>
        <v/>
      </c>
      <c r="L327" s="29" t="str">
        <f t="shared" si="26"/>
        <v/>
      </c>
      <c r="M327" s="30" t="str">
        <f t="shared" si="27"/>
        <v/>
      </c>
      <c r="Q327" s="20">
        <f t="shared" si="25"/>
        <v>1</v>
      </c>
    </row>
    <row r="328" spans="1:17" ht="12.95" customHeight="1" x14ac:dyDescent="0.2">
      <c r="B328" s="22">
        <v>44521</v>
      </c>
      <c r="C328" s="41"/>
      <c r="D328" s="24"/>
      <c r="E328" s="25"/>
      <c r="F328" s="26"/>
      <c r="G328" s="27"/>
      <c r="H328" s="28" t="str">
        <f t="shared" si="26"/>
        <v/>
      </c>
      <c r="I328" s="28" t="str">
        <f t="shared" si="26"/>
        <v/>
      </c>
      <c r="J328" s="28" t="str">
        <f t="shared" si="26"/>
        <v/>
      </c>
      <c r="K328" s="28" t="str">
        <f t="shared" si="26"/>
        <v/>
      </c>
      <c r="L328" s="29" t="str">
        <f t="shared" si="26"/>
        <v/>
      </c>
      <c r="M328" s="30" t="str">
        <f t="shared" si="27"/>
        <v/>
      </c>
      <c r="N328" s="198" t="s">
        <v>21</v>
      </c>
      <c r="O328" s="198" t="s">
        <v>22</v>
      </c>
      <c r="Q328" s="20">
        <f t="shared" si="25"/>
        <v>1</v>
      </c>
    </row>
    <row r="329" spans="1:17" ht="12.95" customHeight="1" x14ac:dyDescent="0.2">
      <c r="B329" s="22">
        <v>44522</v>
      </c>
      <c r="C329" s="41"/>
      <c r="D329" s="24"/>
      <c r="E329" s="25"/>
      <c r="F329" s="26"/>
      <c r="G329" s="27"/>
      <c r="H329" s="28" t="str">
        <f t="shared" si="26"/>
        <v/>
      </c>
      <c r="I329" s="28" t="str">
        <f t="shared" si="26"/>
        <v/>
      </c>
      <c r="J329" s="28" t="str">
        <f t="shared" si="26"/>
        <v/>
      </c>
      <c r="K329" s="28" t="str">
        <f t="shared" si="26"/>
        <v/>
      </c>
      <c r="L329" s="29" t="str">
        <f t="shared" si="26"/>
        <v/>
      </c>
      <c r="M329" s="30" t="str">
        <f t="shared" si="27"/>
        <v/>
      </c>
      <c r="N329" s="199"/>
      <c r="O329" s="199"/>
      <c r="Q329" s="20">
        <f t="shared" si="25"/>
        <v>1</v>
      </c>
    </row>
    <row r="330" spans="1:17" ht="12.95" customHeight="1" thickBot="1" x14ac:dyDescent="0.25">
      <c r="B330" s="22">
        <v>44523</v>
      </c>
      <c r="C330" s="41"/>
      <c r="D330" s="24"/>
      <c r="E330" s="25"/>
      <c r="F330" s="26"/>
      <c r="G330" s="27"/>
      <c r="H330" s="28" t="str">
        <f t="shared" si="26"/>
        <v/>
      </c>
      <c r="I330" s="28" t="str">
        <f t="shared" si="26"/>
        <v/>
      </c>
      <c r="J330" s="28" t="str">
        <f t="shared" si="26"/>
        <v/>
      </c>
      <c r="K330" s="28" t="str">
        <f t="shared" si="26"/>
        <v/>
      </c>
      <c r="L330" s="29" t="str">
        <f t="shared" si="26"/>
        <v/>
      </c>
      <c r="M330" s="30" t="str">
        <f t="shared" si="27"/>
        <v/>
      </c>
      <c r="N330" s="200"/>
      <c r="O330" s="200"/>
      <c r="Q330" s="20">
        <f t="shared" si="25"/>
        <v>1</v>
      </c>
    </row>
    <row r="331" spans="1:17" ht="12.95" customHeight="1" thickBot="1" x14ac:dyDescent="0.25">
      <c r="B331" s="22">
        <v>44524</v>
      </c>
      <c r="C331" s="41"/>
      <c r="D331" s="24"/>
      <c r="E331" s="25"/>
      <c r="F331" s="26"/>
      <c r="G331" s="27"/>
      <c r="H331" s="28" t="str">
        <f t="shared" si="26"/>
        <v/>
      </c>
      <c r="I331" s="28" t="str">
        <f t="shared" si="26"/>
        <v/>
      </c>
      <c r="J331" s="28" t="str">
        <f t="shared" si="26"/>
        <v/>
      </c>
      <c r="K331" s="28" t="str">
        <f t="shared" si="26"/>
        <v/>
      </c>
      <c r="L331" s="29" t="str">
        <f t="shared" si="26"/>
        <v/>
      </c>
      <c r="M331" s="30" t="str">
        <f t="shared" si="27"/>
        <v/>
      </c>
      <c r="N331" s="32">
        <f>SUM(L309:L338)</f>
        <v>0</v>
      </c>
      <c r="O331" s="32">
        <f>SUM(M309:M338)</f>
        <v>0</v>
      </c>
      <c r="Q331" s="20">
        <f t="shared" si="25"/>
        <v>1</v>
      </c>
    </row>
    <row r="332" spans="1:17" ht="12.95" customHeight="1" x14ac:dyDescent="0.2">
      <c r="B332" s="22">
        <v>44525</v>
      </c>
      <c r="C332" s="41"/>
      <c r="D332" s="24"/>
      <c r="E332" s="25"/>
      <c r="F332" s="26"/>
      <c r="G332" s="27"/>
      <c r="H332" s="28" t="str">
        <f t="shared" si="26"/>
        <v/>
      </c>
      <c r="I332" s="28" t="str">
        <f t="shared" si="26"/>
        <v/>
      </c>
      <c r="J332" s="28" t="str">
        <f t="shared" si="26"/>
        <v/>
      </c>
      <c r="K332" s="28" t="str">
        <f t="shared" si="26"/>
        <v/>
      </c>
      <c r="L332" s="29" t="str">
        <f t="shared" si="26"/>
        <v/>
      </c>
      <c r="M332" s="30" t="str">
        <f t="shared" si="27"/>
        <v/>
      </c>
      <c r="N332" s="198" t="s">
        <v>23</v>
      </c>
      <c r="O332" s="198" t="s">
        <v>24</v>
      </c>
      <c r="Q332" s="20">
        <f t="shared" si="25"/>
        <v>1</v>
      </c>
    </row>
    <row r="333" spans="1:17" ht="12.95" customHeight="1" thickBot="1" x14ac:dyDescent="0.25">
      <c r="B333" s="22">
        <v>44526</v>
      </c>
      <c r="C333" s="41"/>
      <c r="D333" s="24"/>
      <c r="E333" s="25"/>
      <c r="F333" s="26"/>
      <c r="G333" s="27"/>
      <c r="H333" s="28" t="str">
        <f t="shared" si="26"/>
        <v/>
      </c>
      <c r="I333" s="28" t="str">
        <f t="shared" si="26"/>
        <v/>
      </c>
      <c r="J333" s="28" t="str">
        <f t="shared" si="26"/>
        <v/>
      </c>
      <c r="K333" s="28" t="str">
        <f t="shared" si="26"/>
        <v/>
      </c>
      <c r="L333" s="29" t="str">
        <f t="shared" si="26"/>
        <v/>
      </c>
      <c r="M333" s="30" t="str">
        <f t="shared" si="27"/>
        <v/>
      </c>
      <c r="N333" s="200"/>
      <c r="O333" s="200"/>
      <c r="Q333" s="20">
        <f t="shared" si="25"/>
        <v>1</v>
      </c>
    </row>
    <row r="334" spans="1:17" ht="12.95" customHeight="1" thickBot="1" x14ac:dyDescent="0.25">
      <c r="B334" s="22">
        <v>44527</v>
      </c>
      <c r="C334" s="41"/>
      <c r="D334" s="24"/>
      <c r="E334" s="25"/>
      <c r="F334" s="26"/>
      <c r="G334" s="27"/>
      <c r="H334" s="28" t="str">
        <f t="shared" si="26"/>
        <v/>
      </c>
      <c r="I334" s="28" t="str">
        <f t="shared" si="26"/>
        <v/>
      </c>
      <c r="J334" s="28" t="str">
        <f t="shared" si="26"/>
        <v/>
      </c>
      <c r="K334" s="28" t="str">
        <f t="shared" si="26"/>
        <v/>
      </c>
      <c r="L334" s="29" t="str">
        <f t="shared" si="26"/>
        <v/>
      </c>
      <c r="M334" s="30" t="str">
        <f t="shared" si="27"/>
        <v/>
      </c>
      <c r="N334" s="32" t="e">
        <f>AVERAGE(L309:L338)</f>
        <v>#DIV/0!</v>
      </c>
      <c r="O334" s="32" t="e">
        <f>AVERAGE(M309:M338)</f>
        <v>#DIV/0!</v>
      </c>
      <c r="Q334" s="20">
        <f t="shared" si="25"/>
        <v>1</v>
      </c>
    </row>
    <row r="335" spans="1:17" ht="12.95" customHeight="1" x14ac:dyDescent="0.2">
      <c r="B335" s="22">
        <v>44528</v>
      </c>
      <c r="C335" s="41"/>
      <c r="D335" s="24"/>
      <c r="E335" s="25"/>
      <c r="F335" s="26"/>
      <c r="G335" s="27"/>
      <c r="H335" s="28" t="str">
        <f t="shared" si="26"/>
        <v/>
      </c>
      <c r="I335" s="28" t="str">
        <f t="shared" si="26"/>
        <v/>
      </c>
      <c r="J335" s="28" t="str">
        <f t="shared" si="26"/>
        <v/>
      </c>
      <c r="K335" s="28" t="str">
        <f t="shared" si="26"/>
        <v/>
      </c>
      <c r="L335" s="29" t="str">
        <f t="shared" si="26"/>
        <v/>
      </c>
      <c r="M335" s="30" t="str">
        <f t="shared" si="27"/>
        <v/>
      </c>
      <c r="O335" s="20">
        <f>IF(L335="",1,0)</f>
        <v>1</v>
      </c>
    </row>
    <row r="336" spans="1:17" ht="12.95" customHeight="1" x14ac:dyDescent="0.2">
      <c r="B336" s="22">
        <v>44529</v>
      </c>
      <c r="C336" s="41"/>
      <c r="D336" s="24"/>
      <c r="E336" s="25"/>
      <c r="F336" s="26"/>
      <c r="G336" s="27"/>
      <c r="H336" s="28" t="str">
        <f t="shared" si="26"/>
        <v/>
      </c>
      <c r="I336" s="28" t="str">
        <f t="shared" si="26"/>
        <v/>
      </c>
      <c r="J336" s="28" t="str">
        <f>IF(E336="","",+(E336-E335))</f>
        <v/>
      </c>
      <c r="K336" s="28" t="str">
        <f t="shared" si="26"/>
        <v/>
      </c>
      <c r="L336" s="29" t="str">
        <f t="shared" si="26"/>
        <v/>
      </c>
      <c r="M336" s="30" t="str">
        <f t="shared" si="27"/>
        <v/>
      </c>
      <c r="O336" s="20">
        <f>IF(L336="",1,0)</f>
        <v>1</v>
      </c>
    </row>
    <row r="337" spans="2:17" ht="12.95" customHeight="1" x14ac:dyDescent="0.2">
      <c r="B337" s="22">
        <v>44530</v>
      </c>
      <c r="C337" s="41"/>
      <c r="D337" s="24"/>
      <c r="E337" s="25"/>
      <c r="F337" s="26"/>
      <c r="G337" s="27"/>
      <c r="H337" s="28" t="str">
        <f t="shared" si="26"/>
        <v/>
      </c>
      <c r="I337" s="28" t="str">
        <f t="shared" si="26"/>
        <v/>
      </c>
      <c r="J337" s="28" t="str">
        <f>IF(E337="","",+(E337-E336))</f>
        <v/>
      </c>
      <c r="K337" s="28" t="str">
        <f t="shared" si="26"/>
        <v/>
      </c>
      <c r="L337" s="29" t="str">
        <f>IF(G337="","",+(G337-G336))</f>
        <v/>
      </c>
      <c r="M337" s="30" t="str">
        <f t="shared" si="27"/>
        <v/>
      </c>
      <c r="O337" s="20">
        <f>IF(L337="",1,0)</f>
        <v>1</v>
      </c>
    </row>
    <row r="338" spans="2:17" ht="12.95" customHeight="1" x14ac:dyDescent="0.2">
      <c r="B338" s="22">
        <v>44531</v>
      </c>
      <c r="C338" s="41"/>
      <c r="D338" s="34"/>
      <c r="E338" s="34"/>
      <c r="F338" s="34"/>
      <c r="G338" s="34"/>
      <c r="H338" s="35" t="str">
        <f t="shared" si="26"/>
        <v/>
      </c>
      <c r="I338" s="39" t="str">
        <f t="shared" si="26"/>
        <v/>
      </c>
      <c r="J338" s="35" t="str">
        <f t="shared" si="26"/>
        <v/>
      </c>
      <c r="K338" s="35" t="str">
        <f t="shared" si="26"/>
        <v/>
      </c>
      <c r="L338" s="36" t="str">
        <f t="shared" si="26"/>
        <v/>
      </c>
      <c r="M338" s="35" t="str">
        <f t="shared" si="27"/>
        <v/>
      </c>
      <c r="Q338" s="20">
        <f t="shared" si="25"/>
        <v>1</v>
      </c>
    </row>
    <row r="339" spans="2:17" ht="12.95" customHeight="1" x14ac:dyDescent="0.2">
      <c r="B339" s="22">
        <v>44532</v>
      </c>
      <c r="C339" s="41"/>
      <c r="D339" s="24"/>
      <c r="E339" s="25"/>
      <c r="F339" s="26"/>
      <c r="G339" s="27"/>
      <c r="H339" s="28" t="str">
        <f t="shared" si="26"/>
        <v/>
      </c>
      <c r="I339" s="28" t="str">
        <f t="shared" si="26"/>
        <v/>
      </c>
      <c r="J339" s="28" t="str">
        <f t="shared" si="26"/>
        <v/>
      </c>
      <c r="K339" s="28" t="str">
        <f t="shared" si="26"/>
        <v/>
      </c>
      <c r="L339" s="29" t="str">
        <f t="shared" si="26"/>
        <v/>
      </c>
      <c r="M339" s="30" t="str">
        <f t="shared" si="27"/>
        <v/>
      </c>
      <c r="Q339" s="20">
        <f t="shared" si="25"/>
        <v>1</v>
      </c>
    </row>
    <row r="340" spans="2:17" ht="12.95" customHeight="1" x14ac:dyDescent="0.2">
      <c r="B340" s="22">
        <v>44533</v>
      </c>
      <c r="C340" s="41"/>
      <c r="D340" s="24"/>
      <c r="E340" s="25"/>
      <c r="F340" s="26"/>
      <c r="G340" s="27"/>
      <c r="H340" s="28" t="str">
        <f t="shared" si="26"/>
        <v/>
      </c>
      <c r="I340" s="28" t="str">
        <f t="shared" si="26"/>
        <v/>
      </c>
      <c r="J340" s="28" t="str">
        <f t="shared" si="26"/>
        <v/>
      </c>
      <c r="K340" s="28" t="str">
        <f t="shared" si="26"/>
        <v/>
      </c>
      <c r="L340" s="29" t="str">
        <f t="shared" si="26"/>
        <v/>
      </c>
      <c r="M340" s="30" t="str">
        <f t="shared" si="27"/>
        <v/>
      </c>
      <c r="Q340" s="20">
        <f t="shared" si="25"/>
        <v>1</v>
      </c>
    </row>
    <row r="341" spans="2:17" ht="12.95" customHeight="1" x14ac:dyDescent="0.2">
      <c r="B341" s="22">
        <v>44534</v>
      </c>
      <c r="C341" s="41"/>
      <c r="D341" s="24"/>
      <c r="E341" s="25"/>
      <c r="F341" s="26"/>
      <c r="G341" s="27"/>
      <c r="H341" s="28" t="str">
        <f t="shared" si="26"/>
        <v/>
      </c>
      <c r="I341" s="28" t="str">
        <f t="shared" si="26"/>
        <v/>
      </c>
      <c r="J341" s="28" t="str">
        <f t="shared" si="26"/>
        <v/>
      </c>
      <c r="K341" s="28" t="str">
        <f t="shared" si="26"/>
        <v/>
      </c>
      <c r="L341" s="29" t="str">
        <f t="shared" si="26"/>
        <v/>
      </c>
      <c r="M341" s="30" t="str">
        <f t="shared" si="27"/>
        <v/>
      </c>
      <c r="Q341" s="20">
        <f t="shared" si="25"/>
        <v>1</v>
      </c>
    </row>
    <row r="342" spans="2:17" ht="12.95" customHeight="1" x14ac:dyDescent="0.2">
      <c r="B342" s="22">
        <v>44535</v>
      </c>
      <c r="C342" s="41"/>
      <c r="D342" s="24"/>
      <c r="E342" s="25"/>
      <c r="F342" s="26"/>
      <c r="G342" s="27"/>
      <c r="H342" s="28" t="str">
        <f t="shared" si="26"/>
        <v/>
      </c>
      <c r="I342" s="28" t="str">
        <f t="shared" si="26"/>
        <v/>
      </c>
      <c r="J342" s="28" t="str">
        <f t="shared" si="26"/>
        <v/>
      </c>
      <c r="K342" s="28" t="str">
        <f t="shared" si="26"/>
        <v/>
      </c>
      <c r="L342" s="29" t="str">
        <f t="shared" si="26"/>
        <v/>
      </c>
      <c r="M342" s="30" t="str">
        <f t="shared" si="27"/>
        <v/>
      </c>
      <c r="Q342" s="20">
        <f t="shared" si="25"/>
        <v>1</v>
      </c>
    </row>
    <row r="343" spans="2:17" ht="12.95" customHeight="1" x14ac:dyDescent="0.2">
      <c r="B343" s="22">
        <v>44536</v>
      </c>
      <c r="C343" s="41"/>
      <c r="D343" s="24"/>
      <c r="E343" s="25"/>
      <c r="F343" s="26"/>
      <c r="G343" s="27"/>
      <c r="H343" s="28" t="str">
        <f t="shared" si="26"/>
        <v/>
      </c>
      <c r="I343" s="28" t="str">
        <f t="shared" si="26"/>
        <v/>
      </c>
      <c r="J343" s="28" t="str">
        <f t="shared" si="26"/>
        <v/>
      </c>
      <c r="K343" s="28" t="str">
        <f t="shared" si="26"/>
        <v/>
      </c>
      <c r="L343" s="29" t="str">
        <f t="shared" si="26"/>
        <v/>
      </c>
      <c r="M343" s="30" t="str">
        <f t="shared" si="27"/>
        <v/>
      </c>
      <c r="Q343" s="20">
        <f t="shared" si="25"/>
        <v>1</v>
      </c>
    </row>
    <row r="344" spans="2:17" ht="12.95" customHeight="1" x14ac:dyDescent="0.2">
      <c r="B344" s="22">
        <v>44537</v>
      </c>
      <c r="C344" s="41"/>
      <c r="D344" s="24"/>
      <c r="E344" s="25"/>
      <c r="F344" s="26"/>
      <c r="G344" s="27"/>
      <c r="H344" s="28" t="str">
        <f t="shared" si="26"/>
        <v/>
      </c>
      <c r="I344" s="28" t="str">
        <f t="shared" si="26"/>
        <v/>
      </c>
      <c r="J344" s="28" t="str">
        <f t="shared" si="26"/>
        <v/>
      </c>
      <c r="K344" s="28" t="str">
        <f t="shared" si="26"/>
        <v/>
      </c>
      <c r="L344" s="29" t="str">
        <f t="shared" si="26"/>
        <v/>
      </c>
      <c r="M344" s="30" t="str">
        <f t="shared" si="27"/>
        <v/>
      </c>
      <c r="Q344" s="20">
        <f t="shared" ref="Q344:Q369" si="28">IF(L344="",1,0)</f>
        <v>1</v>
      </c>
    </row>
    <row r="345" spans="2:17" ht="12.95" customHeight="1" x14ac:dyDescent="0.2">
      <c r="B345" s="22">
        <v>44538</v>
      </c>
      <c r="C345" s="41"/>
      <c r="D345" s="24"/>
      <c r="E345" s="25"/>
      <c r="F345" s="26"/>
      <c r="G345" s="27"/>
      <c r="H345" s="28" t="str">
        <f t="shared" si="26"/>
        <v/>
      </c>
      <c r="I345" s="28" t="str">
        <f t="shared" si="26"/>
        <v/>
      </c>
      <c r="J345" s="28" t="str">
        <f t="shared" si="26"/>
        <v/>
      </c>
      <c r="K345" s="28" t="str">
        <f t="shared" si="26"/>
        <v/>
      </c>
      <c r="L345" s="29" t="str">
        <f t="shared" si="26"/>
        <v/>
      </c>
      <c r="M345" s="30" t="str">
        <f t="shared" si="27"/>
        <v/>
      </c>
      <c r="Q345" s="20">
        <f t="shared" si="28"/>
        <v>1</v>
      </c>
    </row>
    <row r="346" spans="2:17" ht="12.95" customHeight="1" x14ac:dyDescent="0.2">
      <c r="B346" s="22">
        <v>44539</v>
      </c>
      <c r="C346" s="41"/>
      <c r="D346" s="24"/>
      <c r="E346" s="25"/>
      <c r="F346" s="26"/>
      <c r="G346" s="27"/>
      <c r="H346" s="28" t="str">
        <f t="shared" si="26"/>
        <v/>
      </c>
      <c r="I346" s="28" t="str">
        <f t="shared" si="26"/>
        <v/>
      </c>
      <c r="J346" s="28" t="str">
        <f t="shared" si="26"/>
        <v/>
      </c>
      <c r="K346" s="28" t="str">
        <f t="shared" si="26"/>
        <v/>
      </c>
      <c r="L346" s="29" t="str">
        <f t="shared" si="26"/>
        <v/>
      </c>
      <c r="M346" s="30" t="str">
        <f t="shared" si="27"/>
        <v/>
      </c>
      <c r="Q346" s="20">
        <f t="shared" si="28"/>
        <v>1</v>
      </c>
    </row>
    <row r="347" spans="2:17" ht="12.95" customHeight="1" x14ac:dyDescent="0.2">
      <c r="B347" s="22">
        <v>44540</v>
      </c>
      <c r="C347" s="41"/>
      <c r="D347" s="24"/>
      <c r="E347" s="25"/>
      <c r="F347" s="26"/>
      <c r="G347" s="27"/>
      <c r="H347" s="28" t="str">
        <f t="shared" si="26"/>
        <v/>
      </c>
      <c r="I347" s="28" t="str">
        <f t="shared" si="26"/>
        <v/>
      </c>
      <c r="J347" s="28" t="str">
        <f t="shared" si="26"/>
        <v/>
      </c>
      <c r="K347" s="28" t="str">
        <f t="shared" si="26"/>
        <v/>
      </c>
      <c r="L347" s="29" t="str">
        <f t="shared" si="26"/>
        <v/>
      </c>
      <c r="M347" s="30" t="str">
        <f t="shared" si="27"/>
        <v/>
      </c>
      <c r="Q347" s="20">
        <f t="shared" si="28"/>
        <v>1</v>
      </c>
    </row>
    <row r="348" spans="2:17" ht="12.95" customHeight="1" x14ac:dyDescent="0.2">
      <c r="B348" s="22">
        <v>44541</v>
      </c>
      <c r="C348" s="41"/>
      <c r="D348" s="24"/>
      <c r="E348" s="25"/>
      <c r="F348" s="26"/>
      <c r="G348" s="27"/>
      <c r="H348" s="28" t="str">
        <f t="shared" si="26"/>
        <v/>
      </c>
      <c r="I348" s="28" t="str">
        <f t="shared" si="26"/>
        <v/>
      </c>
      <c r="J348" s="28" t="str">
        <f t="shared" si="26"/>
        <v/>
      </c>
      <c r="K348" s="28" t="str">
        <f t="shared" si="26"/>
        <v/>
      </c>
      <c r="L348" s="29" t="str">
        <f t="shared" si="26"/>
        <v/>
      </c>
      <c r="M348" s="30" t="str">
        <f t="shared" si="27"/>
        <v/>
      </c>
      <c r="Q348" s="20">
        <f t="shared" si="28"/>
        <v>1</v>
      </c>
    </row>
    <row r="349" spans="2:17" ht="12.95" customHeight="1" x14ac:dyDescent="0.2">
      <c r="B349" s="22">
        <v>44542</v>
      </c>
      <c r="C349" s="41"/>
      <c r="D349" s="24"/>
      <c r="E349" s="25"/>
      <c r="F349" s="26"/>
      <c r="G349" s="27"/>
      <c r="H349" s="28" t="str">
        <f t="shared" si="26"/>
        <v/>
      </c>
      <c r="I349" s="28" t="str">
        <f t="shared" si="26"/>
        <v/>
      </c>
      <c r="J349" s="28" t="str">
        <f t="shared" si="26"/>
        <v/>
      </c>
      <c r="K349" s="28" t="str">
        <f t="shared" si="26"/>
        <v/>
      </c>
      <c r="L349" s="29" t="str">
        <f t="shared" si="26"/>
        <v/>
      </c>
      <c r="M349" s="30" t="str">
        <f t="shared" si="27"/>
        <v/>
      </c>
      <c r="Q349" s="20">
        <f t="shared" si="28"/>
        <v>1</v>
      </c>
    </row>
    <row r="350" spans="2:17" ht="12.95" customHeight="1" x14ac:dyDescent="0.2">
      <c r="B350" s="22">
        <v>44543</v>
      </c>
      <c r="C350" s="41"/>
      <c r="D350" s="24"/>
      <c r="E350" s="25"/>
      <c r="F350" s="26"/>
      <c r="G350" s="27"/>
      <c r="H350" s="28" t="str">
        <f t="shared" si="26"/>
        <v/>
      </c>
      <c r="I350" s="28" t="str">
        <f t="shared" si="26"/>
        <v/>
      </c>
      <c r="J350" s="28" t="str">
        <f t="shared" si="26"/>
        <v/>
      </c>
      <c r="K350" s="28" t="str">
        <f t="shared" si="26"/>
        <v/>
      </c>
      <c r="L350" s="29" t="str">
        <f t="shared" si="26"/>
        <v/>
      </c>
      <c r="M350" s="30" t="str">
        <f t="shared" si="27"/>
        <v/>
      </c>
      <c r="Q350" s="20">
        <f t="shared" si="28"/>
        <v>1</v>
      </c>
    </row>
    <row r="351" spans="2:17" ht="12.95" customHeight="1" x14ac:dyDescent="0.2">
      <c r="B351" s="22">
        <v>44544</v>
      </c>
      <c r="C351" s="41"/>
      <c r="D351" s="24"/>
      <c r="E351" s="25"/>
      <c r="F351" s="26"/>
      <c r="G351" s="27"/>
      <c r="H351" s="28" t="str">
        <f t="shared" si="26"/>
        <v/>
      </c>
      <c r="I351" s="28" t="str">
        <f t="shared" si="26"/>
        <v/>
      </c>
      <c r="J351" s="28" t="str">
        <f t="shared" si="26"/>
        <v/>
      </c>
      <c r="K351" s="28" t="str">
        <f t="shared" si="26"/>
        <v/>
      </c>
      <c r="L351" s="29" t="str">
        <f t="shared" si="26"/>
        <v/>
      </c>
      <c r="M351" s="30" t="str">
        <f t="shared" si="27"/>
        <v/>
      </c>
      <c r="Q351" s="20">
        <f t="shared" si="28"/>
        <v>1</v>
      </c>
    </row>
    <row r="352" spans="2:17" ht="12.95" customHeight="1" x14ac:dyDescent="0.2">
      <c r="B352" s="22">
        <v>44545</v>
      </c>
      <c r="C352" s="41"/>
      <c r="D352" s="24"/>
      <c r="E352" s="25"/>
      <c r="F352" s="26"/>
      <c r="G352" s="27"/>
      <c r="H352" s="28" t="str">
        <f t="shared" si="26"/>
        <v/>
      </c>
      <c r="I352" s="28" t="str">
        <f t="shared" si="26"/>
        <v/>
      </c>
      <c r="J352" s="28" t="str">
        <f t="shared" si="26"/>
        <v/>
      </c>
      <c r="K352" s="28" t="str">
        <f t="shared" si="26"/>
        <v/>
      </c>
      <c r="L352" s="29" t="str">
        <f t="shared" si="26"/>
        <v/>
      </c>
      <c r="M352" s="30" t="str">
        <f t="shared" si="27"/>
        <v/>
      </c>
      <c r="Q352" s="20">
        <f t="shared" si="28"/>
        <v>1</v>
      </c>
    </row>
    <row r="353" spans="2:17" ht="12.95" customHeight="1" x14ac:dyDescent="0.2">
      <c r="B353" s="22">
        <v>44546</v>
      </c>
      <c r="C353" s="41"/>
      <c r="D353" s="24"/>
      <c r="E353" s="25"/>
      <c r="F353" s="26"/>
      <c r="G353" s="27"/>
      <c r="H353" s="28" t="str">
        <f t="shared" si="26"/>
        <v/>
      </c>
      <c r="I353" s="28" t="str">
        <f t="shared" si="26"/>
        <v/>
      </c>
      <c r="J353" s="28" t="str">
        <f t="shared" si="26"/>
        <v/>
      </c>
      <c r="K353" s="28" t="str">
        <f>IF(F353="","",+(F353-F352))</f>
        <v/>
      </c>
      <c r="L353" s="29" t="str">
        <f t="shared" si="26"/>
        <v/>
      </c>
      <c r="M353" s="30" t="str">
        <f t="shared" si="27"/>
        <v/>
      </c>
      <c r="Q353" s="20">
        <f t="shared" si="28"/>
        <v>1</v>
      </c>
    </row>
    <row r="354" spans="2:17" ht="12.95" customHeight="1" x14ac:dyDescent="0.2">
      <c r="B354" s="22">
        <v>44547</v>
      </c>
      <c r="C354" s="41"/>
      <c r="D354" s="24"/>
      <c r="E354" s="25"/>
      <c r="F354" s="26"/>
      <c r="G354" s="27"/>
      <c r="H354" s="28" t="str">
        <f t="shared" si="26"/>
        <v/>
      </c>
      <c r="I354" s="28" t="str">
        <f t="shared" si="26"/>
        <v/>
      </c>
      <c r="J354" s="28" t="str">
        <f t="shared" si="26"/>
        <v/>
      </c>
      <c r="K354" s="28" t="str">
        <f t="shared" si="26"/>
        <v/>
      </c>
      <c r="L354" s="29" t="str">
        <f t="shared" si="26"/>
        <v/>
      </c>
      <c r="M354" s="30" t="str">
        <f t="shared" si="27"/>
        <v/>
      </c>
      <c r="Q354" s="20">
        <f t="shared" si="28"/>
        <v>1</v>
      </c>
    </row>
    <row r="355" spans="2:17" ht="12.95" customHeight="1" x14ac:dyDescent="0.2">
      <c r="B355" s="22">
        <v>44548</v>
      </c>
      <c r="C355" s="41"/>
      <c r="D355" s="24"/>
      <c r="E355" s="25"/>
      <c r="F355" s="26"/>
      <c r="G355" s="27"/>
      <c r="H355" s="28" t="str">
        <f t="shared" si="26"/>
        <v/>
      </c>
      <c r="I355" s="28" t="str">
        <f t="shared" si="26"/>
        <v/>
      </c>
      <c r="J355" s="28" t="str">
        <f t="shared" si="26"/>
        <v/>
      </c>
      <c r="K355" s="28" t="str">
        <f t="shared" si="26"/>
        <v/>
      </c>
      <c r="L355" s="29" t="str">
        <f t="shared" si="26"/>
        <v/>
      </c>
      <c r="M355" s="30" t="str">
        <f t="shared" si="27"/>
        <v/>
      </c>
      <c r="Q355" s="20">
        <f t="shared" si="28"/>
        <v>1</v>
      </c>
    </row>
    <row r="356" spans="2:17" ht="12.95" customHeight="1" x14ac:dyDescent="0.2">
      <c r="B356" s="22">
        <v>44549</v>
      </c>
      <c r="C356" s="41"/>
      <c r="D356" s="24"/>
      <c r="E356" s="25"/>
      <c r="F356" s="26"/>
      <c r="G356" s="27"/>
      <c r="H356" s="28" t="str">
        <f t="shared" si="26"/>
        <v/>
      </c>
      <c r="I356" s="28" t="str">
        <f t="shared" si="26"/>
        <v/>
      </c>
      <c r="J356" s="28" t="str">
        <f t="shared" si="26"/>
        <v/>
      </c>
      <c r="K356" s="28" t="str">
        <f t="shared" si="26"/>
        <v/>
      </c>
      <c r="L356" s="29" t="str">
        <f t="shared" si="26"/>
        <v/>
      </c>
      <c r="M356" s="30" t="str">
        <f t="shared" si="27"/>
        <v/>
      </c>
      <c r="Q356" s="20">
        <f t="shared" si="28"/>
        <v>1</v>
      </c>
    </row>
    <row r="357" spans="2:17" ht="12.95" customHeight="1" x14ac:dyDescent="0.2">
      <c r="B357" s="22">
        <v>44550</v>
      </c>
      <c r="C357" s="41"/>
      <c r="D357" s="24"/>
      <c r="E357" s="25"/>
      <c r="F357" s="26"/>
      <c r="G357" s="27"/>
      <c r="H357" s="28" t="str">
        <f t="shared" si="26"/>
        <v/>
      </c>
      <c r="I357" s="28" t="str">
        <f t="shared" si="26"/>
        <v/>
      </c>
      <c r="J357" s="28" t="str">
        <f t="shared" si="26"/>
        <v/>
      </c>
      <c r="K357" s="28" t="str">
        <f t="shared" si="26"/>
        <v/>
      </c>
      <c r="L357" s="29" t="str">
        <f t="shared" si="26"/>
        <v/>
      </c>
      <c r="M357" s="30" t="str">
        <f t="shared" si="27"/>
        <v/>
      </c>
      <c r="Q357" s="20">
        <f t="shared" si="28"/>
        <v>1</v>
      </c>
    </row>
    <row r="358" spans="2:17" ht="12.95" customHeight="1" thickBot="1" x14ac:dyDescent="0.25">
      <c r="B358" s="22">
        <v>44551</v>
      </c>
      <c r="C358" s="41"/>
      <c r="D358" s="24"/>
      <c r="E358" s="25"/>
      <c r="F358" s="26"/>
      <c r="G358" s="27"/>
      <c r="H358" s="28" t="str">
        <f t="shared" si="26"/>
        <v/>
      </c>
      <c r="I358" s="28" t="str">
        <f t="shared" si="26"/>
        <v/>
      </c>
      <c r="J358" s="28" t="str">
        <f t="shared" si="26"/>
        <v/>
      </c>
      <c r="K358" s="28" t="str">
        <f t="shared" si="26"/>
        <v/>
      </c>
      <c r="L358" s="29" t="str">
        <f t="shared" si="26"/>
        <v/>
      </c>
      <c r="M358" s="30" t="str">
        <f t="shared" si="27"/>
        <v/>
      </c>
      <c r="Q358" s="20">
        <f t="shared" si="28"/>
        <v>1</v>
      </c>
    </row>
    <row r="359" spans="2:17" ht="12.95" customHeight="1" x14ac:dyDescent="0.2">
      <c r="B359" s="22">
        <v>44552</v>
      </c>
      <c r="C359" s="41"/>
      <c r="D359" s="24"/>
      <c r="E359" s="25"/>
      <c r="F359" s="26"/>
      <c r="G359" s="27"/>
      <c r="H359" s="28" t="str">
        <f t="shared" si="26"/>
        <v/>
      </c>
      <c r="I359" s="28" t="str">
        <f t="shared" si="26"/>
        <v/>
      </c>
      <c r="J359" s="28" t="str">
        <f t="shared" si="26"/>
        <v/>
      </c>
      <c r="K359" s="28" t="str">
        <f t="shared" si="26"/>
        <v/>
      </c>
      <c r="L359" s="29" t="str">
        <f t="shared" si="26"/>
        <v/>
      </c>
      <c r="M359" s="30" t="str">
        <f t="shared" si="27"/>
        <v/>
      </c>
      <c r="N359" s="198" t="s">
        <v>21</v>
      </c>
      <c r="O359" s="198" t="s">
        <v>22</v>
      </c>
      <c r="Q359" s="20">
        <f t="shared" si="28"/>
        <v>1</v>
      </c>
    </row>
    <row r="360" spans="2:17" ht="12.95" customHeight="1" x14ac:dyDescent="0.2">
      <c r="B360" s="22">
        <v>44553</v>
      </c>
      <c r="C360" s="41"/>
      <c r="D360" s="24"/>
      <c r="E360" s="25"/>
      <c r="F360" s="26"/>
      <c r="G360" s="27"/>
      <c r="H360" s="28" t="str">
        <f t="shared" si="26"/>
        <v/>
      </c>
      <c r="I360" s="28" t="str">
        <f t="shared" si="26"/>
        <v/>
      </c>
      <c r="J360" s="28" t="str">
        <f t="shared" si="26"/>
        <v/>
      </c>
      <c r="K360" s="28" t="str">
        <f t="shared" si="26"/>
        <v/>
      </c>
      <c r="L360" s="29" t="str">
        <f t="shared" si="26"/>
        <v/>
      </c>
      <c r="M360" s="30" t="str">
        <f t="shared" si="27"/>
        <v/>
      </c>
      <c r="N360" s="199"/>
      <c r="O360" s="199"/>
      <c r="Q360" s="20">
        <f t="shared" si="28"/>
        <v>1</v>
      </c>
    </row>
    <row r="361" spans="2:17" ht="12.95" customHeight="1" thickBot="1" x14ac:dyDescent="0.25">
      <c r="B361" s="22">
        <v>44554</v>
      </c>
      <c r="C361" s="41"/>
      <c r="D361" s="24"/>
      <c r="E361" s="25"/>
      <c r="F361" s="26"/>
      <c r="G361" s="27"/>
      <c r="H361" s="28" t="str">
        <f t="shared" si="26"/>
        <v/>
      </c>
      <c r="I361" s="28" t="str">
        <f t="shared" si="26"/>
        <v/>
      </c>
      <c r="J361" s="28" t="str">
        <f t="shared" si="26"/>
        <v/>
      </c>
      <c r="K361" s="28" t="str">
        <f t="shared" si="26"/>
        <v/>
      </c>
      <c r="L361" s="29" t="str">
        <f t="shared" si="26"/>
        <v/>
      </c>
      <c r="M361" s="30" t="str">
        <f t="shared" si="27"/>
        <v/>
      </c>
      <c r="N361" s="200"/>
      <c r="O361" s="200"/>
      <c r="Q361" s="20">
        <f t="shared" si="28"/>
        <v>1</v>
      </c>
    </row>
    <row r="362" spans="2:17" ht="12.95" customHeight="1" thickBot="1" x14ac:dyDescent="0.25">
      <c r="B362" s="22">
        <v>44555</v>
      </c>
      <c r="C362" s="41"/>
      <c r="D362" s="24"/>
      <c r="E362" s="25"/>
      <c r="F362" s="26"/>
      <c r="G362" s="27"/>
      <c r="H362" s="28" t="str">
        <f t="shared" si="26"/>
        <v/>
      </c>
      <c r="I362" s="28" t="str">
        <f t="shared" si="26"/>
        <v/>
      </c>
      <c r="J362" s="28" t="str">
        <f t="shared" si="26"/>
        <v/>
      </c>
      <c r="K362" s="28" t="str">
        <f t="shared" si="26"/>
        <v/>
      </c>
      <c r="L362" s="29" t="str">
        <f t="shared" si="26"/>
        <v/>
      </c>
      <c r="M362" s="30" t="str">
        <f t="shared" si="27"/>
        <v/>
      </c>
      <c r="N362" s="32">
        <f>SUM(L339:L369)</f>
        <v>0</v>
      </c>
      <c r="O362" s="32">
        <f>SUM(M339:M369)</f>
        <v>0</v>
      </c>
      <c r="Q362" s="20">
        <f t="shared" si="28"/>
        <v>1</v>
      </c>
    </row>
    <row r="363" spans="2:17" ht="12.95" customHeight="1" x14ac:dyDescent="0.2">
      <c r="B363" s="22">
        <v>44556</v>
      </c>
      <c r="C363" s="41"/>
      <c r="D363" s="24"/>
      <c r="E363" s="25"/>
      <c r="F363" s="26"/>
      <c r="G363" s="27"/>
      <c r="H363" s="28" t="str">
        <f t="shared" si="26"/>
        <v/>
      </c>
      <c r="I363" s="28" t="str">
        <f t="shared" si="26"/>
        <v/>
      </c>
      <c r="J363" s="28" t="str">
        <f t="shared" si="26"/>
        <v/>
      </c>
      <c r="K363" s="28" t="str">
        <f t="shared" si="26"/>
        <v/>
      </c>
      <c r="L363" s="29" t="str">
        <f t="shared" si="26"/>
        <v/>
      </c>
      <c r="M363" s="30" t="str">
        <f t="shared" si="27"/>
        <v/>
      </c>
      <c r="N363" s="198" t="s">
        <v>23</v>
      </c>
      <c r="O363" s="198" t="s">
        <v>24</v>
      </c>
      <c r="Q363" s="20">
        <f t="shared" si="28"/>
        <v>1</v>
      </c>
    </row>
    <row r="364" spans="2:17" ht="12.95" customHeight="1" thickBot="1" x14ac:dyDescent="0.25">
      <c r="B364" s="22">
        <v>44557</v>
      </c>
      <c r="C364" s="41"/>
      <c r="D364" s="24"/>
      <c r="E364" s="25"/>
      <c r="F364" s="26"/>
      <c r="G364" s="27"/>
      <c r="H364" s="28" t="str">
        <f t="shared" si="26"/>
        <v/>
      </c>
      <c r="I364" s="28" t="str">
        <f t="shared" si="26"/>
        <v/>
      </c>
      <c r="J364" s="28" t="str">
        <f t="shared" si="26"/>
        <v/>
      </c>
      <c r="K364" s="28" t="str">
        <f t="shared" si="26"/>
        <v/>
      </c>
      <c r="L364" s="29" t="str">
        <f t="shared" si="26"/>
        <v/>
      </c>
      <c r="M364" s="30" t="str">
        <f t="shared" si="27"/>
        <v/>
      </c>
      <c r="N364" s="200"/>
      <c r="O364" s="200"/>
      <c r="Q364" s="20">
        <f t="shared" si="28"/>
        <v>1</v>
      </c>
    </row>
    <row r="365" spans="2:17" ht="12.95" customHeight="1" thickBot="1" x14ac:dyDescent="0.25">
      <c r="B365" s="22">
        <v>44558</v>
      </c>
      <c r="C365" s="41"/>
      <c r="D365" s="24"/>
      <c r="E365" s="25"/>
      <c r="F365" s="26"/>
      <c r="G365" s="27"/>
      <c r="H365" s="28" t="str">
        <f t="shared" si="26"/>
        <v/>
      </c>
      <c r="I365" s="28" t="str">
        <f t="shared" si="26"/>
        <v/>
      </c>
      <c r="J365" s="28" t="str">
        <f t="shared" si="26"/>
        <v/>
      </c>
      <c r="K365" s="28" t="str">
        <f t="shared" si="26"/>
        <v/>
      </c>
      <c r="L365" s="29" t="str">
        <f t="shared" si="26"/>
        <v/>
      </c>
      <c r="M365" s="30" t="str">
        <f t="shared" si="27"/>
        <v/>
      </c>
      <c r="N365" s="32" t="e">
        <f>AVERAGE(L339:L369)</f>
        <v>#DIV/0!</v>
      </c>
      <c r="O365" s="32" t="e">
        <f>AVERAGE(M339:M369)</f>
        <v>#DIV/0!</v>
      </c>
      <c r="Q365" s="20">
        <f t="shared" si="28"/>
        <v>1</v>
      </c>
    </row>
    <row r="366" spans="2:17" ht="12.95" customHeight="1" x14ac:dyDescent="0.2">
      <c r="B366" s="22">
        <v>44559</v>
      </c>
      <c r="C366" s="41"/>
      <c r="D366" s="24"/>
      <c r="E366" s="25"/>
      <c r="F366" s="26"/>
      <c r="G366" s="27"/>
      <c r="H366" s="28" t="str">
        <f t="shared" si="26"/>
        <v/>
      </c>
      <c r="I366" s="28" t="str">
        <f t="shared" si="26"/>
        <v/>
      </c>
      <c r="J366" s="28" t="str">
        <f t="shared" si="26"/>
        <v/>
      </c>
      <c r="K366" s="28" t="str">
        <f t="shared" si="26"/>
        <v/>
      </c>
      <c r="L366" s="29" t="str">
        <f t="shared" si="26"/>
        <v/>
      </c>
      <c r="M366" s="30" t="str">
        <f t="shared" si="27"/>
        <v/>
      </c>
      <c r="O366" s="20">
        <f>IF(L366="",1,0)</f>
        <v>1</v>
      </c>
    </row>
    <row r="367" spans="2:17" ht="12.95" customHeight="1" x14ac:dyDescent="0.2">
      <c r="B367" s="22">
        <v>44560</v>
      </c>
      <c r="C367" s="41"/>
      <c r="D367" s="24"/>
      <c r="E367" s="25"/>
      <c r="F367" s="26"/>
      <c r="G367" s="27"/>
      <c r="H367" s="28" t="str">
        <f t="shared" si="26"/>
        <v/>
      </c>
      <c r="I367" s="28" t="str">
        <f t="shared" si="26"/>
        <v/>
      </c>
      <c r="J367" s="28" t="str">
        <f t="shared" si="26"/>
        <v/>
      </c>
      <c r="K367" s="28" t="str">
        <f t="shared" si="26"/>
        <v/>
      </c>
      <c r="L367" s="29" t="str">
        <f t="shared" si="26"/>
        <v/>
      </c>
      <c r="M367" s="30" t="str">
        <f t="shared" si="27"/>
        <v/>
      </c>
      <c r="O367" s="20">
        <f>IF(L367="",1,0)</f>
        <v>1</v>
      </c>
    </row>
    <row r="368" spans="2:17" ht="12.95" customHeight="1" x14ac:dyDescent="0.2">
      <c r="B368" s="22">
        <v>44561</v>
      </c>
      <c r="C368" s="41"/>
      <c r="D368" s="24"/>
      <c r="E368" s="25"/>
      <c r="F368" s="26"/>
      <c r="G368" s="27"/>
      <c r="H368" s="28" t="str">
        <f t="shared" ref="H368:L369" si="29">IF(C368="","",+(C368-C367))</f>
        <v/>
      </c>
      <c r="I368" s="28" t="str">
        <f t="shared" si="29"/>
        <v/>
      </c>
      <c r="J368" s="28" t="str">
        <f t="shared" si="29"/>
        <v/>
      </c>
      <c r="K368" s="28" t="str">
        <f t="shared" si="29"/>
        <v/>
      </c>
      <c r="L368" s="29" t="str">
        <f t="shared" si="29"/>
        <v/>
      </c>
      <c r="M368" s="30" t="str">
        <f t="shared" si="27"/>
        <v/>
      </c>
      <c r="O368" s="20">
        <f>IF(L368="",1,0)</f>
        <v>1</v>
      </c>
    </row>
    <row r="369" spans="2:17" ht="12.95" customHeight="1" x14ac:dyDescent="0.2">
      <c r="B369" s="22">
        <v>44562</v>
      </c>
      <c r="C369" s="34"/>
      <c r="D369" s="33"/>
      <c r="E369" s="34"/>
      <c r="F369" s="34"/>
      <c r="G369" s="34"/>
      <c r="H369" s="35" t="str">
        <f t="shared" si="29"/>
        <v/>
      </c>
      <c r="I369" s="35" t="str">
        <f t="shared" si="29"/>
        <v/>
      </c>
      <c r="J369" s="35" t="str">
        <f t="shared" si="29"/>
        <v/>
      </c>
      <c r="K369" s="35" t="str">
        <f t="shared" si="29"/>
        <v/>
      </c>
      <c r="L369" s="36" t="str">
        <f t="shared" si="29"/>
        <v/>
      </c>
      <c r="M369" s="35" t="str">
        <f t="shared" si="27"/>
        <v/>
      </c>
      <c r="Q369" s="20">
        <f t="shared" si="28"/>
        <v>1</v>
      </c>
    </row>
    <row r="370" spans="2:17" x14ac:dyDescent="0.25">
      <c r="I370" s="46" t="str">
        <f>IF(D370="","",+(D370-D369))</f>
        <v/>
      </c>
    </row>
    <row r="371" spans="2:17" x14ac:dyDescent="0.25">
      <c r="H371" s="40">
        <f t="shared" ref="H371:M371" si="30">SUM(H4:H369)</f>
        <v>0</v>
      </c>
      <c r="I371" s="46">
        <f>SUM(I4:I369)</f>
        <v>441422</v>
      </c>
      <c r="J371" s="40">
        <f t="shared" si="30"/>
        <v>35280</v>
      </c>
      <c r="K371" s="40">
        <f t="shared" si="30"/>
        <v>32685</v>
      </c>
      <c r="L371" s="40">
        <f t="shared" si="30"/>
        <v>36145</v>
      </c>
      <c r="M371" s="40">
        <f t="shared" si="30"/>
        <v>509387</v>
      </c>
    </row>
  </sheetData>
  <mergeCells count="53">
    <mergeCell ref="N53:N55"/>
    <mergeCell ref="O53:O55"/>
    <mergeCell ref="B1:F1"/>
    <mergeCell ref="N25:N27"/>
    <mergeCell ref="O25:O27"/>
    <mergeCell ref="N29:N30"/>
    <mergeCell ref="O29:O30"/>
    <mergeCell ref="N57:N58"/>
    <mergeCell ref="O57:O58"/>
    <mergeCell ref="N60:N61"/>
    <mergeCell ref="O60:O61"/>
    <mergeCell ref="N84:N86"/>
    <mergeCell ref="O84:O86"/>
    <mergeCell ref="N88:N89"/>
    <mergeCell ref="O88:O89"/>
    <mergeCell ref="N91:N92"/>
    <mergeCell ref="O91:O92"/>
    <mergeCell ref="N114:N116"/>
    <mergeCell ref="O114:O116"/>
    <mergeCell ref="N118:N119"/>
    <mergeCell ref="O118:O119"/>
    <mergeCell ref="N145:N147"/>
    <mergeCell ref="O145:O147"/>
    <mergeCell ref="N149:N150"/>
    <mergeCell ref="O149:O150"/>
    <mergeCell ref="N175:N177"/>
    <mergeCell ref="O175:O177"/>
    <mergeCell ref="N179:N180"/>
    <mergeCell ref="O179:O180"/>
    <mergeCell ref="N206:N208"/>
    <mergeCell ref="O206:O208"/>
    <mergeCell ref="N210:N211"/>
    <mergeCell ref="O210:O211"/>
    <mergeCell ref="N237:N239"/>
    <mergeCell ref="O237:O239"/>
    <mergeCell ref="N241:N242"/>
    <mergeCell ref="O241:O242"/>
    <mergeCell ref="N267:N269"/>
    <mergeCell ref="O267:O269"/>
    <mergeCell ref="N271:N272"/>
    <mergeCell ref="O271:O272"/>
    <mergeCell ref="N298:N300"/>
    <mergeCell ref="O298:O300"/>
    <mergeCell ref="N359:N361"/>
    <mergeCell ref="O359:O361"/>
    <mergeCell ref="N363:N364"/>
    <mergeCell ref="O363:O364"/>
    <mergeCell ref="N302:N303"/>
    <mergeCell ref="O302:O303"/>
    <mergeCell ref="N328:N330"/>
    <mergeCell ref="O328:O330"/>
    <mergeCell ref="N332:N333"/>
    <mergeCell ref="O332:O333"/>
  </mergeCells>
  <conditionalFormatting sqref="K3">
    <cfRule type="cellIs" dxfId="6" priority="1" stopIfTrue="1" operator="between">
      <formula>0.2</formula>
      <formula>100</formula>
    </cfRule>
  </conditionalFormatting>
  <conditionalFormatting sqref="M3">
    <cfRule type="cellIs" dxfId="5" priority="2" stopIfTrue="1" operator="between">
      <formula>0.15</formula>
      <formula>100</formula>
    </cfRule>
  </conditionalFormatting>
  <dataValidations count="1">
    <dataValidation type="decimal" errorStyle="warning" allowBlank="1" showErrorMessage="1" errorTitle="SU KONTURU BİTİYOR" error="ACİL SU KONTURU ALINMASI LAZIM" promptTitle="SU KONTURU BİTİYOR" sqref="WVO1:WVO1048576 JC1:JC1048576 SY1:SY1048576 ACU1:ACU1048576 AMQ1:AMQ1048576 AWM1:AWM1048576 BGI1:BGI1048576 BQE1:BQE1048576 CAA1:CAA1048576 CJW1:CJW1048576 CTS1:CTS1048576 DDO1:DDO1048576 DNK1:DNK1048576 DXG1:DXG1048576 EHC1:EHC1048576 EQY1:EQY1048576 FAU1:FAU1048576 FKQ1:FKQ1048576 FUM1:FUM1048576 GEI1:GEI1048576 GOE1:GOE1048576 GYA1:GYA1048576 HHW1:HHW1048576 HRS1:HRS1048576 IBO1:IBO1048576 ILK1:ILK1048576 IVG1:IVG1048576 JFC1:JFC1048576 JOY1:JOY1048576 JYU1:JYU1048576 KIQ1:KIQ1048576 KSM1:KSM1048576 LCI1:LCI1048576 LME1:LME1048576 LWA1:LWA1048576 MFW1:MFW1048576 MPS1:MPS1048576 MZO1:MZO1048576 NJK1:NJK1048576 NTG1:NTG1048576 ODC1:ODC1048576 OMY1:OMY1048576 OWU1:OWU1048576 PGQ1:PGQ1048576 PQM1:PQM1048576 QAI1:QAI1048576 QKE1:QKE1048576 QUA1:QUA1048576 RDW1:RDW1048576 RNS1:RNS1048576 RXO1:RXO1048576 SHK1:SHK1048576 SRG1:SRG1048576 TBC1:TBC1048576 TKY1:TKY1048576 TUU1:TUU1048576 UEQ1:UEQ1048576 UOM1:UOM1048576 UYI1:UYI1048576 VIE1:VIE1048576 VSA1:VSA1048576 WBW1:WBW1048576 WLS1:WLS1048576 G1:G1048576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402"/>
  <sheetViews>
    <sheetView topLeftCell="A187" workbookViewId="0">
      <selection activeCell="U207" sqref="U207"/>
    </sheetView>
  </sheetViews>
  <sheetFormatPr defaultColWidth="9.140625" defaultRowHeight="15" x14ac:dyDescent="0.25"/>
  <cols>
    <col min="1" max="1" width="10.85546875" style="151" customWidth="1"/>
    <col min="2" max="2" width="0.140625" style="1" customWidth="1"/>
    <col min="3" max="3" width="4.42578125" style="1" hidden="1" customWidth="1"/>
    <col min="4" max="4" width="13.5703125" style="141" customWidth="1"/>
    <col min="5" max="5" width="10" style="141" customWidth="1"/>
    <col min="6" max="6" width="9.7109375" style="141" customWidth="1"/>
    <col min="7" max="7" width="11.28515625" style="66" hidden="1" customWidth="1"/>
    <col min="8" max="8" width="11.28515625" style="66" customWidth="1"/>
    <col min="9" max="9" width="11.7109375" style="66" customWidth="1"/>
    <col min="10" max="10" width="12" style="66" customWidth="1"/>
    <col min="11" max="11" width="10.42578125" style="66" customWidth="1"/>
    <col min="12" max="12" width="12.7109375" style="66" bestFit="1" customWidth="1"/>
    <col min="13" max="13" width="10.7109375" style="66" bestFit="1" customWidth="1"/>
    <col min="14" max="14" width="14.140625" style="66" bestFit="1" customWidth="1"/>
    <col min="15" max="15" width="13.85546875" style="1" customWidth="1"/>
    <col min="16" max="16" width="14.85546875" style="1" customWidth="1"/>
    <col min="17" max="17" width="15" style="1" customWidth="1"/>
    <col min="18" max="18" width="11" style="20" customWidth="1"/>
    <col min="19" max="19" width="8.7109375" style="6" customWidth="1"/>
    <col min="20" max="20" width="12.28515625" style="21" customWidth="1"/>
    <col min="21" max="21" width="11.5703125" style="1" bestFit="1" customWidth="1"/>
    <col min="22" max="22" width="8.7109375" style="6" customWidth="1"/>
    <col min="23" max="25" width="9.140625" style="1"/>
    <col min="26" max="26" width="11.5703125" style="1" bestFit="1" customWidth="1"/>
    <col min="27" max="256" width="9.140625" style="1"/>
    <col min="257" max="257" width="10.85546875" style="1" customWidth="1"/>
    <col min="258" max="258" width="0.140625" style="1" customWidth="1"/>
    <col min="259" max="259" width="0" style="1" hidden="1" customWidth="1"/>
    <col min="260" max="260" width="13.5703125" style="1" customWidth="1"/>
    <col min="261" max="261" width="10" style="1" customWidth="1"/>
    <col min="262" max="262" width="9.7109375" style="1" customWidth="1"/>
    <col min="263" max="263" width="0" style="1" hidden="1" customWidth="1"/>
    <col min="264" max="264" width="11.28515625" style="1" customWidth="1"/>
    <col min="265" max="265" width="11.7109375" style="1" customWidth="1"/>
    <col min="266" max="266" width="12" style="1" customWidth="1"/>
    <col min="267" max="267" width="10.42578125" style="1" customWidth="1"/>
    <col min="268" max="268" width="12.7109375" style="1" bestFit="1" customWidth="1"/>
    <col min="269" max="269" width="10.7109375" style="1" bestFit="1" customWidth="1"/>
    <col min="270" max="270" width="14.140625" style="1" bestFit="1" customWidth="1"/>
    <col min="271" max="271" width="13.85546875" style="1" customWidth="1"/>
    <col min="272" max="272" width="14.85546875" style="1" customWidth="1"/>
    <col min="273" max="273" width="15" style="1" customWidth="1"/>
    <col min="274" max="274" width="11" style="1" customWidth="1"/>
    <col min="275" max="275" width="8.7109375" style="1" customWidth="1"/>
    <col min="276" max="276" width="12.28515625" style="1" customWidth="1"/>
    <col min="277" max="277" width="11.5703125" style="1" bestFit="1" customWidth="1"/>
    <col min="278" max="278" width="8.7109375" style="1" customWidth="1"/>
    <col min="279" max="281" width="9.140625" style="1"/>
    <col min="282" max="282" width="11.5703125" style="1" bestFit="1" customWidth="1"/>
    <col min="283" max="512" width="9.140625" style="1"/>
    <col min="513" max="513" width="10.85546875" style="1" customWidth="1"/>
    <col min="514" max="514" width="0.140625" style="1" customWidth="1"/>
    <col min="515" max="515" width="0" style="1" hidden="1" customWidth="1"/>
    <col min="516" max="516" width="13.5703125" style="1" customWidth="1"/>
    <col min="517" max="517" width="10" style="1" customWidth="1"/>
    <col min="518" max="518" width="9.7109375" style="1" customWidth="1"/>
    <col min="519" max="519" width="0" style="1" hidden="1" customWidth="1"/>
    <col min="520" max="520" width="11.28515625" style="1" customWidth="1"/>
    <col min="521" max="521" width="11.7109375" style="1" customWidth="1"/>
    <col min="522" max="522" width="12" style="1" customWidth="1"/>
    <col min="523" max="523" width="10.42578125" style="1" customWidth="1"/>
    <col min="524" max="524" width="12.7109375" style="1" bestFit="1" customWidth="1"/>
    <col min="525" max="525" width="10.7109375" style="1" bestFit="1" customWidth="1"/>
    <col min="526" max="526" width="14.140625" style="1" bestFit="1" customWidth="1"/>
    <col min="527" max="527" width="13.85546875" style="1" customWidth="1"/>
    <col min="528" max="528" width="14.85546875" style="1" customWidth="1"/>
    <col min="529" max="529" width="15" style="1" customWidth="1"/>
    <col min="530" max="530" width="11" style="1" customWidth="1"/>
    <col min="531" max="531" width="8.7109375" style="1" customWidth="1"/>
    <col min="532" max="532" width="12.28515625" style="1" customWidth="1"/>
    <col min="533" max="533" width="11.5703125" style="1" bestFit="1" customWidth="1"/>
    <col min="534" max="534" width="8.7109375" style="1" customWidth="1"/>
    <col min="535" max="537" width="9.140625" style="1"/>
    <col min="538" max="538" width="11.5703125" style="1" bestFit="1" customWidth="1"/>
    <col min="539" max="768" width="9.140625" style="1"/>
    <col min="769" max="769" width="10.85546875" style="1" customWidth="1"/>
    <col min="770" max="770" width="0.140625" style="1" customWidth="1"/>
    <col min="771" max="771" width="0" style="1" hidden="1" customWidth="1"/>
    <col min="772" max="772" width="13.5703125" style="1" customWidth="1"/>
    <col min="773" max="773" width="10" style="1" customWidth="1"/>
    <col min="774" max="774" width="9.7109375" style="1" customWidth="1"/>
    <col min="775" max="775" width="0" style="1" hidden="1" customWidth="1"/>
    <col min="776" max="776" width="11.28515625" style="1" customWidth="1"/>
    <col min="777" max="777" width="11.7109375" style="1" customWidth="1"/>
    <col min="778" max="778" width="12" style="1" customWidth="1"/>
    <col min="779" max="779" width="10.42578125" style="1" customWidth="1"/>
    <col min="780" max="780" width="12.7109375" style="1" bestFit="1" customWidth="1"/>
    <col min="781" max="781" width="10.7109375" style="1" bestFit="1" customWidth="1"/>
    <col min="782" max="782" width="14.140625" style="1" bestFit="1" customWidth="1"/>
    <col min="783" max="783" width="13.85546875" style="1" customWidth="1"/>
    <col min="784" max="784" width="14.85546875" style="1" customWidth="1"/>
    <col min="785" max="785" width="15" style="1" customWidth="1"/>
    <col min="786" max="786" width="11" style="1" customWidth="1"/>
    <col min="787" max="787" width="8.7109375" style="1" customWidth="1"/>
    <col min="788" max="788" width="12.28515625" style="1" customWidth="1"/>
    <col min="789" max="789" width="11.5703125" style="1" bestFit="1" customWidth="1"/>
    <col min="790" max="790" width="8.7109375" style="1" customWidth="1"/>
    <col min="791" max="793" width="9.140625" style="1"/>
    <col min="794" max="794" width="11.5703125" style="1" bestFit="1" customWidth="1"/>
    <col min="795" max="1024" width="9.140625" style="1"/>
    <col min="1025" max="1025" width="10.85546875" style="1" customWidth="1"/>
    <col min="1026" max="1026" width="0.140625" style="1" customWidth="1"/>
    <col min="1027" max="1027" width="0" style="1" hidden="1" customWidth="1"/>
    <col min="1028" max="1028" width="13.5703125" style="1" customWidth="1"/>
    <col min="1029" max="1029" width="10" style="1" customWidth="1"/>
    <col min="1030" max="1030" width="9.7109375" style="1" customWidth="1"/>
    <col min="1031" max="1031" width="0" style="1" hidden="1" customWidth="1"/>
    <col min="1032" max="1032" width="11.28515625" style="1" customWidth="1"/>
    <col min="1033" max="1033" width="11.7109375" style="1" customWidth="1"/>
    <col min="1034" max="1034" width="12" style="1" customWidth="1"/>
    <col min="1035" max="1035" width="10.42578125" style="1" customWidth="1"/>
    <col min="1036" max="1036" width="12.7109375" style="1" bestFit="1" customWidth="1"/>
    <col min="1037" max="1037" width="10.7109375" style="1" bestFit="1" customWidth="1"/>
    <col min="1038" max="1038" width="14.140625" style="1" bestFit="1" customWidth="1"/>
    <col min="1039" max="1039" width="13.85546875" style="1" customWidth="1"/>
    <col min="1040" max="1040" width="14.85546875" style="1" customWidth="1"/>
    <col min="1041" max="1041" width="15" style="1" customWidth="1"/>
    <col min="1042" max="1042" width="11" style="1" customWidth="1"/>
    <col min="1043" max="1043" width="8.7109375" style="1" customWidth="1"/>
    <col min="1044" max="1044" width="12.28515625" style="1" customWidth="1"/>
    <col min="1045" max="1045" width="11.5703125" style="1" bestFit="1" customWidth="1"/>
    <col min="1046" max="1046" width="8.7109375" style="1" customWidth="1"/>
    <col min="1047" max="1049" width="9.140625" style="1"/>
    <col min="1050" max="1050" width="11.5703125" style="1" bestFit="1" customWidth="1"/>
    <col min="1051" max="1280" width="9.140625" style="1"/>
    <col min="1281" max="1281" width="10.85546875" style="1" customWidth="1"/>
    <col min="1282" max="1282" width="0.140625" style="1" customWidth="1"/>
    <col min="1283" max="1283" width="0" style="1" hidden="1" customWidth="1"/>
    <col min="1284" max="1284" width="13.5703125" style="1" customWidth="1"/>
    <col min="1285" max="1285" width="10" style="1" customWidth="1"/>
    <col min="1286" max="1286" width="9.7109375" style="1" customWidth="1"/>
    <col min="1287" max="1287" width="0" style="1" hidden="1" customWidth="1"/>
    <col min="1288" max="1288" width="11.28515625" style="1" customWidth="1"/>
    <col min="1289" max="1289" width="11.7109375" style="1" customWidth="1"/>
    <col min="1290" max="1290" width="12" style="1" customWidth="1"/>
    <col min="1291" max="1291" width="10.42578125" style="1" customWidth="1"/>
    <col min="1292" max="1292" width="12.7109375" style="1" bestFit="1" customWidth="1"/>
    <col min="1293" max="1293" width="10.7109375" style="1" bestFit="1" customWidth="1"/>
    <col min="1294" max="1294" width="14.140625" style="1" bestFit="1" customWidth="1"/>
    <col min="1295" max="1295" width="13.85546875" style="1" customWidth="1"/>
    <col min="1296" max="1296" width="14.85546875" style="1" customWidth="1"/>
    <col min="1297" max="1297" width="15" style="1" customWidth="1"/>
    <col min="1298" max="1298" width="11" style="1" customWidth="1"/>
    <col min="1299" max="1299" width="8.7109375" style="1" customWidth="1"/>
    <col min="1300" max="1300" width="12.28515625" style="1" customWidth="1"/>
    <col min="1301" max="1301" width="11.5703125" style="1" bestFit="1" customWidth="1"/>
    <col min="1302" max="1302" width="8.7109375" style="1" customWidth="1"/>
    <col min="1303" max="1305" width="9.140625" style="1"/>
    <col min="1306" max="1306" width="11.5703125" style="1" bestFit="1" customWidth="1"/>
    <col min="1307" max="1536" width="9.140625" style="1"/>
    <col min="1537" max="1537" width="10.85546875" style="1" customWidth="1"/>
    <col min="1538" max="1538" width="0.140625" style="1" customWidth="1"/>
    <col min="1539" max="1539" width="0" style="1" hidden="1" customWidth="1"/>
    <col min="1540" max="1540" width="13.5703125" style="1" customWidth="1"/>
    <col min="1541" max="1541" width="10" style="1" customWidth="1"/>
    <col min="1542" max="1542" width="9.7109375" style="1" customWidth="1"/>
    <col min="1543" max="1543" width="0" style="1" hidden="1" customWidth="1"/>
    <col min="1544" max="1544" width="11.28515625" style="1" customWidth="1"/>
    <col min="1545" max="1545" width="11.7109375" style="1" customWidth="1"/>
    <col min="1546" max="1546" width="12" style="1" customWidth="1"/>
    <col min="1547" max="1547" width="10.42578125" style="1" customWidth="1"/>
    <col min="1548" max="1548" width="12.7109375" style="1" bestFit="1" customWidth="1"/>
    <col min="1549" max="1549" width="10.7109375" style="1" bestFit="1" customWidth="1"/>
    <col min="1550" max="1550" width="14.140625" style="1" bestFit="1" customWidth="1"/>
    <col min="1551" max="1551" width="13.85546875" style="1" customWidth="1"/>
    <col min="1552" max="1552" width="14.85546875" style="1" customWidth="1"/>
    <col min="1553" max="1553" width="15" style="1" customWidth="1"/>
    <col min="1554" max="1554" width="11" style="1" customWidth="1"/>
    <col min="1555" max="1555" width="8.7109375" style="1" customWidth="1"/>
    <col min="1556" max="1556" width="12.28515625" style="1" customWidth="1"/>
    <col min="1557" max="1557" width="11.5703125" style="1" bestFit="1" customWidth="1"/>
    <col min="1558" max="1558" width="8.7109375" style="1" customWidth="1"/>
    <col min="1559" max="1561" width="9.140625" style="1"/>
    <col min="1562" max="1562" width="11.5703125" style="1" bestFit="1" customWidth="1"/>
    <col min="1563" max="1792" width="9.140625" style="1"/>
    <col min="1793" max="1793" width="10.85546875" style="1" customWidth="1"/>
    <col min="1794" max="1794" width="0.140625" style="1" customWidth="1"/>
    <col min="1795" max="1795" width="0" style="1" hidden="1" customWidth="1"/>
    <col min="1796" max="1796" width="13.5703125" style="1" customWidth="1"/>
    <col min="1797" max="1797" width="10" style="1" customWidth="1"/>
    <col min="1798" max="1798" width="9.7109375" style="1" customWidth="1"/>
    <col min="1799" max="1799" width="0" style="1" hidden="1" customWidth="1"/>
    <col min="1800" max="1800" width="11.28515625" style="1" customWidth="1"/>
    <col min="1801" max="1801" width="11.7109375" style="1" customWidth="1"/>
    <col min="1802" max="1802" width="12" style="1" customWidth="1"/>
    <col min="1803" max="1803" width="10.42578125" style="1" customWidth="1"/>
    <col min="1804" max="1804" width="12.7109375" style="1" bestFit="1" customWidth="1"/>
    <col min="1805" max="1805" width="10.7109375" style="1" bestFit="1" customWidth="1"/>
    <col min="1806" max="1806" width="14.140625" style="1" bestFit="1" customWidth="1"/>
    <col min="1807" max="1807" width="13.85546875" style="1" customWidth="1"/>
    <col min="1808" max="1808" width="14.85546875" style="1" customWidth="1"/>
    <col min="1809" max="1809" width="15" style="1" customWidth="1"/>
    <col min="1810" max="1810" width="11" style="1" customWidth="1"/>
    <col min="1811" max="1811" width="8.7109375" style="1" customWidth="1"/>
    <col min="1812" max="1812" width="12.28515625" style="1" customWidth="1"/>
    <col min="1813" max="1813" width="11.5703125" style="1" bestFit="1" customWidth="1"/>
    <col min="1814" max="1814" width="8.7109375" style="1" customWidth="1"/>
    <col min="1815" max="1817" width="9.140625" style="1"/>
    <col min="1818" max="1818" width="11.5703125" style="1" bestFit="1" customWidth="1"/>
    <col min="1819" max="2048" width="9.140625" style="1"/>
    <col min="2049" max="2049" width="10.85546875" style="1" customWidth="1"/>
    <col min="2050" max="2050" width="0.140625" style="1" customWidth="1"/>
    <col min="2051" max="2051" width="0" style="1" hidden="1" customWidth="1"/>
    <col min="2052" max="2052" width="13.5703125" style="1" customWidth="1"/>
    <col min="2053" max="2053" width="10" style="1" customWidth="1"/>
    <col min="2054" max="2054" width="9.7109375" style="1" customWidth="1"/>
    <col min="2055" max="2055" width="0" style="1" hidden="1" customWidth="1"/>
    <col min="2056" max="2056" width="11.28515625" style="1" customWidth="1"/>
    <col min="2057" max="2057" width="11.7109375" style="1" customWidth="1"/>
    <col min="2058" max="2058" width="12" style="1" customWidth="1"/>
    <col min="2059" max="2059" width="10.42578125" style="1" customWidth="1"/>
    <col min="2060" max="2060" width="12.7109375" style="1" bestFit="1" customWidth="1"/>
    <col min="2061" max="2061" width="10.7109375" style="1" bestFit="1" customWidth="1"/>
    <col min="2062" max="2062" width="14.140625" style="1" bestFit="1" customWidth="1"/>
    <col min="2063" max="2063" width="13.85546875" style="1" customWidth="1"/>
    <col min="2064" max="2064" width="14.85546875" style="1" customWidth="1"/>
    <col min="2065" max="2065" width="15" style="1" customWidth="1"/>
    <col min="2066" max="2066" width="11" style="1" customWidth="1"/>
    <col min="2067" max="2067" width="8.7109375" style="1" customWidth="1"/>
    <col min="2068" max="2068" width="12.28515625" style="1" customWidth="1"/>
    <col min="2069" max="2069" width="11.5703125" style="1" bestFit="1" customWidth="1"/>
    <col min="2070" max="2070" width="8.7109375" style="1" customWidth="1"/>
    <col min="2071" max="2073" width="9.140625" style="1"/>
    <col min="2074" max="2074" width="11.5703125" style="1" bestFit="1" customWidth="1"/>
    <col min="2075" max="2304" width="9.140625" style="1"/>
    <col min="2305" max="2305" width="10.85546875" style="1" customWidth="1"/>
    <col min="2306" max="2306" width="0.140625" style="1" customWidth="1"/>
    <col min="2307" max="2307" width="0" style="1" hidden="1" customWidth="1"/>
    <col min="2308" max="2308" width="13.5703125" style="1" customWidth="1"/>
    <col min="2309" max="2309" width="10" style="1" customWidth="1"/>
    <col min="2310" max="2310" width="9.7109375" style="1" customWidth="1"/>
    <col min="2311" max="2311" width="0" style="1" hidden="1" customWidth="1"/>
    <col min="2312" max="2312" width="11.28515625" style="1" customWidth="1"/>
    <col min="2313" max="2313" width="11.7109375" style="1" customWidth="1"/>
    <col min="2314" max="2314" width="12" style="1" customWidth="1"/>
    <col min="2315" max="2315" width="10.42578125" style="1" customWidth="1"/>
    <col min="2316" max="2316" width="12.7109375" style="1" bestFit="1" customWidth="1"/>
    <col min="2317" max="2317" width="10.7109375" style="1" bestFit="1" customWidth="1"/>
    <col min="2318" max="2318" width="14.140625" style="1" bestFit="1" customWidth="1"/>
    <col min="2319" max="2319" width="13.85546875" style="1" customWidth="1"/>
    <col min="2320" max="2320" width="14.85546875" style="1" customWidth="1"/>
    <col min="2321" max="2321" width="15" style="1" customWidth="1"/>
    <col min="2322" max="2322" width="11" style="1" customWidth="1"/>
    <col min="2323" max="2323" width="8.7109375" style="1" customWidth="1"/>
    <col min="2324" max="2324" width="12.28515625" style="1" customWidth="1"/>
    <col min="2325" max="2325" width="11.5703125" style="1" bestFit="1" customWidth="1"/>
    <col min="2326" max="2326" width="8.7109375" style="1" customWidth="1"/>
    <col min="2327" max="2329" width="9.140625" style="1"/>
    <col min="2330" max="2330" width="11.5703125" style="1" bestFit="1" customWidth="1"/>
    <col min="2331" max="2560" width="9.140625" style="1"/>
    <col min="2561" max="2561" width="10.85546875" style="1" customWidth="1"/>
    <col min="2562" max="2562" width="0.140625" style="1" customWidth="1"/>
    <col min="2563" max="2563" width="0" style="1" hidden="1" customWidth="1"/>
    <col min="2564" max="2564" width="13.5703125" style="1" customWidth="1"/>
    <col min="2565" max="2565" width="10" style="1" customWidth="1"/>
    <col min="2566" max="2566" width="9.7109375" style="1" customWidth="1"/>
    <col min="2567" max="2567" width="0" style="1" hidden="1" customWidth="1"/>
    <col min="2568" max="2568" width="11.28515625" style="1" customWidth="1"/>
    <col min="2569" max="2569" width="11.7109375" style="1" customWidth="1"/>
    <col min="2570" max="2570" width="12" style="1" customWidth="1"/>
    <col min="2571" max="2571" width="10.42578125" style="1" customWidth="1"/>
    <col min="2572" max="2572" width="12.7109375" style="1" bestFit="1" customWidth="1"/>
    <col min="2573" max="2573" width="10.7109375" style="1" bestFit="1" customWidth="1"/>
    <col min="2574" max="2574" width="14.140625" style="1" bestFit="1" customWidth="1"/>
    <col min="2575" max="2575" width="13.85546875" style="1" customWidth="1"/>
    <col min="2576" max="2576" width="14.85546875" style="1" customWidth="1"/>
    <col min="2577" max="2577" width="15" style="1" customWidth="1"/>
    <col min="2578" max="2578" width="11" style="1" customWidth="1"/>
    <col min="2579" max="2579" width="8.7109375" style="1" customWidth="1"/>
    <col min="2580" max="2580" width="12.28515625" style="1" customWidth="1"/>
    <col min="2581" max="2581" width="11.5703125" style="1" bestFit="1" customWidth="1"/>
    <col min="2582" max="2582" width="8.7109375" style="1" customWidth="1"/>
    <col min="2583" max="2585" width="9.140625" style="1"/>
    <col min="2586" max="2586" width="11.5703125" style="1" bestFit="1" customWidth="1"/>
    <col min="2587" max="2816" width="9.140625" style="1"/>
    <col min="2817" max="2817" width="10.85546875" style="1" customWidth="1"/>
    <col min="2818" max="2818" width="0.140625" style="1" customWidth="1"/>
    <col min="2819" max="2819" width="0" style="1" hidden="1" customWidth="1"/>
    <col min="2820" max="2820" width="13.5703125" style="1" customWidth="1"/>
    <col min="2821" max="2821" width="10" style="1" customWidth="1"/>
    <col min="2822" max="2822" width="9.7109375" style="1" customWidth="1"/>
    <col min="2823" max="2823" width="0" style="1" hidden="1" customWidth="1"/>
    <col min="2824" max="2824" width="11.28515625" style="1" customWidth="1"/>
    <col min="2825" max="2825" width="11.7109375" style="1" customWidth="1"/>
    <col min="2826" max="2826" width="12" style="1" customWidth="1"/>
    <col min="2827" max="2827" width="10.42578125" style="1" customWidth="1"/>
    <col min="2828" max="2828" width="12.7109375" style="1" bestFit="1" customWidth="1"/>
    <col min="2829" max="2829" width="10.7109375" style="1" bestFit="1" customWidth="1"/>
    <col min="2830" max="2830" width="14.140625" style="1" bestFit="1" customWidth="1"/>
    <col min="2831" max="2831" width="13.85546875" style="1" customWidth="1"/>
    <col min="2832" max="2832" width="14.85546875" style="1" customWidth="1"/>
    <col min="2833" max="2833" width="15" style="1" customWidth="1"/>
    <col min="2834" max="2834" width="11" style="1" customWidth="1"/>
    <col min="2835" max="2835" width="8.7109375" style="1" customWidth="1"/>
    <col min="2836" max="2836" width="12.28515625" style="1" customWidth="1"/>
    <col min="2837" max="2837" width="11.5703125" style="1" bestFit="1" customWidth="1"/>
    <col min="2838" max="2838" width="8.7109375" style="1" customWidth="1"/>
    <col min="2839" max="2841" width="9.140625" style="1"/>
    <col min="2842" max="2842" width="11.5703125" style="1" bestFit="1" customWidth="1"/>
    <col min="2843" max="3072" width="9.140625" style="1"/>
    <col min="3073" max="3073" width="10.85546875" style="1" customWidth="1"/>
    <col min="3074" max="3074" width="0.140625" style="1" customWidth="1"/>
    <col min="3075" max="3075" width="0" style="1" hidden="1" customWidth="1"/>
    <col min="3076" max="3076" width="13.5703125" style="1" customWidth="1"/>
    <col min="3077" max="3077" width="10" style="1" customWidth="1"/>
    <col min="3078" max="3078" width="9.7109375" style="1" customWidth="1"/>
    <col min="3079" max="3079" width="0" style="1" hidden="1" customWidth="1"/>
    <col min="3080" max="3080" width="11.28515625" style="1" customWidth="1"/>
    <col min="3081" max="3081" width="11.7109375" style="1" customWidth="1"/>
    <col min="3082" max="3082" width="12" style="1" customWidth="1"/>
    <col min="3083" max="3083" width="10.42578125" style="1" customWidth="1"/>
    <col min="3084" max="3084" width="12.7109375" style="1" bestFit="1" customWidth="1"/>
    <col min="3085" max="3085" width="10.7109375" style="1" bestFit="1" customWidth="1"/>
    <col min="3086" max="3086" width="14.140625" style="1" bestFit="1" customWidth="1"/>
    <col min="3087" max="3087" width="13.85546875" style="1" customWidth="1"/>
    <col min="3088" max="3088" width="14.85546875" style="1" customWidth="1"/>
    <col min="3089" max="3089" width="15" style="1" customWidth="1"/>
    <col min="3090" max="3090" width="11" style="1" customWidth="1"/>
    <col min="3091" max="3091" width="8.7109375" style="1" customWidth="1"/>
    <col min="3092" max="3092" width="12.28515625" style="1" customWidth="1"/>
    <col min="3093" max="3093" width="11.5703125" style="1" bestFit="1" customWidth="1"/>
    <col min="3094" max="3094" width="8.7109375" style="1" customWidth="1"/>
    <col min="3095" max="3097" width="9.140625" style="1"/>
    <col min="3098" max="3098" width="11.5703125" style="1" bestFit="1" customWidth="1"/>
    <col min="3099" max="3328" width="9.140625" style="1"/>
    <col min="3329" max="3329" width="10.85546875" style="1" customWidth="1"/>
    <col min="3330" max="3330" width="0.140625" style="1" customWidth="1"/>
    <col min="3331" max="3331" width="0" style="1" hidden="1" customWidth="1"/>
    <col min="3332" max="3332" width="13.5703125" style="1" customWidth="1"/>
    <col min="3333" max="3333" width="10" style="1" customWidth="1"/>
    <col min="3334" max="3334" width="9.7109375" style="1" customWidth="1"/>
    <col min="3335" max="3335" width="0" style="1" hidden="1" customWidth="1"/>
    <col min="3336" max="3336" width="11.28515625" style="1" customWidth="1"/>
    <col min="3337" max="3337" width="11.7109375" style="1" customWidth="1"/>
    <col min="3338" max="3338" width="12" style="1" customWidth="1"/>
    <col min="3339" max="3339" width="10.42578125" style="1" customWidth="1"/>
    <col min="3340" max="3340" width="12.7109375" style="1" bestFit="1" customWidth="1"/>
    <col min="3341" max="3341" width="10.7109375" style="1" bestFit="1" customWidth="1"/>
    <col min="3342" max="3342" width="14.140625" style="1" bestFit="1" customWidth="1"/>
    <col min="3343" max="3343" width="13.85546875" style="1" customWidth="1"/>
    <col min="3344" max="3344" width="14.85546875" style="1" customWidth="1"/>
    <col min="3345" max="3345" width="15" style="1" customWidth="1"/>
    <col min="3346" max="3346" width="11" style="1" customWidth="1"/>
    <col min="3347" max="3347" width="8.7109375" style="1" customWidth="1"/>
    <col min="3348" max="3348" width="12.28515625" style="1" customWidth="1"/>
    <col min="3349" max="3349" width="11.5703125" style="1" bestFit="1" customWidth="1"/>
    <col min="3350" max="3350" width="8.7109375" style="1" customWidth="1"/>
    <col min="3351" max="3353" width="9.140625" style="1"/>
    <col min="3354" max="3354" width="11.5703125" style="1" bestFit="1" customWidth="1"/>
    <col min="3355" max="3584" width="9.140625" style="1"/>
    <col min="3585" max="3585" width="10.85546875" style="1" customWidth="1"/>
    <col min="3586" max="3586" width="0.140625" style="1" customWidth="1"/>
    <col min="3587" max="3587" width="0" style="1" hidden="1" customWidth="1"/>
    <col min="3588" max="3588" width="13.5703125" style="1" customWidth="1"/>
    <col min="3589" max="3589" width="10" style="1" customWidth="1"/>
    <col min="3590" max="3590" width="9.7109375" style="1" customWidth="1"/>
    <col min="3591" max="3591" width="0" style="1" hidden="1" customWidth="1"/>
    <col min="3592" max="3592" width="11.28515625" style="1" customWidth="1"/>
    <col min="3593" max="3593" width="11.7109375" style="1" customWidth="1"/>
    <col min="3594" max="3594" width="12" style="1" customWidth="1"/>
    <col min="3595" max="3595" width="10.42578125" style="1" customWidth="1"/>
    <col min="3596" max="3596" width="12.7109375" style="1" bestFit="1" customWidth="1"/>
    <col min="3597" max="3597" width="10.7109375" style="1" bestFit="1" customWidth="1"/>
    <col min="3598" max="3598" width="14.140625" style="1" bestFit="1" customWidth="1"/>
    <col min="3599" max="3599" width="13.85546875" style="1" customWidth="1"/>
    <col min="3600" max="3600" width="14.85546875" style="1" customWidth="1"/>
    <col min="3601" max="3601" width="15" style="1" customWidth="1"/>
    <col min="3602" max="3602" width="11" style="1" customWidth="1"/>
    <col min="3603" max="3603" width="8.7109375" style="1" customWidth="1"/>
    <col min="3604" max="3604" width="12.28515625" style="1" customWidth="1"/>
    <col min="3605" max="3605" width="11.5703125" style="1" bestFit="1" customWidth="1"/>
    <col min="3606" max="3606" width="8.7109375" style="1" customWidth="1"/>
    <col min="3607" max="3609" width="9.140625" style="1"/>
    <col min="3610" max="3610" width="11.5703125" style="1" bestFit="1" customWidth="1"/>
    <col min="3611" max="3840" width="9.140625" style="1"/>
    <col min="3841" max="3841" width="10.85546875" style="1" customWidth="1"/>
    <col min="3842" max="3842" width="0.140625" style="1" customWidth="1"/>
    <col min="3843" max="3843" width="0" style="1" hidden="1" customWidth="1"/>
    <col min="3844" max="3844" width="13.5703125" style="1" customWidth="1"/>
    <col min="3845" max="3845" width="10" style="1" customWidth="1"/>
    <col min="3846" max="3846" width="9.7109375" style="1" customWidth="1"/>
    <col min="3847" max="3847" width="0" style="1" hidden="1" customWidth="1"/>
    <col min="3848" max="3848" width="11.28515625" style="1" customWidth="1"/>
    <col min="3849" max="3849" width="11.7109375" style="1" customWidth="1"/>
    <col min="3850" max="3850" width="12" style="1" customWidth="1"/>
    <col min="3851" max="3851" width="10.42578125" style="1" customWidth="1"/>
    <col min="3852" max="3852" width="12.7109375" style="1" bestFit="1" customWidth="1"/>
    <col min="3853" max="3853" width="10.7109375" style="1" bestFit="1" customWidth="1"/>
    <col min="3854" max="3854" width="14.140625" style="1" bestFit="1" customWidth="1"/>
    <col min="3855" max="3855" width="13.85546875" style="1" customWidth="1"/>
    <col min="3856" max="3856" width="14.85546875" style="1" customWidth="1"/>
    <col min="3857" max="3857" width="15" style="1" customWidth="1"/>
    <col min="3858" max="3858" width="11" style="1" customWidth="1"/>
    <col min="3859" max="3859" width="8.7109375" style="1" customWidth="1"/>
    <col min="3860" max="3860" width="12.28515625" style="1" customWidth="1"/>
    <col min="3861" max="3861" width="11.5703125" style="1" bestFit="1" customWidth="1"/>
    <col min="3862" max="3862" width="8.7109375" style="1" customWidth="1"/>
    <col min="3863" max="3865" width="9.140625" style="1"/>
    <col min="3866" max="3866" width="11.5703125" style="1" bestFit="1" customWidth="1"/>
    <col min="3867" max="4096" width="9.140625" style="1"/>
    <col min="4097" max="4097" width="10.85546875" style="1" customWidth="1"/>
    <col min="4098" max="4098" width="0.140625" style="1" customWidth="1"/>
    <col min="4099" max="4099" width="0" style="1" hidden="1" customWidth="1"/>
    <col min="4100" max="4100" width="13.5703125" style="1" customWidth="1"/>
    <col min="4101" max="4101" width="10" style="1" customWidth="1"/>
    <col min="4102" max="4102" width="9.7109375" style="1" customWidth="1"/>
    <col min="4103" max="4103" width="0" style="1" hidden="1" customWidth="1"/>
    <col min="4104" max="4104" width="11.28515625" style="1" customWidth="1"/>
    <col min="4105" max="4105" width="11.7109375" style="1" customWidth="1"/>
    <col min="4106" max="4106" width="12" style="1" customWidth="1"/>
    <col min="4107" max="4107" width="10.42578125" style="1" customWidth="1"/>
    <col min="4108" max="4108" width="12.7109375" style="1" bestFit="1" customWidth="1"/>
    <col min="4109" max="4109" width="10.7109375" style="1" bestFit="1" customWidth="1"/>
    <col min="4110" max="4110" width="14.140625" style="1" bestFit="1" customWidth="1"/>
    <col min="4111" max="4111" width="13.85546875" style="1" customWidth="1"/>
    <col min="4112" max="4112" width="14.85546875" style="1" customWidth="1"/>
    <col min="4113" max="4113" width="15" style="1" customWidth="1"/>
    <col min="4114" max="4114" width="11" style="1" customWidth="1"/>
    <col min="4115" max="4115" width="8.7109375" style="1" customWidth="1"/>
    <col min="4116" max="4116" width="12.28515625" style="1" customWidth="1"/>
    <col min="4117" max="4117" width="11.5703125" style="1" bestFit="1" customWidth="1"/>
    <col min="4118" max="4118" width="8.7109375" style="1" customWidth="1"/>
    <col min="4119" max="4121" width="9.140625" style="1"/>
    <col min="4122" max="4122" width="11.5703125" style="1" bestFit="1" customWidth="1"/>
    <col min="4123" max="4352" width="9.140625" style="1"/>
    <col min="4353" max="4353" width="10.85546875" style="1" customWidth="1"/>
    <col min="4354" max="4354" width="0.140625" style="1" customWidth="1"/>
    <col min="4355" max="4355" width="0" style="1" hidden="1" customWidth="1"/>
    <col min="4356" max="4356" width="13.5703125" style="1" customWidth="1"/>
    <col min="4357" max="4357" width="10" style="1" customWidth="1"/>
    <col min="4358" max="4358" width="9.7109375" style="1" customWidth="1"/>
    <col min="4359" max="4359" width="0" style="1" hidden="1" customWidth="1"/>
    <col min="4360" max="4360" width="11.28515625" style="1" customWidth="1"/>
    <col min="4361" max="4361" width="11.7109375" style="1" customWidth="1"/>
    <col min="4362" max="4362" width="12" style="1" customWidth="1"/>
    <col min="4363" max="4363" width="10.42578125" style="1" customWidth="1"/>
    <col min="4364" max="4364" width="12.7109375" style="1" bestFit="1" customWidth="1"/>
    <col min="4365" max="4365" width="10.7109375" style="1" bestFit="1" customWidth="1"/>
    <col min="4366" max="4366" width="14.140625" style="1" bestFit="1" customWidth="1"/>
    <col min="4367" max="4367" width="13.85546875" style="1" customWidth="1"/>
    <col min="4368" max="4368" width="14.85546875" style="1" customWidth="1"/>
    <col min="4369" max="4369" width="15" style="1" customWidth="1"/>
    <col min="4370" max="4370" width="11" style="1" customWidth="1"/>
    <col min="4371" max="4371" width="8.7109375" style="1" customWidth="1"/>
    <col min="4372" max="4372" width="12.28515625" style="1" customWidth="1"/>
    <col min="4373" max="4373" width="11.5703125" style="1" bestFit="1" customWidth="1"/>
    <col min="4374" max="4374" width="8.7109375" style="1" customWidth="1"/>
    <col min="4375" max="4377" width="9.140625" style="1"/>
    <col min="4378" max="4378" width="11.5703125" style="1" bestFit="1" customWidth="1"/>
    <col min="4379" max="4608" width="9.140625" style="1"/>
    <col min="4609" max="4609" width="10.85546875" style="1" customWidth="1"/>
    <col min="4610" max="4610" width="0.140625" style="1" customWidth="1"/>
    <col min="4611" max="4611" width="0" style="1" hidden="1" customWidth="1"/>
    <col min="4612" max="4612" width="13.5703125" style="1" customWidth="1"/>
    <col min="4613" max="4613" width="10" style="1" customWidth="1"/>
    <col min="4614" max="4614" width="9.7109375" style="1" customWidth="1"/>
    <col min="4615" max="4615" width="0" style="1" hidden="1" customWidth="1"/>
    <col min="4616" max="4616" width="11.28515625" style="1" customWidth="1"/>
    <col min="4617" max="4617" width="11.7109375" style="1" customWidth="1"/>
    <col min="4618" max="4618" width="12" style="1" customWidth="1"/>
    <col min="4619" max="4619" width="10.42578125" style="1" customWidth="1"/>
    <col min="4620" max="4620" width="12.7109375" style="1" bestFit="1" customWidth="1"/>
    <col min="4621" max="4621" width="10.7109375" style="1" bestFit="1" customWidth="1"/>
    <col min="4622" max="4622" width="14.140625" style="1" bestFit="1" customWidth="1"/>
    <col min="4623" max="4623" width="13.85546875" style="1" customWidth="1"/>
    <col min="4624" max="4624" width="14.85546875" style="1" customWidth="1"/>
    <col min="4625" max="4625" width="15" style="1" customWidth="1"/>
    <col min="4626" max="4626" width="11" style="1" customWidth="1"/>
    <col min="4627" max="4627" width="8.7109375" style="1" customWidth="1"/>
    <col min="4628" max="4628" width="12.28515625" style="1" customWidth="1"/>
    <col min="4629" max="4629" width="11.5703125" style="1" bestFit="1" customWidth="1"/>
    <col min="4630" max="4630" width="8.7109375" style="1" customWidth="1"/>
    <col min="4631" max="4633" width="9.140625" style="1"/>
    <col min="4634" max="4634" width="11.5703125" style="1" bestFit="1" customWidth="1"/>
    <col min="4635" max="4864" width="9.140625" style="1"/>
    <col min="4865" max="4865" width="10.85546875" style="1" customWidth="1"/>
    <col min="4866" max="4866" width="0.140625" style="1" customWidth="1"/>
    <col min="4867" max="4867" width="0" style="1" hidden="1" customWidth="1"/>
    <col min="4868" max="4868" width="13.5703125" style="1" customWidth="1"/>
    <col min="4869" max="4869" width="10" style="1" customWidth="1"/>
    <col min="4870" max="4870" width="9.7109375" style="1" customWidth="1"/>
    <col min="4871" max="4871" width="0" style="1" hidden="1" customWidth="1"/>
    <col min="4872" max="4872" width="11.28515625" style="1" customWidth="1"/>
    <col min="4873" max="4873" width="11.7109375" style="1" customWidth="1"/>
    <col min="4874" max="4874" width="12" style="1" customWidth="1"/>
    <col min="4875" max="4875" width="10.42578125" style="1" customWidth="1"/>
    <col min="4876" max="4876" width="12.7109375" style="1" bestFit="1" customWidth="1"/>
    <col min="4877" max="4877" width="10.7109375" style="1" bestFit="1" customWidth="1"/>
    <col min="4878" max="4878" width="14.140625" style="1" bestFit="1" customWidth="1"/>
    <col min="4879" max="4879" width="13.85546875" style="1" customWidth="1"/>
    <col min="4880" max="4880" width="14.85546875" style="1" customWidth="1"/>
    <col min="4881" max="4881" width="15" style="1" customWidth="1"/>
    <col min="4882" max="4882" width="11" style="1" customWidth="1"/>
    <col min="4883" max="4883" width="8.7109375" style="1" customWidth="1"/>
    <col min="4884" max="4884" width="12.28515625" style="1" customWidth="1"/>
    <col min="4885" max="4885" width="11.5703125" style="1" bestFit="1" customWidth="1"/>
    <col min="4886" max="4886" width="8.7109375" style="1" customWidth="1"/>
    <col min="4887" max="4889" width="9.140625" style="1"/>
    <col min="4890" max="4890" width="11.5703125" style="1" bestFit="1" customWidth="1"/>
    <col min="4891" max="5120" width="9.140625" style="1"/>
    <col min="5121" max="5121" width="10.85546875" style="1" customWidth="1"/>
    <col min="5122" max="5122" width="0.140625" style="1" customWidth="1"/>
    <col min="5123" max="5123" width="0" style="1" hidden="1" customWidth="1"/>
    <col min="5124" max="5124" width="13.5703125" style="1" customWidth="1"/>
    <col min="5125" max="5125" width="10" style="1" customWidth="1"/>
    <col min="5126" max="5126" width="9.7109375" style="1" customWidth="1"/>
    <col min="5127" max="5127" width="0" style="1" hidden="1" customWidth="1"/>
    <col min="5128" max="5128" width="11.28515625" style="1" customWidth="1"/>
    <col min="5129" max="5129" width="11.7109375" style="1" customWidth="1"/>
    <col min="5130" max="5130" width="12" style="1" customWidth="1"/>
    <col min="5131" max="5131" width="10.42578125" style="1" customWidth="1"/>
    <col min="5132" max="5132" width="12.7109375" style="1" bestFit="1" customWidth="1"/>
    <col min="5133" max="5133" width="10.7109375" style="1" bestFit="1" customWidth="1"/>
    <col min="5134" max="5134" width="14.140625" style="1" bestFit="1" customWidth="1"/>
    <col min="5135" max="5135" width="13.85546875" style="1" customWidth="1"/>
    <col min="5136" max="5136" width="14.85546875" style="1" customWidth="1"/>
    <col min="5137" max="5137" width="15" style="1" customWidth="1"/>
    <col min="5138" max="5138" width="11" style="1" customWidth="1"/>
    <col min="5139" max="5139" width="8.7109375" style="1" customWidth="1"/>
    <col min="5140" max="5140" width="12.28515625" style="1" customWidth="1"/>
    <col min="5141" max="5141" width="11.5703125" style="1" bestFit="1" customWidth="1"/>
    <col min="5142" max="5142" width="8.7109375" style="1" customWidth="1"/>
    <col min="5143" max="5145" width="9.140625" style="1"/>
    <col min="5146" max="5146" width="11.5703125" style="1" bestFit="1" customWidth="1"/>
    <col min="5147" max="5376" width="9.140625" style="1"/>
    <col min="5377" max="5377" width="10.85546875" style="1" customWidth="1"/>
    <col min="5378" max="5378" width="0.140625" style="1" customWidth="1"/>
    <col min="5379" max="5379" width="0" style="1" hidden="1" customWidth="1"/>
    <col min="5380" max="5380" width="13.5703125" style="1" customWidth="1"/>
    <col min="5381" max="5381" width="10" style="1" customWidth="1"/>
    <col min="5382" max="5382" width="9.7109375" style="1" customWidth="1"/>
    <col min="5383" max="5383" width="0" style="1" hidden="1" customWidth="1"/>
    <col min="5384" max="5384" width="11.28515625" style="1" customWidth="1"/>
    <col min="5385" max="5385" width="11.7109375" style="1" customWidth="1"/>
    <col min="5386" max="5386" width="12" style="1" customWidth="1"/>
    <col min="5387" max="5387" width="10.42578125" style="1" customWidth="1"/>
    <col min="5388" max="5388" width="12.7109375" style="1" bestFit="1" customWidth="1"/>
    <col min="5389" max="5389" width="10.7109375" style="1" bestFit="1" customWidth="1"/>
    <col min="5390" max="5390" width="14.140625" style="1" bestFit="1" customWidth="1"/>
    <col min="5391" max="5391" width="13.85546875" style="1" customWidth="1"/>
    <col min="5392" max="5392" width="14.85546875" style="1" customWidth="1"/>
    <col min="5393" max="5393" width="15" style="1" customWidth="1"/>
    <col min="5394" max="5394" width="11" style="1" customWidth="1"/>
    <col min="5395" max="5395" width="8.7109375" style="1" customWidth="1"/>
    <col min="5396" max="5396" width="12.28515625" style="1" customWidth="1"/>
    <col min="5397" max="5397" width="11.5703125" style="1" bestFit="1" customWidth="1"/>
    <col min="5398" max="5398" width="8.7109375" style="1" customWidth="1"/>
    <col min="5399" max="5401" width="9.140625" style="1"/>
    <col min="5402" max="5402" width="11.5703125" style="1" bestFit="1" customWidth="1"/>
    <col min="5403" max="5632" width="9.140625" style="1"/>
    <col min="5633" max="5633" width="10.85546875" style="1" customWidth="1"/>
    <col min="5634" max="5634" width="0.140625" style="1" customWidth="1"/>
    <col min="5635" max="5635" width="0" style="1" hidden="1" customWidth="1"/>
    <col min="5636" max="5636" width="13.5703125" style="1" customWidth="1"/>
    <col min="5637" max="5637" width="10" style="1" customWidth="1"/>
    <col min="5638" max="5638" width="9.7109375" style="1" customWidth="1"/>
    <col min="5639" max="5639" width="0" style="1" hidden="1" customWidth="1"/>
    <col min="5640" max="5640" width="11.28515625" style="1" customWidth="1"/>
    <col min="5641" max="5641" width="11.7109375" style="1" customWidth="1"/>
    <col min="5642" max="5642" width="12" style="1" customWidth="1"/>
    <col min="5643" max="5643" width="10.42578125" style="1" customWidth="1"/>
    <col min="5644" max="5644" width="12.7109375" style="1" bestFit="1" customWidth="1"/>
    <col min="5645" max="5645" width="10.7109375" style="1" bestFit="1" customWidth="1"/>
    <col min="5646" max="5646" width="14.140625" style="1" bestFit="1" customWidth="1"/>
    <col min="5647" max="5647" width="13.85546875" style="1" customWidth="1"/>
    <col min="5648" max="5648" width="14.85546875" style="1" customWidth="1"/>
    <col min="5649" max="5649" width="15" style="1" customWidth="1"/>
    <col min="5650" max="5650" width="11" style="1" customWidth="1"/>
    <col min="5651" max="5651" width="8.7109375" style="1" customWidth="1"/>
    <col min="5652" max="5652" width="12.28515625" style="1" customWidth="1"/>
    <col min="5653" max="5653" width="11.5703125" style="1" bestFit="1" customWidth="1"/>
    <col min="5654" max="5654" width="8.7109375" style="1" customWidth="1"/>
    <col min="5655" max="5657" width="9.140625" style="1"/>
    <col min="5658" max="5658" width="11.5703125" style="1" bestFit="1" customWidth="1"/>
    <col min="5659" max="5888" width="9.140625" style="1"/>
    <col min="5889" max="5889" width="10.85546875" style="1" customWidth="1"/>
    <col min="5890" max="5890" width="0.140625" style="1" customWidth="1"/>
    <col min="5891" max="5891" width="0" style="1" hidden="1" customWidth="1"/>
    <col min="5892" max="5892" width="13.5703125" style="1" customWidth="1"/>
    <col min="5893" max="5893" width="10" style="1" customWidth="1"/>
    <col min="5894" max="5894" width="9.7109375" style="1" customWidth="1"/>
    <col min="5895" max="5895" width="0" style="1" hidden="1" customWidth="1"/>
    <col min="5896" max="5896" width="11.28515625" style="1" customWidth="1"/>
    <col min="5897" max="5897" width="11.7109375" style="1" customWidth="1"/>
    <col min="5898" max="5898" width="12" style="1" customWidth="1"/>
    <col min="5899" max="5899" width="10.42578125" style="1" customWidth="1"/>
    <col min="5900" max="5900" width="12.7109375" style="1" bestFit="1" customWidth="1"/>
    <col min="5901" max="5901" width="10.7109375" style="1" bestFit="1" customWidth="1"/>
    <col min="5902" max="5902" width="14.140625" style="1" bestFit="1" customWidth="1"/>
    <col min="5903" max="5903" width="13.85546875" style="1" customWidth="1"/>
    <col min="5904" max="5904" width="14.85546875" style="1" customWidth="1"/>
    <col min="5905" max="5905" width="15" style="1" customWidth="1"/>
    <col min="5906" max="5906" width="11" style="1" customWidth="1"/>
    <col min="5907" max="5907" width="8.7109375" style="1" customWidth="1"/>
    <col min="5908" max="5908" width="12.28515625" style="1" customWidth="1"/>
    <col min="5909" max="5909" width="11.5703125" style="1" bestFit="1" customWidth="1"/>
    <col min="5910" max="5910" width="8.7109375" style="1" customWidth="1"/>
    <col min="5911" max="5913" width="9.140625" style="1"/>
    <col min="5914" max="5914" width="11.5703125" style="1" bestFit="1" customWidth="1"/>
    <col min="5915" max="6144" width="9.140625" style="1"/>
    <col min="6145" max="6145" width="10.85546875" style="1" customWidth="1"/>
    <col min="6146" max="6146" width="0.140625" style="1" customWidth="1"/>
    <col min="6147" max="6147" width="0" style="1" hidden="1" customWidth="1"/>
    <col min="6148" max="6148" width="13.5703125" style="1" customWidth="1"/>
    <col min="6149" max="6149" width="10" style="1" customWidth="1"/>
    <col min="6150" max="6150" width="9.7109375" style="1" customWidth="1"/>
    <col min="6151" max="6151" width="0" style="1" hidden="1" customWidth="1"/>
    <col min="6152" max="6152" width="11.28515625" style="1" customWidth="1"/>
    <col min="6153" max="6153" width="11.7109375" style="1" customWidth="1"/>
    <col min="6154" max="6154" width="12" style="1" customWidth="1"/>
    <col min="6155" max="6155" width="10.42578125" style="1" customWidth="1"/>
    <col min="6156" max="6156" width="12.7109375" style="1" bestFit="1" customWidth="1"/>
    <col min="6157" max="6157" width="10.7109375" style="1" bestFit="1" customWidth="1"/>
    <col min="6158" max="6158" width="14.140625" style="1" bestFit="1" customWidth="1"/>
    <col min="6159" max="6159" width="13.85546875" style="1" customWidth="1"/>
    <col min="6160" max="6160" width="14.85546875" style="1" customWidth="1"/>
    <col min="6161" max="6161" width="15" style="1" customWidth="1"/>
    <col min="6162" max="6162" width="11" style="1" customWidth="1"/>
    <col min="6163" max="6163" width="8.7109375" style="1" customWidth="1"/>
    <col min="6164" max="6164" width="12.28515625" style="1" customWidth="1"/>
    <col min="6165" max="6165" width="11.5703125" style="1" bestFit="1" customWidth="1"/>
    <col min="6166" max="6166" width="8.7109375" style="1" customWidth="1"/>
    <col min="6167" max="6169" width="9.140625" style="1"/>
    <col min="6170" max="6170" width="11.5703125" style="1" bestFit="1" customWidth="1"/>
    <col min="6171" max="6400" width="9.140625" style="1"/>
    <col min="6401" max="6401" width="10.85546875" style="1" customWidth="1"/>
    <col min="6402" max="6402" width="0.140625" style="1" customWidth="1"/>
    <col min="6403" max="6403" width="0" style="1" hidden="1" customWidth="1"/>
    <col min="6404" max="6404" width="13.5703125" style="1" customWidth="1"/>
    <col min="6405" max="6405" width="10" style="1" customWidth="1"/>
    <col min="6406" max="6406" width="9.7109375" style="1" customWidth="1"/>
    <col min="6407" max="6407" width="0" style="1" hidden="1" customWidth="1"/>
    <col min="6408" max="6408" width="11.28515625" style="1" customWidth="1"/>
    <col min="6409" max="6409" width="11.7109375" style="1" customWidth="1"/>
    <col min="6410" max="6410" width="12" style="1" customWidth="1"/>
    <col min="6411" max="6411" width="10.42578125" style="1" customWidth="1"/>
    <col min="6412" max="6412" width="12.7109375" style="1" bestFit="1" customWidth="1"/>
    <col min="6413" max="6413" width="10.7109375" style="1" bestFit="1" customWidth="1"/>
    <col min="6414" max="6414" width="14.140625" style="1" bestFit="1" customWidth="1"/>
    <col min="6415" max="6415" width="13.85546875" style="1" customWidth="1"/>
    <col min="6416" max="6416" width="14.85546875" style="1" customWidth="1"/>
    <col min="6417" max="6417" width="15" style="1" customWidth="1"/>
    <col min="6418" max="6418" width="11" style="1" customWidth="1"/>
    <col min="6419" max="6419" width="8.7109375" style="1" customWidth="1"/>
    <col min="6420" max="6420" width="12.28515625" style="1" customWidth="1"/>
    <col min="6421" max="6421" width="11.5703125" style="1" bestFit="1" customWidth="1"/>
    <col min="6422" max="6422" width="8.7109375" style="1" customWidth="1"/>
    <col min="6423" max="6425" width="9.140625" style="1"/>
    <col min="6426" max="6426" width="11.5703125" style="1" bestFit="1" customWidth="1"/>
    <col min="6427" max="6656" width="9.140625" style="1"/>
    <col min="6657" max="6657" width="10.85546875" style="1" customWidth="1"/>
    <col min="6658" max="6658" width="0.140625" style="1" customWidth="1"/>
    <col min="6659" max="6659" width="0" style="1" hidden="1" customWidth="1"/>
    <col min="6660" max="6660" width="13.5703125" style="1" customWidth="1"/>
    <col min="6661" max="6661" width="10" style="1" customWidth="1"/>
    <col min="6662" max="6662" width="9.7109375" style="1" customWidth="1"/>
    <col min="6663" max="6663" width="0" style="1" hidden="1" customWidth="1"/>
    <col min="6664" max="6664" width="11.28515625" style="1" customWidth="1"/>
    <col min="6665" max="6665" width="11.7109375" style="1" customWidth="1"/>
    <col min="6666" max="6666" width="12" style="1" customWidth="1"/>
    <col min="6667" max="6667" width="10.42578125" style="1" customWidth="1"/>
    <col min="6668" max="6668" width="12.7109375" style="1" bestFit="1" customWidth="1"/>
    <col min="6669" max="6669" width="10.7109375" style="1" bestFit="1" customWidth="1"/>
    <col min="6670" max="6670" width="14.140625" style="1" bestFit="1" customWidth="1"/>
    <col min="6671" max="6671" width="13.85546875" style="1" customWidth="1"/>
    <col min="6672" max="6672" width="14.85546875" style="1" customWidth="1"/>
    <col min="6673" max="6673" width="15" style="1" customWidth="1"/>
    <col min="6674" max="6674" width="11" style="1" customWidth="1"/>
    <col min="6675" max="6675" width="8.7109375" style="1" customWidth="1"/>
    <col min="6676" max="6676" width="12.28515625" style="1" customWidth="1"/>
    <col min="6677" max="6677" width="11.5703125" style="1" bestFit="1" customWidth="1"/>
    <col min="6678" max="6678" width="8.7109375" style="1" customWidth="1"/>
    <col min="6679" max="6681" width="9.140625" style="1"/>
    <col min="6682" max="6682" width="11.5703125" style="1" bestFit="1" customWidth="1"/>
    <col min="6683" max="6912" width="9.140625" style="1"/>
    <col min="6913" max="6913" width="10.85546875" style="1" customWidth="1"/>
    <col min="6914" max="6914" width="0.140625" style="1" customWidth="1"/>
    <col min="6915" max="6915" width="0" style="1" hidden="1" customWidth="1"/>
    <col min="6916" max="6916" width="13.5703125" style="1" customWidth="1"/>
    <col min="6917" max="6917" width="10" style="1" customWidth="1"/>
    <col min="6918" max="6918" width="9.7109375" style="1" customWidth="1"/>
    <col min="6919" max="6919" width="0" style="1" hidden="1" customWidth="1"/>
    <col min="6920" max="6920" width="11.28515625" style="1" customWidth="1"/>
    <col min="6921" max="6921" width="11.7109375" style="1" customWidth="1"/>
    <col min="6922" max="6922" width="12" style="1" customWidth="1"/>
    <col min="6923" max="6923" width="10.42578125" style="1" customWidth="1"/>
    <col min="6924" max="6924" width="12.7109375" style="1" bestFit="1" customWidth="1"/>
    <col min="6925" max="6925" width="10.7109375" style="1" bestFit="1" customWidth="1"/>
    <col min="6926" max="6926" width="14.140625" style="1" bestFit="1" customWidth="1"/>
    <col min="6927" max="6927" width="13.85546875" style="1" customWidth="1"/>
    <col min="6928" max="6928" width="14.85546875" style="1" customWidth="1"/>
    <col min="6929" max="6929" width="15" style="1" customWidth="1"/>
    <col min="6930" max="6930" width="11" style="1" customWidth="1"/>
    <col min="6931" max="6931" width="8.7109375" style="1" customWidth="1"/>
    <col min="6932" max="6932" width="12.28515625" style="1" customWidth="1"/>
    <col min="6933" max="6933" width="11.5703125" style="1" bestFit="1" customWidth="1"/>
    <col min="6934" max="6934" width="8.7109375" style="1" customWidth="1"/>
    <col min="6935" max="6937" width="9.140625" style="1"/>
    <col min="6938" max="6938" width="11.5703125" style="1" bestFit="1" customWidth="1"/>
    <col min="6939" max="7168" width="9.140625" style="1"/>
    <col min="7169" max="7169" width="10.85546875" style="1" customWidth="1"/>
    <col min="7170" max="7170" width="0.140625" style="1" customWidth="1"/>
    <col min="7171" max="7171" width="0" style="1" hidden="1" customWidth="1"/>
    <col min="7172" max="7172" width="13.5703125" style="1" customWidth="1"/>
    <col min="7173" max="7173" width="10" style="1" customWidth="1"/>
    <col min="7174" max="7174" width="9.7109375" style="1" customWidth="1"/>
    <col min="7175" max="7175" width="0" style="1" hidden="1" customWidth="1"/>
    <col min="7176" max="7176" width="11.28515625" style="1" customWidth="1"/>
    <col min="7177" max="7177" width="11.7109375" style="1" customWidth="1"/>
    <col min="7178" max="7178" width="12" style="1" customWidth="1"/>
    <col min="7179" max="7179" width="10.42578125" style="1" customWidth="1"/>
    <col min="7180" max="7180" width="12.7109375" style="1" bestFit="1" customWidth="1"/>
    <col min="7181" max="7181" width="10.7109375" style="1" bestFit="1" customWidth="1"/>
    <col min="7182" max="7182" width="14.140625" style="1" bestFit="1" customWidth="1"/>
    <col min="7183" max="7183" width="13.85546875" style="1" customWidth="1"/>
    <col min="7184" max="7184" width="14.85546875" style="1" customWidth="1"/>
    <col min="7185" max="7185" width="15" style="1" customWidth="1"/>
    <col min="7186" max="7186" width="11" style="1" customWidth="1"/>
    <col min="7187" max="7187" width="8.7109375" style="1" customWidth="1"/>
    <col min="7188" max="7188" width="12.28515625" style="1" customWidth="1"/>
    <col min="7189" max="7189" width="11.5703125" style="1" bestFit="1" customWidth="1"/>
    <col min="7190" max="7190" width="8.7109375" style="1" customWidth="1"/>
    <col min="7191" max="7193" width="9.140625" style="1"/>
    <col min="7194" max="7194" width="11.5703125" style="1" bestFit="1" customWidth="1"/>
    <col min="7195" max="7424" width="9.140625" style="1"/>
    <col min="7425" max="7425" width="10.85546875" style="1" customWidth="1"/>
    <col min="7426" max="7426" width="0.140625" style="1" customWidth="1"/>
    <col min="7427" max="7427" width="0" style="1" hidden="1" customWidth="1"/>
    <col min="7428" max="7428" width="13.5703125" style="1" customWidth="1"/>
    <col min="7429" max="7429" width="10" style="1" customWidth="1"/>
    <col min="7430" max="7430" width="9.7109375" style="1" customWidth="1"/>
    <col min="7431" max="7431" width="0" style="1" hidden="1" customWidth="1"/>
    <col min="7432" max="7432" width="11.28515625" style="1" customWidth="1"/>
    <col min="7433" max="7433" width="11.7109375" style="1" customWidth="1"/>
    <col min="7434" max="7434" width="12" style="1" customWidth="1"/>
    <col min="7435" max="7435" width="10.42578125" style="1" customWidth="1"/>
    <col min="7436" max="7436" width="12.7109375" style="1" bestFit="1" customWidth="1"/>
    <col min="7437" max="7437" width="10.7109375" style="1" bestFit="1" customWidth="1"/>
    <col min="7438" max="7438" width="14.140625" style="1" bestFit="1" customWidth="1"/>
    <col min="7439" max="7439" width="13.85546875" style="1" customWidth="1"/>
    <col min="7440" max="7440" width="14.85546875" style="1" customWidth="1"/>
    <col min="7441" max="7441" width="15" style="1" customWidth="1"/>
    <col min="7442" max="7442" width="11" style="1" customWidth="1"/>
    <col min="7443" max="7443" width="8.7109375" style="1" customWidth="1"/>
    <col min="7444" max="7444" width="12.28515625" style="1" customWidth="1"/>
    <col min="7445" max="7445" width="11.5703125" style="1" bestFit="1" customWidth="1"/>
    <col min="7446" max="7446" width="8.7109375" style="1" customWidth="1"/>
    <col min="7447" max="7449" width="9.140625" style="1"/>
    <col min="7450" max="7450" width="11.5703125" style="1" bestFit="1" customWidth="1"/>
    <col min="7451" max="7680" width="9.140625" style="1"/>
    <col min="7681" max="7681" width="10.85546875" style="1" customWidth="1"/>
    <col min="7682" max="7682" width="0.140625" style="1" customWidth="1"/>
    <col min="7683" max="7683" width="0" style="1" hidden="1" customWidth="1"/>
    <col min="7684" max="7684" width="13.5703125" style="1" customWidth="1"/>
    <col min="7685" max="7685" width="10" style="1" customWidth="1"/>
    <col min="7686" max="7686" width="9.7109375" style="1" customWidth="1"/>
    <col min="7687" max="7687" width="0" style="1" hidden="1" customWidth="1"/>
    <col min="7688" max="7688" width="11.28515625" style="1" customWidth="1"/>
    <col min="7689" max="7689" width="11.7109375" style="1" customWidth="1"/>
    <col min="7690" max="7690" width="12" style="1" customWidth="1"/>
    <col min="7691" max="7691" width="10.42578125" style="1" customWidth="1"/>
    <col min="7692" max="7692" width="12.7109375" style="1" bestFit="1" customWidth="1"/>
    <col min="7693" max="7693" width="10.7109375" style="1" bestFit="1" customWidth="1"/>
    <col min="7694" max="7694" width="14.140625" style="1" bestFit="1" customWidth="1"/>
    <col min="7695" max="7695" width="13.85546875" style="1" customWidth="1"/>
    <col min="7696" max="7696" width="14.85546875" style="1" customWidth="1"/>
    <col min="7697" max="7697" width="15" style="1" customWidth="1"/>
    <col min="7698" max="7698" width="11" style="1" customWidth="1"/>
    <col min="7699" max="7699" width="8.7109375" style="1" customWidth="1"/>
    <col min="7700" max="7700" width="12.28515625" style="1" customWidth="1"/>
    <col min="7701" max="7701" width="11.5703125" style="1" bestFit="1" customWidth="1"/>
    <col min="7702" max="7702" width="8.7109375" style="1" customWidth="1"/>
    <col min="7703" max="7705" width="9.140625" style="1"/>
    <col min="7706" max="7706" width="11.5703125" style="1" bestFit="1" customWidth="1"/>
    <col min="7707" max="7936" width="9.140625" style="1"/>
    <col min="7937" max="7937" width="10.85546875" style="1" customWidth="1"/>
    <col min="7938" max="7938" width="0.140625" style="1" customWidth="1"/>
    <col min="7939" max="7939" width="0" style="1" hidden="1" customWidth="1"/>
    <col min="7940" max="7940" width="13.5703125" style="1" customWidth="1"/>
    <col min="7941" max="7941" width="10" style="1" customWidth="1"/>
    <col min="7942" max="7942" width="9.7109375" style="1" customWidth="1"/>
    <col min="7943" max="7943" width="0" style="1" hidden="1" customWidth="1"/>
    <col min="7944" max="7944" width="11.28515625" style="1" customWidth="1"/>
    <col min="7945" max="7945" width="11.7109375" style="1" customWidth="1"/>
    <col min="7946" max="7946" width="12" style="1" customWidth="1"/>
    <col min="7947" max="7947" width="10.42578125" style="1" customWidth="1"/>
    <col min="7948" max="7948" width="12.7109375" style="1" bestFit="1" customWidth="1"/>
    <col min="7949" max="7949" width="10.7109375" style="1" bestFit="1" customWidth="1"/>
    <col min="7950" max="7950" width="14.140625" style="1" bestFit="1" customWidth="1"/>
    <col min="7951" max="7951" width="13.85546875" style="1" customWidth="1"/>
    <col min="7952" max="7952" width="14.85546875" style="1" customWidth="1"/>
    <col min="7953" max="7953" width="15" style="1" customWidth="1"/>
    <col min="7954" max="7954" width="11" style="1" customWidth="1"/>
    <col min="7955" max="7955" width="8.7109375" style="1" customWidth="1"/>
    <col min="7956" max="7956" width="12.28515625" style="1" customWidth="1"/>
    <col min="7957" max="7957" width="11.5703125" style="1" bestFit="1" customWidth="1"/>
    <col min="7958" max="7958" width="8.7109375" style="1" customWidth="1"/>
    <col min="7959" max="7961" width="9.140625" style="1"/>
    <col min="7962" max="7962" width="11.5703125" style="1" bestFit="1" customWidth="1"/>
    <col min="7963" max="8192" width="9.140625" style="1"/>
    <col min="8193" max="8193" width="10.85546875" style="1" customWidth="1"/>
    <col min="8194" max="8194" width="0.140625" style="1" customWidth="1"/>
    <col min="8195" max="8195" width="0" style="1" hidden="1" customWidth="1"/>
    <col min="8196" max="8196" width="13.5703125" style="1" customWidth="1"/>
    <col min="8197" max="8197" width="10" style="1" customWidth="1"/>
    <col min="8198" max="8198" width="9.7109375" style="1" customWidth="1"/>
    <col min="8199" max="8199" width="0" style="1" hidden="1" customWidth="1"/>
    <col min="8200" max="8200" width="11.28515625" style="1" customWidth="1"/>
    <col min="8201" max="8201" width="11.7109375" style="1" customWidth="1"/>
    <col min="8202" max="8202" width="12" style="1" customWidth="1"/>
    <col min="8203" max="8203" width="10.42578125" style="1" customWidth="1"/>
    <col min="8204" max="8204" width="12.7109375" style="1" bestFit="1" customWidth="1"/>
    <col min="8205" max="8205" width="10.7109375" style="1" bestFit="1" customWidth="1"/>
    <col min="8206" max="8206" width="14.140625" style="1" bestFit="1" customWidth="1"/>
    <col min="8207" max="8207" width="13.85546875" style="1" customWidth="1"/>
    <col min="8208" max="8208" width="14.85546875" style="1" customWidth="1"/>
    <col min="8209" max="8209" width="15" style="1" customWidth="1"/>
    <col min="8210" max="8210" width="11" style="1" customWidth="1"/>
    <col min="8211" max="8211" width="8.7109375" style="1" customWidth="1"/>
    <col min="8212" max="8212" width="12.28515625" style="1" customWidth="1"/>
    <col min="8213" max="8213" width="11.5703125" style="1" bestFit="1" customWidth="1"/>
    <col min="8214" max="8214" width="8.7109375" style="1" customWidth="1"/>
    <col min="8215" max="8217" width="9.140625" style="1"/>
    <col min="8218" max="8218" width="11.5703125" style="1" bestFit="1" customWidth="1"/>
    <col min="8219" max="8448" width="9.140625" style="1"/>
    <col min="8449" max="8449" width="10.85546875" style="1" customWidth="1"/>
    <col min="8450" max="8450" width="0.140625" style="1" customWidth="1"/>
    <col min="8451" max="8451" width="0" style="1" hidden="1" customWidth="1"/>
    <col min="8452" max="8452" width="13.5703125" style="1" customWidth="1"/>
    <col min="8453" max="8453" width="10" style="1" customWidth="1"/>
    <col min="8454" max="8454" width="9.7109375" style="1" customWidth="1"/>
    <col min="8455" max="8455" width="0" style="1" hidden="1" customWidth="1"/>
    <col min="8456" max="8456" width="11.28515625" style="1" customWidth="1"/>
    <col min="8457" max="8457" width="11.7109375" style="1" customWidth="1"/>
    <col min="8458" max="8458" width="12" style="1" customWidth="1"/>
    <col min="8459" max="8459" width="10.42578125" style="1" customWidth="1"/>
    <col min="8460" max="8460" width="12.7109375" style="1" bestFit="1" customWidth="1"/>
    <col min="8461" max="8461" width="10.7109375" style="1" bestFit="1" customWidth="1"/>
    <col min="8462" max="8462" width="14.140625" style="1" bestFit="1" customWidth="1"/>
    <col min="8463" max="8463" width="13.85546875" style="1" customWidth="1"/>
    <col min="8464" max="8464" width="14.85546875" style="1" customWidth="1"/>
    <col min="8465" max="8465" width="15" style="1" customWidth="1"/>
    <col min="8466" max="8466" width="11" style="1" customWidth="1"/>
    <col min="8467" max="8467" width="8.7109375" style="1" customWidth="1"/>
    <col min="8468" max="8468" width="12.28515625" style="1" customWidth="1"/>
    <col min="8469" max="8469" width="11.5703125" style="1" bestFit="1" customWidth="1"/>
    <col min="8470" max="8470" width="8.7109375" style="1" customWidth="1"/>
    <col min="8471" max="8473" width="9.140625" style="1"/>
    <col min="8474" max="8474" width="11.5703125" style="1" bestFit="1" customWidth="1"/>
    <col min="8475" max="8704" width="9.140625" style="1"/>
    <col min="8705" max="8705" width="10.85546875" style="1" customWidth="1"/>
    <col min="8706" max="8706" width="0.140625" style="1" customWidth="1"/>
    <col min="8707" max="8707" width="0" style="1" hidden="1" customWidth="1"/>
    <col min="8708" max="8708" width="13.5703125" style="1" customWidth="1"/>
    <col min="8709" max="8709" width="10" style="1" customWidth="1"/>
    <col min="8710" max="8710" width="9.7109375" style="1" customWidth="1"/>
    <col min="8711" max="8711" width="0" style="1" hidden="1" customWidth="1"/>
    <col min="8712" max="8712" width="11.28515625" style="1" customWidth="1"/>
    <col min="8713" max="8713" width="11.7109375" style="1" customWidth="1"/>
    <col min="8714" max="8714" width="12" style="1" customWidth="1"/>
    <col min="8715" max="8715" width="10.42578125" style="1" customWidth="1"/>
    <col min="8716" max="8716" width="12.7109375" style="1" bestFit="1" customWidth="1"/>
    <col min="8717" max="8717" width="10.7109375" style="1" bestFit="1" customWidth="1"/>
    <col min="8718" max="8718" width="14.140625" style="1" bestFit="1" customWidth="1"/>
    <col min="8719" max="8719" width="13.85546875" style="1" customWidth="1"/>
    <col min="8720" max="8720" width="14.85546875" style="1" customWidth="1"/>
    <col min="8721" max="8721" width="15" style="1" customWidth="1"/>
    <col min="8722" max="8722" width="11" style="1" customWidth="1"/>
    <col min="8723" max="8723" width="8.7109375" style="1" customWidth="1"/>
    <col min="8724" max="8724" width="12.28515625" style="1" customWidth="1"/>
    <col min="8725" max="8725" width="11.5703125" style="1" bestFit="1" customWidth="1"/>
    <col min="8726" max="8726" width="8.7109375" style="1" customWidth="1"/>
    <col min="8727" max="8729" width="9.140625" style="1"/>
    <col min="8730" max="8730" width="11.5703125" style="1" bestFit="1" customWidth="1"/>
    <col min="8731" max="8960" width="9.140625" style="1"/>
    <col min="8961" max="8961" width="10.85546875" style="1" customWidth="1"/>
    <col min="8962" max="8962" width="0.140625" style="1" customWidth="1"/>
    <col min="8963" max="8963" width="0" style="1" hidden="1" customWidth="1"/>
    <col min="8964" max="8964" width="13.5703125" style="1" customWidth="1"/>
    <col min="8965" max="8965" width="10" style="1" customWidth="1"/>
    <col min="8966" max="8966" width="9.7109375" style="1" customWidth="1"/>
    <col min="8967" max="8967" width="0" style="1" hidden="1" customWidth="1"/>
    <col min="8968" max="8968" width="11.28515625" style="1" customWidth="1"/>
    <col min="8969" max="8969" width="11.7109375" style="1" customWidth="1"/>
    <col min="8970" max="8970" width="12" style="1" customWidth="1"/>
    <col min="8971" max="8971" width="10.42578125" style="1" customWidth="1"/>
    <col min="8972" max="8972" width="12.7109375" style="1" bestFit="1" customWidth="1"/>
    <col min="8973" max="8973" width="10.7109375" style="1" bestFit="1" customWidth="1"/>
    <col min="8974" max="8974" width="14.140625" style="1" bestFit="1" customWidth="1"/>
    <col min="8975" max="8975" width="13.85546875" style="1" customWidth="1"/>
    <col min="8976" max="8976" width="14.85546875" style="1" customWidth="1"/>
    <col min="8977" max="8977" width="15" style="1" customWidth="1"/>
    <col min="8978" max="8978" width="11" style="1" customWidth="1"/>
    <col min="8979" max="8979" width="8.7109375" style="1" customWidth="1"/>
    <col min="8980" max="8980" width="12.28515625" style="1" customWidth="1"/>
    <col min="8981" max="8981" width="11.5703125" style="1" bestFit="1" customWidth="1"/>
    <col min="8982" max="8982" width="8.7109375" style="1" customWidth="1"/>
    <col min="8983" max="8985" width="9.140625" style="1"/>
    <col min="8986" max="8986" width="11.5703125" style="1" bestFit="1" customWidth="1"/>
    <col min="8987" max="9216" width="9.140625" style="1"/>
    <col min="9217" max="9217" width="10.85546875" style="1" customWidth="1"/>
    <col min="9218" max="9218" width="0.140625" style="1" customWidth="1"/>
    <col min="9219" max="9219" width="0" style="1" hidden="1" customWidth="1"/>
    <col min="9220" max="9220" width="13.5703125" style="1" customWidth="1"/>
    <col min="9221" max="9221" width="10" style="1" customWidth="1"/>
    <col min="9222" max="9222" width="9.7109375" style="1" customWidth="1"/>
    <col min="9223" max="9223" width="0" style="1" hidden="1" customWidth="1"/>
    <col min="9224" max="9224" width="11.28515625" style="1" customWidth="1"/>
    <col min="9225" max="9225" width="11.7109375" style="1" customWidth="1"/>
    <col min="9226" max="9226" width="12" style="1" customWidth="1"/>
    <col min="9227" max="9227" width="10.42578125" style="1" customWidth="1"/>
    <col min="9228" max="9228" width="12.7109375" style="1" bestFit="1" customWidth="1"/>
    <col min="9229" max="9229" width="10.7109375" style="1" bestFit="1" customWidth="1"/>
    <col min="9230" max="9230" width="14.140625" style="1" bestFit="1" customWidth="1"/>
    <col min="9231" max="9231" width="13.85546875" style="1" customWidth="1"/>
    <col min="9232" max="9232" width="14.85546875" style="1" customWidth="1"/>
    <col min="9233" max="9233" width="15" style="1" customWidth="1"/>
    <col min="9234" max="9234" width="11" style="1" customWidth="1"/>
    <col min="9235" max="9235" width="8.7109375" style="1" customWidth="1"/>
    <col min="9236" max="9236" width="12.28515625" style="1" customWidth="1"/>
    <col min="9237" max="9237" width="11.5703125" style="1" bestFit="1" customWidth="1"/>
    <col min="9238" max="9238" width="8.7109375" style="1" customWidth="1"/>
    <col min="9239" max="9241" width="9.140625" style="1"/>
    <col min="9242" max="9242" width="11.5703125" style="1" bestFit="1" customWidth="1"/>
    <col min="9243" max="9472" width="9.140625" style="1"/>
    <col min="9473" max="9473" width="10.85546875" style="1" customWidth="1"/>
    <col min="9474" max="9474" width="0.140625" style="1" customWidth="1"/>
    <col min="9475" max="9475" width="0" style="1" hidden="1" customWidth="1"/>
    <col min="9476" max="9476" width="13.5703125" style="1" customWidth="1"/>
    <col min="9477" max="9477" width="10" style="1" customWidth="1"/>
    <col min="9478" max="9478" width="9.7109375" style="1" customWidth="1"/>
    <col min="9479" max="9479" width="0" style="1" hidden="1" customWidth="1"/>
    <col min="9480" max="9480" width="11.28515625" style="1" customWidth="1"/>
    <col min="9481" max="9481" width="11.7109375" style="1" customWidth="1"/>
    <col min="9482" max="9482" width="12" style="1" customWidth="1"/>
    <col min="9483" max="9483" width="10.42578125" style="1" customWidth="1"/>
    <col min="9484" max="9484" width="12.7109375" style="1" bestFit="1" customWidth="1"/>
    <col min="9485" max="9485" width="10.7109375" style="1" bestFit="1" customWidth="1"/>
    <col min="9486" max="9486" width="14.140625" style="1" bestFit="1" customWidth="1"/>
    <col min="9487" max="9487" width="13.85546875" style="1" customWidth="1"/>
    <col min="9488" max="9488" width="14.85546875" style="1" customWidth="1"/>
    <col min="9489" max="9489" width="15" style="1" customWidth="1"/>
    <col min="9490" max="9490" width="11" style="1" customWidth="1"/>
    <col min="9491" max="9491" width="8.7109375" style="1" customWidth="1"/>
    <col min="9492" max="9492" width="12.28515625" style="1" customWidth="1"/>
    <col min="9493" max="9493" width="11.5703125" style="1" bestFit="1" customWidth="1"/>
    <col min="9494" max="9494" width="8.7109375" style="1" customWidth="1"/>
    <col min="9495" max="9497" width="9.140625" style="1"/>
    <col min="9498" max="9498" width="11.5703125" style="1" bestFit="1" customWidth="1"/>
    <col min="9499" max="9728" width="9.140625" style="1"/>
    <col min="9729" max="9729" width="10.85546875" style="1" customWidth="1"/>
    <col min="9730" max="9730" width="0.140625" style="1" customWidth="1"/>
    <col min="9731" max="9731" width="0" style="1" hidden="1" customWidth="1"/>
    <col min="9732" max="9732" width="13.5703125" style="1" customWidth="1"/>
    <col min="9733" max="9733" width="10" style="1" customWidth="1"/>
    <col min="9734" max="9734" width="9.7109375" style="1" customWidth="1"/>
    <col min="9735" max="9735" width="0" style="1" hidden="1" customWidth="1"/>
    <col min="9736" max="9736" width="11.28515625" style="1" customWidth="1"/>
    <col min="9737" max="9737" width="11.7109375" style="1" customWidth="1"/>
    <col min="9738" max="9738" width="12" style="1" customWidth="1"/>
    <col min="9739" max="9739" width="10.42578125" style="1" customWidth="1"/>
    <col min="9740" max="9740" width="12.7109375" style="1" bestFit="1" customWidth="1"/>
    <col min="9741" max="9741" width="10.7109375" style="1" bestFit="1" customWidth="1"/>
    <col min="9742" max="9742" width="14.140625" style="1" bestFit="1" customWidth="1"/>
    <col min="9743" max="9743" width="13.85546875" style="1" customWidth="1"/>
    <col min="9744" max="9744" width="14.85546875" style="1" customWidth="1"/>
    <col min="9745" max="9745" width="15" style="1" customWidth="1"/>
    <col min="9746" max="9746" width="11" style="1" customWidth="1"/>
    <col min="9747" max="9747" width="8.7109375" style="1" customWidth="1"/>
    <col min="9748" max="9748" width="12.28515625" style="1" customWidth="1"/>
    <col min="9749" max="9749" width="11.5703125" style="1" bestFit="1" customWidth="1"/>
    <col min="9750" max="9750" width="8.7109375" style="1" customWidth="1"/>
    <col min="9751" max="9753" width="9.140625" style="1"/>
    <col min="9754" max="9754" width="11.5703125" style="1" bestFit="1" customWidth="1"/>
    <col min="9755" max="9984" width="9.140625" style="1"/>
    <col min="9985" max="9985" width="10.85546875" style="1" customWidth="1"/>
    <col min="9986" max="9986" width="0.140625" style="1" customWidth="1"/>
    <col min="9987" max="9987" width="0" style="1" hidden="1" customWidth="1"/>
    <col min="9988" max="9988" width="13.5703125" style="1" customWidth="1"/>
    <col min="9989" max="9989" width="10" style="1" customWidth="1"/>
    <col min="9990" max="9990" width="9.7109375" style="1" customWidth="1"/>
    <col min="9991" max="9991" width="0" style="1" hidden="1" customWidth="1"/>
    <col min="9992" max="9992" width="11.28515625" style="1" customWidth="1"/>
    <col min="9993" max="9993" width="11.7109375" style="1" customWidth="1"/>
    <col min="9994" max="9994" width="12" style="1" customWidth="1"/>
    <col min="9995" max="9995" width="10.42578125" style="1" customWidth="1"/>
    <col min="9996" max="9996" width="12.7109375" style="1" bestFit="1" customWidth="1"/>
    <col min="9997" max="9997" width="10.7109375" style="1" bestFit="1" customWidth="1"/>
    <col min="9998" max="9998" width="14.140625" style="1" bestFit="1" customWidth="1"/>
    <col min="9999" max="9999" width="13.85546875" style="1" customWidth="1"/>
    <col min="10000" max="10000" width="14.85546875" style="1" customWidth="1"/>
    <col min="10001" max="10001" width="15" style="1" customWidth="1"/>
    <col min="10002" max="10002" width="11" style="1" customWidth="1"/>
    <col min="10003" max="10003" width="8.7109375" style="1" customWidth="1"/>
    <col min="10004" max="10004" width="12.28515625" style="1" customWidth="1"/>
    <col min="10005" max="10005" width="11.5703125" style="1" bestFit="1" customWidth="1"/>
    <col min="10006" max="10006" width="8.7109375" style="1" customWidth="1"/>
    <col min="10007" max="10009" width="9.140625" style="1"/>
    <col min="10010" max="10010" width="11.5703125" style="1" bestFit="1" customWidth="1"/>
    <col min="10011" max="10240" width="9.140625" style="1"/>
    <col min="10241" max="10241" width="10.85546875" style="1" customWidth="1"/>
    <col min="10242" max="10242" width="0.140625" style="1" customWidth="1"/>
    <col min="10243" max="10243" width="0" style="1" hidden="1" customWidth="1"/>
    <col min="10244" max="10244" width="13.5703125" style="1" customWidth="1"/>
    <col min="10245" max="10245" width="10" style="1" customWidth="1"/>
    <col min="10246" max="10246" width="9.7109375" style="1" customWidth="1"/>
    <col min="10247" max="10247" width="0" style="1" hidden="1" customWidth="1"/>
    <col min="10248" max="10248" width="11.28515625" style="1" customWidth="1"/>
    <col min="10249" max="10249" width="11.7109375" style="1" customWidth="1"/>
    <col min="10250" max="10250" width="12" style="1" customWidth="1"/>
    <col min="10251" max="10251" width="10.42578125" style="1" customWidth="1"/>
    <col min="10252" max="10252" width="12.7109375" style="1" bestFit="1" customWidth="1"/>
    <col min="10253" max="10253" width="10.7109375" style="1" bestFit="1" customWidth="1"/>
    <col min="10254" max="10254" width="14.140625" style="1" bestFit="1" customWidth="1"/>
    <col min="10255" max="10255" width="13.85546875" style="1" customWidth="1"/>
    <col min="10256" max="10256" width="14.85546875" style="1" customWidth="1"/>
    <col min="10257" max="10257" width="15" style="1" customWidth="1"/>
    <col min="10258" max="10258" width="11" style="1" customWidth="1"/>
    <col min="10259" max="10259" width="8.7109375" style="1" customWidth="1"/>
    <col min="10260" max="10260" width="12.28515625" style="1" customWidth="1"/>
    <col min="10261" max="10261" width="11.5703125" style="1" bestFit="1" customWidth="1"/>
    <col min="10262" max="10262" width="8.7109375" style="1" customWidth="1"/>
    <col min="10263" max="10265" width="9.140625" style="1"/>
    <col min="10266" max="10266" width="11.5703125" style="1" bestFit="1" customWidth="1"/>
    <col min="10267" max="10496" width="9.140625" style="1"/>
    <col min="10497" max="10497" width="10.85546875" style="1" customWidth="1"/>
    <col min="10498" max="10498" width="0.140625" style="1" customWidth="1"/>
    <col min="10499" max="10499" width="0" style="1" hidden="1" customWidth="1"/>
    <col min="10500" max="10500" width="13.5703125" style="1" customWidth="1"/>
    <col min="10501" max="10501" width="10" style="1" customWidth="1"/>
    <col min="10502" max="10502" width="9.7109375" style="1" customWidth="1"/>
    <col min="10503" max="10503" width="0" style="1" hidden="1" customWidth="1"/>
    <col min="10504" max="10504" width="11.28515625" style="1" customWidth="1"/>
    <col min="10505" max="10505" width="11.7109375" style="1" customWidth="1"/>
    <col min="10506" max="10506" width="12" style="1" customWidth="1"/>
    <col min="10507" max="10507" width="10.42578125" style="1" customWidth="1"/>
    <col min="10508" max="10508" width="12.7109375" style="1" bestFit="1" customWidth="1"/>
    <col min="10509" max="10509" width="10.7109375" style="1" bestFit="1" customWidth="1"/>
    <col min="10510" max="10510" width="14.140625" style="1" bestFit="1" customWidth="1"/>
    <col min="10511" max="10511" width="13.85546875" style="1" customWidth="1"/>
    <col min="10512" max="10512" width="14.85546875" style="1" customWidth="1"/>
    <col min="10513" max="10513" width="15" style="1" customWidth="1"/>
    <col min="10514" max="10514" width="11" style="1" customWidth="1"/>
    <col min="10515" max="10515" width="8.7109375" style="1" customWidth="1"/>
    <col min="10516" max="10516" width="12.28515625" style="1" customWidth="1"/>
    <col min="10517" max="10517" width="11.5703125" style="1" bestFit="1" customWidth="1"/>
    <col min="10518" max="10518" width="8.7109375" style="1" customWidth="1"/>
    <col min="10519" max="10521" width="9.140625" style="1"/>
    <col min="10522" max="10522" width="11.5703125" style="1" bestFit="1" customWidth="1"/>
    <col min="10523" max="10752" width="9.140625" style="1"/>
    <col min="10753" max="10753" width="10.85546875" style="1" customWidth="1"/>
    <col min="10754" max="10754" width="0.140625" style="1" customWidth="1"/>
    <col min="10755" max="10755" width="0" style="1" hidden="1" customWidth="1"/>
    <col min="10756" max="10756" width="13.5703125" style="1" customWidth="1"/>
    <col min="10757" max="10757" width="10" style="1" customWidth="1"/>
    <col min="10758" max="10758" width="9.7109375" style="1" customWidth="1"/>
    <col min="10759" max="10759" width="0" style="1" hidden="1" customWidth="1"/>
    <col min="10760" max="10760" width="11.28515625" style="1" customWidth="1"/>
    <col min="10761" max="10761" width="11.7109375" style="1" customWidth="1"/>
    <col min="10762" max="10762" width="12" style="1" customWidth="1"/>
    <col min="10763" max="10763" width="10.42578125" style="1" customWidth="1"/>
    <col min="10764" max="10764" width="12.7109375" style="1" bestFit="1" customWidth="1"/>
    <col min="10765" max="10765" width="10.7109375" style="1" bestFit="1" customWidth="1"/>
    <col min="10766" max="10766" width="14.140625" style="1" bestFit="1" customWidth="1"/>
    <col min="10767" max="10767" width="13.85546875" style="1" customWidth="1"/>
    <col min="10768" max="10768" width="14.85546875" style="1" customWidth="1"/>
    <col min="10769" max="10769" width="15" style="1" customWidth="1"/>
    <col min="10770" max="10770" width="11" style="1" customWidth="1"/>
    <col min="10771" max="10771" width="8.7109375" style="1" customWidth="1"/>
    <col min="10772" max="10772" width="12.28515625" style="1" customWidth="1"/>
    <col min="10773" max="10773" width="11.5703125" style="1" bestFit="1" customWidth="1"/>
    <col min="10774" max="10774" width="8.7109375" style="1" customWidth="1"/>
    <col min="10775" max="10777" width="9.140625" style="1"/>
    <col min="10778" max="10778" width="11.5703125" style="1" bestFit="1" customWidth="1"/>
    <col min="10779" max="11008" width="9.140625" style="1"/>
    <col min="11009" max="11009" width="10.85546875" style="1" customWidth="1"/>
    <col min="11010" max="11010" width="0.140625" style="1" customWidth="1"/>
    <col min="11011" max="11011" width="0" style="1" hidden="1" customWidth="1"/>
    <col min="11012" max="11012" width="13.5703125" style="1" customWidth="1"/>
    <col min="11013" max="11013" width="10" style="1" customWidth="1"/>
    <col min="11014" max="11014" width="9.7109375" style="1" customWidth="1"/>
    <col min="11015" max="11015" width="0" style="1" hidden="1" customWidth="1"/>
    <col min="11016" max="11016" width="11.28515625" style="1" customWidth="1"/>
    <col min="11017" max="11017" width="11.7109375" style="1" customWidth="1"/>
    <col min="11018" max="11018" width="12" style="1" customWidth="1"/>
    <col min="11019" max="11019" width="10.42578125" style="1" customWidth="1"/>
    <col min="11020" max="11020" width="12.7109375" style="1" bestFit="1" customWidth="1"/>
    <col min="11021" max="11021" width="10.7109375" style="1" bestFit="1" customWidth="1"/>
    <col min="11022" max="11022" width="14.140625" style="1" bestFit="1" customWidth="1"/>
    <col min="11023" max="11023" width="13.85546875" style="1" customWidth="1"/>
    <col min="11024" max="11024" width="14.85546875" style="1" customWidth="1"/>
    <col min="11025" max="11025" width="15" style="1" customWidth="1"/>
    <col min="11026" max="11026" width="11" style="1" customWidth="1"/>
    <col min="11027" max="11027" width="8.7109375" style="1" customWidth="1"/>
    <col min="11028" max="11028" width="12.28515625" style="1" customWidth="1"/>
    <col min="11029" max="11029" width="11.5703125" style="1" bestFit="1" customWidth="1"/>
    <col min="11030" max="11030" width="8.7109375" style="1" customWidth="1"/>
    <col min="11031" max="11033" width="9.140625" style="1"/>
    <col min="11034" max="11034" width="11.5703125" style="1" bestFit="1" customWidth="1"/>
    <col min="11035" max="11264" width="9.140625" style="1"/>
    <col min="11265" max="11265" width="10.85546875" style="1" customWidth="1"/>
    <col min="11266" max="11266" width="0.140625" style="1" customWidth="1"/>
    <col min="11267" max="11267" width="0" style="1" hidden="1" customWidth="1"/>
    <col min="11268" max="11268" width="13.5703125" style="1" customWidth="1"/>
    <col min="11269" max="11269" width="10" style="1" customWidth="1"/>
    <col min="11270" max="11270" width="9.7109375" style="1" customWidth="1"/>
    <col min="11271" max="11271" width="0" style="1" hidden="1" customWidth="1"/>
    <col min="11272" max="11272" width="11.28515625" style="1" customWidth="1"/>
    <col min="11273" max="11273" width="11.7109375" style="1" customWidth="1"/>
    <col min="11274" max="11274" width="12" style="1" customWidth="1"/>
    <col min="11275" max="11275" width="10.42578125" style="1" customWidth="1"/>
    <col min="11276" max="11276" width="12.7109375" style="1" bestFit="1" customWidth="1"/>
    <col min="11277" max="11277" width="10.7109375" style="1" bestFit="1" customWidth="1"/>
    <col min="11278" max="11278" width="14.140625" style="1" bestFit="1" customWidth="1"/>
    <col min="11279" max="11279" width="13.85546875" style="1" customWidth="1"/>
    <col min="11280" max="11280" width="14.85546875" style="1" customWidth="1"/>
    <col min="11281" max="11281" width="15" style="1" customWidth="1"/>
    <col min="11282" max="11282" width="11" style="1" customWidth="1"/>
    <col min="11283" max="11283" width="8.7109375" style="1" customWidth="1"/>
    <col min="11284" max="11284" width="12.28515625" style="1" customWidth="1"/>
    <col min="11285" max="11285" width="11.5703125" style="1" bestFit="1" customWidth="1"/>
    <col min="11286" max="11286" width="8.7109375" style="1" customWidth="1"/>
    <col min="11287" max="11289" width="9.140625" style="1"/>
    <col min="11290" max="11290" width="11.5703125" style="1" bestFit="1" customWidth="1"/>
    <col min="11291" max="11520" width="9.140625" style="1"/>
    <col min="11521" max="11521" width="10.85546875" style="1" customWidth="1"/>
    <col min="11522" max="11522" width="0.140625" style="1" customWidth="1"/>
    <col min="11523" max="11523" width="0" style="1" hidden="1" customWidth="1"/>
    <col min="11524" max="11524" width="13.5703125" style="1" customWidth="1"/>
    <col min="11525" max="11525" width="10" style="1" customWidth="1"/>
    <col min="11526" max="11526" width="9.7109375" style="1" customWidth="1"/>
    <col min="11527" max="11527" width="0" style="1" hidden="1" customWidth="1"/>
    <col min="11528" max="11528" width="11.28515625" style="1" customWidth="1"/>
    <col min="11529" max="11529" width="11.7109375" style="1" customWidth="1"/>
    <col min="11530" max="11530" width="12" style="1" customWidth="1"/>
    <col min="11531" max="11531" width="10.42578125" style="1" customWidth="1"/>
    <col min="11532" max="11532" width="12.7109375" style="1" bestFit="1" customWidth="1"/>
    <col min="11533" max="11533" width="10.7109375" style="1" bestFit="1" customWidth="1"/>
    <col min="11534" max="11534" width="14.140625" style="1" bestFit="1" customWidth="1"/>
    <col min="11535" max="11535" width="13.85546875" style="1" customWidth="1"/>
    <col min="11536" max="11536" width="14.85546875" style="1" customWidth="1"/>
    <col min="11537" max="11537" width="15" style="1" customWidth="1"/>
    <col min="11538" max="11538" width="11" style="1" customWidth="1"/>
    <col min="11539" max="11539" width="8.7109375" style="1" customWidth="1"/>
    <col min="11540" max="11540" width="12.28515625" style="1" customWidth="1"/>
    <col min="11541" max="11541" width="11.5703125" style="1" bestFit="1" customWidth="1"/>
    <col min="11542" max="11542" width="8.7109375" style="1" customWidth="1"/>
    <col min="11543" max="11545" width="9.140625" style="1"/>
    <col min="11546" max="11546" width="11.5703125" style="1" bestFit="1" customWidth="1"/>
    <col min="11547" max="11776" width="9.140625" style="1"/>
    <col min="11777" max="11777" width="10.85546875" style="1" customWidth="1"/>
    <col min="11778" max="11778" width="0.140625" style="1" customWidth="1"/>
    <col min="11779" max="11779" width="0" style="1" hidden="1" customWidth="1"/>
    <col min="11780" max="11780" width="13.5703125" style="1" customWidth="1"/>
    <col min="11781" max="11781" width="10" style="1" customWidth="1"/>
    <col min="11782" max="11782" width="9.7109375" style="1" customWidth="1"/>
    <col min="11783" max="11783" width="0" style="1" hidden="1" customWidth="1"/>
    <col min="11784" max="11784" width="11.28515625" style="1" customWidth="1"/>
    <col min="11785" max="11785" width="11.7109375" style="1" customWidth="1"/>
    <col min="11786" max="11786" width="12" style="1" customWidth="1"/>
    <col min="11787" max="11787" width="10.42578125" style="1" customWidth="1"/>
    <col min="11788" max="11788" width="12.7109375" style="1" bestFit="1" customWidth="1"/>
    <col min="11789" max="11789" width="10.7109375" style="1" bestFit="1" customWidth="1"/>
    <col min="11790" max="11790" width="14.140625" style="1" bestFit="1" customWidth="1"/>
    <col min="11791" max="11791" width="13.85546875" style="1" customWidth="1"/>
    <col min="11792" max="11792" width="14.85546875" style="1" customWidth="1"/>
    <col min="11793" max="11793" width="15" style="1" customWidth="1"/>
    <col min="11794" max="11794" width="11" style="1" customWidth="1"/>
    <col min="11795" max="11795" width="8.7109375" style="1" customWidth="1"/>
    <col min="11796" max="11796" width="12.28515625" style="1" customWidth="1"/>
    <col min="11797" max="11797" width="11.5703125" style="1" bestFit="1" customWidth="1"/>
    <col min="11798" max="11798" width="8.7109375" style="1" customWidth="1"/>
    <col min="11799" max="11801" width="9.140625" style="1"/>
    <col min="11802" max="11802" width="11.5703125" style="1" bestFit="1" customWidth="1"/>
    <col min="11803" max="12032" width="9.140625" style="1"/>
    <col min="12033" max="12033" width="10.85546875" style="1" customWidth="1"/>
    <col min="12034" max="12034" width="0.140625" style="1" customWidth="1"/>
    <col min="12035" max="12035" width="0" style="1" hidden="1" customWidth="1"/>
    <col min="12036" max="12036" width="13.5703125" style="1" customWidth="1"/>
    <col min="12037" max="12037" width="10" style="1" customWidth="1"/>
    <col min="12038" max="12038" width="9.7109375" style="1" customWidth="1"/>
    <col min="12039" max="12039" width="0" style="1" hidden="1" customWidth="1"/>
    <col min="12040" max="12040" width="11.28515625" style="1" customWidth="1"/>
    <col min="12041" max="12041" width="11.7109375" style="1" customWidth="1"/>
    <col min="12042" max="12042" width="12" style="1" customWidth="1"/>
    <col min="12043" max="12043" width="10.42578125" style="1" customWidth="1"/>
    <col min="12044" max="12044" width="12.7109375" style="1" bestFit="1" customWidth="1"/>
    <col min="12045" max="12045" width="10.7109375" style="1" bestFit="1" customWidth="1"/>
    <col min="12046" max="12046" width="14.140625" style="1" bestFit="1" customWidth="1"/>
    <col min="12047" max="12047" width="13.85546875" style="1" customWidth="1"/>
    <col min="12048" max="12048" width="14.85546875" style="1" customWidth="1"/>
    <col min="12049" max="12049" width="15" style="1" customWidth="1"/>
    <col min="12050" max="12050" width="11" style="1" customWidth="1"/>
    <col min="12051" max="12051" width="8.7109375" style="1" customWidth="1"/>
    <col min="12052" max="12052" width="12.28515625" style="1" customWidth="1"/>
    <col min="12053" max="12053" width="11.5703125" style="1" bestFit="1" customWidth="1"/>
    <col min="12054" max="12054" width="8.7109375" style="1" customWidth="1"/>
    <col min="12055" max="12057" width="9.140625" style="1"/>
    <col min="12058" max="12058" width="11.5703125" style="1" bestFit="1" customWidth="1"/>
    <col min="12059" max="12288" width="9.140625" style="1"/>
    <col min="12289" max="12289" width="10.85546875" style="1" customWidth="1"/>
    <col min="12290" max="12290" width="0.140625" style="1" customWidth="1"/>
    <col min="12291" max="12291" width="0" style="1" hidden="1" customWidth="1"/>
    <col min="12292" max="12292" width="13.5703125" style="1" customWidth="1"/>
    <col min="12293" max="12293" width="10" style="1" customWidth="1"/>
    <col min="12294" max="12294" width="9.7109375" style="1" customWidth="1"/>
    <col min="12295" max="12295" width="0" style="1" hidden="1" customWidth="1"/>
    <col min="12296" max="12296" width="11.28515625" style="1" customWidth="1"/>
    <col min="12297" max="12297" width="11.7109375" style="1" customWidth="1"/>
    <col min="12298" max="12298" width="12" style="1" customWidth="1"/>
    <col min="12299" max="12299" width="10.42578125" style="1" customWidth="1"/>
    <col min="12300" max="12300" width="12.7109375" style="1" bestFit="1" customWidth="1"/>
    <col min="12301" max="12301" width="10.7109375" style="1" bestFit="1" customWidth="1"/>
    <col min="12302" max="12302" width="14.140625" style="1" bestFit="1" customWidth="1"/>
    <col min="12303" max="12303" width="13.85546875" style="1" customWidth="1"/>
    <col min="12304" max="12304" width="14.85546875" style="1" customWidth="1"/>
    <col min="12305" max="12305" width="15" style="1" customWidth="1"/>
    <col min="12306" max="12306" width="11" style="1" customWidth="1"/>
    <col min="12307" max="12307" width="8.7109375" style="1" customWidth="1"/>
    <col min="12308" max="12308" width="12.28515625" style="1" customWidth="1"/>
    <col min="12309" max="12309" width="11.5703125" style="1" bestFit="1" customWidth="1"/>
    <col min="12310" max="12310" width="8.7109375" style="1" customWidth="1"/>
    <col min="12311" max="12313" width="9.140625" style="1"/>
    <col min="12314" max="12314" width="11.5703125" style="1" bestFit="1" customWidth="1"/>
    <col min="12315" max="12544" width="9.140625" style="1"/>
    <col min="12545" max="12545" width="10.85546875" style="1" customWidth="1"/>
    <col min="12546" max="12546" width="0.140625" style="1" customWidth="1"/>
    <col min="12547" max="12547" width="0" style="1" hidden="1" customWidth="1"/>
    <col min="12548" max="12548" width="13.5703125" style="1" customWidth="1"/>
    <col min="12549" max="12549" width="10" style="1" customWidth="1"/>
    <col min="12550" max="12550" width="9.7109375" style="1" customWidth="1"/>
    <col min="12551" max="12551" width="0" style="1" hidden="1" customWidth="1"/>
    <col min="12552" max="12552" width="11.28515625" style="1" customWidth="1"/>
    <col min="12553" max="12553" width="11.7109375" style="1" customWidth="1"/>
    <col min="12554" max="12554" width="12" style="1" customWidth="1"/>
    <col min="12555" max="12555" width="10.42578125" style="1" customWidth="1"/>
    <col min="12556" max="12556" width="12.7109375" style="1" bestFit="1" customWidth="1"/>
    <col min="12557" max="12557" width="10.7109375" style="1" bestFit="1" customWidth="1"/>
    <col min="12558" max="12558" width="14.140625" style="1" bestFit="1" customWidth="1"/>
    <col min="12559" max="12559" width="13.85546875" style="1" customWidth="1"/>
    <col min="12560" max="12560" width="14.85546875" style="1" customWidth="1"/>
    <col min="12561" max="12561" width="15" style="1" customWidth="1"/>
    <col min="12562" max="12562" width="11" style="1" customWidth="1"/>
    <col min="12563" max="12563" width="8.7109375" style="1" customWidth="1"/>
    <col min="12564" max="12564" width="12.28515625" style="1" customWidth="1"/>
    <col min="12565" max="12565" width="11.5703125" style="1" bestFit="1" customWidth="1"/>
    <col min="12566" max="12566" width="8.7109375" style="1" customWidth="1"/>
    <col min="12567" max="12569" width="9.140625" style="1"/>
    <col min="12570" max="12570" width="11.5703125" style="1" bestFit="1" customWidth="1"/>
    <col min="12571" max="12800" width="9.140625" style="1"/>
    <col min="12801" max="12801" width="10.85546875" style="1" customWidth="1"/>
    <col min="12802" max="12802" width="0.140625" style="1" customWidth="1"/>
    <col min="12803" max="12803" width="0" style="1" hidden="1" customWidth="1"/>
    <col min="12804" max="12804" width="13.5703125" style="1" customWidth="1"/>
    <col min="12805" max="12805" width="10" style="1" customWidth="1"/>
    <col min="12806" max="12806" width="9.7109375" style="1" customWidth="1"/>
    <col min="12807" max="12807" width="0" style="1" hidden="1" customWidth="1"/>
    <col min="12808" max="12808" width="11.28515625" style="1" customWidth="1"/>
    <col min="12809" max="12809" width="11.7109375" style="1" customWidth="1"/>
    <col min="12810" max="12810" width="12" style="1" customWidth="1"/>
    <col min="12811" max="12811" width="10.42578125" style="1" customWidth="1"/>
    <col min="12812" max="12812" width="12.7109375" style="1" bestFit="1" customWidth="1"/>
    <col min="12813" max="12813" width="10.7109375" style="1" bestFit="1" customWidth="1"/>
    <col min="12814" max="12814" width="14.140625" style="1" bestFit="1" customWidth="1"/>
    <col min="12815" max="12815" width="13.85546875" style="1" customWidth="1"/>
    <col min="12816" max="12816" width="14.85546875" style="1" customWidth="1"/>
    <col min="12817" max="12817" width="15" style="1" customWidth="1"/>
    <col min="12818" max="12818" width="11" style="1" customWidth="1"/>
    <col min="12819" max="12819" width="8.7109375" style="1" customWidth="1"/>
    <col min="12820" max="12820" width="12.28515625" style="1" customWidth="1"/>
    <col min="12821" max="12821" width="11.5703125" style="1" bestFit="1" customWidth="1"/>
    <col min="12822" max="12822" width="8.7109375" style="1" customWidth="1"/>
    <col min="12823" max="12825" width="9.140625" style="1"/>
    <col min="12826" max="12826" width="11.5703125" style="1" bestFit="1" customWidth="1"/>
    <col min="12827" max="13056" width="9.140625" style="1"/>
    <col min="13057" max="13057" width="10.85546875" style="1" customWidth="1"/>
    <col min="13058" max="13058" width="0.140625" style="1" customWidth="1"/>
    <col min="13059" max="13059" width="0" style="1" hidden="1" customWidth="1"/>
    <col min="13060" max="13060" width="13.5703125" style="1" customWidth="1"/>
    <col min="13061" max="13061" width="10" style="1" customWidth="1"/>
    <col min="13062" max="13062" width="9.7109375" style="1" customWidth="1"/>
    <col min="13063" max="13063" width="0" style="1" hidden="1" customWidth="1"/>
    <col min="13064" max="13064" width="11.28515625" style="1" customWidth="1"/>
    <col min="13065" max="13065" width="11.7109375" style="1" customWidth="1"/>
    <col min="13066" max="13066" width="12" style="1" customWidth="1"/>
    <col min="13067" max="13067" width="10.42578125" style="1" customWidth="1"/>
    <col min="13068" max="13068" width="12.7109375" style="1" bestFit="1" customWidth="1"/>
    <col min="13069" max="13069" width="10.7109375" style="1" bestFit="1" customWidth="1"/>
    <col min="13070" max="13070" width="14.140625" style="1" bestFit="1" customWidth="1"/>
    <col min="13071" max="13071" width="13.85546875" style="1" customWidth="1"/>
    <col min="13072" max="13072" width="14.85546875" style="1" customWidth="1"/>
    <col min="13073" max="13073" width="15" style="1" customWidth="1"/>
    <col min="13074" max="13074" width="11" style="1" customWidth="1"/>
    <col min="13075" max="13075" width="8.7109375" style="1" customWidth="1"/>
    <col min="13076" max="13076" width="12.28515625" style="1" customWidth="1"/>
    <col min="13077" max="13077" width="11.5703125" style="1" bestFit="1" customWidth="1"/>
    <col min="13078" max="13078" width="8.7109375" style="1" customWidth="1"/>
    <col min="13079" max="13081" width="9.140625" style="1"/>
    <col min="13082" max="13082" width="11.5703125" style="1" bestFit="1" customWidth="1"/>
    <col min="13083" max="13312" width="9.140625" style="1"/>
    <col min="13313" max="13313" width="10.85546875" style="1" customWidth="1"/>
    <col min="13314" max="13314" width="0.140625" style="1" customWidth="1"/>
    <col min="13315" max="13315" width="0" style="1" hidden="1" customWidth="1"/>
    <col min="13316" max="13316" width="13.5703125" style="1" customWidth="1"/>
    <col min="13317" max="13317" width="10" style="1" customWidth="1"/>
    <col min="13318" max="13318" width="9.7109375" style="1" customWidth="1"/>
    <col min="13319" max="13319" width="0" style="1" hidden="1" customWidth="1"/>
    <col min="13320" max="13320" width="11.28515625" style="1" customWidth="1"/>
    <col min="13321" max="13321" width="11.7109375" style="1" customWidth="1"/>
    <col min="13322" max="13322" width="12" style="1" customWidth="1"/>
    <col min="13323" max="13323" width="10.42578125" style="1" customWidth="1"/>
    <col min="13324" max="13324" width="12.7109375" style="1" bestFit="1" customWidth="1"/>
    <col min="13325" max="13325" width="10.7109375" style="1" bestFit="1" customWidth="1"/>
    <col min="13326" max="13326" width="14.140625" style="1" bestFit="1" customWidth="1"/>
    <col min="13327" max="13327" width="13.85546875" style="1" customWidth="1"/>
    <col min="13328" max="13328" width="14.85546875" style="1" customWidth="1"/>
    <col min="13329" max="13329" width="15" style="1" customWidth="1"/>
    <col min="13330" max="13330" width="11" style="1" customWidth="1"/>
    <col min="13331" max="13331" width="8.7109375" style="1" customWidth="1"/>
    <col min="13332" max="13332" width="12.28515625" style="1" customWidth="1"/>
    <col min="13333" max="13333" width="11.5703125" style="1" bestFit="1" customWidth="1"/>
    <col min="13334" max="13334" width="8.7109375" style="1" customWidth="1"/>
    <col min="13335" max="13337" width="9.140625" style="1"/>
    <col min="13338" max="13338" width="11.5703125" style="1" bestFit="1" customWidth="1"/>
    <col min="13339" max="13568" width="9.140625" style="1"/>
    <col min="13569" max="13569" width="10.85546875" style="1" customWidth="1"/>
    <col min="13570" max="13570" width="0.140625" style="1" customWidth="1"/>
    <col min="13571" max="13571" width="0" style="1" hidden="1" customWidth="1"/>
    <col min="13572" max="13572" width="13.5703125" style="1" customWidth="1"/>
    <col min="13573" max="13573" width="10" style="1" customWidth="1"/>
    <col min="13574" max="13574" width="9.7109375" style="1" customWidth="1"/>
    <col min="13575" max="13575" width="0" style="1" hidden="1" customWidth="1"/>
    <col min="13576" max="13576" width="11.28515625" style="1" customWidth="1"/>
    <col min="13577" max="13577" width="11.7109375" style="1" customWidth="1"/>
    <col min="13578" max="13578" width="12" style="1" customWidth="1"/>
    <col min="13579" max="13579" width="10.42578125" style="1" customWidth="1"/>
    <col min="13580" max="13580" width="12.7109375" style="1" bestFit="1" customWidth="1"/>
    <col min="13581" max="13581" width="10.7109375" style="1" bestFit="1" customWidth="1"/>
    <col min="13582" max="13582" width="14.140625" style="1" bestFit="1" customWidth="1"/>
    <col min="13583" max="13583" width="13.85546875" style="1" customWidth="1"/>
    <col min="13584" max="13584" width="14.85546875" style="1" customWidth="1"/>
    <col min="13585" max="13585" width="15" style="1" customWidth="1"/>
    <col min="13586" max="13586" width="11" style="1" customWidth="1"/>
    <col min="13587" max="13587" width="8.7109375" style="1" customWidth="1"/>
    <col min="13588" max="13588" width="12.28515625" style="1" customWidth="1"/>
    <col min="13589" max="13589" width="11.5703125" style="1" bestFit="1" customWidth="1"/>
    <col min="13590" max="13590" width="8.7109375" style="1" customWidth="1"/>
    <col min="13591" max="13593" width="9.140625" style="1"/>
    <col min="13594" max="13594" width="11.5703125" style="1" bestFit="1" customWidth="1"/>
    <col min="13595" max="13824" width="9.140625" style="1"/>
    <col min="13825" max="13825" width="10.85546875" style="1" customWidth="1"/>
    <col min="13826" max="13826" width="0.140625" style="1" customWidth="1"/>
    <col min="13827" max="13827" width="0" style="1" hidden="1" customWidth="1"/>
    <col min="13828" max="13828" width="13.5703125" style="1" customWidth="1"/>
    <col min="13829" max="13829" width="10" style="1" customWidth="1"/>
    <col min="13830" max="13830" width="9.7109375" style="1" customWidth="1"/>
    <col min="13831" max="13831" width="0" style="1" hidden="1" customWidth="1"/>
    <col min="13832" max="13832" width="11.28515625" style="1" customWidth="1"/>
    <col min="13833" max="13833" width="11.7109375" style="1" customWidth="1"/>
    <col min="13834" max="13834" width="12" style="1" customWidth="1"/>
    <col min="13835" max="13835" width="10.42578125" style="1" customWidth="1"/>
    <col min="13836" max="13836" width="12.7109375" style="1" bestFit="1" customWidth="1"/>
    <col min="13837" max="13837" width="10.7109375" style="1" bestFit="1" customWidth="1"/>
    <col min="13838" max="13838" width="14.140625" style="1" bestFit="1" customWidth="1"/>
    <col min="13839" max="13839" width="13.85546875" style="1" customWidth="1"/>
    <col min="13840" max="13840" width="14.85546875" style="1" customWidth="1"/>
    <col min="13841" max="13841" width="15" style="1" customWidth="1"/>
    <col min="13842" max="13842" width="11" style="1" customWidth="1"/>
    <col min="13843" max="13843" width="8.7109375" style="1" customWidth="1"/>
    <col min="13844" max="13844" width="12.28515625" style="1" customWidth="1"/>
    <col min="13845" max="13845" width="11.5703125" style="1" bestFit="1" customWidth="1"/>
    <col min="13846" max="13846" width="8.7109375" style="1" customWidth="1"/>
    <col min="13847" max="13849" width="9.140625" style="1"/>
    <col min="13850" max="13850" width="11.5703125" style="1" bestFit="1" customWidth="1"/>
    <col min="13851" max="14080" width="9.140625" style="1"/>
    <col min="14081" max="14081" width="10.85546875" style="1" customWidth="1"/>
    <col min="14082" max="14082" width="0.140625" style="1" customWidth="1"/>
    <col min="14083" max="14083" width="0" style="1" hidden="1" customWidth="1"/>
    <col min="14084" max="14084" width="13.5703125" style="1" customWidth="1"/>
    <col min="14085" max="14085" width="10" style="1" customWidth="1"/>
    <col min="14086" max="14086" width="9.7109375" style="1" customWidth="1"/>
    <col min="14087" max="14087" width="0" style="1" hidden="1" customWidth="1"/>
    <col min="14088" max="14088" width="11.28515625" style="1" customWidth="1"/>
    <col min="14089" max="14089" width="11.7109375" style="1" customWidth="1"/>
    <col min="14090" max="14090" width="12" style="1" customWidth="1"/>
    <col min="14091" max="14091" width="10.42578125" style="1" customWidth="1"/>
    <col min="14092" max="14092" width="12.7109375" style="1" bestFit="1" customWidth="1"/>
    <col min="14093" max="14093" width="10.7109375" style="1" bestFit="1" customWidth="1"/>
    <col min="14094" max="14094" width="14.140625" style="1" bestFit="1" customWidth="1"/>
    <col min="14095" max="14095" width="13.85546875" style="1" customWidth="1"/>
    <col min="14096" max="14096" width="14.85546875" style="1" customWidth="1"/>
    <col min="14097" max="14097" width="15" style="1" customWidth="1"/>
    <col min="14098" max="14098" width="11" style="1" customWidth="1"/>
    <col min="14099" max="14099" width="8.7109375" style="1" customWidth="1"/>
    <col min="14100" max="14100" width="12.28515625" style="1" customWidth="1"/>
    <col min="14101" max="14101" width="11.5703125" style="1" bestFit="1" customWidth="1"/>
    <col min="14102" max="14102" width="8.7109375" style="1" customWidth="1"/>
    <col min="14103" max="14105" width="9.140625" style="1"/>
    <col min="14106" max="14106" width="11.5703125" style="1" bestFit="1" customWidth="1"/>
    <col min="14107" max="14336" width="9.140625" style="1"/>
    <col min="14337" max="14337" width="10.85546875" style="1" customWidth="1"/>
    <col min="14338" max="14338" width="0.140625" style="1" customWidth="1"/>
    <col min="14339" max="14339" width="0" style="1" hidden="1" customWidth="1"/>
    <col min="14340" max="14340" width="13.5703125" style="1" customWidth="1"/>
    <col min="14341" max="14341" width="10" style="1" customWidth="1"/>
    <col min="14342" max="14342" width="9.7109375" style="1" customWidth="1"/>
    <col min="14343" max="14343" width="0" style="1" hidden="1" customWidth="1"/>
    <col min="14344" max="14344" width="11.28515625" style="1" customWidth="1"/>
    <col min="14345" max="14345" width="11.7109375" style="1" customWidth="1"/>
    <col min="14346" max="14346" width="12" style="1" customWidth="1"/>
    <col min="14347" max="14347" width="10.42578125" style="1" customWidth="1"/>
    <col min="14348" max="14348" width="12.7109375" style="1" bestFit="1" customWidth="1"/>
    <col min="14349" max="14349" width="10.7109375" style="1" bestFit="1" customWidth="1"/>
    <col min="14350" max="14350" width="14.140625" style="1" bestFit="1" customWidth="1"/>
    <col min="14351" max="14351" width="13.85546875" style="1" customWidth="1"/>
    <col min="14352" max="14352" width="14.85546875" style="1" customWidth="1"/>
    <col min="14353" max="14353" width="15" style="1" customWidth="1"/>
    <col min="14354" max="14354" width="11" style="1" customWidth="1"/>
    <col min="14355" max="14355" width="8.7109375" style="1" customWidth="1"/>
    <col min="14356" max="14356" width="12.28515625" style="1" customWidth="1"/>
    <col min="14357" max="14357" width="11.5703125" style="1" bestFit="1" customWidth="1"/>
    <col min="14358" max="14358" width="8.7109375" style="1" customWidth="1"/>
    <col min="14359" max="14361" width="9.140625" style="1"/>
    <col min="14362" max="14362" width="11.5703125" style="1" bestFit="1" customWidth="1"/>
    <col min="14363" max="14592" width="9.140625" style="1"/>
    <col min="14593" max="14593" width="10.85546875" style="1" customWidth="1"/>
    <col min="14594" max="14594" width="0.140625" style="1" customWidth="1"/>
    <col min="14595" max="14595" width="0" style="1" hidden="1" customWidth="1"/>
    <col min="14596" max="14596" width="13.5703125" style="1" customWidth="1"/>
    <col min="14597" max="14597" width="10" style="1" customWidth="1"/>
    <col min="14598" max="14598" width="9.7109375" style="1" customWidth="1"/>
    <col min="14599" max="14599" width="0" style="1" hidden="1" customWidth="1"/>
    <col min="14600" max="14600" width="11.28515625" style="1" customWidth="1"/>
    <col min="14601" max="14601" width="11.7109375" style="1" customWidth="1"/>
    <col min="14602" max="14602" width="12" style="1" customWidth="1"/>
    <col min="14603" max="14603" width="10.42578125" style="1" customWidth="1"/>
    <col min="14604" max="14604" width="12.7109375" style="1" bestFit="1" customWidth="1"/>
    <col min="14605" max="14605" width="10.7109375" style="1" bestFit="1" customWidth="1"/>
    <col min="14606" max="14606" width="14.140625" style="1" bestFit="1" customWidth="1"/>
    <col min="14607" max="14607" width="13.85546875" style="1" customWidth="1"/>
    <col min="14608" max="14608" width="14.85546875" style="1" customWidth="1"/>
    <col min="14609" max="14609" width="15" style="1" customWidth="1"/>
    <col min="14610" max="14610" width="11" style="1" customWidth="1"/>
    <col min="14611" max="14611" width="8.7109375" style="1" customWidth="1"/>
    <col min="14612" max="14612" width="12.28515625" style="1" customWidth="1"/>
    <col min="14613" max="14613" width="11.5703125" style="1" bestFit="1" customWidth="1"/>
    <col min="14614" max="14614" width="8.7109375" style="1" customWidth="1"/>
    <col min="14615" max="14617" width="9.140625" style="1"/>
    <col min="14618" max="14618" width="11.5703125" style="1" bestFit="1" customWidth="1"/>
    <col min="14619" max="14848" width="9.140625" style="1"/>
    <col min="14849" max="14849" width="10.85546875" style="1" customWidth="1"/>
    <col min="14850" max="14850" width="0.140625" style="1" customWidth="1"/>
    <col min="14851" max="14851" width="0" style="1" hidden="1" customWidth="1"/>
    <col min="14852" max="14852" width="13.5703125" style="1" customWidth="1"/>
    <col min="14853" max="14853" width="10" style="1" customWidth="1"/>
    <col min="14854" max="14854" width="9.7109375" style="1" customWidth="1"/>
    <col min="14855" max="14855" width="0" style="1" hidden="1" customWidth="1"/>
    <col min="14856" max="14856" width="11.28515625" style="1" customWidth="1"/>
    <col min="14857" max="14857" width="11.7109375" style="1" customWidth="1"/>
    <col min="14858" max="14858" width="12" style="1" customWidth="1"/>
    <col min="14859" max="14859" width="10.42578125" style="1" customWidth="1"/>
    <col min="14860" max="14860" width="12.7109375" style="1" bestFit="1" customWidth="1"/>
    <col min="14861" max="14861" width="10.7109375" style="1" bestFit="1" customWidth="1"/>
    <col min="14862" max="14862" width="14.140625" style="1" bestFit="1" customWidth="1"/>
    <col min="14863" max="14863" width="13.85546875" style="1" customWidth="1"/>
    <col min="14864" max="14864" width="14.85546875" style="1" customWidth="1"/>
    <col min="14865" max="14865" width="15" style="1" customWidth="1"/>
    <col min="14866" max="14866" width="11" style="1" customWidth="1"/>
    <col min="14867" max="14867" width="8.7109375" style="1" customWidth="1"/>
    <col min="14868" max="14868" width="12.28515625" style="1" customWidth="1"/>
    <col min="14869" max="14869" width="11.5703125" style="1" bestFit="1" customWidth="1"/>
    <col min="14870" max="14870" width="8.7109375" style="1" customWidth="1"/>
    <col min="14871" max="14873" width="9.140625" style="1"/>
    <col min="14874" max="14874" width="11.5703125" style="1" bestFit="1" customWidth="1"/>
    <col min="14875" max="15104" width="9.140625" style="1"/>
    <col min="15105" max="15105" width="10.85546875" style="1" customWidth="1"/>
    <col min="15106" max="15106" width="0.140625" style="1" customWidth="1"/>
    <col min="15107" max="15107" width="0" style="1" hidden="1" customWidth="1"/>
    <col min="15108" max="15108" width="13.5703125" style="1" customWidth="1"/>
    <col min="15109" max="15109" width="10" style="1" customWidth="1"/>
    <col min="15110" max="15110" width="9.7109375" style="1" customWidth="1"/>
    <col min="15111" max="15111" width="0" style="1" hidden="1" customWidth="1"/>
    <col min="15112" max="15112" width="11.28515625" style="1" customWidth="1"/>
    <col min="15113" max="15113" width="11.7109375" style="1" customWidth="1"/>
    <col min="15114" max="15114" width="12" style="1" customWidth="1"/>
    <col min="15115" max="15115" width="10.42578125" style="1" customWidth="1"/>
    <col min="15116" max="15116" width="12.7109375" style="1" bestFit="1" customWidth="1"/>
    <col min="15117" max="15117" width="10.7109375" style="1" bestFit="1" customWidth="1"/>
    <col min="15118" max="15118" width="14.140625" style="1" bestFit="1" customWidth="1"/>
    <col min="15119" max="15119" width="13.85546875" style="1" customWidth="1"/>
    <col min="15120" max="15120" width="14.85546875" style="1" customWidth="1"/>
    <col min="15121" max="15121" width="15" style="1" customWidth="1"/>
    <col min="15122" max="15122" width="11" style="1" customWidth="1"/>
    <col min="15123" max="15123" width="8.7109375" style="1" customWidth="1"/>
    <col min="15124" max="15124" width="12.28515625" style="1" customWidth="1"/>
    <col min="15125" max="15125" width="11.5703125" style="1" bestFit="1" customWidth="1"/>
    <col min="15126" max="15126" width="8.7109375" style="1" customWidth="1"/>
    <col min="15127" max="15129" width="9.140625" style="1"/>
    <col min="15130" max="15130" width="11.5703125" style="1" bestFit="1" customWidth="1"/>
    <col min="15131" max="15360" width="9.140625" style="1"/>
    <col min="15361" max="15361" width="10.85546875" style="1" customWidth="1"/>
    <col min="15362" max="15362" width="0.140625" style="1" customWidth="1"/>
    <col min="15363" max="15363" width="0" style="1" hidden="1" customWidth="1"/>
    <col min="15364" max="15364" width="13.5703125" style="1" customWidth="1"/>
    <col min="15365" max="15365" width="10" style="1" customWidth="1"/>
    <col min="15366" max="15366" width="9.7109375" style="1" customWidth="1"/>
    <col min="15367" max="15367" width="0" style="1" hidden="1" customWidth="1"/>
    <col min="15368" max="15368" width="11.28515625" style="1" customWidth="1"/>
    <col min="15369" max="15369" width="11.7109375" style="1" customWidth="1"/>
    <col min="15370" max="15370" width="12" style="1" customWidth="1"/>
    <col min="15371" max="15371" width="10.42578125" style="1" customWidth="1"/>
    <col min="15372" max="15372" width="12.7109375" style="1" bestFit="1" customWidth="1"/>
    <col min="15373" max="15373" width="10.7109375" style="1" bestFit="1" customWidth="1"/>
    <col min="15374" max="15374" width="14.140625" style="1" bestFit="1" customWidth="1"/>
    <col min="15375" max="15375" width="13.85546875" style="1" customWidth="1"/>
    <col min="15376" max="15376" width="14.85546875" style="1" customWidth="1"/>
    <col min="15377" max="15377" width="15" style="1" customWidth="1"/>
    <col min="15378" max="15378" width="11" style="1" customWidth="1"/>
    <col min="15379" max="15379" width="8.7109375" style="1" customWidth="1"/>
    <col min="15380" max="15380" width="12.28515625" style="1" customWidth="1"/>
    <col min="15381" max="15381" width="11.5703125" style="1" bestFit="1" customWidth="1"/>
    <col min="15382" max="15382" width="8.7109375" style="1" customWidth="1"/>
    <col min="15383" max="15385" width="9.140625" style="1"/>
    <col min="15386" max="15386" width="11.5703125" style="1" bestFit="1" customWidth="1"/>
    <col min="15387" max="15616" width="9.140625" style="1"/>
    <col min="15617" max="15617" width="10.85546875" style="1" customWidth="1"/>
    <col min="15618" max="15618" width="0.140625" style="1" customWidth="1"/>
    <col min="15619" max="15619" width="0" style="1" hidden="1" customWidth="1"/>
    <col min="15620" max="15620" width="13.5703125" style="1" customWidth="1"/>
    <col min="15621" max="15621" width="10" style="1" customWidth="1"/>
    <col min="15622" max="15622" width="9.7109375" style="1" customWidth="1"/>
    <col min="15623" max="15623" width="0" style="1" hidden="1" customWidth="1"/>
    <col min="15624" max="15624" width="11.28515625" style="1" customWidth="1"/>
    <col min="15625" max="15625" width="11.7109375" style="1" customWidth="1"/>
    <col min="15626" max="15626" width="12" style="1" customWidth="1"/>
    <col min="15627" max="15627" width="10.42578125" style="1" customWidth="1"/>
    <col min="15628" max="15628" width="12.7109375" style="1" bestFit="1" customWidth="1"/>
    <col min="15629" max="15629" width="10.7109375" style="1" bestFit="1" customWidth="1"/>
    <col min="15630" max="15630" width="14.140625" style="1" bestFit="1" customWidth="1"/>
    <col min="15631" max="15631" width="13.85546875" style="1" customWidth="1"/>
    <col min="15632" max="15632" width="14.85546875" style="1" customWidth="1"/>
    <col min="15633" max="15633" width="15" style="1" customWidth="1"/>
    <col min="15634" max="15634" width="11" style="1" customWidth="1"/>
    <col min="15635" max="15635" width="8.7109375" style="1" customWidth="1"/>
    <col min="15636" max="15636" width="12.28515625" style="1" customWidth="1"/>
    <col min="15637" max="15637" width="11.5703125" style="1" bestFit="1" customWidth="1"/>
    <col min="15638" max="15638" width="8.7109375" style="1" customWidth="1"/>
    <col min="15639" max="15641" width="9.140625" style="1"/>
    <col min="15642" max="15642" width="11.5703125" style="1" bestFit="1" customWidth="1"/>
    <col min="15643" max="15872" width="9.140625" style="1"/>
    <col min="15873" max="15873" width="10.85546875" style="1" customWidth="1"/>
    <col min="15874" max="15874" width="0.140625" style="1" customWidth="1"/>
    <col min="15875" max="15875" width="0" style="1" hidden="1" customWidth="1"/>
    <col min="15876" max="15876" width="13.5703125" style="1" customWidth="1"/>
    <col min="15877" max="15877" width="10" style="1" customWidth="1"/>
    <col min="15878" max="15878" width="9.7109375" style="1" customWidth="1"/>
    <col min="15879" max="15879" width="0" style="1" hidden="1" customWidth="1"/>
    <col min="15880" max="15880" width="11.28515625" style="1" customWidth="1"/>
    <col min="15881" max="15881" width="11.7109375" style="1" customWidth="1"/>
    <col min="15882" max="15882" width="12" style="1" customWidth="1"/>
    <col min="15883" max="15883" width="10.42578125" style="1" customWidth="1"/>
    <col min="15884" max="15884" width="12.7109375" style="1" bestFit="1" customWidth="1"/>
    <col min="15885" max="15885" width="10.7109375" style="1" bestFit="1" customWidth="1"/>
    <col min="15886" max="15886" width="14.140625" style="1" bestFit="1" customWidth="1"/>
    <col min="15887" max="15887" width="13.85546875" style="1" customWidth="1"/>
    <col min="15888" max="15888" width="14.85546875" style="1" customWidth="1"/>
    <col min="15889" max="15889" width="15" style="1" customWidth="1"/>
    <col min="15890" max="15890" width="11" style="1" customWidth="1"/>
    <col min="15891" max="15891" width="8.7109375" style="1" customWidth="1"/>
    <col min="15892" max="15892" width="12.28515625" style="1" customWidth="1"/>
    <col min="15893" max="15893" width="11.5703125" style="1" bestFit="1" customWidth="1"/>
    <col min="15894" max="15894" width="8.7109375" style="1" customWidth="1"/>
    <col min="15895" max="15897" width="9.140625" style="1"/>
    <col min="15898" max="15898" width="11.5703125" style="1" bestFit="1" customWidth="1"/>
    <col min="15899" max="16128" width="9.140625" style="1"/>
    <col min="16129" max="16129" width="10.85546875" style="1" customWidth="1"/>
    <col min="16130" max="16130" width="0.140625" style="1" customWidth="1"/>
    <col min="16131" max="16131" width="0" style="1" hidden="1" customWidth="1"/>
    <col min="16132" max="16132" width="13.5703125" style="1" customWidth="1"/>
    <col min="16133" max="16133" width="10" style="1" customWidth="1"/>
    <col min="16134" max="16134" width="9.7109375" style="1" customWidth="1"/>
    <col min="16135" max="16135" width="0" style="1" hidden="1" customWidth="1"/>
    <col min="16136" max="16136" width="11.28515625" style="1" customWidth="1"/>
    <col min="16137" max="16137" width="11.7109375" style="1" customWidth="1"/>
    <col min="16138" max="16138" width="12" style="1" customWidth="1"/>
    <col min="16139" max="16139" width="10.42578125" style="1" customWidth="1"/>
    <col min="16140" max="16140" width="12.7109375" style="1" bestFit="1" customWidth="1"/>
    <col min="16141" max="16141" width="10.7109375" style="1" bestFit="1" customWidth="1"/>
    <col min="16142" max="16142" width="14.140625" style="1" bestFit="1" customWidth="1"/>
    <col min="16143" max="16143" width="13.85546875" style="1" customWidth="1"/>
    <col min="16144" max="16144" width="14.85546875" style="1" customWidth="1"/>
    <col min="16145" max="16145" width="15" style="1" customWidth="1"/>
    <col min="16146" max="16146" width="11" style="1" customWidth="1"/>
    <col min="16147" max="16147" width="8.7109375" style="1" customWidth="1"/>
    <col min="16148" max="16148" width="12.28515625" style="1" customWidth="1"/>
    <col min="16149" max="16149" width="11.5703125" style="1" bestFit="1" customWidth="1"/>
    <col min="16150" max="16150" width="8.7109375" style="1" customWidth="1"/>
    <col min="16151" max="16153" width="9.140625" style="1"/>
    <col min="16154" max="16154" width="11.5703125" style="1" bestFit="1" customWidth="1"/>
    <col min="16155" max="16384" width="9.140625" style="1"/>
  </cols>
  <sheetData>
    <row r="1" spans="1:41" ht="35.25" customHeight="1" thickBot="1" x14ac:dyDescent="0.3">
      <c r="A1" s="47" t="s">
        <v>9</v>
      </c>
      <c r="B1" s="47" t="s">
        <v>31</v>
      </c>
      <c r="C1" s="47" t="s">
        <v>32</v>
      </c>
      <c r="D1" s="47" t="s">
        <v>33</v>
      </c>
      <c r="E1" s="47" t="s">
        <v>34</v>
      </c>
      <c r="F1" s="47" t="s">
        <v>35</v>
      </c>
      <c r="G1" s="47" t="s">
        <v>36</v>
      </c>
      <c r="H1" s="47" t="s">
        <v>37</v>
      </c>
      <c r="I1" s="47" t="s">
        <v>38</v>
      </c>
      <c r="J1" s="47" t="s">
        <v>39</v>
      </c>
      <c r="K1" s="47" t="s">
        <v>40</v>
      </c>
      <c r="L1" s="47" t="s">
        <v>41</v>
      </c>
      <c r="M1" s="47" t="s">
        <v>42</v>
      </c>
      <c r="N1" s="47" t="s">
        <v>43</v>
      </c>
      <c r="O1" s="47" t="s">
        <v>44</v>
      </c>
      <c r="P1" s="48"/>
      <c r="Q1" s="48"/>
    </row>
    <row r="2" spans="1:41" ht="15.75" thickBot="1" x14ac:dyDescent="0.3">
      <c r="A2" s="49">
        <v>43465</v>
      </c>
      <c r="B2" s="50"/>
      <c r="C2" s="50"/>
      <c r="D2" s="51">
        <v>4926.4570000000003</v>
      </c>
      <c r="E2" s="51">
        <v>220.02</v>
      </c>
      <c r="F2" s="51">
        <v>169.75</v>
      </c>
      <c r="G2" s="16"/>
      <c r="H2" s="16"/>
      <c r="I2" s="16"/>
      <c r="J2" s="16"/>
      <c r="K2" s="17"/>
      <c r="L2" s="16"/>
      <c r="M2" s="17"/>
      <c r="N2" s="52">
        <v>66068309</v>
      </c>
      <c r="O2" s="15"/>
      <c r="P2" s="15"/>
      <c r="Q2" s="53"/>
      <c r="S2" s="20"/>
    </row>
    <row r="3" spans="1:41" ht="15.75" thickBot="1" x14ac:dyDescent="0.3">
      <c r="A3" s="54">
        <v>44197</v>
      </c>
      <c r="B3" s="55"/>
      <c r="C3" s="55"/>
      <c r="D3" s="157">
        <v>0.14199999999999999</v>
      </c>
      <c r="E3" s="158">
        <v>6807.857</v>
      </c>
      <c r="F3" s="159">
        <v>322.33300000000003</v>
      </c>
      <c r="G3" s="160">
        <v>183.67</v>
      </c>
      <c r="H3" s="161"/>
      <c r="I3" s="161">
        <v>20488.859999998404</v>
      </c>
      <c r="J3" s="161">
        <v>1113.6600000000226</v>
      </c>
      <c r="K3" s="162">
        <v>5.4354415033345406E-2</v>
      </c>
      <c r="L3" s="161">
        <v>194.57999999998776</v>
      </c>
      <c r="M3" s="163">
        <v>9.496868054152497E-3</v>
      </c>
      <c r="N3" s="164">
        <v>66068309</v>
      </c>
      <c r="O3" s="164">
        <v>0</v>
      </c>
      <c r="P3" s="20">
        <f>IF(N3="",0,1)</f>
        <v>1</v>
      </c>
      <c r="Q3" s="20">
        <f>IF(N3="",1,0)</f>
        <v>0</v>
      </c>
      <c r="R3" s="21"/>
      <c r="S3" s="1"/>
      <c r="T3" s="6"/>
      <c r="V3" s="1"/>
    </row>
    <row r="4" spans="1:41" ht="15.75" thickBot="1" x14ac:dyDescent="0.3">
      <c r="A4" s="54">
        <v>44198</v>
      </c>
      <c r="D4" s="157">
        <v>0.14199999999999999</v>
      </c>
      <c r="E4" s="158">
        <v>6812.8440000000001</v>
      </c>
      <c r="F4" s="159">
        <v>322.64999999999998</v>
      </c>
      <c r="G4" s="160">
        <v>183.709</v>
      </c>
      <c r="H4" s="161"/>
      <c r="I4" s="161">
        <v>20646.180000000331</v>
      </c>
      <c r="J4" s="161">
        <v>1312.3799999997948</v>
      </c>
      <c r="K4" s="162">
        <v>6.3565269701212221E-2</v>
      </c>
      <c r="L4" s="161">
        <v>161.46000000006495</v>
      </c>
      <c r="M4" s="163">
        <v>7.820332865453191E-3</v>
      </c>
      <c r="N4" s="164">
        <v>66068309</v>
      </c>
      <c r="O4" s="164">
        <v>0</v>
      </c>
      <c r="P4" s="20">
        <f>IF(N4="",0,1)</f>
        <v>1</v>
      </c>
      <c r="Q4" s="20">
        <f>IF(N4="",1,0)</f>
        <v>0</v>
      </c>
      <c r="R4" s="21"/>
      <c r="S4" s="1"/>
      <c r="T4" s="6"/>
      <c r="V4" s="1"/>
    </row>
    <row r="5" spans="1:41" ht="15.75" thickBot="1" x14ac:dyDescent="0.3">
      <c r="A5" s="54">
        <v>44199</v>
      </c>
      <c r="D5" s="157">
        <v>0.14199999999999999</v>
      </c>
      <c r="E5" s="158">
        <v>6817.741</v>
      </c>
      <c r="F5" s="159">
        <v>322.85500000000002</v>
      </c>
      <c r="G5" s="160">
        <v>183.74100000000001</v>
      </c>
      <c r="H5" s="161"/>
      <c r="I5" s="161">
        <v>20273.579999999729</v>
      </c>
      <c r="J5" s="161">
        <v>848.70000000016944</v>
      </c>
      <c r="K5" s="162">
        <v>4.1862364713098565E-2</v>
      </c>
      <c r="L5" s="161">
        <v>132.48000000004424</v>
      </c>
      <c r="M5" s="163">
        <v>6.5346130283869949E-3</v>
      </c>
      <c r="N5" s="164">
        <v>66068309</v>
      </c>
      <c r="O5" s="164">
        <v>0</v>
      </c>
      <c r="P5" s="20">
        <f>IF(N5="",0,1)</f>
        <v>1</v>
      </c>
      <c r="Q5" s="20">
        <f>IF(N5="",1,0)</f>
        <v>0</v>
      </c>
      <c r="R5" s="21"/>
      <c r="S5" s="1"/>
      <c r="T5" s="6"/>
      <c r="V5" s="1"/>
    </row>
    <row r="6" spans="1:41" ht="15.75" thickBot="1" x14ac:dyDescent="0.3">
      <c r="A6" s="54">
        <v>44200</v>
      </c>
      <c r="D6" s="157">
        <v>0.14199999999999999</v>
      </c>
      <c r="E6" s="158">
        <v>6822.43</v>
      </c>
      <c r="F6" s="159">
        <v>323.13099999999997</v>
      </c>
      <c r="G6" s="160">
        <v>183.78100000000001</v>
      </c>
      <c r="H6" s="161"/>
      <c r="I6" s="161">
        <v>19412.460000001265</v>
      </c>
      <c r="J6" s="161">
        <v>1142.639999999808</v>
      </c>
      <c r="K6" s="162">
        <v>5.8861164427369508E-2</v>
      </c>
      <c r="L6" s="161">
        <v>165.59999999996705</v>
      </c>
      <c r="M6" s="163">
        <v>8.5306035401982155E-3</v>
      </c>
      <c r="N6" s="164">
        <v>66068309</v>
      </c>
      <c r="O6" s="164">
        <v>0</v>
      </c>
      <c r="P6" s="20">
        <f>IF(N6="",0,1)</f>
        <v>1</v>
      </c>
      <c r="Q6" s="20">
        <f>IF(N6="",1,0)</f>
        <v>0</v>
      </c>
      <c r="R6" s="21"/>
      <c r="S6" s="1"/>
      <c r="T6" s="6"/>
      <c r="V6" s="1"/>
    </row>
    <row r="7" spans="1:41" ht="15.75" thickBot="1" x14ac:dyDescent="0.3">
      <c r="A7" s="54">
        <v>44201</v>
      </c>
      <c r="D7" s="157">
        <v>0.14199999999999999</v>
      </c>
      <c r="E7" s="158">
        <v>6827.3609999999999</v>
      </c>
      <c r="F7" s="159">
        <v>323.40699999999998</v>
      </c>
      <c r="G7" s="160">
        <v>183.809</v>
      </c>
      <c r="H7" s="161"/>
      <c r="I7" s="161">
        <v>20414.339999998283</v>
      </c>
      <c r="J7" s="161">
        <v>1142.6400000000433</v>
      </c>
      <c r="K7" s="162">
        <v>5.5972419387554991E-2</v>
      </c>
      <c r="L7" s="161">
        <v>115.91999999996517</v>
      </c>
      <c r="M7" s="163">
        <v>5.6783613871413388E-3</v>
      </c>
      <c r="N7" s="164">
        <v>66068309</v>
      </c>
      <c r="O7" s="164">
        <v>0</v>
      </c>
      <c r="P7" s="20">
        <f>IF(N7="",0,1)</f>
        <v>1</v>
      </c>
      <c r="Q7" s="20">
        <f>IF(N7="",1,0)</f>
        <v>0</v>
      </c>
      <c r="R7" s="21"/>
      <c r="S7" s="1"/>
      <c r="T7" s="6"/>
      <c r="V7" s="1"/>
    </row>
    <row r="8" spans="1:41" ht="15.75" thickBot="1" x14ac:dyDescent="0.3">
      <c r="A8" s="54">
        <v>44202</v>
      </c>
      <c r="D8" s="157">
        <v>0.14199999999999999</v>
      </c>
      <c r="E8" s="158">
        <v>6832.3890000000001</v>
      </c>
      <c r="F8" s="159">
        <v>323.7</v>
      </c>
      <c r="G8" s="160">
        <v>183.83199999999999</v>
      </c>
      <c r="H8" s="161"/>
      <c r="I8" s="161">
        <v>20815.920000001024</v>
      </c>
      <c r="J8" s="161">
        <v>1213.0200000000264</v>
      </c>
      <c r="K8" s="162">
        <v>5.8273667462210015E-2</v>
      </c>
      <c r="L8" s="161">
        <v>95.219999999983997</v>
      </c>
      <c r="M8" s="163">
        <v>4.574383452664082E-3</v>
      </c>
      <c r="N8" s="164">
        <v>66068309</v>
      </c>
      <c r="O8" s="164">
        <v>0</v>
      </c>
      <c r="P8" s="62"/>
      <c r="Q8" s="63"/>
      <c r="R8" s="20">
        <f t="shared" ref="R8:R71" si="0">IF(N8="",0,1)</f>
        <v>1</v>
      </c>
      <c r="S8" s="20">
        <f t="shared" ref="S8:S71" si="1">IF(N8="",1,0)</f>
        <v>0</v>
      </c>
    </row>
    <row r="9" spans="1:41" ht="15.75" thickBot="1" x14ac:dyDescent="0.3">
      <c r="A9" s="54">
        <v>44203</v>
      </c>
      <c r="D9" s="157">
        <v>0.14199999999999999</v>
      </c>
      <c r="E9" s="158">
        <v>6837.616</v>
      </c>
      <c r="F9" s="159">
        <v>323.923</v>
      </c>
      <c r="G9" s="160">
        <v>183.87200000000001</v>
      </c>
      <c r="H9" s="161"/>
      <c r="I9" s="161">
        <v>21639.779999999428</v>
      </c>
      <c r="J9" s="161">
        <v>923.2200000000546</v>
      </c>
      <c r="K9" s="162">
        <v>4.2663095465854041E-2</v>
      </c>
      <c r="L9" s="161">
        <v>165.60000000008472</v>
      </c>
      <c r="M9" s="163">
        <v>7.6525731777351298E-3</v>
      </c>
      <c r="N9" s="164">
        <v>66068309</v>
      </c>
      <c r="O9" s="164">
        <v>0</v>
      </c>
      <c r="P9" s="62"/>
      <c r="Q9" s="63"/>
      <c r="R9" s="20">
        <f t="shared" si="0"/>
        <v>1</v>
      </c>
      <c r="S9" s="20">
        <f t="shared" si="1"/>
        <v>0</v>
      </c>
    </row>
    <row r="10" spans="1:41" ht="15.75" thickBot="1" x14ac:dyDescent="0.3">
      <c r="A10" s="54">
        <v>44204</v>
      </c>
      <c r="D10" s="157">
        <v>0.14199999999999999</v>
      </c>
      <c r="E10" s="158">
        <v>6842.268</v>
      </c>
      <c r="F10" s="159">
        <v>324.10500000000002</v>
      </c>
      <c r="G10" s="160">
        <v>183.90899999999999</v>
      </c>
      <c r="H10" s="161"/>
      <c r="I10" s="161">
        <v>19259.280000000181</v>
      </c>
      <c r="J10" s="161">
        <v>753.48000000006778</v>
      </c>
      <c r="K10" s="162">
        <v>3.9122957867586988E-2</v>
      </c>
      <c r="L10" s="161">
        <v>153.17999999990775</v>
      </c>
      <c r="M10" s="163">
        <v>7.9535683576907497E-3</v>
      </c>
      <c r="N10" s="164">
        <v>66068309</v>
      </c>
      <c r="O10" s="164">
        <v>0</v>
      </c>
      <c r="P10" s="62"/>
      <c r="Q10" s="64"/>
      <c r="R10" s="20">
        <f t="shared" si="0"/>
        <v>1</v>
      </c>
      <c r="S10" s="20">
        <f t="shared" si="1"/>
        <v>0</v>
      </c>
    </row>
    <row r="11" spans="1:41" ht="15.75" thickBot="1" x14ac:dyDescent="0.3">
      <c r="A11" s="54">
        <v>44205</v>
      </c>
      <c r="D11" s="157">
        <v>0.14199999999999999</v>
      </c>
      <c r="E11" s="158">
        <v>6847.5590000000002</v>
      </c>
      <c r="F11" s="159">
        <v>324.29399999999998</v>
      </c>
      <c r="G11" s="160">
        <v>183.94399999999999</v>
      </c>
      <c r="H11" s="161"/>
      <c r="I11" s="161">
        <v>21904.740000000693</v>
      </c>
      <c r="J11" s="161">
        <v>782.45999999985315</v>
      </c>
      <c r="K11" s="162">
        <v>3.5721035721027888E-2</v>
      </c>
      <c r="L11" s="161">
        <v>144.89999999998588</v>
      </c>
      <c r="M11" s="163">
        <v>6.6150066150057613E-3</v>
      </c>
      <c r="N11" s="164">
        <v>66068309</v>
      </c>
      <c r="O11" s="164">
        <v>0</v>
      </c>
      <c r="P11" s="62"/>
      <c r="Q11" s="64"/>
      <c r="R11" s="20">
        <f t="shared" si="0"/>
        <v>1</v>
      </c>
      <c r="S11" s="20">
        <f t="shared" si="1"/>
        <v>0</v>
      </c>
      <c r="T11" s="65"/>
    </row>
    <row r="12" spans="1:41" ht="15.75" thickBot="1" x14ac:dyDescent="0.3">
      <c r="A12" s="54">
        <v>44206</v>
      </c>
      <c r="D12" s="157">
        <v>0.14199999999999999</v>
      </c>
      <c r="E12" s="158">
        <v>6852.2240000000002</v>
      </c>
      <c r="F12" s="159">
        <v>324.45400000000001</v>
      </c>
      <c r="G12" s="160">
        <v>183.98599999999999</v>
      </c>
      <c r="H12" s="161"/>
      <c r="I12" s="161">
        <v>19313.099999999849</v>
      </c>
      <c r="J12" s="161">
        <v>662.40000000010355</v>
      </c>
      <c r="K12" s="162">
        <v>3.4297963558419346E-2</v>
      </c>
      <c r="L12" s="161">
        <v>173.88000000000659</v>
      </c>
      <c r="M12" s="163">
        <v>9.003215434084012E-3</v>
      </c>
      <c r="N12" s="164">
        <v>66068309</v>
      </c>
      <c r="O12" s="164">
        <v>0</v>
      </c>
      <c r="P12" s="62"/>
      <c r="Q12" s="64"/>
      <c r="R12" s="20">
        <f t="shared" si="0"/>
        <v>1</v>
      </c>
      <c r="S12" s="20">
        <f t="shared" si="1"/>
        <v>0</v>
      </c>
      <c r="T12" s="65"/>
    </row>
    <row r="13" spans="1:41" ht="15.75" thickBot="1" x14ac:dyDescent="0.3">
      <c r="A13" s="54">
        <v>44207</v>
      </c>
      <c r="D13" s="157">
        <v>0.14199999999999999</v>
      </c>
      <c r="E13" s="158">
        <v>6856.8370000000004</v>
      </c>
      <c r="F13" s="159">
        <v>324.58600000000001</v>
      </c>
      <c r="G13" s="160">
        <v>184.02799999999999</v>
      </c>
      <c r="H13" s="161"/>
      <c r="I13" s="161">
        <v>19097.820000001175</v>
      </c>
      <c r="J13" s="161">
        <v>546.48000000002071</v>
      </c>
      <c r="K13" s="162">
        <v>2.8614784305223691E-2</v>
      </c>
      <c r="L13" s="161">
        <v>173.88000000000659</v>
      </c>
      <c r="M13" s="163">
        <v>9.1047040971166289E-3</v>
      </c>
      <c r="N13" s="164">
        <v>66068309</v>
      </c>
      <c r="O13" s="164">
        <v>0</v>
      </c>
      <c r="P13" s="62"/>
      <c r="Q13" s="63"/>
      <c r="R13" s="20">
        <f t="shared" si="0"/>
        <v>1</v>
      </c>
      <c r="S13" s="20">
        <f t="shared" si="1"/>
        <v>0</v>
      </c>
    </row>
    <row r="14" spans="1:41" ht="15.75" thickBot="1" x14ac:dyDescent="0.3">
      <c r="A14" s="54">
        <v>44208</v>
      </c>
      <c r="D14" s="157">
        <v>0.14199999999999999</v>
      </c>
      <c r="E14" s="158">
        <v>6862.0110000000004</v>
      </c>
      <c r="F14" s="159">
        <v>324.79399999999998</v>
      </c>
      <c r="G14" s="160">
        <v>184.07300000000001</v>
      </c>
      <c r="H14" s="161"/>
      <c r="I14" s="161">
        <v>21420.35999999991</v>
      </c>
      <c r="J14" s="161">
        <v>861.11999999987574</v>
      </c>
      <c r="K14" s="162">
        <v>4.0201005025119994E-2</v>
      </c>
      <c r="L14" s="161">
        <v>186.30000000006589</v>
      </c>
      <c r="M14" s="163">
        <v>8.6973328179389461E-3</v>
      </c>
      <c r="N14" s="164">
        <v>66068309</v>
      </c>
      <c r="O14" s="164">
        <v>0</v>
      </c>
      <c r="P14" s="62"/>
      <c r="Q14" s="63"/>
      <c r="R14" s="20">
        <f t="shared" si="0"/>
        <v>1</v>
      </c>
      <c r="S14" s="20">
        <f t="shared" si="1"/>
        <v>0</v>
      </c>
      <c r="W14" s="66"/>
      <c r="X14" s="66"/>
      <c r="Y14" s="66"/>
      <c r="AA14" s="66"/>
      <c r="AB14" s="66"/>
      <c r="AC14" s="66"/>
      <c r="AD14" s="66"/>
      <c r="AE14" s="66"/>
      <c r="AF14" s="66"/>
      <c r="AG14" s="66"/>
      <c r="AH14" s="66"/>
      <c r="AI14" s="66"/>
      <c r="AJ14" s="66"/>
      <c r="AK14" s="66"/>
      <c r="AL14" s="66"/>
      <c r="AM14" s="66"/>
      <c r="AN14" s="66"/>
      <c r="AO14" s="66"/>
    </row>
    <row r="15" spans="1:41" ht="15.75" thickBot="1" x14ac:dyDescent="0.3">
      <c r="A15" s="54">
        <v>44209</v>
      </c>
      <c r="D15" s="157">
        <v>0.14199999999999999</v>
      </c>
      <c r="E15" s="158">
        <v>6867.2709999999997</v>
      </c>
      <c r="F15" s="159">
        <v>325.03800000000001</v>
      </c>
      <c r="G15" s="160">
        <v>184.107</v>
      </c>
      <c r="H15" s="161"/>
      <c r="I15" s="161">
        <v>21776.399999997138</v>
      </c>
      <c r="J15" s="161">
        <v>1010.1600000001167</v>
      </c>
      <c r="K15" s="162">
        <v>4.6387832699631225E-2</v>
      </c>
      <c r="L15" s="161">
        <v>140.75999999996611</v>
      </c>
      <c r="M15" s="163">
        <v>6.4638783269954907E-3</v>
      </c>
      <c r="N15" s="164">
        <v>66068309</v>
      </c>
      <c r="O15" s="164">
        <v>0</v>
      </c>
      <c r="P15" s="62"/>
      <c r="Q15" s="64"/>
      <c r="R15" s="20">
        <f t="shared" si="0"/>
        <v>1</v>
      </c>
      <c r="S15" s="20">
        <f t="shared" si="1"/>
        <v>0</v>
      </c>
      <c r="W15" s="66"/>
      <c r="X15" s="66"/>
      <c r="Y15" s="66"/>
      <c r="AA15" s="66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</row>
    <row r="16" spans="1:41" ht="15.75" thickBot="1" x14ac:dyDescent="0.3">
      <c r="A16" s="54">
        <v>44210</v>
      </c>
      <c r="D16" s="157">
        <v>0.14199999999999999</v>
      </c>
      <c r="E16" s="158">
        <v>6872.2489999999998</v>
      </c>
      <c r="F16" s="159">
        <v>325.25200000000001</v>
      </c>
      <c r="G16" s="160">
        <v>184.131</v>
      </c>
      <c r="H16" s="161"/>
      <c r="I16" s="161">
        <v>20608.920000000271</v>
      </c>
      <c r="J16" s="161">
        <v>885.95999999999435</v>
      </c>
      <c r="K16" s="162">
        <v>4.2989152269987105E-2</v>
      </c>
      <c r="L16" s="161">
        <v>99.360000000003765</v>
      </c>
      <c r="M16" s="163">
        <v>4.8212133386903566E-3</v>
      </c>
      <c r="N16" s="164">
        <v>66068309</v>
      </c>
      <c r="O16" s="164">
        <v>0</v>
      </c>
      <c r="P16" s="62"/>
      <c r="Q16" s="64"/>
      <c r="R16" s="20">
        <f t="shared" si="0"/>
        <v>1</v>
      </c>
      <c r="S16" s="20">
        <f t="shared" si="1"/>
        <v>0</v>
      </c>
      <c r="T16" s="65"/>
    </row>
    <row r="17" spans="1:21" ht="15.75" thickBot="1" x14ac:dyDescent="0.3">
      <c r="A17" s="54">
        <v>44211</v>
      </c>
      <c r="D17" s="157">
        <v>0.14199999999999999</v>
      </c>
      <c r="E17" s="158">
        <v>6877.2060000000001</v>
      </c>
      <c r="F17" s="159">
        <v>325.47399999999999</v>
      </c>
      <c r="G17" s="160">
        <v>184.166</v>
      </c>
      <c r="H17" s="161"/>
      <c r="I17" s="161">
        <v>20521.980000001386</v>
      </c>
      <c r="J17" s="161">
        <v>919.07999999991716</v>
      </c>
      <c r="K17" s="162">
        <v>4.478515230985778E-2</v>
      </c>
      <c r="L17" s="161">
        <v>144.89999999998588</v>
      </c>
      <c r="M17" s="163">
        <v>7.0607222110135618E-3</v>
      </c>
      <c r="N17" s="164">
        <v>66068309</v>
      </c>
      <c r="O17" s="164">
        <v>0</v>
      </c>
      <c r="P17" s="62"/>
      <c r="Q17" s="64"/>
      <c r="R17" s="20">
        <f t="shared" si="0"/>
        <v>1</v>
      </c>
      <c r="S17" s="20">
        <f t="shared" si="1"/>
        <v>0</v>
      </c>
      <c r="T17" s="65"/>
    </row>
    <row r="18" spans="1:21" ht="15.75" thickBot="1" x14ac:dyDescent="0.3">
      <c r="A18" s="54">
        <v>44212</v>
      </c>
      <c r="D18" s="157">
        <v>0.14199999999999999</v>
      </c>
      <c r="E18" s="158">
        <v>6882.08</v>
      </c>
      <c r="F18" s="159">
        <v>325.661</v>
      </c>
      <c r="G18" s="160">
        <v>184.20599999999999</v>
      </c>
      <c r="H18" s="161"/>
      <c r="I18" s="161">
        <v>20178.359999999157</v>
      </c>
      <c r="J18" s="161">
        <v>774.18000000004895</v>
      </c>
      <c r="K18" s="162">
        <v>3.8366844480923194E-2</v>
      </c>
      <c r="L18" s="161">
        <v>165.59999999996705</v>
      </c>
      <c r="M18" s="163">
        <v>8.2068116536712591E-3</v>
      </c>
      <c r="N18" s="164">
        <v>66068309</v>
      </c>
      <c r="O18" s="164">
        <v>0</v>
      </c>
      <c r="P18" s="62"/>
      <c r="Q18" s="63"/>
      <c r="R18" s="20">
        <f t="shared" si="0"/>
        <v>1</v>
      </c>
      <c r="S18" s="20">
        <f t="shared" si="1"/>
        <v>0</v>
      </c>
    </row>
    <row r="19" spans="1:21" ht="15.75" thickBot="1" x14ac:dyDescent="0.3">
      <c r="A19" s="54">
        <v>44213</v>
      </c>
      <c r="D19" s="157">
        <v>0.14199999999999999</v>
      </c>
      <c r="E19" s="158">
        <v>6886.78</v>
      </c>
      <c r="F19" s="159">
        <v>325.87</v>
      </c>
      <c r="G19" s="160">
        <v>184.245</v>
      </c>
      <c r="H19" s="161"/>
      <c r="I19" s="161">
        <v>19457.999999999247</v>
      </c>
      <c r="J19" s="161">
        <v>865.26000000001318</v>
      </c>
      <c r="K19" s="162">
        <v>4.4468085106385377E-2</v>
      </c>
      <c r="L19" s="161">
        <v>161.46000000006495</v>
      </c>
      <c r="M19" s="163">
        <v>8.2978723404291913E-3</v>
      </c>
      <c r="N19" s="164">
        <v>66068309</v>
      </c>
      <c r="O19" s="164">
        <v>0</v>
      </c>
      <c r="P19" s="62"/>
      <c r="Q19" s="63"/>
      <c r="R19" s="20">
        <f t="shared" si="0"/>
        <v>1</v>
      </c>
      <c r="S19" s="20">
        <f t="shared" si="1"/>
        <v>0</v>
      </c>
    </row>
    <row r="20" spans="1:21" ht="15.75" thickBot="1" x14ac:dyDescent="0.3">
      <c r="A20" s="54">
        <v>44214</v>
      </c>
      <c r="D20" s="157">
        <v>0.14199999999999999</v>
      </c>
      <c r="E20" s="158">
        <v>6891.4610000000002</v>
      </c>
      <c r="F20" s="159">
        <v>326.12599999999998</v>
      </c>
      <c r="G20" s="160">
        <v>184.28200000000001</v>
      </c>
      <c r="H20" s="161"/>
      <c r="I20" s="161">
        <v>19379.340000002048</v>
      </c>
      <c r="J20" s="161">
        <v>1059.8399999998833</v>
      </c>
      <c r="K20" s="162">
        <v>5.4689168980975165E-2</v>
      </c>
      <c r="L20" s="161">
        <v>153.18000000002542</v>
      </c>
      <c r="M20" s="163">
        <v>7.904293954283749E-3</v>
      </c>
      <c r="N20" s="164">
        <v>66068309</v>
      </c>
      <c r="O20" s="164">
        <v>0</v>
      </c>
      <c r="P20" s="67"/>
      <c r="Q20" s="68"/>
      <c r="R20" s="20">
        <f t="shared" si="0"/>
        <v>1</v>
      </c>
      <c r="S20" s="20">
        <f t="shared" si="1"/>
        <v>0</v>
      </c>
    </row>
    <row r="21" spans="1:21" ht="15.75" thickBot="1" x14ac:dyDescent="0.3">
      <c r="A21" s="54">
        <v>44215</v>
      </c>
      <c r="D21" s="157">
        <v>0.14199999999999999</v>
      </c>
      <c r="E21" s="158">
        <v>6896.3019999999997</v>
      </c>
      <c r="F21" s="159">
        <v>326.37099999999998</v>
      </c>
      <c r="G21" s="160">
        <v>184.31200000000001</v>
      </c>
      <c r="H21" s="161"/>
      <c r="I21" s="161">
        <v>20041.739999997681</v>
      </c>
      <c r="J21" s="161">
        <v>1014.3000000000188</v>
      </c>
      <c r="K21" s="162">
        <v>5.0609378227645711E-2</v>
      </c>
      <c r="L21" s="161">
        <v>124.20000000000471</v>
      </c>
      <c r="M21" s="163">
        <v>6.1970667217526561E-3</v>
      </c>
      <c r="N21" s="164">
        <v>66068309</v>
      </c>
      <c r="O21" s="164">
        <v>0</v>
      </c>
      <c r="P21" s="202" t="s">
        <v>45</v>
      </c>
      <c r="Q21" s="203"/>
      <c r="R21" s="20">
        <f t="shared" si="0"/>
        <v>1</v>
      </c>
      <c r="S21" s="20">
        <f t="shared" si="1"/>
        <v>0</v>
      </c>
      <c r="T21" s="65"/>
    </row>
    <row r="22" spans="1:21" ht="15.75" thickBot="1" x14ac:dyDescent="0.3">
      <c r="A22" s="54">
        <v>44216</v>
      </c>
      <c r="D22" s="157">
        <v>0.14199999999999999</v>
      </c>
      <c r="E22" s="158">
        <v>6901.1270000000004</v>
      </c>
      <c r="F22" s="159">
        <v>326.61</v>
      </c>
      <c r="G22" s="160">
        <v>184.34800000000001</v>
      </c>
      <c r="H22" s="161"/>
      <c r="I22" s="161">
        <v>19975.500000003012</v>
      </c>
      <c r="J22" s="161">
        <v>989.46000000013555</v>
      </c>
      <c r="K22" s="162">
        <v>4.9533678756475998E-2</v>
      </c>
      <c r="L22" s="161">
        <v>149.04000000000565</v>
      </c>
      <c r="M22" s="163">
        <v>7.4611398963722146E-3</v>
      </c>
      <c r="N22" s="164">
        <v>66068309</v>
      </c>
      <c r="O22" s="164">
        <v>0</v>
      </c>
      <c r="P22" s="204"/>
      <c r="Q22" s="205"/>
      <c r="R22" s="20">
        <f t="shared" si="0"/>
        <v>1</v>
      </c>
      <c r="S22" s="20">
        <f t="shared" si="1"/>
        <v>0</v>
      </c>
      <c r="T22" s="65"/>
    </row>
    <row r="23" spans="1:21" ht="15.75" thickBot="1" x14ac:dyDescent="0.3">
      <c r="A23" s="54">
        <v>44217</v>
      </c>
      <c r="D23" s="157">
        <v>0.14199999999999999</v>
      </c>
      <c r="E23" s="158">
        <v>6906.085</v>
      </c>
      <c r="F23" s="159">
        <v>326.83800000000002</v>
      </c>
      <c r="G23" s="160">
        <v>184.39</v>
      </c>
      <c r="H23" s="161"/>
      <c r="I23" s="161">
        <v>20526.119999998464</v>
      </c>
      <c r="J23" s="161">
        <v>943.92000000003577</v>
      </c>
      <c r="K23" s="162">
        <v>4.5986284792260128E-2</v>
      </c>
      <c r="L23" s="161">
        <v>173.87999999988892</v>
      </c>
      <c r="M23" s="163">
        <v>8.4711577248842915E-3</v>
      </c>
      <c r="N23" s="164">
        <v>66068309</v>
      </c>
      <c r="O23" s="164">
        <v>0</v>
      </c>
      <c r="P23" s="69" t="s">
        <v>46</v>
      </c>
      <c r="Q23" s="69" t="s">
        <v>47</v>
      </c>
      <c r="R23" s="20">
        <f>IF(N23="",0,1)</f>
        <v>1</v>
      </c>
      <c r="S23" s="20">
        <f t="shared" si="1"/>
        <v>0</v>
      </c>
    </row>
    <row r="24" spans="1:21" ht="15.75" thickBot="1" x14ac:dyDescent="0.3">
      <c r="A24" s="54">
        <v>44218</v>
      </c>
      <c r="D24" s="157">
        <v>0.14199999999999999</v>
      </c>
      <c r="E24" s="158">
        <v>6910.9539999999997</v>
      </c>
      <c r="F24" s="159">
        <v>327.09800000000001</v>
      </c>
      <c r="G24" s="160">
        <v>184.43799999999999</v>
      </c>
      <c r="H24" s="161"/>
      <c r="I24" s="161">
        <v>20157.659999998705</v>
      </c>
      <c r="J24" s="161">
        <v>1076.3999999999623</v>
      </c>
      <c r="K24" s="162">
        <v>5.3399055247485644E-2</v>
      </c>
      <c r="L24" s="161">
        <v>198.72000000000753</v>
      </c>
      <c r="M24" s="163">
        <v>9.8582871226134527E-3</v>
      </c>
      <c r="N24" s="164">
        <v>66068309</v>
      </c>
      <c r="O24" s="164">
        <v>0</v>
      </c>
      <c r="P24" s="70">
        <f>IF(J3="",0,+SUM(J3:J33)/SUM(I3:I33))</f>
        <v>4.6229911845838773E-2</v>
      </c>
      <c r="Q24" s="70">
        <f>IF(L3="",0,+SUM(L3:L33)/SUM(I3:I33))</f>
        <v>8.1241400196191312E-3</v>
      </c>
      <c r="R24" s="20">
        <f t="shared" si="0"/>
        <v>1</v>
      </c>
      <c r="S24" s="20">
        <f t="shared" si="1"/>
        <v>0</v>
      </c>
    </row>
    <row r="25" spans="1:21" ht="15.75" thickBot="1" x14ac:dyDescent="0.3">
      <c r="A25" s="54">
        <v>44219</v>
      </c>
      <c r="D25" s="157">
        <v>0.14199999999999999</v>
      </c>
      <c r="E25" s="158">
        <v>6915.616</v>
      </c>
      <c r="F25" s="159">
        <v>327.34500000000003</v>
      </c>
      <c r="G25" s="160">
        <v>184.483</v>
      </c>
      <c r="H25" s="161"/>
      <c r="I25" s="161">
        <v>19300.680000001084</v>
      </c>
      <c r="J25" s="161">
        <v>1022.5800000000584</v>
      </c>
      <c r="K25" s="162">
        <v>5.2981552981553028E-2</v>
      </c>
      <c r="L25" s="161">
        <v>186.30000000006589</v>
      </c>
      <c r="M25" s="163">
        <v>9.652509652512525E-3</v>
      </c>
      <c r="N25" s="164">
        <v>66068309</v>
      </c>
      <c r="O25" s="164">
        <v>0</v>
      </c>
      <c r="P25" s="71">
        <f>IF(J3="",0,+(+(LOOKUP(9.99999999999999E+307,E3:E33)-E2))/(+(LOOKUP(9.99999999999999E+307,D3:D33)-D2)))</f>
        <v>-1.3671031998562819</v>
      </c>
      <c r="Q25" s="71">
        <f>IF(L3="",0,+(+(LOOKUP(9.99999999999999E+307,F3:F33)-F2))/(+(LOOKUP(9.99999999999999E+307,D3:D33)-D2)))</f>
        <v>-3.2343851337155664E-2</v>
      </c>
      <c r="R25" s="20">
        <f t="shared" si="0"/>
        <v>1</v>
      </c>
      <c r="S25" s="20">
        <f t="shared" si="1"/>
        <v>0</v>
      </c>
    </row>
    <row r="26" spans="1:21" ht="15.75" thickBot="1" x14ac:dyDescent="0.3">
      <c r="A26" s="54">
        <v>44220</v>
      </c>
      <c r="D26" s="157">
        <v>0.14199999999999999</v>
      </c>
      <c r="E26" s="158">
        <v>6920.41</v>
      </c>
      <c r="F26" s="159">
        <v>327.54199999999997</v>
      </c>
      <c r="G26" s="160">
        <v>184.53800000000001</v>
      </c>
      <c r="H26" s="161"/>
      <c r="I26" s="161">
        <v>19847.159999999458</v>
      </c>
      <c r="J26" s="161">
        <v>815.57999999977596</v>
      </c>
      <c r="K26" s="162">
        <v>4.1093032957853833E-2</v>
      </c>
      <c r="L26" s="161">
        <v>227.70000000002824</v>
      </c>
      <c r="M26" s="163">
        <v>1.1472674176055136E-2</v>
      </c>
      <c r="N26" s="164">
        <v>66068309</v>
      </c>
      <c r="O26" s="164">
        <v>0</v>
      </c>
      <c r="P26" s="72" t="s">
        <v>48</v>
      </c>
      <c r="Q26" s="73" t="s">
        <v>49</v>
      </c>
      <c r="R26" s="20">
        <f t="shared" si="0"/>
        <v>1</v>
      </c>
      <c r="S26" s="20">
        <f t="shared" si="1"/>
        <v>0</v>
      </c>
      <c r="T26" s="65"/>
    </row>
    <row r="27" spans="1:21" ht="15.75" thickBot="1" x14ac:dyDescent="0.3">
      <c r="A27" s="54">
        <v>44221</v>
      </c>
      <c r="D27" s="157">
        <v>0.14199999999999999</v>
      </c>
      <c r="E27" s="158">
        <v>6925.4880000000003</v>
      </c>
      <c r="F27" s="159">
        <v>327.80200000000002</v>
      </c>
      <c r="G27" s="160">
        <v>184.571</v>
      </c>
      <c r="H27" s="161"/>
      <c r="I27" s="161">
        <v>21022.920000001777</v>
      </c>
      <c r="J27" s="161">
        <v>1076.4000000001977</v>
      </c>
      <c r="K27" s="162">
        <v>5.1201260338721105E-2</v>
      </c>
      <c r="L27" s="161">
        <v>136.61999999994634</v>
      </c>
      <c r="M27" s="163">
        <v>6.4986215045262407E-3</v>
      </c>
      <c r="N27" s="164">
        <v>66068309</v>
      </c>
      <c r="O27" s="164">
        <v>0</v>
      </c>
      <c r="P27" s="74">
        <f>IF(N2="",0,+(LOOKUP(9.99999999999999E+307,N2:N33)-N2))</f>
        <v>0</v>
      </c>
      <c r="Q27" s="75">
        <f>IF(P27="",0,+P27/SUM(R3:R33))</f>
        <v>0</v>
      </c>
      <c r="R27" s="20">
        <f t="shared" si="0"/>
        <v>1</v>
      </c>
      <c r="S27" s="20">
        <f t="shared" si="1"/>
        <v>0</v>
      </c>
      <c r="T27" s="65"/>
    </row>
    <row r="28" spans="1:21" ht="15.75" thickBot="1" x14ac:dyDescent="0.3">
      <c r="A28" s="54">
        <v>44222</v>
      </c>
      <c r="D28" s="157">
        <v>0.14199999999999999</v>
      </c>
      <c r="E28" s="158">
        <v>6930.433</v>
      </c>
      <c r="F28" s="159">
        <v>328.00400000000002</v>
      </c>
      <c r="G28" s="160">
        <v>184.61</v>
      </c>
      <c r="H28" s="161"/>
      <c r="I28" s="161">
        <v>20472.299999998795</v>
      </c>
      <c r="J28" s="161">
        <v>836.27999999999247</v>
      </c>
      <c r="K28" s="162">
        <v>4.0849342770477262E-2</v>
      </c>
      <c r="L28" s="161">
        <v>161.46000000006495</v>
      </c>
      <c r="M28" s="163">
        <v>7.8867542972736061E-3</v>
      </c>
      <c r="N28" s="164">
        <v>66068309</v>
      </c>
      <c r="O28" s="164">
        <v>0</v>
      </c>
      <c r="P28" s="76" t="s">
        <v>50</v>
      </c>
      <c r="Q28" s="77" t="s">
        <v>51</v>
      </c>
      <c r="R28" s="20">
        <f t="shared" si="0"/>
        <v>1</v>
      </c>
      <c r="S28" s="20">
        <f t="shared" si="1"/>
        <v>0</v>
      </c>
    </row>
    <row r="29" spans="1:21" ht="15.75" thickBot="1" x14ac:dyDescent="0.3">
      <c r="A29" s="54">
        <v>44223</v>
      </c>
      <c r="D29" s="157">
        <v>0.14199999999999999</v>
      </c>
      <c r="E29" s="158">
        <v>6935.5</v>
      </c>
      <c r="F29" s="159">
        <v>328.21600000000001</v>
      </c>
      <c r="G29" s="160">
        <v>184.66200000000001</v>
      </c>
      <c r="H29" s="161"/>
      <c r="I29" s="161">
        <v>20977.38000000003</v>
      </c>
      <c r="J29" s="161">
        <v>877.67999999995482</v>
      </c>
      <c r="K29" s="162">
        <v>4.1839352674163957E-2</v>
      </c>
      <c r="L29" s="161">
        <v>215.27999999996894</v>
      </c>
      <c r="M29" s="163">
        <v>1.0262482731397755E-2</v>
      </c>
      <c r="N29" s="164">
        <v>66068309</v>
      </c>
      <c r="O29" s="164">
        <v>0</v>
      </c>
      <c r="P29" s="78">
        <f>IF(D3="",0,+(LOOKUP(9.99999999999999E+307,D2:D33)-D2))*4140</f>
        <v>-20394944.100000001</v>
      </c>
      <c r="Q29" s="79">
        <f>IF(P29="",0,+P29/SUM(R3:R33))</f>
        <v>-784420.92692307697</v>
      </c>
      <c r="R29" s="20">
        <f t="shared" si="0"/>
        <v>1</v>
      </c>
      <c r="S29" s="20">
        <f t="shared" si="1"/>
        <v>0</v>
      </c>
    </row>
    <row r="30" spans="1:21" ht="15.75" thickBot="1" x14ac:dyDescent="0.3">
      <c r="A30" s="54">
        <v>44224</v>
      </c>
      <c r="D30" s="157">
        <v>0.14199999999999999</v>
      </c>
      <c r="E30" s="158">
        <v>6940.4390000000003</v>
      </c>
      <c r="F30" s="159">
        <v>328.416</v>
      </c>
      <c r="G30" s="160">
        <v>184.72200000000001</v>
      </c>
      <c r="H30" s="161"/>
      <c r="I30" s="161">
        <v>20447.460000001265</v>
      </c>
      <c r="J30" s="161">
        <v>827.99999999995293</v>
      </c>
      <c r="K30" s="162">
        <v>4.0494027130993371E-2</v>
      </c>
      <c r="L30" s="161">
        <v>248.40000000000941</v>
      </c>
      <c r="M30" s="163">
        <v>1.2148208139299161E-2</v>
      </c>
      <c r="N30" s="164">
        <v>66068309</v>
      </c>
      <c r="O30" s="164">
        <v>0</v>
      </c>
      <c r="P30" s="80" t="s">
        <v>52</v>
      </c>
      <c r="Q30" s="81" t="s">
        <v>53</v>
      </c>
      <c r="R30" s="20">
        <f t="shared" si="0"/>
        <v>1</v>
      </c>
      <c r="S30" s="20">
        <f t="shared" si="1"/>
        <v>0</v>
      </c>
      <c r="T30" s="65"/>
    </row>
    <row r="31" spans="1:21" ht="15.75" thickBot="1" x14ac:dyDescent="0.3">
      <c r="A31" s="54">
        <v>44225</v>
      </c>
      <c r="D31" s="157">
        <v>0.14199999999999999</v>
      </c>
      <c r="E31" s="158">
        <v>6945.5259999999998</v>
      </c>
      <c r="F31" s="159">
        <v>328.65699999999998</v>
      </c>
      <c r="G31" s="160">
        <v>184.76900000000001</v>
      </c>
      <c r="H31" s="161"/>
      <c r="I31" s="161">
        <v>21060.179999998072</v>
      </c>
      <c r="J31" s="161">
        <v>997.73999999993976</v>
      </c>
      <c r="K31" s="162">
        <v>4.7375663455869375E-2</v>
      </c>
      <c r="L31" s="161">
        <v>194.57999999998776</v>
      </c>
      <c r="M31" s="163">
        <v>9.2392372714765764E-3</v>
      </c>
      <c r="N31" s="164">
        <v>66068309</v>
      </c>
      <c r="O31" s="164">
        <v>0</v>
      </c>
      <c r="P31" s="82">
        <f>P29*Q34</f>
        <v>-11625118.137</v>
      </c>
      <c r="Q31" s="83" t="e">
        <f>IF(Q34="",0,(SUM('[1]Günlük Tüketim'!H4:H34)*1.62)/SUM(O3:O33))</f>
        <v>#DIV/0!</v>
      </c>
      <c r="R31" s="20">
        <f t="shared" si="0"/>
        <v>1</v>
      </c>
      <c r="S31" s="20">
        <f t="shared" si="1"/>
        <v>0</v>
      </c>
      <c r="T31" s="65"/>
      <c r="U31" s="84"/>
    </row>
    <row r="32" spans="1:21" ht="13.5" customHeight="1" thickBot="1" x14ac:dyDescent="0.3">
      <c r="A32" s="54">
        <v>44226</v>
      </c>
      <c r="D32" s="157">
        <v>0.14199999999999999</v>
      </c>
      <c r="E32" s="158">
        <v>6950.31</v>
      </c>
      <c r="F32" s="159">
        <v>328.78199999999998</v>
      </c>
      <c r="G32" s="160">
        <v>184.81</v>
      </c>
      <c r="H32" s="161"/>
      <c r="I32" s="161">
        <v>19805.760000002319</v>
      </c>
      <c r="J32" s="161">
        <v>517.5</v>
      </c>
      <c r="K32" s="162">
        <v>2.612876254180296E-2</v>
      </c>
      <c r="L32" s="161">
        <v>169.73999999998682</v>
      </c>
      <c r="M32" s="163">
        <v>8.5702341137107053E-3</v>
      </c>
      <c r="N32" s="164">
        <v>66068309</v>
      </c>
      <c r="O32" s="164">
        <v>0</v>
      </c>
      <c r="P32" s="85" t="s">
        <v>54</v>
      </c>
      <c r="Q32" s="86" t="s">
        <v>55</v>
      </c>
      <c r="R32" s="20">
        <f t="shared" si="0"/>
        <v>1</v>
      </c>
      <c r="S32" s="20">
        <f t="shared" si="1"/>
        <v>0</v>
      </c>
      <c r="T32" s="65"/>
      <c r="U32" s="84"/>
    </row>
    <row r="33" spans="1:20" ht="15.75" thickBot="1" x14ac:dyDescent="0.3">
      <c r="A33" s="54">
        <v>44227</v>
      </c>
      <c r="B33" s="87"/>
      <c r="C33" s="88"/>
      <c r="D33" s="165">
        <v>0.14199999999999999</v>
      </c>
      <c r="E33" s="165">
        <v>6954.8010000000004</v>
      </c>
      <c r="F33" s="165">
        <v>329.08600000000001</v>
      </c>
      <c r="G33" s="165">
        <v>184.857</v>
      </c>
      <c r="H33" s="166"/>
      <c r="I33" s="166">
        <v>18592.73999999994</v>
      </c>
      <c r="J33" s="166">
        <v>1258.5600000001261</v>
      </c>
      <c r="K33" s="167">
        <v>6.7690937430423398E-2</v>
      </c>
      <c r="L33" s="166">
        <v>194.57999999998776</v>
      </c>
      <c r="M33" s="167">
        <v>1.0465375194833489E-2</v>
      </c>
      <c r="N33" s="168">
        <v>66068309</v>
      </c>
      <c r="O33" s="169">
        <v>0</v>
      </c>
      <c r="P33" s="94">
        <f>(P31+Q29*SUM(S3:S33)*Q34)</f>
        <v>-11625118.137</v>
      </c>
      <c r="Q33" s="95">
        <f>Q29*31</f>
        <v>-24317048.734615386</v>
      </c>
      <c r="R33" s="20">
        <f t="shared" si="0"/>
        <v>1</v>
      </c>
      <c r="S33" s="20">
        <f t="shared" si="1"/>
        <v>0</v>
      </c>
    </row>
    <row r="34" spans="1:20" ht="15.75" thickBot="1" x14ac:dyDescent="0.3">
      <c r="A34" s="54">
        <v>44228</v>
      </c>
      <c r="D34" s="157">
        <v>0.14199999999999999</v>
      </c>
      <c r="E34" s="158">
        <v>6959.6890000000003</v>
      </c>
      <c r="F34" s="159">
        <v>329.34699999999998</v>
      </c>
      <c r="G34" s="160">
        <v>184.89</v>
      </c>
      <c r="H34" s="161"/>
      <c r="I34" s="161">
        <v>20236.319999999669</v>
      </c>
      <c r="J34" s="161">
        <v>1080.5399999998644</v>
      </c>
      <c r="K34" s="162">
        <v>5.3396072013087464E-2</v>
      </c>
      <c r="L34" s="161">
        <v>136.61999999994634</v>
      </c>
      <c r="M34" s="163">
        <v>6.7512274959058063E-3</v>
      </c>
      <c r="N34" s="164">
        <v>66068309</v>
      </c>
      <c r="O34" s="164">
        <v>0</v>
      </c>
      <c r="P34" s="96" t="s">
        <v>56</v>
      </c>
      <c r="Q34" s="97">
        <v>0.56999999999999995</v>
      </c>
      <c r="R34" s="20">
        <f t="shared" si="0"/>
        <v>1</v>
      </c>
      <c r="S34" s="20">
        <f t="shared" si="1"/>
        <v>0</v>
      </c>
    </row>
    <row r="35" spans="1:20" ht="15.75" thickBot="1" x14ac:dyDescent="0.3">
      <c r="A35" s="54">
        <v>44229</v>
      </c>
      <c r="D35" s="157">
        <v>0.14199999999999999</v>
      </c>
      <c r="E35" s="158">
        <v>6964.4989999999998</v>
      </c>
      <c r="F35" s="159">
        <v>329.51900000000001</v>
      </c>
      <c r="G35" s="160">
        <v>184.91900000000001</v>
      </c>
      <c r="H35" s="161"/>
      <c r="I35" s="161">
        <v>19913.399999997891</v>
      </c>
      <c r="J35" s="161">
        <v>712.08000000010543</v>
      </c>
      <c r="K35" s="162">
        <v>3.5758835758844837E-2</v>
      </c>
      <c r="L35" s="161">
        <v>120.0600000001026</v>
      </c>
      <c r="M35" s="163">
        <v>6.0291060291118199E-3</v>
      </c>
      <c r="N35" s="164">
        <v>66068309</v>
      </c>
      <c r="O35" s="164">
        <v>0</v>
      </c>
      <c r="P35" s="98"/>
      <c r="Q35" s="99"/>
      <c r="R35" s="20">
        <f t="shared" si="0"/>
        <v>1</v>
      </c>
      <c r="S35" s="20">
        <f t="shared" si="1"/>
        <v>0</v>
      </c>
    </row>
    <row r="36" spans="1:20" ht="15.75" thickBot="1" x14ac:dyDescent="0.3">
      <c r="A36" s="54">
        <v>44230</v>
      </c>
      <c r="D36" s="157">
        <v>0.14199999999999999</v>
      </c>
      <c r="E36" s="158">
        <v>6969.5690000000004</v>
      </c>
      <c r="F36" s="159">
        <v>329.82900000000001</v>
      </c>
      <c r="G36" s="160">
        <v>184.96700000000001</v>
      </c>
      <c r="H36" s="161"/>
      <c r="I36" s="161">
        <v>20989.80000000256</v>
      </c>
      <c r="J36" s="161">
        <v>1283.4000000000094</v>
      </c>
      <c r="K36" s="162">
        <v>6.114398422090029E-2</v>
      </c>
      <c r="L36" s="161">
        <v>198.72000000000753</v>
      </c>
      <c r="M36" s="163">
        <v>9.467455621300979E-3</v>
      </c>
      <c r="N36" s="164">
        <v>66068309</v>
      </c>
      <c r="O36" s="164">
        <v>0</v>
      </c>
      <c r="P36" s="100"/>
      <c r="Q36" s="101"/>
      <c r="R36" s="20">
        <f t="shared" si="0"/>
        <v>1</v>
      </c>
      <c r="S36" s="20">
        <f t="shared" si="1"/>
        <v>0</v>
      </c>
      <c r="T36" s="65"/>
    </row>
    <row r="37" spans="1:20" ht="15.75" thickBot="1" x14ac:dyDescent="0.3">
      <c r="A37" s="54">
        <v>44231</v>
      </c>
      <c r="D37" s="157">
        <v>0.14199999999999999</v>
      </c>
      <c r="E37" s="158">
        <v>6974.4859999999999</v>
      </c>
      <c r="F37" s="159">
        <v>329.98700000000002</v>
      </c>
      <c r="G37" s="160">
        <v>185.077</v>
      </c>
      <c r="H37" s="161"/>
      <c r="I37" s="161">
        <v>20356.379999997771</v>
      </c>
      <c r="J37" s="161">
        <v>654.12000000006401</v>
      </c>
      <c r="K37" s="162">
        <v>3.2133414683756918E-2</v>
      </c>
      <c r="L37" s="161">
        <v>455.39999999993881</v>
      </c>
      <c r="M37" s="163">
        <v>2.2371364653243291E-2</v>
      </c>
      <c r="N37" s="164">
        <v>66068309</v>
      </c>
      <c r="O37" s="164">
        <v>0</v>
      </c>
      <c r="P37" s="102"/>
      <c r="Q37" s="103"/>
      <c r="R37" s="20">
        <f t="shared" si="0"/>
        <v>1</v>
      </c>
      <c r="S37" s="20">
        <f t="shared" si="1"/>
        <v>0</v>
      </c>
      <c r="T37" s="65"/>
    </row>
    <row r="38" spans="1:20" ht="15.75" thickBot="1" x14ac:dyDescent="0.3">
      <c r="A38" s="54">
        <v>44232</v>
      </c>
      <c r="D38" s="157">
        <v>0.14199999999999999</v>
      </c>
      <c r="E38" s="158">
        <v>6979.4279999999999</v>
      </c>
      <c r="F38" s="159">
        <v>330.24400000000003</v>
      </c>
      <c r="G38" s="160">
        <v>185.119</v>
      </c>
      <c r="H38" s="161"/>
      <c r="I38" s="161">
        <v>20459.88000000003</v>
      </c>
      <c r="J38" s="161">
        <v>1063.9800000000207</v>
      </c>
      <c r="K38" s="162">
        <v>5.2003237555646425E-2</v>
      </c>
      <c r="L38" s="161">
        <v>173.88000000000659</v>
      </c>
      <c r="M38" s="163">
        <v>8.4985835694054088E-3</v>
      </c>
      <c r="N38" s="164">
        <v>66068309</v>
      </c>
      <c r="O38" s="164">
        <v>0</v>
      </c>
      <c r="P38" s="102"/>
      <c r="Q38" s="101"/>
      <c r="R38" s="20">
        <f t="shared" si="0"/>
        <v>1</v>
      </c>
      <c r="S38" s="20">
        <f t="shared" si="1"/>
        <v>0</v>
      </c>
    </row>
    <row r="39" spans="1:20" ht="15.75" thickBot="1" x14ac:dyDescent="0.3">
      <c r="A39" s="54">
        <v>44233</v>
      </c>
      <c r="D39" s="157">
        <v>0.14199999999999999</v>
      </c>
      <c r="E39" s="158">
        <v>6983.8919999999998</v>
      </c>
      <c r="F39" s="159">
        <v>330.495</v>
      </c>
      <c r="G39" s="160">
        <v>185.148</v>
      </c>
      <c r="H39" s="161"/>
      <c r="I39" s="161">
        <v>18480.959999999759</v>
      </c>
      <c r="J39" s="161">
        <v>1039.1399999999021</v>
      </c>
      <c r="K39" s="162">
        <v>5.6227598566303681E-2</v>
      </c>
      <c r="L39" s="161">
        <v>120.05999999998494</v>
      </c>
      <c r="M39" s="163">
        <v>6.4964157706085884E-3</v>
      </c>
      <c r="N39" s="164">
        <v>66068309</v>
      </c>
      <c r="O39" s="164">
        <v>0</v>
      </c>
      <c r="P39" s="62"/>
      <c r="Q39" s="104"/>
      <c r="R39" s="20">
        <f t="shared" si="0"/>
        <v>1</v>
      </c>
      <c r="S39" s="20">
        <f t="shared" si="1"/>
        <v>0</v>
      </c>
    </row>
    <row r="40" spans="1:20" ht="15.75" thickBot="1" x14ac:dyDescent="0.3">
      <c r="A40" s="54">
        <v>44234</v>
      </c>
      <c r="D40" s="157">
        <v>0.14199999999999999</v>
      </c>
      <c r="E40" s="158">
        <v>6988.6379999999999</v>
      </c>
      <c r="F40" s="159">
        <v>330.70699999999999</v>
      </c>
      <c r="G40" s="160">
        <v>185.19200000000001</v>
      </c>
      <c r="H40" s="161"/>
      <c r="I40" s="161">
        <v>19648.440000000392</v>
      </c>
      <c r="J40" s="161">
        <v>877.67999999995482</v>
      </c>
      <c r="K40" s="162">
        <v>4.46691951116698E-2</v>
      </c>
      <c r="L40" s="161">
        <v>182.16000000004613</v>
      </c>
      <c r="M40" s="163">
        <v>9.2709650231795754E-3</v>
      </c>
      <c r="N40" s="164">
        <v>66068309</v>
      </c>
      <c r="O40" s="164">
        <v>0</v>
      </c>
      <c r="P40" s="62"/>
      <c r="Q40" s="104"/>
      <c r="R40" s="20">
        <f t="shared" si="0"/>
        <v>1</v>
      </c>
      <c r="S40" s="20">
        <f t="shared" si="1"/>
        <v>0</v>
      </c>
    </row>
    <row r="41" spans="1:20" ht="15.75" thickBot="1" x14ac:dyDescent="0.3">
      <c r="A41" s="54">
        <v>44235</v>
      </c>
      <c r="D41" s="157">
        <v>0.14199999999999999</v>
      </c>
      <c r="E41" s="158">
        <v>6993.3379999999997</v>
      </c>
      <c r="F41" s="159">
        <v>330.85199999999998</v>
      </c>
      <c r="G41" s="160">
        <v>185.26300000000001</v>
      </c>
      <c r="H41" s="161"/>
      <c r="I41" s="161">
        <v>19457.999999999247</v>
      </c>
      <c r="J41" s="161">
        <v>600.29999999992469</v>
      </c>
      <c r="K41" s="162">
        <v>3.0851063829784559E-2</v>
      </c>
      <c r="L41" s="161">
        <v>293.93999999999153</v>
      </c>
      <c r="M41" s="163">
        <v>1.5106382978723553E-2</v>
      </c>
      <c r="N41" s="164">
        <v>66068309</v>
      </c>
      <c r="O41" s="164">
        <v>0</v>
      </c>
      <c r="P41" s="62"/>
      <c r="Q41" s="104"/>
      <c r="R41" s="20">
        <f t="shared" si="0"/>
        <v>1</v>
      </c>
      <c r="S41" s="20">
        <f t="shared" si="1"/>
        <v>0</v>
      </c>
      <c r="T41" s="65"/>
    </row>
    <row r="42" spans="1:20" ht="15.75" thickBot="1" x14ac:dyDescent="0.3">
      <c r="A42" s="54">
        <v>44236</v>
      </c>
      <c r="D42" s="157">
        <v>0.14199999999999999</v>
      </c>
      <c r="E42" s="158">
        <v>6998.2250000000004</v>
      </c>
      <c r="F42" s="159">
        <v>331.012</v>
      </c>
      <c r="G42" s="160">
        <v>185.31800000000001</v>
      </c>
      <c r="H42" s="161"/>
      <c r="I42" s="161">
        <v>20232.180000002591</v>
      </c>
      <c r="J42" s="161">
        <v>662.40000000010355</v>
      </c>
      <c r="K42" s="162">
        <v>3.2739922242685598E-2</v>
      </c>
      <c r="L42" s="161">
        <v>227.70000000002824</v>
      </c>
      <c r="M42" s="163">
        <v>1.1254348270922811E-2</v>
      </c>
      <c r="N42" s="164">
        <v>66068309</v>
      </c>
      <c r="O42" s="164">
        <v>0</v>
      </c>
      <c r="P42" s="62"/>
      <c r="Q42" s="104"/>
      <c r="R42" s="20">
        <f t="shared" si="0"/>
        <v>1</v>
      </c>
      <c r="S42" s="20">
        <f t="shared" si="1"/>
        <v>0</v>
      </c>
      <c r="T42" s="65"/>
    </row>
    <row r="43" spans="1:20" ht="15.75" thickBot="1" x14ac:dyDescent="0.3">
      <c r="A43" s="54">
        <v>44237</v>
      </c>
      <c r="D43" s="157">
        <v>0.14199999999999999</v>
      </c>
      <c r="E43" s="158">
        <v>7002.27</v>
      </c>
      <c r="F43" s="159">
        <v>331.10599999999999</v>
      </c>
      <c r="G43" s="160">
        <v>185.46299999999999</v>
      </c>
      <c r="H43" s="161"/>
      <c r="I43" s="161">
        <v>16746.300000000301</v>
      </c>
      <c r="J43" s="161">
        <v>389.15999999997553</v>
      </c>
      <c r="K43" s="162">
        <v>2.3238566131024079E-2</v>
      </c>
      <c r="L43" s="161">
        <v>600.29999999992469</v>
      </c>
      <c r="M43" s="163">
        <v>3.5846724351045536E-2</v>
      </c>
      <c r="N43" s="164">
        <v>66068309</v>
      </c>
      <c r="O43" s="164">
        <v>0</v>
      </c>
      <c r="P43" s="62"/>
      <c r="Q43" s="104"/>
      <c r="R43" s="20">
        <f t="shared" si="0"/>
        <v>1</v>
      </c>
      <c r="S43" s="20">
        <f t="shared" si="1"/>
        <v>0</v>
      </c>
    </row>
    <row r="44" spans="1:20" ht="15.75" thickBot="1" x14ac:dyDescent="0.3">
      <c r="A44" s="54">
        <v>44238</v>
      </c>
      <c r="D44" s="157">
        <v>0.14199999999999999</v>
      </c>
      <c r="E44" s="158">
        <v>7007.9560000000001</v>
      </c>
      <c r="F44" s="159">
        <v>331.31900000000002</v>
      </c>
      <c r="G44" s="160">
        <v>185.536</v>
      </c>
      <c r="H44" s="161"/>
      <c r="I44" s="161">
        <v>23540.039999998735</v>
      </c>
      <c r="J44" s="161">
        <v>881.82000000009225</v>
      </c>
      <c r="K44" s="162">
        <v>3.7460429124170545E-2</v>
      </c>
      <c r="L44" s="161">
        <v>302.22000000003106</v>
      </c>
      <c r="M44" s="163">
        <v>1.2838550826593638E-2</v>
      </c>
      <c r="N44" s="164">
        <v>66068309</v>
      </c>
      <c r="O44" s="164">
        <v>0</v>
      </c>
      <c r="P44" s="62"/>
      <c r="Q44" s="104"/>
      <c r="R44" s="20">
        <f t="shared" si="0"/>
        <v>1</v>
      </c>
      <c r="S44" s="20">
        <f t="shared" si="1"/>
        <v>0</v>
      </c>
    </row>
    <row r="45" spans="1:20" ht="15.75" thickBot="1" x14ac:dyDescent="0.3">
      <c r="A45" s="54">
        <v>44239</v>
      </c>
      <c r="D45" s="157">
        <v>0.14199999999999999</v>
      </c>
      <c r="E45" s="158">
        <v>7013.1559999999999</v>
      </c>
      <c r="F45" s="159">
        <v>331.47899999999998</v>
      </c>
      <c r="G45" s="160">
        <v>185.636</v>
      </c>
      <c r="H45" s="161"/>
      <c r="I45" s="161">
        <v>21527.999999999247</v>
      </c>
      <c r="J45" s="161">
        <v>662.39999999986821</v>
      </c>
      <c r="K45" s="162">
        <v>3.0769230769225723E-2</v>
      </c>
      <c r="L45" s="161">
        <v>413.99999999997647</v>
      </c>
      <c r="M45" s="163">
        <v>1.9230769230768812E-2</v>
      </c>
      <c r="N45" s="164">
        <v>66068309</v>
      </c>
      <c r="O45" s="164">
        <v>0</v>
      </c>
      <c r="P45" s="62"/>
      <c r="Q45" s="104"/>
      <c r="R45" s="20">
        <f t="shared" si="0"/>
        <v>1</v>
      </c>
      <c r="S45" s="20">
        <f t="shared" si="1"/>
        <v>0</v>
      </c>
    </row>
    <row r="46" spans="1:20" ht="15.75" thickBot="1" x14ac:dyDescent="0.3">
      <c r="A46" s="54">
        <v>44240</v>
      </c>
      <c r="D46" s="157">
        <v>0.14199999999999999</v>
      </c>
      <c r="E46" s="158">
        <v>7018.23</v>
      </c>
      <c r="F46" s="159">
        <v>331.69</v>
      </c>
      <c r="G46" s="160">
        <v>185.68700000000001</v>
      </c>
      <c r="H46" s="161"/>
      <c r="I46" s="161">
        <v>21006.359999998404</v>
      </c>
      <c r="J46" s="161">
        <v>873.54000000005271</v>
      </c>
      <c r="K46" s="162">
        <v>4.1584548679548437E-2</v>
      </c>
      <c r="L46" s="161">
        <v>211.14000000006683</v>
      </c>
      <c r="M46" s="163">
        <v>1.0051241623969259E-2</v>
      </c>
      <c r="N46" s="164">
        <v>66068309</v>
      </c>
      <c r="O46" s="164">
        <v>0</v>
      </c>
      <c r="P46" s="62"/>
      <c r="Q46" s="104"/>
      <c r="R46" s="20">
        <f t="shared" si="0"/>
        <v>1</v>
      </c>
      <c r="S46" s="20">
        <f t="shared" si="1"/>
        <v>0</v>
      </c>
      <c r="T46" s="65"/>
    </row>
    <row r="47" spans="1:20" ht="15.75" thickBot="1" x14ac:dyDescent="0.3">
      <c r="A47" s="54">
        <v>44241</v>
      </c>
      <c r="D47" s="157">
        <v>0.14199999999999999</v>
      </c>
      <c r="E47" s="158">
        <v>7023.33</v>
      </c>
      <c r="F47" s="159">
        <v>331.86</v>
      </c>
      <c r="G47" s="160">
        <v>185.76</v>
      </c>
      <c r="H47" s="161"/>
      <c r="I47" s="161">
        <v>21114.000000001506</v>
      </c>
      <c r="J47" s="161">
        <v>703.80000000006589</v>
      </c>
      <c r="K47" s="162">
        <v>3.3333333333334075E-2</v>
      </c>
      <c r="L47" s="161">
        <v>302.2199999999134</v>
      </c>
      <c r="M47" s="163">
        <v>1.4313725490190955E-2</v>
      </c>
      <c r="N47" s="164">
        <v>66068309</v>
      </c>
      <c r="O47" s="164">
        <v>0</v>
      </c>
      <c r="P47" s="62"/>
      <c r="Q47" s="104"/>
      <c r="R47" s="20">
        <f t="shared" si="0"/>
        <v>1</v>
      </c>
      <c r="S47" s="20">
        <f t="shared" si="1"/>
        <v>0</v>
      </c>
      <c r="T47" s="65"/>
    </row>
    <row r="48" spans="1:20" ht="15.75" thickBot="1" x14ac:dyDescent="0.3">
      <c r="A48" s="54">
        <v>44242</v>
      </c>
      <c r="D48" s="157">
        <v>0.14199999999999999</v>
      </c>
      <c r="E48" s="158">
        <v>7028.53</v>
      </c>
      <c r="F48" s="159">
        <v>332.041</v>
      </c>
      <c r="G48" s="160">
        <v>185.84</v>
      </c>
      <c r="H48" s="161"/>
      <c r="I48" s="161">
        <v>21527.999999999247</v>
      </c>
      <c r="J48" s="161">
        <v>749.33999999993034</v>
      </c>
      <c r="K48" s="162">
        <v>3.4807692307690291E-2</v>
      </c>
      <c r="L48" s="161">
        <v>331.20000000005177</v>
      </c>
      <c r="M48" s="163">
        <v>1.5384615384618328E-2</v>
      </c>
      <c r="N48" s="164">
        <v>66068309</v>
      </c>
      <c r="O48" s="164">
        <v>0</v>
      </c>
      <c r="P48" s="67"/>
      <c r="Q48" s="105"/>
      <c r="R48" s="20">
        <f t="shared" si="0"/>
        <v>1</v>
      </c>
      <c r="S48" s="20">
        <f>IF(N48="",1,0)</f>
        <v>0</v>
      </c>
    </row>
    <row r="49" spans="1:20" ht="15.75" thickBot="1" x14ac:dyDescent="0.3">
      <c r="A49" s="54">
        <v>44243</v>
      </c>
      <c r="D49" s="157">
        <v>0.14199999999999999</v>
      </c>
      <c r="E49" s="158">
        <v>7033.6080000000002</v>
      </c>
      <c r="F49" s="159">
        <v>332.22</v>
      </c>
      <c r="G49" s="160">
        <v>185.916</v>
      </c>
      <c r="H49" s="161"/>
      <c r="I49" s="161">
        <v>21022.920000001777</v>
      </c>
      <c r="J49" s="161">
        <v>741.06000000012614</v>
      </c>
      <c r="K49" s="162">
        <v>3.5250098463965207E-2</v>
      </c>
      <c r="L49" s="161">
        <v>314.6399999999727</v>
      </c>
      <c r="M49" s="163">
        <v>1.4966522252852891E-2</v>
      </c>
      <c r="N49" s="164">
        <v>66068309</v>
      </c>
      <c r="O49" s="164">
        <v>0</v>
      </c>
      <c r="P49" s="202" t="s">
        <v>57</v>
      </c>
      <c r="Q49" s="203"/>
      <c r="R49" s="20">
        <f t="shared" si="0"/>
        <v>1</v>
      </c>
      <c r="S49" s="20">
        <f t="shared" si="1"/>
        <v>0</v>
      </c>
    </row>
    <row r="50" spans="1:20" ht="15.75" thickBot="1" x14ac:dyDescent="0.3">
      <c r="A50" s="54">
        <v>44244</v>
      </c>
      <c r="D50" s="157">
        <v>0.14199999999999999</v>
      </c>
      <c r="E50" s="158">
        <v>7038.723</v>
      </c>
      <c r="F50" s="159">
        <v>332.43</v>
      </c>
      <c r="G50" s="160">
        <v>185.96799999999999</v>
      </c>
      <c r="H50" s="161"/>
      <c r="I50" s="161">
        <v>21176.099999999096</v>
      </c>
      <c r="J50" s="161">
        <v>869.39999999991528</v>
      </c>
      <c r="K50" s="162">
        <v>4.1055718475071064E-2</v>
      </c>
      <c r="L50" s="161">
        <v>215.27999999996894</v>
      </c>
      <c r="M50" s="163">
        <v>1.0166177908112358E-2</v>
      </c>
      <c r="N50" s="164">
        <v>66068309</v>
      </c>
      <c r="O50" s="164">
        <v>0</v>
      </c>
      <c r="P50" s="204"/>
      <c r="Q50" s="205"/>
      <c r="R50" s="20">
        <f t="shared" si="0"/>
        <v>1</v>
      </c>
      <c r="S50" s="20">
        <f t="shared" si="1"/>
        <v>0</v>
      </c>
    </row>
    <row r="51" spans="1:20" ht="15.75" thickBot="1" x14ac:dyDescent="0.3">
      <c r="A51" s="54">
        <v>44245</v>
      </c>
      <c r="D51" s="157">
        <v>0.14199999999999999</v>
      </c>
      <c r="E51" s="158">
        <v>7043.9219999999996</v>
      </c>
      <c r="F51" s="159">
        <v>332.60399999999998</v>
      </c>
      <c r="G51" s="160">
        <v>186.03100000000001</v>
      </c>
      <c r="H51" s="161"/>
      <c r="I51" s="161">
        <v>21523.859999998404</v>
      </c>
      <c r="J51" s="161">
        <v>720.35999999990963</v>
      </c>
      <c r="K51" s="162">
        <v>3.3467974610500301E-2</v>
      </c>
      <c r="L51" s="161">
        <v>260.82000000006872</v>
      </c>
      <c r="M51" s="163">
        <v>1.2117714945185857E-2</v>
      </c>
      <c r="N51" s="164">
        <v>66068309</v>
      </c>
      <c r="O51" s="164">
        <v>0</v>
      </c>
      <c r="P51" s="69" t="s">
        <v>46</v>
      </c>
      <c r="Q51" s="69" t="s">
        <v>47</v>
      </c>
      <c r="R51" s="20">
        <f t="shared" si="0"/>
        <v>1</v>
      </c>
      <c r="S51" s="20">
        <f t="shared" si="1"/>
        <v>0</v>
      </c>
      <c r="T51" s="65"/>
    </row>
    <row r="52" spans="1:20" ht="15.75" thickBot="1" x14ac:dyDescent="0.3">
      <c r="A52" s="54">
        <v>44246</v>
      </c>
      <c r="D52" s="157">
        <v>0.14199999999999999</v>
      </c>
      <c r="E52" s="158">
        <v>7049.3530000000001</v>
      </c>
      <c r="F52" s="159">
        <v>332.73200000000003</v>
      </c>
      <c r="G52" s="160">
        <v>186.15700000000001</v>
      </c>
      <c r="H52" s="161"/>
      <c r="I52" s="161">
        <v>22484.340000002048</v>
      </c>
      <c r="J52" s="161">
        <v>529.92000000017697</v>
      </c>
      <c r="K52" s="162">
        <v>2.3568403608917526E-2</v>
      </c>
      <c r="L52" s="161">
        <v>521.64000000001977</v>
      </c>
      <c r="M52" s="163">
        <v>2.3200147302521321E-2</v>
      </c>
      <c r="N52" s="164">
        <v>66068309</v>
      </c>
      <c r="O52" s="164">
        <v>0</v>
      </c>
      <c r="P52" s="70">
        <f>IF(J34="",0,+SUM(J34:J61)/SUM(I34:I61))</f>
        <v>3.8431624389025552E-2</v>
      </c>
      <c r="Q52" s="70">
        <f>IF(L34="",0,+SUM(L34:L61)/SUM(I34:I61))</f>
        <v>1.3100717114417343E-2</v>
      </c>
      <c r="R52" s="20">
        <f t="shared" si="0"/>
        <v>1</v>
      </c>
      <c r="S52" s="20">
        <f t="shared" si="1"/>
        <v>0</v>
      </c>
      <c r="T52" s="65"/>
    </row>
    <row r="53" spans="1:20" ht="15.75" thickBot="1" x14ac:dyDescent="0.3">
      <c r="A53" s="54">
        <v>44247</v>
      </c>
      <c r="D53" s="157">
        <v>0.14199999999999999</v>
      </c>
      <c r="E53" s="158">
        <v>7054.1390000000001</v>
      </c>
      <c r="F53" s="159">
        <v>332.90699999999998</v>
      </c>
      <c r="G53" s="160">
        <v>186.21100000000001</v>
      </c>
      <c r="H53" s="161"/>
      <c r="I53" s="161">
        <v>19814.040000000241</v>
      </c>
      <c r="J53" s="161">
        <v>724.49999999981173</v>
      </c>
      <c r="K53" s="162">
        <v>3.6564981195142579E-2</v>
      </c>
      <c r="L53" s="161">
        <v>223.56000000000847</v>
      </c>
      <c r="M53" s="163">
        <v>1.1282908483075928E-2</v>
      </c>
      <c r="N53" s="164">
        <v>66068309</v>
      </c>
      <c r="O53" s="164">
        <v>0</v>
      </c>
      <c r="P53" s="71" t="e">
        <f>IF(J34="",0,+(+(LOOKUP(9.99999999999999E+307,E34:E61)-E33))/(+(LOOKUP(9.99999999999999E+307,D34:D61)-D33)))</f>
        <v>#DIV/0!</v>
      </c>
      <c r="Q53" s="71" t="e">
        <f>IF(L34="",0,+(+(LOOKUP(9.99999999999999E+307,F34:F61)-F33))/(+(LOOKUP(9.99999999999999E+307,D34:D61)-D33)))</f>
        <v>#DIV/0!</v>
      </c>
      <c r="R53" s="20">
        <f t="shared" si="0"/>
        <v>1</v>
      </c>
      <c r="S53" s="20">
        <f t="shared" si="1"/>
        <v>0</v>
      </c>
    </row>
    <row r="54" spans="1:20" ht="15.75" thickBot="1" x14ac:dyDescent="0.3">
      <c r="A54" s="54">
        <v>44248</v>
      </c>
      <c r="D54" s="157">
        <v>0.14199999999999999</v>
      </c>
      <c r="E54" s="158">
        <v>7058.82</v>
      </c>
      <c r="F54" s="159">
        <v>333.08199999999999</v>
      </c>
      <c r="G54" s="160">
        <v>186.25</v>
      </c>
      <c r="H54" s="161"/>
      <c r="I54" s="161">
        <v>19379.339999998283</v>
      </c>
      <c r="J54" s="161">
        <v>724.50000000004707</v>
      </c>
      <c r="K54" s="162">
        <v>3.7385174108102298E-2</v>
      </c>
      <c r="L54" s="161">
        <v>161.45999999994729</v>
      </c>
      <c r="M54" s="163">
        <v>8.3315530869452516E-3</v>
      </c>
      <c r="N54" s="164">
        <v>66068309</v>
      </c>
      <c r="O54" s="164">
        <v>0</v>
      </c>
      <c r="P54" s="72" t="s">
        <v>48</v>
      </c>
      <c r="Q54" s="73" t="s">
        <v>49</v>
      </c>
      <c r="R54" s="20">
        <f t="shared" si="0"/>
        <v>1</v>
      </c>
      <c r="S54" s="20">
        <f t="shared" si="1"/>
        <v>0</v>
      </c>
    </row>
    <row r="55" spans="1:20" ht="15.75" thickBot="1" x14ac:dyDescent="0.3">
      <c r="A55" s="54">
        <v>44249</v>
      </c>
      <c r="D55" s="157">
        <v>0.14199999999999999</v>
      </c>
      <c r="E55" s="158">
        <v>7063.9589999999998</v>
      </c>
      <c r="F55" s="159">
        <v>333.26100000000002</v>
      </c>
      <c r="G55" s="160">
        <v>186.30600000000001</v>
      </c>
      <c r="H55" s="161"/>
      <c r="I55" s="161">
        <v>21275.460000000512</v>
      </c>
      <c r="J55" s="161">
        <v>741.06000000012614</v>
      </c>
      <c r="K55" s="162">
        <v>3.483167931504693E-2</v>
      </c>
      <c r="L55" s="161">
        <v>231.84000000004801</v>
      </c>
      <c r="M55" s="163">
        <v>1.0897061685154748E-2</v>
      </c>
      <c r="N55" s="164">
        <v>66068309</v>
      </c>
      <c r="O55" s="164">
        <v>0</v>
      </c>
      <c r="P55" s="74">
        <f>IF(N33="",0,+(LOOKUP(9.99999999999999E+307,N33:N61)-N33))</f>
        <v>0</v>
      </c>
      <c r="Q55" s="75">
        <f>IF(P55="",0,+P55/SUM(R34:R61))</f>
        <v>0</v>
      </c>
      <c r="R55" s="20">
        <f t="shared" si="0"/>
        <v>1</v>
      </c>
      <c r="S55" s="20">
        <f t="shared" si="1"/>
        <v>0</v>
      </c>
      <c r="T55" s="65"/>
    </row>
    <row r="56" spans="1:20" ht="15.75" thickBot="1" x14ac:dyDescent="0.3">
      <c r="A56" s="54">
        <v>44250</v>
      </c>
      <c r="D56" s="157">
        <v>0.14199999999999999</v>
      </c>
      <c r="E56" s="158">
        <v>7069.058</v>
      </c>
      <c r="F56" s="159">
        <v>333.45699999999999</v>
      </c>
      <c r="G56" s="160">
        <v>186.36600000000001</v>
      </c>
      <c r="H56" s="161"/>
      <c r="I56" s="161">
        <v>21109.860000000663</v>
      </c>
      <c r="J56" s="161">
        <v>811.43999999987386</v>
      </c>
      <c r="K56" s="162">
        <v>3.8438909590108525E-2</v>
      </c>
      <c r="L56" s="161">
        <v>248.40000000000941</v>
      </c>
      <c r="M56" s="163">
        <v>1.1767013139831415E-2</v>
      </c>
      <c r="N56" s="164">
        <v>66068309</v>
      </c>
      <c r="O56" s="164">
        <v>0</v>
      </c>
      <c r="P56" s="76" t="s">
        <v>50</v>
      </c>
      <c r="Q56" s="77" t="s">
        <v>58</v>
      </c>
      <c r="R56" s="20">
        <f t="shared" si="0"/>
        <v>1</v>
      </c>
      <c r="S56" s="20">
        <f t="shared" si="1"/>
        <v>0</v>
      </c>
      <c r="T56" s="65"/>
    </row>
    <row r="57" spans="1:20" ht="15.75" thickBot="1" x14ac:dyDescent="0.3">
      <c r="A57" s="54">
        <v>44251</v>
      </c>
      <c r="D57" s="157">
        <v>0.14199999999999999</v>
      </c>
      <c r="E57" s="158">
        <v>7074.5020000000004</v>
      </c>
      <c r="F57" s="159">
        <v>333.69299999999998</v>
      </c>
      <c r="G57" s="160">
        <v>186.435</v>
      </c>
      <c r="H57" s="161"/>
      <c r="I57" s="161">
        <v>22538.160000001717</v>
      </c>
      <c r="J57" s="161">
        <v>977.03999999995858</v>
      </c>
      <c r="K57" s="162">
        <v>4.3350477590002205E-2</v>
      </c>
      <c r="L57" s="161">
        <v>285.65999999995199</v>
      </c>
      <c r="M57" s="163">
        <v>1.267450404114312E-2</v>
      </c>
      <c r="N57" s="164">
        <v>66068309</v>
      </c>
      <c r="O57" s="164">
        <v>0</v>
      </c>
      <c r="P57" s="78">
        <f>IF(D33="",0,+(LOOKUP(9.99999999999999E+307,D33:D62)-D33))*4140</f>
        <v>0</v>
      </c>
      <c r="Q57" s="79">
        <f>IF(P57="",0,+P57/SUM(R34:R62))</f>
        <v>0</v>
      </c>
      <c r="R57" s="20">
        <f t="shared" si="0"/>
        <v>1</v>
      </c>
      <c r="S57" s="20">
        <f t="shared" si="1"/>
        <v>0</v>
      </c>
      <c r="T57" s="65"/>
    </row>
    <row r="58" spans="1:20" ht="15.75" thickBot="1" x14ac:dyDescent="0.3">
      <c r="A58" s="54">
        <v>44252</v>
      </c>
      <c r="D58" s="157">
        <v>0.14199999999999999</v>
      </c>
      <c r="E58" s="158">
        <v>7079.22</v>
      </c>
      <c r="F58" s="159">
        <v>333.82900000000001</v>
      </c>
      <c r="G58" s="160">
        <v>186.5</v>
      </c>
      <c r="H58" s="161"/>
      <c r="I58" s="161">
        <v>19532.519999999367</v>
      </c>
      <c r="J58" s="161">
        <v>563.04000000009978</v>
      </c>
      <c r="K58" s="162">
        <v>2.8825773632901338E-2</v>
      </c>
      <c r="L58" s="161">
        <v>269.09999999999059</v>
      </c>
      <c r="M58" s="163">
        <v>1.3777024162780803E-2</v>
      </c>
      <c r="N58" s="164">
        <v>66068309</v>
      </c>
      <c r="O58" s="164">
        <v>0</v>
      </c>
      <c r="P58" s="80" t="s">
        <v>52</v>
      </c>
      <c r="Q58" s="81" t="s">
        <v>59</v>
      </c>
      <c r="R58" s="20">
        <f t="shared" si="0"/>
        <v>1</v>
      </c>
      <c r="S58" s="20">
        <f t="shared" si="1"/>
        <v>0</v>
      </c>
      <c r="T58" s="65"/>
    </row>
    <row r="59" spans="1:20" ht="15.75" thickBot="1" x14ac:dyDescent="0.3">
      <c r="A59" s="54">
        <v>44253</v>
      </c>
      <c r="D59" s="157">
        <v>0.14199999999999999</v>
      </c>
      <c r="E59" s="158">
        <v>7084.4129999999996</v>
      </c>
      <c r="F59" s="159">
        <v>333.995</v>
      </c>
      <c r="G59" s="160">
        <v>186.56299999999999</v>
      </c>
      <c r="H59" s="161"/>
      <c r="I59" s="161">
        <v>21499.019999997108</v>
      </c>
      <c r="J59" s="161">
        <v>687.23999999998682</v>
      </c>
      <c r="K59" s="162">
        <v>3.1966108222611041E-2</v>
      </c>
      <c r="L59" s="161">
        <v>260.81999999995105</v>
      </c>
      <c r="M59" s="163">
        <v>1.2131715771229857E-2</v>
      </c>
      <c r="N59" s="164">
        <v>66068309</v>
      </c>
      <c r="O59" s="164">
        <v>0</v>
      </c>
      <c r="P59" s="82">
        <f>P57*Q63</f>
        <v>0</v>
      </c>
      <c r="Q59" s="83" t="e">
        <f>IF(Q34="",0,(SUM('[1]Günlük Tüketim'!H35:H62)*1.62)/SUM(O34:O61))</f>
        <v>#DIV/0!</v>
      </c>
      <c r="R59" s="20">
        <f t="shared" si="0"/>
        <v>1</v>
      </c>
      <c r="S59" s="20">
        <f t="shared" si="1"/>
        <v>0</v>
      </c>
    </row>
    <row r="60" spans="1:20" ht="15.75" thickBot="1" x14ac:dyDescent="0.3">
      <c r="A60" s="54">
        <v>44254</v>
      </c>
      <c r="D60" s="157">
        <v>0.14199999999999999</v>
      </c>
      <c r="E60" s="158">
        <v>7089.38</v>
      </c>
      <c r="F60" s="159">
        <v>334.23500000000001</v>
      </c>
      <c r="G60" s="160">
        <v>186.62200000000001</v>
      </c>
      <c r="H60" s="161"/>
      <c r="I60" s="161">
        <v>20563.380000002289</v>
      </c>
      <c r="J60" s="161">
        <v>993.60000000003765</v>
      </c>
      <c r="K60" s="162">
        <v>4.83189047714883E-2</v>
      </c>
      <c r="L60" s="161">
        <v>244.26000000010731</v>
      </c>
      <c r="M60" s="163">
        <v>1.1878397422995641E-2</v>
      </c>
      <c r="N60" s="164">
        <v>66068309</v>
      </c>
      <c r="O60" s="164">
        <v>0</v>
      </c>
      <c r="P60" s="85" t="s">
        <v>54</v>
      </c>
      <c r="Q60" s="86" t="s">
        <v>55</v>
      </c>
      <c r="R60" s="20">
        <f t="shared" si="0"/>
        <v>1</v>
      </c>
      <c r="S60" s="20">
        <f t="shared" si="1"/>
        <v>0</v>
      </c>
    </row>
    <row r="61" spans="1:20" ht="15.75" thickBot="1" x14ac:dyDescent="0.3">
      <c r="A61" s="54">
        <v>44255</v>
      </c>
      <c r="B61" s="106"/>
      <c r="C61" s="106"/>
      <c r="D61" s="170">
        <v>0.14199999999999999</v>
      </c>
      <c r="E61" s="170">
        <v>7094.9459999999999</v>
      </c>
      <c r="F61" s="170">
        <v>334.47199999999998</v>
      </c>
      <c r="G61" s="170">
        <v>186.69300000000001</v>
      </c>
      <c r="H61" s="171"/>
      <c r="I61" s="166">
        <v>23043.239999999187</v>
      </c>
      <c r="J61" s="166">
        <v>981.17999999986068</v>
      </c>
      <c r="K61" s="167">
        <v>4.2579949694569658E-2</v>
      </c>
      <c r="L61" s="166">
        <v>293.93999999999153</v>
      </c>
      <c r="M61" s="167">
        <v>1.2756018684872522E-2</v>
      </c>
      <c r="N61" s="168">
        <v>66068309</v>
      </c>
      <c r="O61" s="168">
        <v>0</v>
      </c>
      <c r="P61" s="94">
        <f>(P59+Q57*SUM(S34:S61)*Q63)</f>
        <v>0</v>
      </c>
      <c r="Q61" s="95">
        <f>Q57*29</f>
        <v>0</v>
      </c>
      <c r="R61" s="20">
        <f t="shared" si="0"/>
        <v>1</v>
      </c>
      <c r="S61" s="20">
        <f t="shared" si="1"/>
        <v>0</v>
      </c>
    </row>
    <row r="62" spans="1:20" ht="15.75" thickBot="1" x14ac:dyDescent="0.3">
      <c r="A62" s="54">
        <v>44256</v>
      </c>
      <c r="B62" s="106"/>
      <c r="C62" s="106"/>
      <c r="D62" s="194">
        <v>0.14199999999999999</v>
      </c>
      <c r="E62" s="56">
        <v>7100.1189999999997</v>
      </c>
      <c r="F62" s="57">
        <v>334.62799999999999</v>
      </c>
      <c r="G62" s="58">
        <v>186.77500000000001</v>
      </c>
      <c r="H62" s="59"/>
      <c r="I62" s="59">
        <f>IF(E62="","",+(E62-E61)*4140)</f>
        <v>21416.219999999066</v>
      </c>
      <c r="J62" s="59">
        <f>IF(F62="","",+(F62-F61)*4140)</f>
        <v>645.84000000002447</v>
      </c>
      <c r="K62" s="60">
        <f>IF(J62="","",+(J62/I62))</f>
        <v>3.0156582254013669E-2</v>
      </c>
      <c r="L62" s="59">
        <f>IF(G62="","",+(G62-G61)*4140)</f>
        <v>339.47999999997364</v>
      </c>
      <c r="M62" s="195">
        <f>IF(L62="","",(L62/I62))</f>
        <v>1.5851536825825865E-2</v>
      </c>
      <c r="N62" s="61">
        <v>66068309</v>
      </c>
      <c r="O62" s="61">
        <f>IF(N62="","",N62-N61)</f>
        <v>0</v>
      </c>
      <c r="P62" s="107"/>
      <c r="Q62" s="108"/>
      <c r="R62" s="20">
        <f t="shared" si="0"/>
        <v>1</v>
      </c>
      <c r="S62" s="20">
        <f t="shared" si="1"/>
        <v>0</v>
      </c>
    </row>
    <row r="63" spans="1:20" ht="15.75" thickBot="1" x14ac:dyDescent="0.3">
      <c r="A63" s="54">
        <v>44257</v>
      </c>
      <c r="D63" s="194">
        <v>0.14199999999999999</v>
      </c>
      <c r="E63" s="56">
        <v>7105.5020000000004</v>
      </c>
      <c r="F63" s="57">
        <v>334.77499999999998</v>
      </c>
      <c r="G63" s="58">
        <v>186.875</v>
      </c>
      <c r="H63" s="59"/>
      <c r="I63" s="59">
        <f>IF(E63="","",+(E63-E62)*4140)</f>
        <v>22285.620000002982</v>
      </c>
      <c r="J63" s="59">
        <f t="shared" ref="J63:J76" si="2">IF(F63="","",+(F63-F62)*4140)</f>
        <v>608.57999999996423</v>
      </c>
      <c r="K63" s="60">
        <f t="shared" ref="K63:K76" si="3">IF(J63="","",+(J63/I63))</f>
        <v>2.7308192457732063E-2</v>
      </c>
      <c r="L63" s="59">
        <f t="shared" ref="L63:L76" si="4">IF(G63="","",+(G63-G62)*4140)</f>
        <v>413.99999999997647</v>
      </c>
      <c r="M63" s="195">
        <f t="shared" ref="M63:M76" si="5">IF(L63="","",(L63/I63))</f>
        <v>1.8577001671926607E-2</v>
      </c>
      <c r="N63" s="61">
        <v>66068309</v>
      </c>
      <c r="O63" s="61">
        <f t="shared" ref="O63:O76" si="6">IF(N63="","",N63-N62)</f>
        <v>0</v>
      </c>
      <c r="P63" s="96" t="s">
        <v>56</v>
      </c>
      <c r="Q63" s="97">
        <v>0.56999999999999995</v>
      </c>
      <c r="R63" s="20">
        <f t="shared" si="0"/>
        <v>1</v>
      </c>
      <c r="S63" s="20">
        <f t="shared" si="1"/>
        <v>0</v>
      </c>
    </row>
    <row r="64" spans="1:20" ht="15.75" thickBot="1" x14ac:dyDescent="0.3">
      <c r="A64" s="54">
        <v>44258</v>
      </c>
      <c r="D64" s="194">
        <v>0.14199999999999999</v>
      </c>
      <c r="E64" s="56">
        <v>7110.9920000000002</v>
      </c>
      <c r="F64" s="57">
        <v>334.91899999999998</v>
      </c>
      <c r="G64" s="58">
        <v>187.01300000000001</v>
      </c>
      <c r="H64" s="59"/>
      <c r="I64" s="59">
        <f t="shared" ref="I64:I76" si="7">IF(E64="","",+(E64-E63)*4140)</f>
        <v>22728.599999999096</v>
      </c>
      <c r="J64" s="59">
        <f>IF(F64="","",+(F64-F63)*4140)</f>
        <v>596.16000000002259</v>
      </c>
      <c r="K64" s="60">
        <f t="shared" si="3"/>
        <v>2.6229508196723348E-2</v>
      </c>
      <c r="L64" s="59">
        <f t="shared" si="4"/>
        <v>571.32000000002165</v>
      </c>
      <c r="M64" s="195">
        <f t="shared" si="5"/>
        <v>2.5136612021859874E-2</v>
      </c>
      <c r="N64" s="61">
        <v>66068309</v>
      </c>
      <c r="O64" s="61">
        <f t="shared" si="6"/>
        <v>0</v>
      </c>
      <c r="P64" s="98"/>
      <c r="Q64" s="99"/>
      <c r="R64" s="20">
        <f t="shared" si="0"/>
        <v>1</v>
      </c>
      <c r="S64" s="20">
        <f t="shared" si="1"/>
        <v>0</v>
      </c>
    </row>
    <row r="65" spans="1:20" ht="15.75" thickBot="1" x14ac:dyDescent="0.3">
      <c r="A65" s="54">
        <v>44259</v>
      </c>
      <c r="D65" s="194">
        <v>0.14199999999999999</v>
      </c>
      <c r="E65" s="56">
        <v>7116.2340000000004</v>
      </c>
      <c r="F65" s="57">
        <v>335.1</v>
      </c>
      <c r="G65" s="58">
        <v>187.11799999999999</v>
      </c>
      <c r="H65" s="59"/>
      <c r="I65" s="59">
        <f t="shared" si="7"/>
        <v>21701.880000000783</v>
      </c>
      <c r="J65" s="59">
        <f t="shared" si="2"/>
        <v>749.34000000016567</v>
      </c>
      <c r="K65" s="60">
        <f t="shared" si="3"/>
        <v>3.4528805799319627E-2</v>
      </c>
      <c r="L65" s="59">
        <f t="shared" si="4"/>
        <v>434.69999999995764</v>
      </c>
      <c r="M65" s="195">
        <f t="shared" si="5"/>
        <v>2.0030522701256388E-2</v>
      </c>
      <c r="N65" s="61">
        <v>66068309</v>
      </c>
      <c r="O65" s="61">
        <f t="shared" si="6"/>
        <v>0</v>
      </c>
      <c r="P65" s="100"/>
      <c r="Q65" s="101"/>
      <c r="R65" s="20">
        <f t="shared" si="0"/>
        <v>1</v>
      </c>
      <c r="S65" s="20">
        <f t="shared" si="1"/>
        <v>0</v>
      </c>
      <c r="T65" s="65"/>
    </row>
    <row r="66" spans="1:20" ht="15.75" thickBot="1" x14ac:dyDescent="0.3">
      <c r="A66" s="54">
        <v>44260</v>
      </c>
      <c r="D66" s="194">
        <v>0.14199999999999999</v>
      </c>
      <c r="E66" s="56">
        <v>7121.2809999999999</v>
      </c>
      <c r="F66" s="57">
        <v>335.3</v>
      </c>
      <c r="G66" s="58">
        <v>187.22499999999999</v>
      </c>
      <c r="H66" s="59"/>
      <c r="I66" s="59">
        <f t="shared" si="7"/>
        <v>20894.579999998223</v>
      </c>
      <c r="J66" s="59">
        <f t="shared" si="2"/>
        <v>827.99999999995293</v>
      </c>
      <c r="K66" s="60">
        <f t="shared" si="3"/>
        <v>3.9627501486032425E-2</v>
      </c>
      <c r="L66" s="59">
        <f t="shared" si="4"/>
        <v>442.97999999999718</v>
      </c>
      <c r="M66" s="195">
        <f>IF(L66="","",(L66/I66))</f>
        <v>2.1200713295028418E-2</v>
      </c>
      <c r="N66" s="61">
        <v>66068309</v>
      </c>
      <c r="O66" s="61">
        <f t="shared" si="6"/>
        <v>0</v>
      </c>
      <c r="P66" s="102"/>
      <c r="Q66" s="103"/>
      <c r="R66" s="20">
        <f t="shared" si="0"/>
        <v>1</v>
      </c>
      <c r="S66" s="20">
        <f t="shared" si="1"/>
        <v>0</v>
      </c>
      <c r="T66" s="65"/>
    </row>
    <row r="67" spans="1:20" ht="15.75" thickBot="1" x14ac:dyDescent="0.3">
      <c r="A67" s="54">
        <v>44261</v>
      </c>
      <c r="D67" s="194">
        <v>0.14199999999999999</v>
      </c>
      <c r="E67" s="56">
        <v>7126.3149999999996</v>
      </c>
      <c r="F67" s="57">
        <v>335.49299999999999</v>
      </c>
      <c r="G67" s="58">
        <v>187.32300000000001</v>
      </c>
      <c r="H67" s="59"/>
      <c r="I67" s="59">
        <f t="shared" si="7"/>
        <v>20840.759999998554</v>
      </c>
      <c r="J67" s="59">
        <f t="shared" si="2"/>
        <v>799.01999999993222</v>
      </c>
      <c r="K67" s="60">
        <f t="shared" si="3"/>
        <v>3.8339292808898889E-2</v>
      </c>
      <c r="L67" s="59">
        <f t="shared" si="4"/>
        <v>405.7200000000546</v>
      </c>
      <c r="M67" s="195">
        <f t="shared" si="5"/>
        <v>1.9467620182761221E-2</v>
      </c>
      <c r="N67" s="61">
        <v>66068309</v>
      </c>
      <c r="O67" s="61">
        <f t="shared" si="6"/>
        <v>0</v>
      </c>
      <c r="P67" s="102"/>
      <c r="Q67" s="101"/>
      <c r="R67" s="20">
        <f t="shared" si="0"/>
        <v>1</v>
      </c>
      <c r="S67" s="20">
        <f t="shared" si="1"/>
        <v>0</v>
      </c>
    </row>
    <row r="68" spans="1:20" ht="15.75" thickBot="1" x14ac:dyDescent="0.3">
      <c r="A68" s="54">
        <v>44262</v>
      </c>
      <c r="D68" s="194">
        <v>0.14199999999999999</v>
      </c>
      <c r="E68" s="56">
        <v>7131.5780000000004</v>
      </c>
      <c r="F68" s="57">
        <v>335.63499999999999</v>
      </c>
      <c r="G68" s="58">
        <v>187.411</v>
      </c>
      <c r="H68" s="59"/>
      <c r="I68" s="59">
        <f t="shared" si="7"/>
        <v>21788.820000003434</v>
      </c>
      <c r="J68" s="59">
        <f t="shared" si="2"/>
        <v>587.87999999998306</v>
      </c>
      <c r="K68" s="60">
        <f t="shared" si="3"/>
        <v>2.6980809424277698E-2</v>
      </c>
      <c r="L68" s="59">
        <f t="shared" si="4"/>
        <v>364.31999999997458</v>
      </c>
      <c r="M68" s="195">
        <f t="shared" si="5"/>
        <v>1.6720501615044649E-2</v>
      </c>
      <c r="N68" s="61">
        <v>66068309</v>
      </c>
      <c r="O68" s="61">
        <f t="shared" si="6"/>
        <v>0</v>
      </c>
      <c r="P68" s="109"/>
      <c r="Q68" s="64"/>
      <c r="R68" s="20">
        <f t="shared" si="0"/>
        <v>1</v>
      </c>
      <c r="S68" s="20">
        <f t="shared" si="1"/>
        <v>0</v>
      </c>
    </row>
    <row r="69" spans="1:20" ht="15.75" thickBot="1" x14ac:dyDescent="0.3">
      <c r="A69" s="54">
        <v>44263</v>
      </c>
      <c r="D69" s="194">
        <v>0.14199999999999999</v>
      </c>
      <c r="E69" s="56">
        <v>7136.9129999999996</v>
      </c>
      <c r="F69" s="57">
        <v>335.916</v>
      </c>
      <c r="G69" s="58">
        <v>187.49199999999999</v>
      </c>
      <c r="H69" s="59"/>
      <c r="I69" s="59">
        <f t="shared" si="7"/>
        <v>22086.899999996385</v>
      </c>
      <c r="J69" s="59">
        <f t="shared" si="2"/>
        <v>1163.3400000000245</v>
      </c>
      <c r="K69" s="60">
        <f t="shared" si="3"/>
        <v>5.2671040299916004E-2</v>
      </c>
      <c r="L69" s="59">
        <f t="shared" si="4"/>
        <v>335.33999999995387</v>
      </c>
      <c r="M69" s="195">
        <f t="shared" si="5"/>
        <v>1.5182755388941352E-2</v>
      </c>
      <c r="N69" s="61">
        <v>66068309</v>
      </c>
      <c r="O69" s="61">
        <f>IF(N69="","",N69-N68)</f>
        <v>0</v>
      </c>
      <c r="P69" s="62"/>
      <c r="Q69" s="110"/>
      <c r="R69" s="20">
        <f t="shared" si="0"/>
        <v>1</v>
      </c>
      <c r="S69" s="20">
        <f t="shared" si="1"/>
        <v>0</v>
      </c>
    </row>
    <row r="70" spans="1:20" ht="15.75" thickBot="1" x14ac:dyDescent="0.3">
      <c r="A70" s="54">
        <v>44264</v>
      </c>
      <c r="D70" s="194">
        <v>0.14199999999999999</v>
      </c>
      <c r="E70" s="56">
        <v>7142.2449999999999</v>
      </c>
      <c r="F70" s="57">
        <v>336.14299999999997</v>
      </c>
      <c r="G70" s="58">
        <v>187.55099999999999</v>
      </c>
      <c r="H70" s="59"/>
      <c r="I70" s="59">
        <f t="shared" si="7"/>
        <v>22074.480000001386</v>
      </c>
      <c r="J70" s="59">
        <f t="shared" si="2"/>
        <v>939.77999999989834</v>
      </c>
      <c r="K70" s="60">
        <f t="shared" si="3"/>
        <v>4.2573143285814179E-2</v>
      </c>
      <c r="L70" s="59">
        <f>IF(G70="","",+(G70-G69)*4140)</f>
        <v>244.25999999998965</v>
      </c>
      <c r="M70" s="195">
        <f t="shared" si="5"/>
        <v>1.1065266316577982E-2</v>
      </c>
      <c r="N70" s="61">
        <v>66068309</v>
      </c>
      <c r="O70" s="61">
        <f t="shared" si="6"/>
        <v>0</v>
      </c>
      <c r="P70" s="62"/>
      <c r="Q70" s="64"/>
      <c r="R70" s="20">
        <f t="shared" si="0"/>
        <v>1</v>
      </c>
      <c r="S70" s="20">
        <f t="shared" si="1"/>
        <v>0</v>
      </c>
      <c r="T70" s="65"/>
    </row>
    <row r="71" spans="1:20" ht="15.75" thickBot="1" x14ac:dyDescent="0.3">
      <c r="A71" s="54">
        <v>44265</v>
      </c>
      <c r="D71" s="194">
        <v>0.14199999999999999</v>
      </c>
      <c r="E71" s="56">
        <v>7147.6170000000002</v>
      </c>
      <c r="F71" s="57">
        <v>336.41399999999999</v>
      </c>
      <c r="G71" s="58">
        <v>187.58600000000001</v>
      </c>
      <c r="H71" s="59"/>
      <c r="I71" s="59">
        <f t="shared" si="7"/>
        <v>22240.080000001235</v>
      </c>
      <c r="J71" s="59">
        <f t="shared" si="2"/>
        <v>1121.9400000000621</v>
      </c>
      <c r="K71" s="60">
        <f t="shared" si="3"/>
        <v>5.0446760982874157E-2</v>
      </c>
      <c r="L71" s="59">
        <f t="shared" si="4"/>
        <v>144.90000000010355</v>
      </c>
      <c r="M71" s="195">
        <f t="shared" si="5"/>
        <v>6.515264333585828E-3</v>
      </c>
      <c r="N71" s="61">
        <v>66068309</v>
      </c>
      <c r="O71" s="61">
        <f t="shared" si="6"/>
        <v>0</v>
      </c>
      <c r="P71" s="62"/>
      <c r="Q71" s="64"/>
      <c r="R71" s="20">
        <f t="shared" si="0"/>
        <v>1</v>
      </c>
      <c r="S71" s="20">
        <f t="shared" si="1"/>
        <v>0</v>
      </c>
      <c r="T71" s="65"/>
    </row>
    <row r="72" spans="1:20" ht="15.75" thickBot="1" x14ac:dyDescent="0.3">
      <c r="A72" s="54">
        <v>44266</v>
      </c>
      <c r="D72" s="194">
        <v>0.14199999999999999</v>
      </c>
      <c r="E72" s="56">
        <v>7153.2979999999998</v>
      </c>
      <c r="F72" s="57">
        <v>336.62599999999998</v>
      </c>
      <c r="G72" s="58">
        <v>187.63</v>
      </c>
      <c r="H72" s="59"/>
      <c r="I72" s="59">
        <f t="shared" si="7"/>
        <v>23519.339999998283</v>
      </c>
      <c r="J72" s="59">
        <f t="shared" si="2"/>
        <v>877.67999999995482</v>
      </c>
      <c r="K72" s="60">
        <f t="shared" si="3"/>
        <v>3.7317373701813865E-2</v>
      </c>
      <c r="L72" s="59">
        <f t="shared" si="4"/>
        <v>182.15999999992846</v>
      </c>
      <c r="M72" s="195">
        <f t="shared" si="5"/>
        <v>7.7451152966002343E-3</v>
      </c>
      <c r="N72" s="61">
        <v>66068309</v>
      </c>
      <c r="O72" s="61">
        <f t="shared" si="6"/>
        <v>0</v>
      </c>
      <c r="P72" s="62"/>
      <c r="Q72" s="64"/>
      <c r="R72" s="20">
        <f t="shared" ref="R72:R93" si="8">IF(N72="",0,1)</f>
        <v>1</v>
      </c>
      <c r="S72" s="20">
        <f t="shared" ref="S72:S135" si="9">IF(N72="",1,0)</f>
        <v>0</v>
      </c>
    </row>
    <row r="73" spans="1:20" ht="15.75" thickBot="1" x14ac:dyDescent="0.3">
      <c r="A73" s="54">
        <v>44267</v>
      </c>
      <c r="D73" s="194">
        <v>0.14199999999999999</v>
      </c>
      <c r="E73" s="56">
        <v>7158.576</v>
      </c>
      <c r="F73" s="57">
        <v>336.834</v>
      </c>
      <c r="G73" s="58">
        <v>187.70400000000001</v>
      </c>
      <c r="H73" s="59"/>
      <c r="I73" s="59">
        <f t="shared" si="7"/>
        <v>21850.920000001024</v>
      </c>
      <c r="J73" s="59">
        <f t="shared" si="2"/>
        <v>861.12000000011108</v>
      </c>
      <c r="K73" s="60">
        <f t="shared" si="3"/>
        <v>3.9408866995077126E-2</v>
      </c>
      <c r="L73" s="59">
        <f t="shared" si="4"/>
        <v>306.36000000005083</v>
      </c>
      <c r="M73" s="195">
        <f t="shared" si="5"/>
        <v>1.4020462296326034E-2</v>
      </c>
      <c r="N73" s="61">
        <v>66068309</v>
      </c>
      <c r="O73" s="61">
        <f t="shared" si="6"/>
        <v>0</v>
      </c>
      <c r="P73" s="62"/>
      <c r="Q73" s="63"/>
      <c r="R73" s="20">
        <f t="shared" si="8"/>
        <v>1</v>
      </c>
      <c r="S73" s="20">
        <f t="shared" si="9"/>
        <v>0</v>
      </c>
    </row>
    <row r="74" spans="1:20" ht="15.75" thickBot="1" x14ac:dyDescent="0.3">
      <c r="A74" s="54">
        <v>44268</v>
      </c>
      <c r="D74" s="194">
        <v>0.14199999999999999</v>
      </c>
      <c r="E74" s="56">
        <v>7163.9780000000001</v>
      </c>
      <c r="F74" s="57">
        <v>337.04399999999998</v>
      </c>
      <c r="G74" s="58">
        <v>187.773</v>
      </c>
      <c r="H74" s="59"/>
      <c r="I74" s="59">
        <f t="shared" si="7"/>
        <v>22364.280000000181</v>
      </c>
      <c r="J74" s="59">
        <f t="shared" si="2"/>
        <v>869.39999999991528</v>
      </c>
      <c r="K74" s="60">
        <f t="shared" si="3"/>
        <v>3.8874490929281351E-2</v>
      </c>
      <c r="L74" s="59">
        <f t="shared" si="4"/>
        <v>285.65999999995199</v>
      </c>
      <c r="M74" s="195">
        <f t="shared" si="5"/>
        <v>1.2773047019620112E-2</v>
      </c>
      <c r="N74" s="61">
        <v>66068309</v>
      </c>
      <c r="O74" s="61">
        <f t="shared" si="6"/>
        <v>0</v>
      </c>
      <c r="P74" s="62"/>
      <c r="Q74" s="64"/>
      <c r="R74" s="20">
        <f t="shared" si="8"/>
        <v>1</v>
      </c>
      <c r="S74" s="20">
        <f t="shared" si="9"/>
        <v>0</v>
      </c>
    </row>
    <row r="75" spans="1:20" ht="15.75" thickBot="1" x14ac:dyDescent="0.3">
      <c r="A75" s="54">
        <v>44269</v>
      </c>
      <c r="D75" s="194">
        <v>0.14199999999999999</v>
      </c>
      <c r="E75" s="56">
        <v>7169.0159999999996</v>
      </c>
      <c r="F75" s="57">
        <v>337.27800000000002</v>
      </c>
      <c r="G75" s="58">
        <v>187.822</v>
      </c>
      <c r="H75" s="59"/>
      <c r="I75" s="59">
        <f t="shared" si="7"/>
        <v>20857.319999998163</v>
      </c>
      <c r="J75" s="59">
        <f t="shared" si="2"/>
        <v>968.76000000015438</v>
      </c>
      <c r="K75" s="60">
        <f t="shared" si="3"/>
        <v>4.6447002778892001E-2</v>
      </c>
      <c r="L75" s="59">
        <f t="shared" si="4"/>
        <v>202.8600000000273</v>
      </c>
      <c r="M75" s="195">
        <f t="shared" si="5"/>
        <v>9.7260817784856901E-3</v>
      </c>
      <c r="N75" s="61">
        <v>66068309</v>
      </c>
      <c r="O75" s="61">
        <f t="shared" si="6"/>
        <v>0</v>
      </c>
      <c r="P75" s="62"/>
      <c r="Q75" s="64"/>
      <c r="R75" s="20">
        <f t="shared" si="8"/>
        <v>1</v>
      </c>
      <c r="S75" s="20">
        <f t="shared" si="9"/>
        <v>0</v>
      </c>
      <c r="T75" s="65"/>
    </row>
    <row r="76" spans="1:20" ht="15.75" thickBot="1" x14ac:dyDescent="0.3">
      <c r="A76" s="54">
        <v>44270</v>
      </c>
      <c r="D76" s="194">
        <v>0.14199999999999999</v>
      </c>
      <c r="E76" s="56">
        <v>7174.3810000000003</v>
      </c>
      <c r="F76" s="57">
        <v>337.53100000000001</v>
      </c>
      <c r="G76" s="58">
        <v>187.88300000000001</v>
      </c>
      <c r="H76" s="59"/>
      <c r="I76" s="59">
        <f t="shared" si="7"/>
        <v>22211.100000002862</v>
      </c>
      <c r="J76" s="59">
        <f t="shared" si="2"/>
        <v>1047.4199999999416</v>
      </c>
      <c r="K76" s="60">
        <f t="shared" si="3"/>
        <v>4.7157502329907418E-2</v>
      </c>
      <c r="L76" s="59">
        <f t="shared" si="4"/>
        <v>252.54000000002918</v>
      </c>
      <c r="M76" s="195">
        <f t="shared" si="5"/>
        <v>1.1369990680335357E-2</v>
      </c>
      <c r="N76" s="61">
        <v>66068309</v>
      </c>
      <c r="O76" s="61">
        <f t="shared" si="6"/>
        <v>0</v>
      </c>
      <c r="P76" s="62"/>
      <c r="Q76" s="63"/>
      <c r="R76" s="20">
        <f t="shared" si="8"/>
        <v>1</v>
      </c>
      <c r="S76" s="20">
        <f t="shared" si="9"/>
        <v>0</v>
      </c>
      <c r="T76" s="65"/>
    </row>
    <row r="77" spans="1:20" ht="15.75" thickBot="1" x14ac:dyDescent="0.3">
      <c r="A77" s="54">
        <v>44271</v>
      </c>
      <c r="D77" s="194">
        <v>0.14199999999999999</v>
      </c>
      <c r="E77" s="56">
        <v>7179.6710000000003</v>
      </c>
      <c r="F77" s="57">
        <v>337.70299999999997</v>
      </c>
      <c r="G77" s="59"/>
      <c r="H77" s="59"/>
      <c r="I77" s="59">
        <f>IF(D77="","",+(E77-E76)*4140)</f>
        <v>21900.599999999849</v>
      </c>
      <c r="J77" s="59">
        <f>IF(E77="","",+(F77-F76)*4140)</f>
        <v>712.0799999998701</v>
      </c>
      <c r="K77" s="60">
        <f t="shared" ref="K77:K140" si="10">IF(J77="","",+(J77/I77))</f>
        <v>3.2514177693756106E-2</v>
      </c>
      <c r="L77" s="59">
        <f t="shared" ref="L77:L140" si="11">IF(F77="","",+(F77-F76)*4140)</f>
        <v>712.0799999998701</v>
      </c>
      <c r="M77" s="60">
        <f t="shared" ref="M77:M140" si="12">IF(L77="","",(L77/I77))</f>
        <v>3.2514177693756106E-2</v>
      </c>
      <c r="N77" s="61">
        <v>66068309</v>
      </c>
      <c r="O77" s="61">
        <f t="shared" ref="O77:O131" si="13">IF(N77="","",N77-N76)</f>
        <v>0</v>
      </c>
      <c r="P77" s="62"/>
      <c r="Q77" s="104"/>
      <c r="R77" s="20">
        <f t="shared" si="8"/>
        <v>1</v>
      </c>
      <c r="S77" s="20">
        <f t="shared" si="9"/>
        <v>0</v>
      </c>
    </row>
    <row r="78" spans="1:20" ht="15.75" thickBot="1" x14ac:dyDescent="0.3">
      <c r="A78" s="54">
        <v>44272</v>
      </c>
      <c r="D78" s="194">
        <v>0.14199999999999999</v>
      </c>
      <c r="E78" s="56">
        <v>7185.3320000000003</v>
      </c>
      <c r="F78" s="57">
        <v>337.94099999999997</v>
      </c>
      <c r="G78" s="59"/>
      <c r="H78" s="59"/>
      <c r="I78" s="59">
        <f>IF(D78="","",+(E78-E77)*4140)</f>
        <v>23436.540000000241</v>
      </c>
      <c r="J78" s="59">
        <f>IF(E78="","",+(F78-F77)*4140)</f>
        <v>985.31999999999812</v>
      </c>
      <c r="K78" s="60">
        <f t="shared" si="10"/>
        <v>4.2042042042041532E-2</v>
      </c>
      <c r="L78" s="59">
        <f t="shared" si="11"/>
        <v>985.31999999999812</v>
      </c>
      <c r="M78" s="60">
        <f t="shared" si="12"/>
        <v>4.2042042042041532E-2</v>
      </c>
      <c r="N78" s="61">
        <v>66068309</v>
      </c>
      <c r="O78" s="61">
        <f t="shared" si="13"/>
        <v>0</v>
      </c>
      <c r="P78" s="62"/>
      <c r="Q78" s="104"/>
      <c r="R78" s="20">
        <f t="shared" si="8"/>
        <v>1</v>
      </c>
      <c r="S78" s="20">
        <f t="shared" si="9"/>
        <v>0</v>
      </c>
    </row>
    <row r="79" spans="1:20" ht="15.75" thickBot="1" x14ac:dyDescent="0.3">
      <c r="A79" s="54">
        <v>44273</v>
      </c>
      <c r="D79" s="194">
        <v>0.14199999999999999</v>
      </c>
      <c r="E79" s="56">
        <v>3.9</v>
      </c>
      <c r="F79" s="57">
        <v>0.2</v>
      </c>
      <c r="G79" s="59"/>
      <c r="H79" s="59"/>
      <c r="I79" s="59">
        <f>IF(D79="","",+(E79-E78)*4140)+29752656</f>
        <v>21527.519999995828</v>
      </c>
      <c r="J79" s="59">
        <f>IF(E79="","",+(F79-F78)*4140)+1398774</f>
        <v>526.26000000000931</v>
      </c>
      <c r="K79" s="60">
        <f t="shared" si="10"/>
        <v>2.4445918526616688E-2</v>
      </c>
      <c r="L79" s="59">
        <f>IF(F79="","",+(F79-F78)*4140)+1398774</f>
        <v>526.26000000000931</v>
      </c>
      <c r="M79" s="60">
        <f t="shared" si="12"/>
        <v>2.4445918526616688E-2</v>
      </c>
      <c r="N79" s="61">
        <v>66068309</v>
      </c>
      <c r="O79" s="61">
        <f t="shared" si="13"/>
        <v>0</v>
      </c>
      <c r="P79" s="62"/>
      <c r="Q79" s="104"/>
      <c r="R79" s="20">
        <f t="shared" si="8"/>
        <v>1</v>
      </c>
      <c r="S79" s="20">
        <f t="shared" si="9"/>
        <v>0</v>
      </c>
    </row>
    <row r="80" spans="1:20" ht="15.75" thickBot="1" x14ac:dyDescent="0.3">
      <c r="A80" s="54">
        <v>44274</v>
      </c>
      <c r="D80" s="194">
        <v>0.14199999999999999</v>
      </c>
      <c r="E80" s="57">
        <v>9.49</v>
      </c>
      <c r="F80" s="58">
        <v>0.36099999999999999</v>
      </c>
      <c r="G80" s="59"/>
      <c r="H80" s="59"/>
      <c r="I80" s="59">
        <f t="shared" ref="I80:I143" si="14">IF(D80="","",+(E80-E79)*4140)</f>
        <v>23142.6</v>
      </c>
      <c r="J80" s="59">
        <f t="shared" ref="J80:J143" si="15">IF(E80="","",+(F80-F79)*4140)</f>
        <v>666.53999999999985</v>
      </c>
      <c r="K80" s="60">
        <f t="shared" si="10"/>
        <v>2.8801431127012517E-2</v>
      </c>
      <c r="L80" s="59">
        <f t="shared" si="11"/>
        <v>666.53999999999985</v>
      </c>
      <c r="M80" s="60">
        <f t="shared" si="12"/>
        <v>2.8801431127012517E-2</v>
      </c>
      <c r="N80" s="61">
        <v>66068309</v>
      </c>
      <c r="O80" s="61">
        <f t="shared" si="13"/>
        <v>0</v>
      </c>
      <c r="P80" s="67"/>
      <c r="Q80" s="105"/>
      <c r="R80" s="20">
        <f t="shared" si="8"/>
        <v>1</v>
      </c>
      <c r="S80" s="20">
        <f t="shared" si="9"/>
        <v>0</v>
      </c>
      <c r="T80" s="65"/>
    </row>
    <row r="81" spans="1:20" ht="15.75" thickBot="1" x14ac:dyDescent="0.3">
      <c r="A81" s="54">
        <v>44275</v>
      </c>
      <c r="D81" s="194">
        <v>0.14199999999999999</v>
      </c>
      <c r="E81" s="57">
        <v>14.425000000000001</v>
      </c>
      <c r="F81" s="58">
        <v>0.49099999999999999</v>
      </c>
      <c r="G81" s="59"/>
      <c r="H81" s="59"/>
      <c r="I81" s="59">
        <f t="shared" si="14"/>
        <v>20430.900000000001</v>
      </c>
      <c r="J81" s="59">
        <f t="shared" si="15"/>
        <v>538.20000000000005</v>
      </c>
      <c r="K81" s="60">
        <f t="shared" si="10"/>
        <v>2.6342451874366769E-2</v>
      </c>
      <c r="L81" s="59">
        <f>IF(F81="","",+(F81-F80)*4140)</f>
        <v>538.20000000000005</v>
      </c>
      <c r="M81" s="60">
        <f t="shared" si="12"/>
        <v>2.6342451874366769E-2</v>
      </c>
      <c r="N81" s="61">
        <v>66068309</v>
      </c>
      <c r="O81" s="61">
        <f t="shared" si="13"/>
        <v>0</v>
      </c>
      <c r="P81" s="202" t="s">
        <v>60</v>
      </c>
      <c r="Q81" s="203"/>
      <c r="R81" s="20">
        <f t="shared" si="8"/>
        <v>1</v>
      </c>
      <c r="S81" s="20">
        <f t="shared" si="9"/>
        <v>0</v>
      </c>
      <c r="T81" s="65"/>
    </row>
    <row r="82" spans="1:20" ht="15.75" thickBot="1" x14ac:dyDescent="0.3">
      <c r="A82" s="54">
        <v>44276</v>
      </c>
      <c r="D82" s="194">
        <v>0.14199999999999999</v>
      </c>
      <c r="E82" s="57">
        <v>19.623999999999999</v>
      </c>
      <c r="F82" s="58">
        <v>0.61599999999999999</v>
      </c>
      <c r="G82" s="59"/>
      <c r="H82" s="59"/>
      <c r="I82" s="59">
        <f t="shared" si="14"/>
        <v>21523.859999999993</v>
      </c>
      <c r="J82" s="59">
        <f t="shared" si="15"/>
        <v>517.5</v>
      </c>
      <c r="K82" s="60">
        <f t="shared" si="10"/>
        <v>2.4043085208693988E-2</v>
      </c>
      <c r="L82" s="59">
        <f>IF(F82="","",+(F82-F81)*4140)</f>
        <v>517.5</v>
      </c>
      <c r="M82" s="60">
        <f t="shared" si="12"/>
        <v>2.4043085208693988E-2</v>
      </c>
      <c r="N82" s="61">
        <v>66068309</v>
      </c>
      <c r="O82" s="61">
        <f t="shared" si="13"/>
        <v>0</v>
      </c>
      <c r="P82" s="204"/>
      <c r="Q82" s="205"/>
      <c r="R82" s="20">
        <f t="shared" si="8"/>
        <v>1</v>
      </c>
      <c r="S82" s="20">
        <f t="shared" si="9"/>
        <v>0</v>
      </c>
    </row>
    <row r="83" spans="1:20" ht="15.75" thickBot="1" x14ac:dyDescent="0.3">
      <c r="A83" s="54">
        <v>44277</v>
      </c>
      <c r="D83" s="194">
        <v>0.14199999999999999</v>
      </c>
      <c r="E83" s="57">
        <v>24.913</v>
      </c>
      <c r="F83" s="58">
        <v>0.76900000000000002</v>
      </c>
      <c r="G83" s="59"/>
      <c r="H83" s="59"/>
      <c r="I83" s="59">
        <f t="shared" si="14"/>
        <v>21896.460000000006</v>
      </c>
      <c r="J83" s="59">
        <f t="shared" si="15"/>
        <v>633.42000000000007</v>
      </c>
      <c r="K83" s="60">
        <f t="shared" si="10"/>
        <v>2.8927963698241629E-2</v>
      </c>
      <c r="L83" s="59">
        <f t="shared" si="11"/>
        <v>633.42000000000007</v>
      </c>
      <c r="M83" s="60">
        <f t="shared" si="12"/>
        <v>2.8927963698241629E-2</v>
      </c>
      <c r="N83" s="61">
        <v>66068309</v>
      </c>
      <c r="O83" s="61">
        <f t="shared" si="13"/>
        <v>0</v>
      </c>
      <c r="P83" s="69" t="s">
        <v>46</v>
      </c>
      <c r="Q83" s="69" t="s">
        <v>47</v>
      </c>
      <c r="R83" s="20">
        <f t="shared" si="8"/>
        <v>1</v>
      </c>
      <c r="S83" s="20">
        <f t="shared" si="9"/>
        <v>0</v>
      </c>
    </row>
    <row r="84" spans="1:20" ht="15.75" thickBot="1" x14ac:dyDescent="0.3">
      <c r="A84" s="54">
        <v>44278</v>
      </c>
      <c r="D84" s="194">
        <v>0.14199999999999999</v>
      </c>
      <c r="E84" s="57">
        <v>30.405000000000001</v>
      </c>
      <c r="F84" s="58">
        <v>0.93799999999999994</v>
      </c>
      <c r="G84" s="59"/>
      <c r="H84" s="59"/>
      <c r="I84" s="59">
        <f t="shared" si="14"/>
        <v>22736.880000000005</v>
      </c>
      <c r="J84" s="59">
        <f t="shared" si="15"/>
        <v>699.65999999999974</v>
      </c>
      <c r="K84" s="60">
        <f>IF(J84="","",+(J84/I84))</f>
        <v>3.0772032046613239E-2</v>
      </c>
      <c r="L84" s="59">
        <f t="shared" si="11"/>
        <v>699.65999999999974</v>
      </c>
      <c r="M84" s="60">
        <f t="shared" si="12"/>
        <v>3.0772032046613239E-2</v>
      </c>
      <c r="N84" s="61">
        <v>66068309</v>
      </c>
      <c r="O84" s="61">
        <f t="shared" si="13"/>
        <v>0</v>
      </c>
      <c r="P84" s="70">
        <f>IF(J63="",0,+SUM(J63:J93)/SUM(I63:I93))</f>
        <v>3.6150734338660451E-2</v>
      </c>
      <c r="Q84" s="70">
        <f>IF(L63="",0,+SUM(L63:L93)/SUM(I63:I93))</f>
        <v>2.5228448227587689E-2</v>
      </c>
      <c r="R84" s="20">
        <f t="shared" si="8"/>
        <v>1</v>
      </c>
      <c r="S84" s="20">
        <f t="shared" si="9"/>
        <v>0</v>
      </c>
      <c r="T84" s="65"/>
    </row>
    <row r="85" spans="1:20" ht="15.75" thickBot="1" x14ac:dyDescent="0.3">
      <c r="A85" s="54">
        <v>44279</v>
      </c>
      <c r="D85" s="194">
        <v>0.14199999999999999</v>
      </c>
      <c r="E85" s="57">
        <v>35.539000000000001</v>
      </c>
      <c r="F85" s="58">
        <v>1.145</v>
      </c>
      <c r="G85" s="59"/>
      <c r="H85" s="59"/>
      <c r="I85" s="59">
        <f t="shared" si="14"/>
        <v>21254.760000000002</v>
      </c>
      <c r="J85" s="59">
        <f t="shared" si="15"/>
        <v>856.98000000000025</v>
      </c>
      <c r="K85" s="60">
        <f t="shared" si="10"/>
        <v>4.0319439033891707E-2</v>
      </c>
      <c r="L85" s="59">
        <f t="shared" si="11"/>
        <v>856.98000000000025</v>
      </c>
      <c r="M85" s="60">
        <f t="shared" si="12"/>
        <v>4.0319439033891707E-2</v>
      </c>
      <c r="N85" s="61">
        <v>66068309</v>
      </c>
      <c r="O85" s="61">
        <f t="shared" si="13"/>
        <v>0</v>
      </c>
      <c r="P85" s="71" t="e">
        <f>IF(J63="",0,+(+(LOOKUP(9.99999999999999E+307,E63:E93)-E61))/(+(LOOKUP(9.99999999999999E+307,D63:D93)-D62)))</f>
        <v>#DIV/0!</v>
      </c>
      <c r="Q85" s="71" t="e">
        <f>IF(L63="",0,+(+(LOOKUP(9.99999999999999E+307,F63:F93)-F61))/(+(LOOKUP(9.99999999999999E+307,D63:D93)-D62)))</f>
        <v>#DIV/0!</v>
      </c>
      <c r="R85" s="20">
        <f t="shared" si="8"/>
        <v>1</v>
      </c>
      <c r="S85" s="20">
        <f t="shared" si="9"/>
        <v>0</v>
      </c>
      <c r="T85" s="65"/>
    </row>
    <row r="86" spans="1:20" ht="15.75" thickBot="1" x14ac:dyDescent="0.3">
      <c r="A86" s="54">
        <v>44280</v>
      </c>
      <c r="D86" s="194">
        <v>0.14199999999999999</v>
      </c>
      <c r="E86" s="57">
        <v>41.13</v>
      </c>
      <c r="F86" s="58">
        <v>1.3109999999999999</v>
      </c>
      <c r="G86" s="59"/>
      <c r="H86" s="59"/>
      <c r="I86" s="59">
        <f t="shared" si="14"/>
        <v>23146.740000000005</v>
      </c>
      <c r="J86" s="59">
        <f t="shared" si="15"/>
        <v>687.23999999999967</v>
      </c>
      <c r="K86" s="60">
        <f t="shared" si="10"/>
        <v>2.969057413700588E-2</v>
      </c>
      <c r="L86" s="59">
        <f t="shared" si="11"/>
        <v>687.23999999999967</v>
      </c>
      <c r="M86" s="60">
        <f t="shared" si="12"/>
        <v>2.969057413700588E-2</v>
      </c>
      <c r="N86" s="61">
        <v>66068309</v>
      </c>
      <c r="O86" s="61">
        <f t="shared" si="13"/>
        <v>0</v>
      </c>
      <c r="P86" s="72" t="s">
        <v>48</v>
      </c>
      <c r="Q86" s="73" t="s">
        <v>49</v>
      </c>
      <c r="R86" s="20">
        <f t="shared" si="8"/>
        <v>1</v>
      </c>
      <c r="S86" s="20">
        <f t="shared" si="9"/>
        <v>0</v>
      </c>
      <c r="T86" s="65"/>
    </row>
    <row r="87" spans="1:20" ht="15.75" thickBot="1" x14ac:dyDescent="0.3">
      <c r="A87" s="54">
        <v>44281</v>
      </c>
      <c r="D87" s="56">
        <v>0.14199999999999999</v>
      </c>
      <c r="E87" s="57">
        <v>46.662999999999997</v>
      </c>
      <c r="F87" s="58">
        <v>1.5189999999999999</v>
      </c>
      <c r="G87" s="59"/>
      <c r="H87" s="59"/>
      <c r="I87" s="59">
        <f t="shared" si="14"/>
        <v>22906.619999999977</v>
      </c>
      <c r="J87" s="59">
        <f t="shared" si="15"/>
        <v>861.11999999999989</v>
      </c>
      <c r="K87" s="60">
        <f t="shared" si="10"/>
        <v>3.7592626061810984E-2</v>
      </c>
      <c r="L87" s="59">
        <f>IF(F87="","",+(F87-F86)*4140)</f>
        <v>861.11999999999989</v>
      </c>
      <c r="M87" s="60">
        <f t="shared" si="12"/>
        <v>3.7592626061810984E-2</v>
      </c>
      <c r="N87" s="61">
        <v>66068309</v>
      </c>
      <c r="O87" s="61">
        <f t="shared" si="13"/>
        <v>0</v>
      </c>
      <c r="P87" s="74">
        <f>IF(N61="",0,+(LOOKUP(9.99999999999999E+307,N61:N93)-N61))</f>
        <v>0</v>
      </c>
      <c r="Q87" s="75">
        <f>IF(P87="",0,+P87/SUM(R63:R93))</f>
        <v>0</v>
      </c>
      <c r="R87" s="20">
        <f t="shared" si="8"/>
        <v>1</v>
      </c>
      <c r="S87" s="20">
        <f t="shared" si="9"/>
        <v>0</v>
      </c>
      <c r="T87" s="65"/>
    </row>
    <row r="88" spans="1:20" ht="15.75" thickBot="1" x14ac:dyDescent="0.3">
      <c r="A88" s="54">
        <v>44282</v>
      </c>
      <c r="D88" s="56">
        <v>0.14199999999999999</v>
      </c>
      <c r="E88" s="57">
        <v>51.892000000000003</v>
      </c>
      <c r="F88" s="58">
        <v>1.6859999999999999</v>
      </c>
      <c r="G88" s="59"/>
      <c r="H88" s="59"/>
      <c r="I88" s="59">
        <f t="shared" si="14"/>
        <v>21648.060000000027</v>
      </c>
      <c r="J88" s="59">
        <f t="shared" si="15"/>
        <v>691.38000000000011</v>
      </c>
      <c r="K88" s="60">
        <f t="shared" si="10"/>
        <v>3.1937272901128286E-2</v>
      </c>
      <c r="L88" s="59">
        <f>IF(F88="","",+(F88-F87)*4140)</f>
        <v>691.38000000000011</v>
      </c>
      <c r="M88" s="60">
        <f t="shared" si="12"/>
        <v>3.1937272901128286E-2</v>
      </c>
      <c r="N88" s="61">
        <v>66068309</v>
      </c>
      <c r="O88" s="61">
        <f t="shared" si="13"/>
        <v>0</v>
      </c>
      <c r="P88" s="76" t="s">
        <v>50</v>
      </c>
      <c r="Q88" s="77" t="s">
        <v>58</v>
      </c>
      <c r="R88" s="20">
        <f t="shared" si="8"/>
        <v>1</v>
      </c>
      <c r="S88" s="20">
        <f t="shared" si="9"/>
        <v>0</v>
      </c>
    </row>
    <row r="89" spans="1:20" ht="15.75" thickBot="1" x14ac:dyDescent="0.3">
      <c r="A89" s="54">
        <v>44283</v>
      </c>
      <c r="D89" s="56">
        <v>0.14199999999999999</v>
      </c>
      <c r="E89" s="57">
        <v>56.823</v>
      </c>
      <c r="F89" s="58">
        <v>1.863</v>
      </c>
      <c r="G89" s="59"/>
      <c r="H89" s="59"/>
      <c r="I89" s="59">
        <f t="shared" si="14"/>
        <v>20414.339999999989</v>
      </c>
      <c r="J89" s="59">
        <f t="shared" si="15"/>
        <v>732.7800000000002</v>
      </c>
      <c r="K89" s="60">
        <f t="shared" si="10"/>
        <v>3.5895355911579829E-2</v>
      </c>
      <c r="L89" s="59">
        <f>IF(F89="","",+(F89-F88)*4140)</f>
        <v>732.7800000000002</v>
      </c>
      <c r="M89" s="60">
        <f t="shared" si="12"/>
        <v>3.5895355911579829E-2</v>
      </c>
      <c r="N89" s="61">
        <v>66068309</v>
      </c>
      <c r="O89" s="61">
        <f t="shared" si="13"/>
        <v>0</v>
      </c>
      <c r="P89" s="78">
        <f>IF(D61="",0,+(LOOKUP(9.99999999999999E+307,D62:D93)-D62))*4140</f>
        <v>0</v>
      </c>
      <c r="Q89" s="79">
        <f>IF(P89="",0,+P89/SUM(R63:R93))</f>
        <v>0</v>
      </c>
      <c r="R89" s="20">
        <f t="shared" si="8"/>
        <v>1</v>
      </c>
      <c r="S89" s="20">
        <f t="shared" si="9"/>
        <v>0</v>
      </c>
    </row>
    <row r="90" spans="1:20" ht="15.75" thickBot="1" x14ac:dyDescent="0.3">
      <c r="A90" s="54">
        <v>44284</v>
      </c>
      <c r="D90" s="56">
        <v>0.14199999999999999</v>
      </c>
      <c r="E90" s="57">
        <v>61.71</v>
      </c>
      <c r="F90" s="58">
        <v>2.0659999999999998</v>
      </c>
      <c r="G90" s="59"/>
      <c r="H90" s="59"/>
      <c r="I90" s="59">
        <f t="shared" si="14"/>
        <v>20232.18</v>
      </c>
      <c r="J90" s="59">
        <f t="shared" si="15"/>
        <v>840.41999999999939</v>
      </c>
      <c r="K90" s="60">
        <f t="shared" si="10"/>
        <v>4.1538776345406148E-2</v>
      </c>
      <c r="L90" s="59">
        <f t="shared" si="11"/>
        <v>840.41999999999939</v>
      </c>
      <c r="M90" s="60">
        <f t="shared" si="12"/>
        <v>4.1538776345406148E-2</v>
      </c>
      <c r="N90" s="61">
        <v>66068309</v>
      </c>
      <c r="O90" s="61">
        <f t="shared" si="13"/>
        <v>0</v>
      </c>
      <c r="P90" s="80" t="s">
        <v>52</v>
      </c>
      <c r="Q90" s="81" t="s">
        <v>59</v>
      </c>
      <c r="R90" s="20">
        <f t="shared" si="8"/>
        <v>1</v>
      </c>
      <c r="S90" s="20">
        <f t="shared" si="9"/>
        <v>0</v>
      </c>
      <c r="T90" s="65"/>
    </row>
    <row r="91" spans="1:20" ht="15.75" thickBot="1" x14ac:dyDescent="0.3">
      <c r="A91" s="54">
        <v>44285</v>
      </c>
      <c r="D91" s="56">
        <v>0.14199999999999999</v>
      </c>
      <c r="E91" s="57">
        <v>66.911000000000001</v>
      </c>
      <c r="F91" s="58">
        <v>2.2570000000000001</v>
      </c>
      <c r="G91" s="59"/>
      <c r="H91" s="59"/>
      <c r="I91" s="59">
        <f t="shared" si="14"/>
        <v>21532.140000000003</v>
      </c>
      <c r="J91" s="59">
        <f t="shared" si="15"/>
        <v>790.74000000000115</v>
      </c>
      <c r="K91" s="60">
        <f t="shared" si="10"/>
        <v>3.6723706979427083E-2</v>
      </c>
      <c r="L91" s="59">
        <f t="shared" si="11"/>
        <v>790.74000000000115</v>
      </c>
      <c r="M91" s="60">
        <f t="shared" si="12"/>
        <v>3.6723706979427083E-2</v>
      </c>
      <c r="N91" s="61">
        <v>66068309</v>
      </c>
      <c r="O91" s="61">
        <f t="shared" si="13"/>
        <v>0</v>
      </c>
      <c r="P91" s="82">
        <f>P89*Q94</f>
        <v>0</v>
      </c>
      <c r="Q91" s="83" t="e">
        <f>IF(Q34="",0,(SUM('[1]Günlük Tüketim'!H63:H93)*1.62)/SUM(O63:O93))</f>
        <v>#DIV/0!</v>
      </c>
      <c r="R91" s="20">
        <f t="shared" si="8"/>
        <v>1</v>
      </c>
      <c r="S91" s="20">
        <f t="shared" si="9"/>
        <v>0</v>
      </c>
      <c r="T91" s="65"/>
    </row>
    <row r="92" spans="1:20" ht="15.75" thickBot="1" x14ac:dyDescent="0.3">
      <c r="A92" s="54">
        <v>44286</v>
      </c>
      <c r="D92" s="56">
        <v>0.14199999999999999</v>
      </c>
      <c r="E92" s="57">
        <v>72.406000000000006</v>
      </c>
      <c r="F92" s="58">
        <v>2.492</v>
      </c>
      <c r="G92" s="59"/>
      <c r="H92" s="59"/>
      <c r="I92" s="59">
        <f t="shared" si="14"/>
        <v>22749.300000000017</v>
      </c>
      <c r="J92" s="59">
        <f t="shared" si="15"/>
        <v>972.89999999999952</v>
      </c>
      <c r="K92" s="60">
        <f t="shared" si="10"/>
        <v>4.276615104640577E-2</v>
      </c>
      <c r="L92" s="59">
        <f t="shared" si="11"/>
        <v>972.89999999999952</v>
      </c>
      <c r="M92" s="60">
        <f t="shared" si="12"/>
        <v>4.276615104640577E-2</v>
      </c>
      <c r="N92" s="61">
        <v>66068309</v>
      </c>
      <c r="O92" s="61">
        <f t="shared" si="13"/>
        <v>0</v>
      </c>
      <c r="P92" s="85" t="s">
        <v>54</v>
      </c>
      <c r="Q92" s="86" t="s">
        <v>55</v>
      </c>
      <c r="R92" s="20">
        <f t="shared" si="8"/>
        <v>1</v>
      </c>
      <c r="S92" s="20">
        <f t="shared" si="9"/>
        <v>0</v>
      </c>
      <c r="T92" s="65"/>
    </row>
    <row r="93" spans="1:20" ht="15.75" thickBot="1" x14ac:dyDescent="0.3">
      <c r="A93" s="54">
        <v>44287</v>
      </c>
      <c r="D93" s="56">
        <v>0.14199999999999999</v>
      </c>
      <c r="E93" s="57">
        <v>77.83</v>
      </c>
      <c r="F93" s="58">
        <v>2.7010000000000001</v>
      </c>
      <c r="G93" s="90"/>
      <c r="H93" s="59">
        <v>4140</v>
      </c>
      <c r="I93" s="59">
        <f t="shared" si="14"/>
        <v>22455.359999999968</v>
      </c>
      <c r="J93" s="59">
        <f t="shared" si="15"/>
        <v>865.26000000000033</v>
      </c>
      <c r="K93" s="60">
        <f t="shared" si="10"/>
        <v>3.8532448377581192E-2</v>
      </c>
      <c r="L93" s="59">
        <f t="shared" si="11"/>
        <v>865.26000000000033</v>
      </c>
      <c r="M93" s="60">
        <f t="shared" si="12"/>
        <v>3.8532448377581192E-2</v>
      </c>
      <c r="N93" s="61">
        <v>66068309</v>
      </c>
      <c r="O93" s="61">
        <f t="shared" si="13"/>
        <v>0</v>
      </c>
      <c r="P93" s="94">
        <f>(P91+Q89*SUM(S63:S93)*Q94)</f>
        <v>0</v>
      </c>
      <c r="Q93" s="95">
        <f>Q89*31</f>
        <v>0</v>
      </c>
      <c r="R93" s="20">
        <f t="shared" si="8"/>
        <v>1</v>
      </c>
      <c r="S93" s="20">
        <f t="shared" si="9"/>
        <v>0</v>
      </c>
    </row>
    <row r="94" spans="1:20" ht="15.75" thickBot="1" x14ac:dyDescent="0.3">
      <c r="A94" s="54">
        <v>44288</v>
      </c>
      <c r="D94" s="56">
        <v>0.14199999999999999</v>
      </c>
      <c r="E94" s="57">
        <v>83.83</v>
      </c>
      <c r="F94" s="58">
        <v>2.9</v>
      </c>
      <c r="G94" s="59"/>
      <c r="H94" s="59">
        <v>4140</v>
      </c>
      <c r="I94" s="59">
        <f t="shared" si="14"/>
        <v>24840</v>
      </c>
      <c r="J94" s="59">
        <f t="shared" si="15"/>
        <v>823.85999999999933</v>
      </c>
      <c r="K94" s="60">
        <f t="shared" si="10"/>
        <v>3.3166666666666643E-2</v>
      </c>
      <c r="L94" s="59">
        <f t="shared" si="11"/>
        <v>823.85999999999933</v>
      </c>
      <c r="M94" s="60">
        <f t="shared" si="12"/>
        <v>3.3166666666666643E-2</v>
      </c>
      <c r="N94" s="61">
        <v>66068309</v>
      </c>
      <c r="O94" s="61">
        <f>IF(N94="","",N94-N93)</f>
        <v>0</v>
      </c>
      <c r="P94" s="96" t="s">
        <v>56</v>
      </c>
      <c r="Q94" s="97">
        <v>0.56999999999999995</v>
      </c>
      <c r="R94" s="20">
        <f>IF(N94="",0,1)</f>
        <v>1</v>
      </c>
      <c r="S94" s="20">
        <f>IF(N94="",1,0)</f>
        <v>0</v>
      </c>
    </row>
    <row r="95" spans="1:20" ht="15.75" thickBot="1" x14ac:dyDescent="0.3">
      <c r="A95" s="54">
        <v>44289</v>
      </c>
      <c r="D95" s="56">
        <v>0.14199999999999999</v>
      </c>
      <c r="E95" s="57">
        <v>88.144000000000005</v>
      </c>
      <c r="F95" s="58">
        <v>3.0920000000000001</v>
      </c>
      <c r="G95" s="59"/>
      <c r="H95" s="59">
        <v>4140</v>
      </c>
      <c r="I95" s="59">
        <f t="shared" si="14"/>
        <v>17859.960000000028</v>
      </c>
      <c r="J95" s="59">
        <f t="shared" si="15"/>
        <v>794.88000000000068</v>
      </c>
      <c r="K95" s="60">
        <f t="shared" si="10"/>
        <v>4.4506258692628621E-2</v>
      </c>
      <c r="L95" s="59">
        <f t="shared" si="11"/>
        <v>794.88000000000068</v>
      </c>
      <c r="M95" s="60">
        <f t="shared" si="12"/>
        <v>4.4506258692628621E-2</v>
      </c>
      <c r="N95" s="61">
        <v>66068309</v>
      </c>
      <c r="O95" s="61">
        <f>IF(N95="","",N95-N94)</f>
        <v>0</v>
      </c>
      <c r="P95" s="62"/>
      <c r="Q95" s="104"/>
      <c r="R95" s="20">
        <f>IF(N95="",0,1)</f>
        <v>1</v>
      </c>
      <c r="S95" s="20">
        <f>IF(N95="",1,0)</f>
        <v>0</v>
      </c>
    </row>
    <row r="96" spans="1:20" ht="15.75" thickBot="1" x14ac:dyDescent="0.3">
      <c r="A96" s="54">
        <v>44290</v>
      </c>
      <c r="D96" s="56">
        <v>0.14199999999999999</v>
      </c>
      <c r="E96" s="57">
        <v>93.203000000000003</v>
      </c>
      <c r="F96" s="58">
        <v>3.323</v>
      </c>
      <c r="G96" s="59"/>
      <c r="H96" s="59">
        <v>4140</v>
      </c>
      <c r="I96" s="59">
        <f t="shared" si="14"/>
        <v>20944.259999999991</v>
      </c>
      <c r="J96" s="59">
        <f t="shared" si="15"/>
        <v>956.33999999999946</v>
      </c>
      <c r="K96" s="60">
        <f t="shared" si="10"/>
        <v>4.5661197865190746E-2</v>
      </c>
      <c r="L96" s="59">
        <f t="shared" si="11"/>
        <v>956.33999999999946</v>
      </c>
      <c r="M96" s="60">
        <f t="shared" si="12"/>
        <v>4.5661197865190746E-2</v>
      </c>
      <c r="N96" s="61">
        <v>66068309</v>
      </c>
      <c r="O96" s="61">
        <f>IF(N96="","",N96-N95)</f>
        <v>0</v>
      </c>
      <c r="P96" s="100"/>
      <c r="Q96" s="101"/>
      <c r="R96" s="20">
        <f>IF(N96="",0,1)</f>
        <v>1</v>
      </c>
      <c r="S96" s="20">
        <f>IF(N96="",1,0)</f>
        <v>0</v>
      </c>
      <c r="T96" s="65"/>
    </row>
    <row r="97" spans="1:20" ht="15.75" thickBot="1" x14ac:dyDescent="0.3">
      <c r="A97" s="54">
        <v>44291</v>
      </c>
      <c r="D97" s="56">
        <v>0.14199999999999999</v>
      </c>
      <c r="E97" s="57">
        <v>98.697000000000003</v>
      </c>
      <c r="F97" s="58">
        <v>3.5550000000000002</v>
      </c>
      <c r="G97" s="59"/>
      <c r="H97" s="59">
        <v>4140</v>
      </c>
      <c r="I97" s="59">
        <f t="shared" si="14"/>
        <v>22745.16</v>
      </c>
      <c r="J97" s="59">
        <f t="shared" si="15"/>
        <v>960.48000000000081</v>
      </c>
      <c r="K97" s="60">
        <f t="shared" si="10"/>
        <v>4.2227884965416858E-2</v>
      </c>
      <c r="L97" s="59">
        <f t="shared" si="11"/>
        <v>960.48000000000081</v>
      </c>
      <c r="M97" s="60">
        <f t="shared" si="12"/>
        <v>4.2227884965416858E-2</v>
      </c>
      <c r="N97" s="61">
        <v>66068309</v>
      </c>
      <c r="O97" s="61">
        <f>IF(N97="","",N97-N96)</f>
        <v>0</v>
      </c>
      <c r="P97" s="102"/>
      <c r="Q97" s="103"/>
      <c r="R97" s="20">
        <f t="shared" ref="R97:R160" si="16">IF(N97="",0,1)</f>
        <v>1</v>
      </c>
      <c r="S97" s="20">
        <f t="shared" si="9"/>
        <v>0</v>
      </c>
      <c r="T97" s="65"/>
    </row>
    <row r="98" spans="1:20" ht="15.75" thickBot="1" x14ac:dyDescent="0.3">
      <c r="A98" s="54">
        <v>44292</v>
      </c>
      <c r="D98" s="56">
        <v>0.14199999999999999</v>
      </c>
      <c r="E98" s="57">
        <v>103.75</v>
      </c>
      <c r="F98" s="58">
        <v>3.7050000000000001</v>
      </c>
      <c r="G98" s="59"/>
      <c r="H98" s="59">
        <v>4140</v>
      </c>
      <c r="I98" s="59">
        <f t="shared" si="14"/>
        <v>20919.419999999987</v>
      </c>
      <c r="J98" s="59">
        <f t="shared" si="15"/>
        <v>620.99999999999966</v>
      </c>
      <c r="K98" s="60">
        <f t="shared" si="10"/>
        <v>2.9685335444290521E-2</v>
      </c>
      <c r="L98" s="59">
        <f t="shared" si="11"/>
        <v>620.99999999999966</v>
      </c>
      <c r="M98" s="60">
        <f t="shared" si="12"/>
        <v>2.9685335444290521E-2</v>
      </c>
      <c r="N98" s="61">
        <v>66068309</v>
      </c>
      <c r="O98" s="61">
        <f t="shared" si="13"/>
        <v>0</v>
      </c>
      <c r="P98" s="102"/>
      <c r="Q98" s="101"/>
      <c r="R98" s="20">
        <f t="shared" si="16"/>
        <v>1</v>
      </c>
      <c r="S98" s="20">
        <f t="shared" si="9"/>
        <v>0</v>
      </c>
    </row>
    <row r="99" spans="1:20" ht="15.75" thickBot="1" x14ac:dyDescent="0.3">
      <c r="A99" s="54">
        <v>44293</v>
      </c>
      <c r="D99" s="56">
        <v>0.14199999999999999</v>
      </c>
      <c r="E99" s="57">
        <v>109.095</v>
      </c>
      <c r="F99" s="58">
        <v>3.94</v>
      </c>
      <c r="G99" s="59"/>
      <c r="H99" s="59">
        <v>4140</v>
      </c>
      <c r="I99" s="59">
        <f t="shared" si="14"/>
        <v>22128.299999999996</v>
      </c>
      <c r="J99" s="59">
        <f t="shared" si="15"/>
        <v>972.89999999999952</v>
      </c>
      <c r="K99" s="60">
        <f t="shared" si="10"/>
        <v>4.3966323666978474E-2</v>
      </c>
      <c r="L99" s="59">
        <f t="shared" si="11"/>
        <v>972.89999999999952</v>
      </c>
      <c r="M99" s="60">
        <f t="shared" si="12"/>
        <v>4.3966323666978474E-2</v>
      </c>
      <c r="N99" s="61">
        <v>66068309</v>
      </c>
      <c r="O99" s="61">
        <f t="shared" si="13"/>
        <v>0</v>
      </c>
      <c r="P99" s="62"/>
      <c r="Q99" s="63"/>
      <c r="R99" s="20">
        <f t="shared" si="16"/>
        <v>1</v>
      </c>
      <c r="S99" s="20">
        <f t="shared" si="9"/>
        <v>0</v>
      </c>
    </row>
    <row r="100" spans="1:20" ht="15.75" thickBot="1" x14ac:dyDescent="0.3">
      <c r="A100" s="54">
        <v>44294</v>
      </c>
      <c r="D100" s="56">
        <v>0.14199999999999999</v>
      </c>
      <c r="E100" s="57">
        <v>114.402</v>
      </c>
      <c r="F100" s="58">
        <v>4.1749999999999998</v>
      </c>
      <c r="G100" s="59"/>
      <c r="H100" s="59">
        <v>4140</v>
      </c>
      <c r="I100" s="59">
        <f t="shared" si="14"/>
        <v>21970.98000000001</v>
      </c>
      <c r="J100" s="59">
        <f t="shared" si="15"/>
        <v>972.89999999999952</v>
      </c>
      <c r="K100" s="60">
        <f t="shared" si="10"/>
        <v>4.4281138119464818E-2</v>
      </c>
      <c r="L100" s="59">
        <f t="shared" si="11"/>
        <v>972.89999999999952</v>
      </c>
      <c r="M100" s="60">
        <f t="shared" si="12"/>
        <v>4.4281138119464818E-2</v>
      </c>
      <c r="N100" s="61">
        <v>66068309</v>
      </c>
      <c r="O100" s="61">
        <f>IF(N100="","",N100-N99)</f>
        <v>0</v>
      </c>
      <c r="P100" s="62"/>
      <c r="Q100" s="64"/>
      <c r="R100" s="20">
        <f t="shared" si="16"/>
        <v>1</v>
      </c>
      <c r="S100" s="20">
        <f t="shared" si="9"/>
        <v>0</v>
      </c>
    </row>
    <row r="101" spans="1:20" ht="15.75" thickBot="1" x14ac:dyDescent="0.3">
      <c r="A101" s="54">
        <v>44295</v>
      </c>
      <c r="D101" s="56">
        <v>0.14199999999999999</v>
      </c>
      <c r="E101" s="57">
        <v>119.785</v>
      </c>
      <c r="F101" s="58">
        <v>4.37</v>
      </c>
      <c r="G101" s="59"/>
      <c r="H101" s="59">
        <v>4140</v>
      </c>
      <c r="I101" s="59">
        <f t="shared" si="14"/>
        <v>22285.619999999981</v>
      </c>
      <c r="J101" s="59">
        <f t="shared" si="15"/>
        <v>807.30000000000121</v>
      </c>
      <c r="K101" s="60">
        <f t="shared" si="10"/>
        <v>3.6225153260263876E-2</v>
      </c>
      <c r="L101" s="59">
        <f t="shared" si="11"/>
        <v>807.30000000000121</v>
      </c>
      <c r="M101" s="60">
        <f t="shared" si="12"/>
        <v>3.6225153260263876E-2</v>
      </c>
      <c r="N101" s="61">
        <v>66068309</v>
      </c>
      <c r="O101" s="61">
        <f t="shared" si="13"/>
        <v>0</v>
      </c>
      <c r="P101" s="62"/>
      <c r="Q101" s="64"/>
      <c r="R101" s="20">
        <f t="shared" si="16"/>
        <v>1</v>
      </c>
      <c r="S101" s="20">
        <f t="shared" si="9"/>
        <v>0</v>
      </c>
      <c r="T101" s="65"/>
    </row>
    <row r="102" spans="1:20" ht="15.75" thickBot="1" x14ac:dyDescent="0.3">
      <c r="A102" s="54">
        <v>44296</v>
      </c>
      <c r="D102" s="56">
        <v>0.14199999999999999</v>
      </c>
      <c r="E102" s="57">
        <v>124.723</v>
      </c>
      <c r="F102" s="58">
        <v>4.5679999999999996</v>
      </c>
      <c r="G102" s="59"/>
      <c r="H102" s="59">
        <v>4140</v>
      </c>
      <c r="I102" s="59">
        <f t="shared" si="14"/>
        <v>20443.320000000011</v>
      </c>
      <c r="J102" s="59">
        <f t="shared" si="15"/>
        <v>819.71999999999798</v>
      </c>
      <c r="K102" s="60">
        <f t="shared" si="10"/>
        <v>4.0097205346293928E-2</v>
      </c>
      <c r="L102" s="59">
        <f t="shared" si="11"/>
        <v>819.71999999999798</v>
      </c>
      <c r="M102" s="60">
        <f t="shared" si="12"/>
        <v>4.0097205346293928E-2</v>
      </c>
      <c r="N102" s="61">
        <v>66068309</v>
      </c>
      <c r="O102" s="61">
        <f t="shared" si="13"/>
        <v>0</v>
      </c>
      <c r="P102" s="62"/>
      <c r="Q102" s="64"/>
      <c r="R102" s="20">
        <f t="shared" si="16"/>
        <v>1</v>
      </c>
      <c r="S102" s="20">
        <f t="shared" si="9"/>
        <v>0</v>
      </c>
      <c r="T102" s="65"/>
    </row>
    <row r="103" spans="1:20" ht="15.75" thickBot="1" x14ac:dyDescent="0.3">
      <c r="A103" s="54">
        <v>44297</v>
      </c>
      <c r="D103" s="56">
        <v>0.14199999999999999</v>
      </c>
      <c r="E103" s="57">
        <v>129.55099999999999</v>
      </c>
      <c r="F103" s="58">
        <v>4.7670000000000003</v>
      </c>
      <c r="G103" s="59"/>
      <c r="H103" s="59">
        <v>4140</v>
      </c>
      <c r="I103" s="59">
        <f>IF(D103="","",+(E103-E102)*4140)</f>
        <v>19987.919999999955</v>
      </c>
      <c r="J103" s="59">
        <f t="shared" si="15"/>
        <v>823.86000000000308</v>
      </c>
      <c r="K103" s="60">
        <f t="shared" si="10"/>
        <v>4.1217895608948049E-2</v>
      </c>
      <c r="L103" s="59">
        <f t="shared" si="11"/>
        <v>823.86000000000308</v>
      </c>
      <c r="M103" s="60">
        <f t="shared" si="12"/>
        <v>4.1217895608948049E-2</v>
      </c>
      <c r="N103" s="61">
        <v>66068309</v>
      </c>
      <c r="O103" s="61">
        <f t="shared" si="13"/>
        <v>0</v>
      </c>
      <c r="P103" s="62"/>
      <c r="Q103" s="63"/>
      <c r="R103" s="20">
        <f t="shared" si="16"/>
        <v>1</v>
      </c>
      <c r="S103" s="20">
        <f t="shared" si="9"/>
        <v>0</v>
      </c>
    </row>
    <row r="104" spans="1:20" ht="15.75" thickBot="1" x14ac:dyDescent="0.3">
      <c r="A104" s="54">
        <v>44298</v>
      </c>
      <c r="D104" s="56">
        <v>0.14199999999999999</v>
      </c>
      <c r="E104" s="57">
        <v>134.613</v>
      </c>
      <c r="F104" s="58">
        <v>4.9690000000000003</v>
      </c>
      <c r="G104" s="59"/>
      <c r="H104" s="59">
        <v>4140</v>
      </c>
      <c r="I104" s="59">
        <f>IF(D104="","",+(E104-E103)*4140)</f>
        <v>20956.680000000048</v>
      </c>
      <c r="J104" s="59">
        <f t="shared" si="15"/>
        <v>836.27999999999986</v>
      </c>
      <c r="K104" s="60">
        <f t="shared" si="10"/>
        <v>3.9905175819833959E-2</v>
      </c>
      <c r="L104" s="59">
        <f t="shared" si="11"/>
        <v>836.27999999999986</v>
      </c>
      <c r="M104" s="60">
        <f t="shared" si="12"/>
        <v>3.9905175819833959E-2</v>
      </c>
      <c r="N104" s="61">
        <v>66068309</v>
      </c>
      <c r="O104" s="61">
        <f t="shared" si="13"/>
        <v>0</v>
      </c>
      <c r="P104" s="62"/>
      <c r="Q104" s="63"/>
      <c r="R104" s="20">
        <f t="shared" si="16"/>
        <v>1</v>
      </c>
      <c r="S104" s="20">
        <f t="shared" si="9"/>
        <v>0</v>
      </c>
    </row>
    <row r="105" spans="1:20" ht="15.75" thickBot="1" x14ac:dyDescent="0.3">
      <c r="A105" s="54">
        <v>44299</v>
      </c>
      <c r="D105" s="56">
        <v>0.14199999999999999</v>
      </c>
      <c r="E105" s="57">
        <v>139.66900000000001</v>
      </c>
      <c r="F105" s="58">
        <v>5.0940000000000003</v>
      </c>
      <c r="G105" s="59"/>
      <c r="H105" s="59">
        <v>4140</v>
      </c>
      <c r="I105" s="59">
        <f t="shared" si="14"/>
        <v>20931.840000000047</v>
      </c>
      <c r="J105" s="59">
        <f t="shared" si="15"/>
        <v>517.5</v>
      </c>
      <c r="K105" s="60">
        <f t="shared" si="10"/>
        <v>2.4723101265822729E-2</v>
      </c>
      <c r="L105" s="59">
        <f t="shared" si="11"/>
        <v>517.5</v>
      </c>
      <c r="M105" s="60">
        <f t="shared" si="12"/>
        <v>2.4723101265822729E-2</v>
      </c>
      <c r="N105" s="61">
        <v>66068309</v>
      </c>
      <c r="O105" s="61">
        <f t="shared" si="13"/>
        <v>0</v>
      </c>
      <c r="P105" s="62"/>
      <c r="Q105" s="64"/>
      <c r="R105" s="20">
        <f t="shared" si="16"/>
        <v>1</v>
      </c>
      <c r="S105" s="20">
        <f t="shared" si="9"/>
        <v>0</v>
      </c>
    </row>
    <row r="106" spans="1:20" ht="15.75" thickBot="1" x14ac:dyDescent="0.3">
      <c r="A106" s="54">
        <v>44300</v>
      </c>
      <c r="D106" s="56">
        <v>0.14199999999999999</v>
      </c>
      <c r="E106" s="57">
        <v>144.506</v>
      </c>
      <c r="F106" s="58">
        <v>5.3319999999999999</v>
      </c>
      <c r="G106" s="59"/>
      <c r="H106" s="59">
        <v>4140</v>
      </c>
      <c r="I106" s="59">
        <f t="shared" si="14"/>
        <v>20025.179999999957</v>
      </c>
      <c r="J106" s="59">
        <f t="shared" si="15"/>
        <v>985.31999999999812</v>
      </c>
      <c r="K106" s="60">
        <f t="shared" si="10"/>
        <v>4.920405209840812E-2</v>
      </c>
      <c r="L106" s="59">
        <f t="shared" si="11"/>
        <v>985.31999999999812</v>
      </c>
      <c r="M106" s="60">
        <f t="shared" si="12"/>
        <v>4.920405209840812E-2</v>
      </c>
      <c r="N106" s="61">
        <v>66068309</v>
      </c>
      <c r="O106" s="61">
        <f t="shared" si="13"/>
        <v>0</v>
      </c>
      <c r="P106" s="62"/>
      <c r="Q106" s="64"/>
      <c r="R106" s="20">
        <f t="shared" si="16"/>
        <v>1</v>
      </c>
      <c r="S106" s="20">
        <f t="shared" si="9"/>
        <v>0</v>
      </c>
      <c r="T106" s="65"/>
    </row>
    <row r="107" spans="1:20" ht="15.75" thickBot="1" x14ac:dyDescent="0.3">
      <c r="A107" s="54">
        <v>44301</v>
      </c>
      <c r="D107" s="56">
        <v>0.14199999999999999</v>
      </c>
      <c r="E107" s="57">
        <v>149.607</v>
      </c>
      <c r="F107" s="58">
        <v>5.5709999999999997</v>
      </c>
      <c r="G107" s="59"/>
      <c r="H107" s="59">
        <v>4140</v>
      </c>
      <c r="I107" s="59">
        <f t="shared" si="14"/>
        <v>21118.139999999996</v>
      </c>
      <c r="J107" s="59">
        <f t="shared" si="15"/>
        <v>989.45999999999947</v>
      </c>
      <c r="K107" s="60">
        <f t="shared" si="10"/>
        <v>4.6853558125857661E-2</v>
      </c>
      <c r="L107" s="59">
        <f t="shared" si="11"/>
        <v>989.45999999999947</v>
      </c>
      <c r="M107" s="60">
        <f t="shared" si="12"/>
        <v>4.6853558125857661E-2</v>
      </c>
      <c r="N107" s="61">
        <v>66068309</v>
      </c>
      <c r="O107" s="61">
        <f t="shared" si="13"/>
        <v>0</v>
      </c>
      <c r="P107" s="62"/>
      <c r="Q107" s="63"/>
      <c r="R107" s="20">
        <f t="shared" si="16"/>
        <v>1</v>
      </c>
      <c r="S107" s="20">
        <f t="shared" si="9"/>
        <v>0</v>
      </c>
      <c r="T107" s="65"/>
    </row>
    <row r="108" spans="1:20" ht="15.75" thickBot="1" x14ac:dyDescent="0.3">
      <c r="A108" s="54">
        <v>44302</v>
      </c>
      <c r="D108" s="56">
        <v>0.14199999999999999</v>
      </c>
      <c r="E108" s="57">
        <v>154.21700000000001</v>
      </c>
      <c r="F108" s="58">
        <v>5.734</v>
      </c>
      <c r="G108" s="59"/>
      <c r="H108" s="59">
        <v>4140</v>
      </c>
      <c r="I108" s="59">
        <f t="shared" si="14"/>
        <v>19085.400000000056</v>
      </c>
      <c r="J108" s="59">
        <f t="shared" si="15"/>
        <v>674.82000000000107</v>
      </c>
      <c r="K108" s="60">
        <f t="shared" si="10"/>
        <v>3.5357917570498866E-2</v>
      </c>
      <c r="L108" s="59">
        <f t="shared" si="11"/>
        <v>674.82000000000107</v>
      </c>
      <c r="M108" s="60">
        <f t="shared" si="12"/>
        <v>3.5357917570498866E-2</v>
      </c>
      <c r="N108" s="61">
        <v>66068309</v>
      </c>
      <c r="O108" s="61">
        <f t="shared" si="13"/>
        <v>0</v>
      </c>
      <c r="P108" s="62"/>
      <c r="Q108" s="63"/>
      <c r="R108" s="20">
        <f t="shared" si="16"/>
        <v>1</v>
      </c>
      <c r="S108" s="20">
        <f t="shared" si="9"/>
        <v>0</v>
      </c>
    </row>
    <row r="109" spans="1:20" ht="15.75" thickBot="1" x14ac:dyDescent="0.3">
      <c r="A109" s="54">
        <v>44303</v>
      </c>
      <c r="D109" s="56">
        <v>0.14199999999999999</v>
      </c>
      <c r="E109" s="57">
        <v>159.87100000000001</v>
      </c>
      <c r="F109" s="58">
        <v>5.9930000000000003</v>
      </c>
      <c r="G109" s="59"/>
      <c r="H109" s="59">
        <v>4140</v>
      </c>
      <c r="I109" s="59">
        <f t="shared" si="14"/>
        <v>23407.559999999983</v>
      </c>
      <c r="J109" s="59">
        <f t="shared" si="15"/>
        <v>1072.2600000000014</v>
      </c>
      <c r="K109" s="60">
        <f t="shared" si="10"/>
        <v>4.5808277325787142E-2</v>
      </c>
      <c r="L109" s="59">
        <f t="shared" si="11"/>
        <v>1072.2600000000014</v>
      </c>
      <c r="M109" s="60">
        <f t="shared" si="12"/>
        <v>4.5808277325787142E-2</v>
      </c>
      <c r="N109" s="61">
        <v>66068309</v>
      </c>
      <c r="O109" s="61">
        <f t="shared" si="13"/>
        <v>0</v>
      </c>
      <c r="P109" s="62"/>
      <c r="Q109" s="63"/>
      <c r="R109" s="20">
        <f t="shared" si="16"/>
        <v>1</v>
      </c>
      <c r="S109" s="20">
        <f t="shared" si="9"/>
        <v>0</v>
      </c>
    </row>
    <row r="110" spans="1:20" ht="15.75" thickBot="1" x14ac:dyDescent="0.3">
      <c r="A110" s="54">
        <v>44304</v>
      </c>
      <c r="D110" s="56">
        <v>0.14199999999999999</v>
      </c>
      <c r="E110" s="57">
        <v>164.57</v>
      </c>
      <c r="F110" s="58">
        <v>6.274</v>
      </c>
      <c r="G110" s="59"/>
      <c r="H110" s="59">
        <v>4140</v>
      </c>
      <c r="I110" s="59">
        <f t="shared" si="14"/>
        <v>19453.859999999931</v>
      </c>
      <c r="J110" s="59">
        <f t="shared" si="15"/>
        <v>1163.3399999999988</v>
      </c>
      <c r="K110" s="60">
        <f t="shared" si="10"/>
        <v>5.9799957437752863E-2</v>
      </c>
      <c r="L110" s="59">
        <f t="shared" si="11"/>
        <v>1163.3399999999988</v>
      </c>
      <c r="M110" s="60">
        <f t="shared" si="12"/>
        <v>5.9799957437752863E-2</v>
      </c>
      <c r="N110" s="61">
        <v>66068309</v>
      </c>
      <c r="O110" s="61">
        <f t="shared" si="13"/>
        <v>0</v>
      </c>
      <c r="P110" s="62"/>
      <c r="Q110" s="104"/>
      <c r="R110" s="20">
        <f t="shared" si="16"/>
        <v>1</v>
      </c>
      <c r="S110" s="20">
        <f t="shared" si="9"/>
        <v>0</v>
      </c>
    </row>
    <row r="111" spans="1:20" ht="15.75" thickBot="1" x14ac:dyDescent="0.3">
      <c r="A111" s="54">
        <v>44305</v>
      </c>
      <c r="D111" s="56">
        <v>0.14199999999999999</v>
      </c>
      <c r="E111" s="57">
        <v>170.108</v>
      </c>
      <c r="F111" s="58">
        <v>6.4720000000000004</v>
      </c>
      <c r="G111" s="59"/>
      <c r="H111" s="59">
        <v>4140</v>
      </c>
      <c r="I111" s="59">
        <f t="shared" si="14"/>
        <v>22927.320000000043</v>
      </c>
      <c r="J111" s="59">
        <f t="shared" si="15"/>
        <v>819.72000000000162</v>
      </c>
      <c r="K111" s="60">
        <f t="shared" si="10"/>
        <v>3.5752979414951251E-2</v>
      </c>
      <c r="L111" s="59">
        <f t="shared" si="11"/>
        <v>819.72000000000162</v>
      </c>
      <c r="M111" s="60">
        <f t="shared" si="12"/>
        <v>3.5752979414951251E-2</v>
      </c>
      <c r="N111" s="61">
        <v>66068309</v>
      </c>
      <c r="O111" s="61">
        <f t="shared" si="13"/>
        <v>0</v>
      </c>
      <c r="P111" s="202" t="s">
        <v>61</v>
      </c>
      <c r="Q111" s="203"/>
      <c r="R111" s="20">
        <f t="shared" si="16"/>
        <v>1</v>
      </c>
      <c r="S111" s="20">
        <f t="shared" si="9"/>
        <v>0</v>
      </c>
      <c r="T111" s="65"/>
    </row>
    <row r="112" spans="1:20" ht="15.75" thickBot="1" x14ac:dyDescent="0.3">
      <c r="A112" s="54">
        <v>44306</v>
      </c>
      <c r="D112" s="56">
        <v>0.14199999999999999</v>
      </c>
      <c r="E112" s="57">
        <v>175.12299999999999</v>
      </c>
      <c r="F112" s="58">
        <v>6.657</v>
      </c>
      <c r="G112" s="59"/>
      <c r="H112" s="59">
        <v>4140</v>
      </c>
      <c r="I112" s="59">
        <f t="shared" si="14"/>
        <v>20762.099999999944</v>
      </c>
      <c r="J112" s="59">
        <f t="shared" si="15"/>
        <v>765.89999999999839</v>
      </c>
      <c r="K112" s="60">
        <f t="shared" si="10"/>
        <v>3.6889332003988057E-2</v>
      </c>
      <c r="L112" s="59">
        <f t="shared" si="11"/>
        <v>765.89999999999839</v>
      </c>
      <c r="M112" s="60">
        <f t="shared" si="12"/>
        <v>3.6889332003988057E-2</v>
      </c>
      <c r="N112" s="61">
        <v>66068309</v>
      </c>
      <c r="O112" s="61">
        <f t="shared" si="13"/>
        <v>0</v>
      </c>
      <c r="P112" s="204"/>
      <c r="Q112" s="205"/>
      <c r="R112" s="20">
        <f t="shared" si="16"/>
        <v>1</v>
      </c>
      <c r="S112" s="20">
        <f t="shared" si="9"/>
        <v>0</v>
      </c>
      <c r="T112" s="65"/>
    </row>
    <row r="113" spans="1:20" ht="15.75" thickBot="1" x14ac:dyDescent="0.3">
      <c r="A113" s="54">
        <v>44307</v>
      </c>
      <c r="D113" s="56">
        <v>0.14199999999999999</v>
      </c>
      <c r="E113" s="57">
        <v>180.16200000000001</v>
      </c>
      <c r="F113" s="58">
        <v>6.8040000000000003</v>
      </c>
      <c r="G113" s="59"/>
      <c r="H113" s="59">
        <v>4140</v>
      </c>
      <c r="I113" s="59">
        <f t="shared" si="14"/>
        <v>20861.460000000065</v>
      </c>
      <c r="J113" s="59">
        <f t="shared" si="15"/>
        <v>608.58000000000095</v>
      </c>
      <c r="K113" s="60">
        <f t="shared" si="10"/>
        <v>2.9172454852153161E-2</v>
      </c>
      <c r="L113" s="59">
        <f t="shared" si="11"/>
        <v>608.58000000000095</v>
      </c>
      <c r="M113" s="60">
        <f t="shared" si="12"/>
        <v>2.9172454852153161E-2</v>
      </c>
      <c r="N113" s="61">
        <v>66068309</v>
      </c>
      <c r="O113" s="61">
        <f t="shared" si="13"/>
        <v>0</v>
      </c>
      <c r="P113" s="69" t="s">
        <v>46</v>
      </c>
      <c r="Q113" s="69" t="s">
        <v>47</v>
      </c>
      <c r="R113" s="20">
        <f t="shared" si="16"/>
        <v>1</v>
      </c>
      <c r="S113" s="20">
        <f t="shared" si="9"/>
        <v>0</v>
      </c>
    </row>
    <row r="114" spans="1:20" ht="15.75" thickBot="1" x14ac:dyDescent="0.3">
      <c r="A114" s="54">
        <v>44308</v>
      </c>
      <c r="D114" s="56">
        <v>0.14199999999999999</v>
      </c>
      <c r="E114" s="57">
        <v>185.22200000000001</v>
      </c>
      <c r="F114" s="58">
        <v>7.0170000000000003</v>
      </c>
      <c r="G114" s="59"/>
      <c r="H114" s="59">
        <v>4140</v>
      </c>
      <c r="I114" s="59">
        <f t="shared" si="14"/>
        <v>20948.400000000009</v>
      </c>
      <c r="J114" s="59">
        <f t="shared" si="15"/>
        <v>881.82000000000028</v>
      </c>
      <c r="K114" s="60">
        <f t="shared" si="10"/>
        <v>4.2094861660079044E-2</v>
      </c>
      <c r="L114" s="59">
        <f t="shared" si="11"/>
        <v>881.82000000000028</v>
      </c>
      <c r="M114" s="60">
        <f t="shared" si="12"/>
        <v>4.2094861660079044E-2</v>
      </c>
      <c r="N114" s="61">
        <v>66068309</v>
      </c>
      <c r="O114" s="61">
        <f t="shared" si="13"/>
        <v>0</v>
      </c>
      <c r="P114" s="70">
        <f>IF(J94="",0,+SUM(J94:J123)/SUM(I94:I123))</f>
        <v>4.0658511789591067E-2</v>
      </c>
      <c r="Q114" s="70">
        <f>IF(L94="",0,+SUM(L94:L123)/SUM(I94:I123))</f>
        <v>4.0658511789591067E-2</v>
      </c>
      <c r="R114" s="20">
        <f t="shared" si="16"/>
        <v>1</v>
      </c>
      <c r="S114" s="20">
        <f t="shared" si="9"/>
        <v>0</v>
      </c>
    </row>
    <row r="115" spans="1:20" ht="15.75" thickBot="1" x14ac:dyDescent="0.3">
      <c r="A115" s="54">
        <v>44309</v>
      </c>
      <c r="D115" s="56">
        <v>0.14199999999999999</v>
      </c>
      <c r="E115" s="57">
        <v>190.05699999999999</v>
      </c>
      <c r="F115" s="58">
        <v>7.2220000000000004</v>
      </c>
      <c r="G115" s="59"/>
      <c r="H115" s="59">
        <v>4140</v>
      </c>
      <c r="I115" s="59">
        <f t="shared" si="14"/>
        <v>20016.899999999914</v>
      </c>
      <c r="J115" s="59">
        <f t="shared" si="15"/>
        <v>848.70000000000027</v>
      </c>
      <c r="K115" s="60">
        <f t="shared" si="10"/>
        <v>4.2399172699069482E-2</v>
      </c>
      <c r="L115" s="59">
        <f t="shared" si="11"/>
        <v>848.70000000000027</v>
      </c>
      <c r="M115" s="60">
        <f t="shared" si="12"/>
        <v>4.2399172699069482E-2</v>
      </c>
      <c r="N115" s="61">
        <v>66068309</v>
      </c>
      <c r="O115" s="61">
        <f t="shared" si="13"/>
        <v>0</v>
      </c>
      <c r="P115" s="71" t="e">
        <f>IF(J94="",0,+(+(LOOKUP(9.99999999999999E+307,E94:E123)-E93))/(+(LOOKUP(9.99999999999999E+307,D94:D123)-D93)))</f>
        <v>#DIV/0!</v>
      </c>
      <c r="Q115" s="71" t="e">
        <f>IF(L94="",0,+(+(LOOKUP(9.99999999999999E+307,F94:F123)-F93))/(+(LOOKUP(9.99999999999999E+307,D94:D123)-D93)))</f>
        <v>#DIV/0!</v>
      </c>
      <c r="R115" s="20">
        <f t="shared" si="16"/>
        <v>1</v>
      </c>
      <c r="S115" s="20">
        <f t="shared" si="9"/>
        <v>0</v>
      </c>
      <c r="T115" s="65"/>
    </row>
    <row r="116" spans="1:20" ht="15.75" thickBot="1" x14ac:dyDescent="0.3">
      <c r="A116" s="54">
        <v>44310</v>
      </c>
      <c r="D116" s="56">
        <v>0.14199999999999999</v>
      </c>
      <c r="E116" s="57">
        <v>194.99299999999999</v>
      </c>
      <c r="F116" s="58">
        <v>7.6040000000000001</v>
      </c>
      <c r="G116" s="59"/>
      <c r="H116" s="59">
        <v>4140</v>
      </c>
      <c r="I116" s="59">
        <f>IF(D116="","",+(E116-E115)*4140)</f>
        <v>20435.04000000003</v>
      </c>
      <c r="J116" s="59">
        <f>IF(E116="","",+(F116-F115)*4140)</f>
        <v>1581.4799999999987</v>
      </c>
      <c r="K116" s="60">
        <f t="shared" si="10"/>
        <v>7.7390599675850713E-2</v>
      </c>
      <c r="L116" s="59">
        <f t="shared" si="11"/>
        <v>1581.4799999999987</v>
      </c>
      <c r="M116" s="60">
        <f t="shared" si="12"/>
        <v>7.7390599675850713E-2</v>
      </c>
      <c r="N116" s="61">
        <v>66068309</v>
      </c>
      <c r="O116" s="61">
        <f t="shared" si="13"/>
        <v>0</v>
      </c>
      <c r="P116" s="72" t="s">
        <v>48</v>
      </c>
      <c r="Q116" s="73" t="s">
        <v>49</v>
      </c>
      <c r="R116" s="20">
        <f t="shared" si="16"/>
        <v>1</v>
      </c>
      <c r="S116" s="20">
        <f t="shared" si="9"/>
        <v>0</v>
      </c>
      <c r="T116" s="65"/>
    </row>
    <row r="117" spans="1:20" ht="15.75" thickBot="1" x14ac:dyDescent="0.3">
      <c r="A117" s="54">
        <v>44311</v>
      </c>
      <c r="D117" s="56">
        <v>0.14199999999999999</v>
      </c>
      <c r="E117" s="57">
        <v>199.8</v>
      </c>
      <c r="F117" s="58">
        <v>7.4109999999999996</v>
      </c>
      <c r="G117" s="59"/>
      <c r="H117" s="59">
        <v>4140</v>
      </c>
      <c r="I117" s="59">
        <f>IF(D117="","",+(E117-E116)*4140)</f>
        <v>19900.980000000069</v>
      </c>
      <c r="J117" s="59">
        <f>IF(E117="","",+(F117-F116)*4140)</f>
        <v>-799.02000000000214</v>
      </c>
      <c r="K117" s="60">
        <f t="shared" si="10"/>
        <v>-4.0149781568545838E-2</v>
      </c>
      <c r="L117" s="59">
        <f t="shared" si="11"/>
        <v>-799.02000000000214</v>
      </c>
      <c r="M117" s="60">
        <f t="shared" si="12"/>
        <v>-4.0149781568545838E-2</v>
      </c>
      <c r="N117" s="61">
        <v>66068309</v>
      </c>
      <c r="O117" s="61">
        <f t="shared" si="13"/>
        <v>0</v>
      </c>
      <c r="P117" s="74">
        <f>IF(N93="",0,+(LOOKUP(9.99999999999999E+307,N93:N123)-N93))</f>
        <v>0</v>
      </c>
      <c r="Q117" s="75">
        <f>IF(P117="",0,+P117/SUM(R94:R123))</f>
        <v>0</v>
      </c>
      <c r="R117" s="20">
        <f t="shared" si="16"/>
        <v>1</v>
      </c>
      <c r="S117" s="20">
        <f t="shared" si="9"/>
        <v>0</v>
      </c>
      <c r="T117" s="65"/>
    </row>
    <row r="118" spans="1:20" ht="15.75" thickBot="1" x14ac:dyDescent="0.3">
      <c r="A118" s="54">
        <v>44312</v>
      </c>
      <c r="D118" s="56">
        <v>0.14199999999999999</v>
      </c>
      <c r="E118" s="57">
        <v>204.8</v>
      </c>
      <c r="F118" s="58">
        <v>7.8280000000000003</v>
      </c>
      <c r="G118" s="59"/>
      <c r="H118" s="59">
        <v>4140</v>
      </c>
      <c r="I118" s="59">
        <f>IF(D118="","",+(E118-E117)*4140)</f>
        <v>20700</v>
      </c>
      <c r="J118" s="59">
        <f t="shared" si="15"/>
        <v>1726.3800000000028</v>
      </c>
      <c r="K118" s="60">
        <f t="shared" si="10"/>
        <v>8.3400000000000141E-2</v>
      </c>
      <c r="L118" s="59">
        <f t="shared" si="11"/>
        <v>1726.3800000000028</v>
      </c>
      <c r="M118" s="60">
        <f t="shared" si="12"/>
        <v>8.3400000000000141E-2</v>
      </c>
      <c r="N118" s="61">
        <v>66068309</v>
      </c>
      <c r="O118" s="61">
        <f t="shared" si="13"/>
        <v>0</v>
      </c>
      <c r="P118" s="76" t="s">
        <v>50</v>
      </c>
      <c r="Q118" s="77" t="s">
        <v>58</v>
      </c>
      <c r="R118" s="20">
        <f t="shared" si="16"/>
        <v>1</v>
      </c>
      <c r="S118" s="20">
        <f t="shared" si="9"/>
        <v>0</v>
      </c>
      <c r="T118" s="65"/>
    </row>
    <row r="119" spans="1:20" ht="15.75" thickBot="1" x14ac:dyDescent="0.3">
      <c r="A119" s="54">
        <v>44313</v>
      </c>
      <c r="D119" s="56">
        <v>0.14199999999999999</v>
      </c>
      <c r="E119" s="57">
        <v>209.70599999999999</v>
      </c>
      <c r="F119" s="58">
        <v>7.99</v>
      </c>
      <c r="G119" s="59"/>
      <c r="H119" s="59">
        <v>4140</v>
      </c>
      <c r="I119" s="59">
        <f t="shared" si="14"/>
        <v>20310.839999999906</v>
      </c>
      <c r="J119" s="59">
        <f t="shared" si="15"/>
        <v>670.67999999999972</v>
      </c>
      <c r="K119" s="60">
        <f t="shared" si="10"/>
        <v>3.3020790868324643E-2</v>
      </c>
      <c r="L119" s="59">
        <f t="shared" si="11"/>
        <v>670.67999999999972</v>
      </c>
      <c r="M119" s="60">
        <f t="shared" si="12"/>
        <v>3.3020790868324643E-2</v>
      </c>
      <c r="N119" s="61">
        <v>66068309</v>
      </c>
      <c r="O119" s="61">
        <f t="shared" si="13"/>
        <v>0</v>
      </c>
      <c r="P119" s="78">
        <f>IF(D93="",0,+(LOOKUP(9.99999999999999E+307,D93:D123)-D93))*4140</f>
        <v>0</v>
      </c>
      <c r="Q119" s="79">
        <f>IF(P119="",0,+P119/SUM(R94:R123))</f>
        <v>0</v>
      </c>
      <c r="R119" s="20">
        <f t="shared" si="16"/>
        <v>1</v>
      </c>
      <c r="S119" s="20">
        <f t="shared" si="9"/>
        <v>0</v>
      </c>
    </row>
    <row r="120" spans="1:20" ht="15.75" thickBot="1" x14ac:dyDescent="0.3">
      <c r="A120" s="54">
        <v>44314</v>
      </c>
      <c r="D120" s="56">
        <v>0.14199999999999999</v>
      </c>
      <c r="E120" s="57">
        <v>214.78899999999999</v>
      </c>
      <c r="F120" s="58">
        <v>8.1790000000000003</v>
      </c>
      <c r="G120" s="59"/>
      <c r="H120" s="59">
        <v>4140</v>
      </c>
      <c r="I120" s="59">
        <f t="shared" si="14"/>
        <v>21043.619999999992</v>
      </c>
      <c r="J120" s="59">
        <f t="shared" si="15"/>
        <v>782.46000000000026</v>
      </c>
      <c r="K120" s="60">
        <f t="shared" si="10"/>
        <v>3.7182766083021866E-2</v>
      </c>
      <c r="L120" s="59">
        <f t="shared" si="11"/>
        <v>782.46000000000026</v>
      </c>
      <c r="M120" s="60">
        <f t="shared" si="12"/>
        <v>3.7182766083021866E-2</v>
      </c>
      <c r="N120" s="61">
        <v>66068309</v>
      </c>
      <c r="O120" s="61">
        <f t="shared" si="13"/>
        <v>0</v>
      </c>
      <c r="P120" s="80" t="s">
        <v>52</v>
      </c>
      <c r="Q120" s="81" t="s">
        <v>59</v>
      </c>
      <c r="R120" s="20">
        <f t="shared" si="16"/>
        <v>1</v>
      </c>
      <c r="S120" s="20">
        <f t="shared" si="9"/>
        <v>0</v>
      </c>
    </row>
    <row r="121" spans="1:20" ht="15.75" thickBot="1" x14ac:dyDescent="0.3">
      <c r="A121" s="54">
        <v>44315</v>
      </c>
      <c r="D121" s="56">
        <v>0.14199999999999999</v>
      </c>
      <c r="E121" s="57">
        <v>220.12299999999999</v>
      </c>
      <c r="F121" s="58">
        <v>8.4190000000000005</v>
      </c>
      <c r="G121" s="59"/>
      <c r="H121" s="59">
        <v>4140</v>
      </c>
      <c r="I121" s="59">
        <f t="shared" si="14"/>
        <v>22082.760000000013</v>
      </c>
      <c r="J121" s="59">
        <f t="shared" si="15"/>
        <v>993.60000000000093</v>
      </c>
      <c r="K121" s="60">
        <f t="shared" si="10"/>
        <v>4.4994375703037139E-2</v>
      </c>
      <c r="L121" s="59">
        <f t="shared" si="11"/>
        <v>993.60000000000093</v>
      </c>
      <c r="M121" s="60">
        <f t="shared" si="12"/>
        <v>4.4994375703037139E-2</v>
      </c>
      <c r="N121" s="61">
        <v>66068309</v>
      </c>
      <c r="O121" s="61">
        <f t="shared" si="13"/>
        <v>0</v>
      </c>
      <c r="P121" s="82">
        <f>P119*Q124</f>
        <v>0</v>
      </c>
      <c r="Q121" s="83" t="e">
        <f>IF(Q34="",0,(SUM('[1]Günlük Tüketim'!H94:H123)*1.62)/SUM(O94:O123))</f>
        <v>#DIV/0!</v>
      </c>
      <c r="R121" s="20">
        <f t="shared" si="16"/>
        <v>1</v>
      </c>
      <c r="S121" s="20">
        <f t="shared" si="9"/>
        <v>0</v>
      </c>
      <c r="T121" s="65"/>
    </row>
    <row r="122" spans="1:20" ht="15.75" thickBot="1" x14ac:dyDescent="0.3">
      <c r="A122" s="54">
        <v>44316</v>
      </c>
      <c r="D122" s="56">
        <v>0.14199999999999999</v>
      </c>
      <c r="E122" s="57">
        <v>225.06100000000001</v>
      </c>
      <c r="F122" s="58">
        <v>8.6669999999999998</v>
      </c>
      <c r="G122" s="59"/>
      <c r="H122" s="59">
        <v>4140</v>
      </c>
      <c r="I122" s="59">
        <f t="shared" si="14"/>
        <v>20443.320000000069</v>
      </c>
      <c r="J122" s="59">
        <f t="shared" si="15"/>
        <v>1026.7199999999973</v>
      </c>
      <c r="K122" s="60">
        <f t="shared" si="10"/>
        <v>5.0222762251923556E-2</v>
      </c>
      <c r="L122" s="59">
        <f t="shared" si="11"/>
        <v>1026.7199999999973</v>
      </c>
      <c r="M122" s="60">
        <f t="shared" si="12"/>
        <v>5.0222762251923556E-2</v>
      </c>
      <c r="N122" s="61">
        <v>66068309</v>
      </c>
      <c r="O122" s="61">
        <f t="shared" si="13"/>
        <v>0</v>
      </c>
      <c r="P122" s="85" t="s">
        <v>54</v>
      </c>
      <c r="Q122" s="86" t="s">
        <v>55</v>
      </c>
      <c r="R122" s="20">
        <f t="shared" si="16"/>
        <v>1</v>
      </c>
      <c r="S122" s="20">
        <f t="shared" si="9"/>
        <v>0</v>
      </c>
      <c r="T122" s="65"/>
    </row>
    <row r="123" spans="1:20" ht="15.75" thickBot="1" x14ac:dyDescent="0.3">
      <c r="A123" s="54">
        <v>44317</v>
      </c>
      <c r="D123" s="56">
        <v>0.14199999999999999</v>
      </c>
      <c r="E123" s="57">
        <v>230.29499999999999</v>
      </c>
      <c r="F123" s="58">
        <v>8.9</v>
      </c>
      <c r="G123" s="90"/>
      <c r="H123" s="59">
        <v>4140</v>
      </c>
      <c r="I123" s="59">
        <f t="shared" si="14"/>
        <v>21668.759999999918</v>
      </c>
      <c r="J123" s="59">
        <f t="shared" si="15"/>
        <v>964.62000000000228</v>
      </c>
      <c r="K123" s="60">
        <f t="shared" si="10"/>
        <v>4.4516622086358697E-2</v>
      </c>
      <c r="L123" s="59">
        <f t="shared" si="11"/>
        <v>964.62000000000228</v>
      </c>
      <c r="M123" s="60">
        <f t="shared" si="12"/>
        <v>4.4516622086358697E-2</v>
      </c>
      <c r="N123" s="92">
        <v>66068309</v>
      </c>
      <c r="O123" s="93">
        <f t="shared" si="13"/>
        <v>0</v>
      </c>
      <c r="P123" s="94">
        <f>(P121+Q119*SUM(S94:S123)*Q124)</f>
        <v>0</v>
      </c>
      <c r="Q123" s="95">
        <f>Q119*30</f>
        <v>0</v>
      </c>
      <c r="R123" s="20">
        <f t="shared" si="16"/>
        <v>1</v>
      </c>
      <c r="S123" s="20">
        <f t="shared" si="9"/>
        <v>0</v>
      </c>
    </row>
    <row r="124" spans="1:20" ht="15.75" thickBot="1" x14ac:dyDescent="0.3">
      <c r="A124" s="54">
        <v>44318</v>
      </c>
      <c r="D124" s="56">
        <v>0.14199999999999999</v>
      </c>
      <c r="E124" s="57">
        <v>235.566</v>
      </c>
      <c r="F124" s="58">
        <v>9.0809999999999995</v>
      </c>
      <c r="G124" s="59"/>
      <c r="H124" s="59">
        <v>4140</v>
      </c>
      <c r="I124" s="59">
        <f t="shared" si="14"/>
        <v>21821.940000000061</v>
      </c>
      <c r="J124" s="59">
        <f t="shared" si="15"/>
        <v>749.33999999999651</v>
      </c>
      <c r="K124" s="60">
        <f t="shared" si="10"/>
        <v>3.433883513564763E-2</v>
      </c>
      <c r="L124" s="59">
        <f t="shared" si="11"/>
        <v>749.33999999999651</v>
      </c>
      <c r="M124" s="60">
        <f t="shared" si="12"/>
        <v>3.433883513564763E-2</v>
      </c>
      <c r="N124" s="61">
        <v>66068309</v>
      </c>
      <c r="O124" s="61">
        <f t="shared" si="13"/>
        <v>0</v>
      </c>
      <c r="P124" s="96" t="s">
        <v>56</v>
      </c>
      <c r="Q124" s="97">
        <v>0.56999999999999995</v>
      </c>
      <c r="R124" s="20">
        <f t="shared" si="16"/>
        <v>1</v>
      </c>
      <c r="S124" s="20">
        <f t="shared" si="9"/>
        <v>0</v>
      </c>
    </row>
    <row r="125" spans="1:20" ht="15.75" thickBot="1" x14ac:dyDescent="0.3">
      <c r="A125" s="54">
        <v>44319</v>
      </c>
      <c r="D125" s="56">
        <v>0.14199999999999999</v>
      </c>
      <c r="E125" s="57">
        <v>240.71600000000001</v>
      </c>
      <c r="F125" s="58">
        <v>9.2680000000000007</v>
      </c>
      <c r="G125" s="59"/>
      <c r="H125" s="59">
        <v>4140</v>
      </c>
      <c r="I125" s="59">
        <f t="shared" si="14"/>
        <v>21321.000000000022</v>
      </c>
      <c r="J125" s="59">
        <f t="shared" si="15"/>
        <v>774.18000000000484</v>
      </c>
      <c r="K125" s="60">
        <f t="shared" si="10"/>
        <v>3.6310679611650673E-2</v>
      </c>
      <c r="L125" s="59">
        <f t="shared" si="11"/>
        <v>774.18000000000484</v>
      </c>
      <c r="M125" s="60">
        <f t="shared" si="12"/>
        <v>3.6310679611650673E-2</v>
      </c>
      <c r="N125" s="61">
        <v>66068309</v>
      </c>
      <c r="O125" s="61">
        <f t="shared" si="13"/>
        <v>0</v>
      </c>
      <c r="P125" s="62"/>
      <c r="Q125" s="104"/>
      <c r="R125" s="20">
        <f t="shared" si="16"/>
        <v>1</v>
      </c>
      <c r="S125" s="20">
        <f t="shared" si="9"/>
        <v>0</v>
      </c>
    </row>
    <row r="126" spans="1:20" ht="15.75" thickBot="1" x14ac:dyDescent="0.3">
      <c r="A126" s="54">
        <v>44320</v>
      </c>
      <c r="D126" s="56">
        <v>0.14199999999999999</v>
      </c>
      <c r="E126" s="57">
        <v>245.99700000000001</v>
      </c>
      <c r="F126" s="58">
        <v>9.4809999999999999</v>
      </c>
      <c r="G126" s="59"/>
      <c r="H126" s="59">
        <v>4140</v>
      </c>
      <c r="I126" s="59">
        <f t="shared" si="14"/>
        <v>21863.340000000026</v>
      </c>
      <c r="J126" s="59">
        <f t="shared" si="15"/>
        <v>881.81999999999664</v>
      </c>
      <c r="K126" s="60">
        <f t="shared" si="10"/>
        <v>4.0333270213974426E-2</v>
      </c>
      <c r="L126" s="59">
        <f t="shared" si="11"/>
        <v>881.81999999999664</v>
      </c>
      <c r="M126" s="60">
        <f t="shared" si="12"/>
        <v>4.0333270213974426E-2</v>
      </c>
      <c r="N126" s="61">
        <v>66068309</v>
      </c>
      <c r="O126" s="61">
        <f t="shared" si="13"/>
        <v>0</v>
      </c>
      <c r="P126" s="100"/>
      <c r="Q126" s="101"/>
      <c r="R126" s="20">
        <f t="shared" si="16"/>
        <v>1</v>
      </c>
      <c r="S126" s="20">
        <f t="shared" si="9"/>
        <v>0</v>
      </c>
      <c r="T126" s="65"/>
    </row>
    <row r="127" spans="1:20" ht="15.75" thickBot="1" x14ac:dyDescent="0.3">
      <c r="A127" s="54">
        <v>44321</v>
      </c>
      <c r="D127" s="56">
        <v>0.14199999999999999</v>
      </c>
      <c r="E127" s="57">
        <v>251.00700000000001</v>
      </c>
      <c r="F127" s="58">
        <v>9.673</v>
      </c>
      <c r="G127" s="59"/>
      <c r="H127" s="59">
        <v>4140</v>
      </c>
      <c r="I127" s="59">
        <f t="shared" si="14"/>
        <v>20741.399999999961</v>
      </c>
      <c r="J127" s="59">
        <f t="shared" si="15"/>
        <v>794.88000000000068</v>
      </c>
      <c r="K127" s="60">
        <f t="shared" si="10"/>
        <v>3.8323353293413277E-2</v>
      </c>
      <c r="L127" s="59">
        <f t="shared" si="11"/>
        <v>794.88000000000068</v>
      </c>
      <c r="M127" s="60">
        <f t="shared" si="12"/>
        <v>3.8323353293413277E-2</v>
      </c>
      <c r="N127" s="61">
        <v>66068309</v>
      </c>
      <c r="O127" s="61">
        <f t="shared" si="13"/>
        <v>0</v>
      </c>
      <c r="P127" s="102"/>
      <c r="Q127" s="103"/>
      <c r="R127" s="20">
        <f t="shared" si="16"/>
        <v>1</v>
      </c>
      <c r="S127" s="20">
        <f t="shared" si="9"/>
        <v>0</v>
      </c>
      <c r="T127" s="65"/>
    </row>
    <row r="128" spans="1:20" ht="15.75" thickBot="1" x14ac:dyDescent="0.3">
      <c r="A128" s="54">
        <v>44322</v>
      </c>
      <c r="D128" s="56">
        <v>0.14199999999999999</v>
      </c>
      <c r="E128" s="57">
        <v>255.94300000000001</v>
      </c>
      <c r="F128" s="58">
        <v>9.9130000000000003</v>
      </c>
      <c r="G128" s="59"/>
      <c r="H128" s="59">
        <v>4140</v>
      </c>
      <c r="I128" s="59">
        <f t="shared" si="14"/>
        <v>20435.04000000003</v>
      </c>
      <c r="J128" s="59">
        <f t="shared" si="15"/>
        <v>993.60000000000093</v>
      </c>
      <c r="K128" s="60">
        <f t="shared" si="10"/>
        <v>4.8622366288492681E-2</v>
      </c>
      <c r="L128" s="59">
        <f t="shared" si="11"/>
        <v>993.60000000000093</v>
      </c>
      <c r="M128" s="60">
        <f t="shared" si="12"/>
        <v>4.8622366288492681E-2</v>
      </c>
      <c r="N128" s="61">
        <v>66068309</v>
      </c>
      <c r="O128" s="61">
        <f t="shared" si="13"/>
        <v>0</v>
      </c>
      <c r="P128" s="102"/>
      <c r="Q128" s="101"/>
      <c r="R128" s="20">
        <f t="shared" si="16"/>
        <v>1</v>
      </c>
      <c r="S128" s="20">
        <f t="shared" si="9"/>
        <v>0</v>
      </c>
    </row>
    <row r="129" spans="1:20" ht="15.75" thickBot="1" x14ac:dyDescent="0.3">
      <c r="A129" s="54">
        <v>44323</v>
      </c>
      <c r="D129" s="56">
        <v>0.14199999999999999</v>
      </c>
      <c r="E129" s="57">
        <v>261.34899999999999</v>
      </c>
      <c r="F129" s="58">
        <v>10.148</v>
      </c>
      <c r="G129" s="59"/>
      <c r="H129" s="59">
        <v>4140</v>
      </c>
      <c r="I129" s="59">
        <f t="shared" si="14"/>
        <v>22380.839999999906</v>
      </c>
      <c r="J129" s="59">
        <f t="shared" si="15"/>
        <v>972.89999999999759</v>
      </c>
      <c r="K129" s="60">
        <f t="shared" si="10"/>
        <v>4.3470218275989715E-2</v>
      </c>
      <c r="L129" s="59">
        <f t="shared" si="11"/>
        <v>972.89999999999759</v>
      </c>
      <c r="M129" s="60">
        <f t="shared" si="12"/>
        <v>4.3470218275989715E-2</v>
      </c>
      <c r="N129" s="61">
        <v>66068309</v>
      </c>
      <c r="O129" s="61">
        <f t="shared" si="13"/>
        <v>0</v>
      </c>
      <c r="P129" s="62"/>
      <c r="Q129" s="63"/>
      <c r="R129" s="20">
        <f t="shared" si="16"/>
        <v>1</v>
      </c>
      <c r="S129" s="20">
        <f t="shared" si="9"/>
        <v>0</v>
      </c>
    </row>
    <row r="130" spans="1:20" ht="15.75" thickBot="1" x14ac:dyDescent="0.3">
      <c r="A130" s="54">
        <v>44324</v>
      </c>
      <c r="D130" s="56">
        <v>0.14199999999999999</v>
      </c>
      <c r="E130" s="57">
        <v>266.37400000000002</v>
      </c>
      <c r="F130" s="58">
        <v>10.279</v>
      </c>
      <c r="G130" s="59"/>
      <c r="H130" s="59">
        <v>4140</v>
      </c>
      <c r="I130" s="59">
        <f t="shared" si="14"/>
        <v>20803.500000000142</v>
      </c>
      <c r="J130" s="59">
        <f t="shared" si="15"/>
        <v>542.34000000000094</v>
      </c>
      <c r="K130" s="60">
        <f t="shared" si="10"/>
        <v>2.6069651741293401E-2</v>
      </c>
      <c r="L130" s="59">
        <f t="shared" si="11"/>
        <v>542.34000000000094</v>
      </c>
      <c r="M130" s="60">
        <f t="shared" si="12"/>
        <v>2.6069651741293401E-2</v>
      </c>
      <c r="N130" s="61">
        <v>66068309</v>
      </c>
      <c r="O130" s="61">
        <f t="shared" si="13"/>
        <v>0</v>
      </c>
      <c r="P130" s="62"/>
      <c r="Q130" s="63"/>
      <c r="R130" s="20">
        <f t="shared" si="16"/>
        <v>1</v>
      </c>
      <c r="S130" s="20">
        <f t="shared" si="9"/>
        <v>0</v>
      </c>
    </row>
    <row r="131" spans="1:20" ht="15.75" thickBot="1" x14ac:dyDescent="0.3">
      <c r="A131" s="54">
        <v>44325</v>
      </c>
      <c r="D131" s="56">
        <v>0.14199999999999999</v>
      </c>
      <c r="E131" s="57">
        <v>270.89100000000002</v>
      </c>
      <c r="F131" s="58">
        <v>10.429</v>
      </c>
      <c r="G131" s="59"/>
      <c r="H131" s="59">
        <v>4140</v>
      </c>
      <c r="I131" s="59">
        <f t="shared" si="14"/>
        <v>18700.379999999983</v>
      </c>
      <c r="J131" s="59">
        <f t="shared" si="15"/>
        <v>621.00000000000148</v>
      </c>
      <c r="K131" s="60">
        <f t="shared" si="10"/>
        <v>3.32078813371708E-2</v>
      </c>
      <c r="L131" s="59">
        <f t="shared" si="11"/>
        <v>621.00000000000148</v>
      </c>
      <c r="M131" s="60">
        <f t="shared" si="12"/>
        <v>3.32078813371708E-2</v>
      </c>
      <c r="N131" s="61">
        <v>66068309</v>
      </c>
      <c r="O131" s="61">
        <f t="shared" si="13"/>
        <v>0</v>
      </c>
      <c r="P131" s="62"/>
      <c r="Q131" s="64"/>
      <c r="R131" s="20">
        <f t="shared" si="16"/>
        <v>1</v>
      </c>
      <c r="S131" s="20">
        <f t="shared" si="9"/>
        <v>0</v>
      </c>
      <c r="T131" s="65"/>
    </row>
    <row r="132" spans="1:20" ht="15.75" thickBot="1" x14ac:dyDescent="0.3">
      <c r="A132" s="54">
        <v>44326</v>
      </c>
      <c r="D132" s="56">
        <v>0.14199999999999999</v>
      </c>
      <c r="E132" s="57">
        <v>275.59699999999998</v>
      </c>
      <c r="F132" s="58">
        <v>10.613</v>
      </c>
      <c r="G132" s="59"/>
      <c r="H132" s="59">
        <v>4140</v>
      </c>
      <c r="I132" s="59">
        <f t="shared" si="14"/>
        <v>19482.839999999836</v>
      </c>
      <c r="J132" s="59">
        <f t="shared" si="15"/>
        <v>761.75999999999704</v>
      </c>
      <c r="K132" s="60">
        <f t="shared" si="10"/>
        <v>3.9099022524437067E-2</v>
      </c>
      <c r="L132" s="59">
        <f t="shared" si="11"/>
        <v>761.75999999999704</v>
      </c>
      <c r="M132" s="60">
        <f t="shared" si="12"/>
        <v>3.9099022524437067E-2</v>
      </c>
      <c r="N132" s="61">
        <v>66068309</v>
      </c>
      <c r="O132" s="61">
        <f>IF(N132="","",N132-N131)</f>
        <v>0</v>
      </c>
      <c r="P132" s="62"/>
      <c r="Q132" s="64"/>
      <c r="R132" s="20">
        <f t="shared" si="16"/>
        <v>1</v>
      </c>
      <c r="S132" s="20">
        <f t="shared" si="9"/>
        <v>0</v>
      </c>
      <c r="T132" s="65"/>
    </row>
    <row r="133" spans="1:20" ht="15.75" thickBot="1" x14ac:dyDescent="0.3">
      <c r="A133" s="54">
        <v>44327</v>
      </c>
      <c r="D133" s="56">
        <v>0.14199999999999999</v>
      </c>
      <c r="E133" s="57">
        <v>280.60500000000002</v>
      </c>
      <c r="F133" s="58">
        <v>10.787000000000001</v>
      </c>
      <c r="G133" s="59"/>
      <c r="H133" s="59">
        <v>4140</v>
      </c>
      <c r="I133" s="59">
        <f t="shared" si="14"/>
        <v>20733.120000000159</v>
      </c>
      <c r="J133" s="59">
        <f t="shared" si="15"/>
        <v>720.36000000000524</v>
      </c>
      <c r="K133" s="60">
        <f t="shared" si="10"/>
        <v>3.4744408945686887E-2</v>
      </c>
      <c r="L133" s="59">
        <f t="shared" si="11"/>
        <v>720.36000000000524</v>
      </c>
      <c r="M133" s="60">
        <f t="shared" si="12"/>
        <v>3.4744408945686887E-2</v>
      </c>
      <c r="N133" s="61">
        <v>66068309</v>
      </c>
      <c r="O133" s="61">
        <f>IF(N133="","",N133-N132)</f>
        <v>0</v>
      </c>
      <c r="P133" s="62"/>
      <c r="Q133" s="64"/>
      <c r="R133" s="20">
        <f t="shared" si="16"/>
        <v>1</v>
      </c>
      <c r="S133" s="20">
        <f t="shared" si="9"/>
        <v>0</v>
      </c>
    </row>
    <row r="134" spans="1:20" ht="15.75" thickBot="1" x14ac:dyDescent="0.3">
      <c r="A134" s="54">
        <v>44328</v>
      </c>
      <c r="D134" s="56">
        <v>0.14199999999999999</v>
      </c>
      <c r="E134" s="57">
        <v>285.303</v>
      </c>
      <c r="F134" s="58">
        <v>10.965999999999999</v>
      </c>
      <c r="G134" s="59"/>
      <c r="H134" s="59">
        <v>4140</v>
      </c>
      <c r="I134" s="59">
        <f t="shared" si="14"/>
        <v>19449.719999999914</v>
      </c>
      <c r="J134" s="59">
        <f t="shared" si="15"/>
        <v>741.05999999999381</v>
      </c>
      <c r="K134" s="60">
        <f t="shared" si="10"/>
        <v>3.8101319710514961E-2</v>
      </c>
      <c r="L134" s="59">
        <f t="shared" si="11"/>
        <v>741.05999999999381</v>
      </c>
      <c r="M134" s="60">
        <f t="shared" si="12"/>
        <v>3.8101319710514961E-2</v>
      </c>
      <c r="N134" s="61">
        <v>66068309</v>
      </c>
      <c r="O134" s="61">
        <f t="shared" ref="O134:O197" si="17">IF(N134="","",N134-N133)</f>
        <v>0</v>
      </c>
      <c r="P134" s="62"/>
      <c r="Q134" s="63"/>
      <c r="R134" s="20">
        <f t="shared" si="16"/>
        <v>1</v>
      </c>
      <c r="S134" s="20">
        <f t="shared" si="9"/>
        <v>0</v>
      </c>
    </row>
    <row r="135" spans="1:20" ht="15.75" thickBot="1" x14ac:dyDescent="0.3">
      <c r="A135" s="54">
        <v>44329</v>
      </c>
      <c r="D135" s="56">
        <v>0.14199999999999999</v>
      </c>
      <c r="E135" s="57">
        <v>289.959</v>
      </c>
      <c r="F135" s="58">
        <v>11.135999999999999</v>
      </c>
      <c r="G135" s="59"/>
      <c r="H135" s="59">
        <v>4140</v>
      </c>
      <c r="I135" s="59">
        <f t="shared" si="14"/>
        <v>19275.840000000026</v>
      </c>
      <c r="J135" s="59">
        <f t="shared" si="15"/>
        <v>703.79999999999973</v>
      </c>
      <c r="K135" s="60">
        <f t="shared" si="10"/>
        <v>3.6512027491408874E-2</v>
      </c>
      <c r="L135" s="59">
        <f t="shared" si="11"/>
        <v>703.79999999999973</v>
      </c>
      <c r="M135" s="60">
        <f t="shared" si="12"/>
        <v>3.6512027491408874E-2</v>
      </c>
      <c r="N135" s="61">
        <v>66068309</v>
      </c>
      <c r="O135" s="61">
        <f t="shared" si="17"/>
        <v>0</v>
      </c>
      <c r="P135" s="62"/>
      <c r="Q135" s="63"/>
      <c r="R135" s="20">
        <f t="shared" si="16"/>
        <v>1</v>
      </c>
      <c r="S135" s="20">
        <f t="shared" si="9"/>
        <v>0</v>
      </c>
    </row>
    <row r="136" spans="1:20" ht="15.75" thickBot="1" x14ac:dyDescent="0.3">
      <c r="A136" s="54">
        <v>44330</v>
      </c>
      <c r="D136" s="56">
        <v>0.14199999999999999</v>
      </c>
      <c r="E136" s="57">
        <v>295.416</v>
      </c>
      <c r="F136" s="58">
        <v>11.331</v>
      </c>
      <c r="G136" s="59"/>
      <c r="H136" s="59">
        <v>4140</v>
      </c>
      <c r="I136" s="59">
        <f t="shared" si="14"/>
        <v>22591.979999999974</v>
      </c>
      <c r="J136" s="59">
        <f t="shared" si="15"/>
        <v>807.30000000000121</v>
      </c>
      <c r="K136" s="60">
        <f t="shared" si="10"/>
        <v>3.5733919736118842E-2</v>
      </c>
      <c r="L136" s="59">
        <f t="shared" si="11"/>
        <v>807.30000000000121</v>
      </c>
      <c r="M136" s="60">
        <f t="shared" si="12"/>
        <v>3.5733919736118842E-2</v>
      </c>
      <c r="N136" s="61">
        <v>66068309</v>
      </c>
      <c r="O136" s="61">
        <f t="shared" si="17"/>
        <v>0</v>
      </c>
      <c r="P136" s="62"/>
      <c r="Q136" s="64"/>
      <c r="R136" s="20">
        <f t="shared" si="16"/>
        <v>1</v>
      </c>
      <c r="S136" s="20">
        <f t="shared" ref="S136:S199" si="18">IF(N136="",1,0)</f>
        <v>0</v>
      </c>
      <c r="T136" s="65"/>
    </row>
    <row r="137" spans="1:20" ht="15.75" thickBot="1" x14ac:dyDescent="0.3">
      <c r="A137" s="54">
        <v>44331</v>
      </c>
      <c r="D137" s="56">
        <v>0.14199999999999999</v>
      </c>
      <c r="E137" s="57">
        <v>300.64299999999997</v>
      </c>
      <c r="F137" s="58">
        <v>11.541</v>
      </c>
      <c r="G137" s="59"/>
      <c r="H137" s="59">
        <v>4140</v>
      </c>
      <c r="I137" s="59">
        <f t="shared" si="14"/>
        <v>21639.779999999897</v>
      </c>
      <c r="J137" s="59">
        <f t="shared" si="15"/>
        <v>869.4000000000035</v>
      </c>
      <c r="K137" s="60">
        <f t="shared" si="10"/>
        <v>4.0176009183088168E-2</v>
      </c>
      <c r="L137" s="59">
        <f t="shared" si="11"/>
        <v>869.4000000000035</v>
      </c>
      <c r="M137" s="60">
        <f t="shared" si="12"/>
        <v>4.0176009183088168E-2</v>
      </c>
      <c r="N137" s="61">
        <v>66068309</v>
      </c>
      <c r="O137" s="61">
        <f t="shared" si="17"/>
        <v>0</v>
      </c>
      <c r="P137" s="62"/>
      <c r="Q137" s="64"/>
      <c r="R137" s="20">
        <f t="shared" si="16"/>
        <v>1</v>
      </c>
      <c r="S137" s="20">
        <f t="shared" si="18"/>
        <v>0</v>
      </c>
      <c r="T137" s="65"/>
    </row>
    <row r="138" spans="1:20" ht="15.75" thickBot="1" x14ac:dyDescent="0.3">
      <c r="A138" s="54">
        <v>44332</v>
      </c>
      <c r="D138" s="56">
        <v>0.14199999999999999</v>
      </c>
      <c r="E138" s="57">
        <v>305.41500000000002</v>
      </c>
      <c r="F138" s="58">
        <v>11.718</v>
      </c>
      <c r="G138" s="59"/>
      <c r="H138" s="59">
        <v>4140</v>
      </c>
      <c r="I138" s="59">
        <f t="shared" si="14"/>
        <v>19756.080000000198</v>
      </c>
      <c r="J138" s="59">
        <f t="shared" si="15"/>
        <v>732.77999999999838</v>
      </c>
      <c r="K138" s="60">
        <f t="shared" si="10"/>
        <v>3.7091366303436263E-2</v>
      </c>
      <c r="L138" s="59">
        <f t="shared" si="11"/>
        <v>732.77999999999838</v>
      </c>
      <c r="M138" s="60">
        <f t="shared" si="12"/>
        <v>3.7091366303436263E-2</v>
      </c>
      <c r="N138" s="61">
        <v>66068309</v>
      </c>
      <c r="O138" s="61">
        <f t="shared" si="17"/>
        <v>0</v>
      </c>
      <c r="P138" s="62"/>
      <c r="Q138" s="63"/>
      <c r="R138" s="20">
        <f t="shared" si="16"/>
        <v>1</v>
      </c>
      <c r="S138" s="20">
        <f t="shared" si="18"/>
        <v>0</v>
      </c>
    </row>
    <row r="139" spans="1:20" ht="15.75" thickBot="1" x14ac:dyDescent="0.3">
      <c r="A139" s="54">
        <v>44333</v>
      </c>
      <c r="D139" s="56">
        <v>0.14199999999999999</v>
      </c>
      <c r="E139" s="57">
        <v>310.94</v>
      </c>
      <c r="F139" s="58">
        <v>11.944000000000001</v>
      </c>
      <c r="G139" s="59"/>
      <c r="H139" s="59">
        <v>4140</v>
      </c>
      <c r="I139" s="59">
        <f t="shared" si="14"/>
        <v>22873.499999999905</v>
      </c>
      <c r="J139" s="59">
        <f t="shared" si="15"/>
        <v>935.64000000000362</v>
      </c>
      <c r="K139" s="60">
        <f t="shared" si="10"/>
        <v>4.0904977375565942E-2</v>
      </c>
      <c r="L139" s="59">
        <f t="shared" si="11"/>
        <v>935.64000000000362</v>
      </c>
      <c r="M139" s="60">
        <f t="shared" si="12"/>
        <v>4.0904977375565942E-2</v>
      </c>
      <c r="N139" s="61">
        <v>66068309</v>
      </c>
      <c r="O139" s="61">
        <f t="shared" si="17"/>
        <v>0</v>
      </c>
      <c r="P139" s="62"/>
      <c r="Q139" s="63"/>
      <c r="R139" s="20">
        <f t="shared" si="16"/>
        <v>1</v>
      </c>
      <c r="S139" s="20">
        <f t="shared" si="18"/>
        <v>0</v>
      </c>
    </row>
    <row r="140" spans="1:20" ht="15.75" thickBot="1" x14ac:dyDescent="0.3">
      <c r="A140" s="54">
        <v>44334</v>
      </c>
      <c r="D140" s="56">
        <v>0.14199999999999999</v>
      </c>
      <c r="E140" s="57">
        <v>316.27800000000002</v>
      </c>
      <c r="F140" s="58">
        <v>12.167999999999999</v>
      </c>
      <c r="G140" s="59"/>
      <c r="H140" s="59">
        <v>4140</v>
      </c>
      <c r="I140" s="59">
        <f t="shared" si="14"/>
        <v>22099.320000000091</v>
      </c>
      <c r="J140" s="59">
        <f t="shared" si="15"/>
        <v>927.35999999999342</v>
      </c>
      <c r="K140" s="60">
        <f t="shared" si="10"/>
        <v>4.1963282128137408E-2</v>
      </c>
      <c r="L140" s="59">
        <f t="shared" si="11"/>
        <v>927.35999999999342</v>
      </c>
      <c r="M140" s="60">
        <f t="shared" si="12"/>
        <v>4.1963282128137408E-2</v>
      </c>
      <c r="N140" s="61">
        <v>66068309</v>
      </c>
      <c r="O140" s="61">
        <f t="shared" si="17"/>
        <v>0</v>
      </c>
      <c r="P140" s="62"/>
      <c r="Q140" s="63"/>
      <c r="R140" s="20">
        <f t="shared" si="16"/>
        <v>1</v>
      </c>
      <c r="S140" s="20">
        <f t="shared" si="18"/>
        <v>0</v>
      </c>
    </row>
    <row r="141" spans="1:20" ht="15.75" thickBot="1" x14ac:dyDescent="0.3">
      <c r="A141" s="54">
        <v>44335</v>
      </c>
      <c r="D141" s="56">
        <v>0.14199999999999999</v>
      </c>
      <c r="E141" s="57">
        <v>321.38499999999999</v>
      </c>
      <c r="F141" s="58">
        <v>12.362</v>
      </c>
      <c r="G141" s="59"/>
      <c r="H141" s="59">
        <v>4140</v>
      </c>
      <c r="I141" s="59">
        <f t="shared" si="14"/>
        <v>21142.97999999988</v>
      </c>
      <c r="J141" s="59">
        <f t="shared" si="15"/>
        <v>803.16000000000349</v>
      </c>
      <c r="K141" s="60">
        <f t="shared" ref="K141:K204" si="19">IF(J141="","",+(J141/I141))</f>
        <v>3.7987076561582525E-2</v>
      </c>
      <c r="L141" s="59">
        <f t="shared" ref="L141:L204" si="20">IF(F141="","",+(F141-F140)*4140)</f>
        <v>803.16000000000349</v>
      </c>
      <c r="M141" s="60">
        <f t="shared" ref="M141:M204" si="21">IF(L141="","",(L141/I141))</f>
        <v>3.7987076561582525E-2</v>
      </c>
      <c r="N141" s="61">
        <v>66068309</v>
      </c>
      <c r="O141" s="61">
        <f t="shared" si="17"/>
        <v>0</v>
      </c>
      <c r="P141" s="62"/>
      <c r="Q141" s="104"/>
      <c r="R141" s="20">
        <f t="shared" si="16"/>
        <v>1</v>
      </c>
      <c r="S141" s="20">
        <f t="shared" si="18"/>
        <v>0</v>
      </c>
      <c r="T141" s="65"/>
    </row>
    <row r="142" spans="1:20" ht="15.75" thickBot="1" x14ac:dyDescent="0.3">
      <c r="A142" s="54">
        <v>44336</v>
      </c>
      <c r="D142" s="56">
        <v>0.14199999999999999</v>
      </c>
      <c r="E142" s="57">
        <v>327.31900000000002</v>
      </c>
      <c r="F142" s="58">
        <v>12.587999999999999</v>
      </c>
      <c r="G142" s="59"/>
      <c r="H142" s="59">
        <v>4140</v>
      </c>
      <c r="I142" s="59">
        <f t="shared" si="14"/>
        <v>24566.760000000108</v>
      </c>
      <c r="J142" s="59">
        <f t="shared" si="15"/>
        <v>935.63999999999623</v>
      </c>
      <c r="K142" s="60">
        <f t="shared" si="19"/>
        <v>3.8085608358611071E-2</v>
      </c>
      <c r="L142" s="59">
        <f t="shared" si="20"/>
        <v>935.63999999999623</v>
      </c>
      <c r="M142" s="60">
        <f t="shared" si="21"/>
        <v>3.8085608358611071E-2</v>
      </c>
      <c r="N142" s="61">
        <v>66068309</v>
      </c>
      <c r="O142" s="61">
        <f t="shared" si="17"/>
        <v>0</v>
      </c>
      <c r="P142" s="202" t="s">
        <v>62</v>
      </c>
      <c r="Q142" s="203"/>
      <c r="R142" s="20">
        <f t="shared" si="16"/>
        <v>1</v>
      </c>
      <c r="S142" s="20">
        <f t="shared" si="18"/>
        <v>0</v>
      </c>
      <c r="T142" s="65"/>
    </row>
    <row r="143" spans="1:20" ht="15.75" thickBot="1" x14ac:dyDescent="0.3">
      <c r="A143" s="54">
        <v>44337</v>
      </c>
      <c r="D143" s="56">
        <v>0.14199999999999999</v>
      </c>
      <c r="E143" s="57">
        <v>332.46199999999999</v>
      </c>
      <c r="F143" s="58">
        <v>13.85</v>
      </c>
      <c r="G143" s="59"/>
      <c r="H143" s="59">
        <v>4140</v>
      </c>
      <c r="I143" s="59">
        <f t="shared" si="14"/>
        <v>21292.019999999884</v>
      </c>
      <c r="J143" s="59">
        <f t="shared" si="15"/>
        <v>5224.6800000000021</v>
      </c>
      <c r="K143" s="60">
        <f t="shared" si="19"/>
        <v>0.24538207272020365</v>
      </c>
      <c r="L143" s="59">
        <f t="shared" si="20"/>
        <v>5224.6800000000021</v>
      </c>
      <c r="M143" s="60">
        <f t="shared" si="21"/>
        <v>0.24538207272020365</v>
      </c>
      <c r="N143" s="61">
        <v>66068309</v>
      </c>
      <c r="O143" s="61">
        <f t="shared" si="17"/>
        <v>0</v>
      </c>
      <c r="P143" s="204"/>
      <c r="Q143" s="205"/>
      <c r="R143" s="20">
        <f t="shared" si="16"/>
        <v>1</v>
      </c>
      <c r="S143" s="20">
        <f t="shared" si="18"/>
        <v>0</v>
      </c>
    </row>
    <row r="144" spans="1:20" ht="15.75" thickBot="1" x14ac:dyDescent="0.3">
      <c r="A144" s="54">
        <v>44338</v>
      </c>
      <c r="D144" s="56">
        <v>0.14199999999999999</v>
      </c>
      <c r="E144" s="57">
        <v>337.65</v>
      </c>
      <c r="F144" s="58">
        <v>13.911</v>
      </c>
      <c r="G144" s="59"/>
      <c r="H144" s="59">
        <v>4140</v>
      </c>
      <c r="I144" s="59">
        <f t="shared" ref="I144:J159" si="22">IF(D144="","",+(E144-E143)*4140)</f>
        <v>21478.319999999952</v>
      </c>
      <c r="J144" s="59">
        <f t="shared" si="22"/>
        <v>252.53999999999976</v>
      </c>
      <c r="K144" s="60">
        <f t="shared" si="19"/>
        <v>1.17579028527371E-2</v>
      </c>
      <c r="L144" s="59">
        <f t="shared" si="20"/>
        <v>252.53999999999976</v>
      </c>
      <c r="M144" s="60">
        <f t="shared" si="21"/>
        <v>1.17579028527371E-2</v>
      </c>
      <c r="N144" s="61">
        <v>66068309</v>
      </c>
      <c r="O144" s="61">
        <f t="shared" si="17"/>
        <v>0</v>
      </c>
      <c r="P144" s="69" t="s">
        <v>46</v>
      </c>
      <c r="Q144" s="69" t="s">
        <v>47</v>
      </c>
      <c r="R144" s="20">
        <f t="shared" si="16"/>
        <v>1</v>
      </c>
      <c r="S144" s="20">
        <f t="shared" si="18"/>
        <v>0</v>
      </c>
    </row>
    <row r="145" spans="1:20" ht="15.75" thickBot="1" x14ac:dyDescent="0.3">
      <c r="A145" s="54">
        <v>44339</v>
      </c>
      <c r="D145" s="56">
        <v>0.14199999999999999</v>
      </c>
      <c r="E145" s="57">
        <v>342.79</v>
      </c>
      <c r="F145" s="58">
        <v>14.000999999999999</v>
      </c>
      <c r="G145" s="59"/>
      <c r="H145" s="59">
        <v>4140</v>
      </c>
      <c r="I145" s="59">
        <f t="shared" si="22"/>
        <v>21279.60000000018</v>
      </c>
      <c r="J145" s="59">
        <f t="shared" si="22"/>
        <v>372.5999999999994</v>
      </c>
      <c r="K145" s="60">
        <f t="shared" si="19"/>
        <v>1.7509727626458967E-2</v>
      </c>
      <c r="L145" s="59">
        <f t="shared" si="20"/>
        <v>372.5999999999994</v>
      </c>
      <c r="M145" s="60">
        <f t="shared" si="21"/>
        <v>1.7509727626458967E-2</v>
      </c>
      <c r="N145" s="61">
        <v>66068309</v>
      </c>
      <c r="O145" s="61">
        <f t="shared" si="17"/>
        <v>0</v>
      </c>
      <c r="P145" s="70">
        <f>IF(J124="",0,+SUM(J124:J154)/SUM(I124:I154))</f>
        <v>4.1956818209247036E-2</v>
      </c>
      <c r="Q145" s="70">
        <f>IF(L124="",0,+SUM(L124:L154)/SUM(I124:I154))</f>
        <v>4.1956818209247036E-2</v>
      </c>
      <c r="R145" s="20">
        <f t="shared" si="16"/>
        <v>1</v>
      </c>
      <c r="S145" s="20">
        <f t="shared" si="18"/>
        <v>0</v>
      </c>
      <c r="T145" s="65"/>
    </row>
    <row r="146" spans="1:20" ht="15.75" thickBot="1" x14ac:dyDescent="0.3">
      <c r="A146" s="54">
        <v>44340</v>
      </c>
      <c r="D146" s="56">
        <v>0.14199999999999999</v>
      </c>
      <c r="E146" s="57">
        <v>348.30700000000002</v>
      </c>
      <c r="F146" s="58">
        <v>14.26</v>
      </c>
      <c r="G146" s="59"/>
      <c r="H146" s="59">
        <v>4140</v>
      </c>
      <c r="I146" s="59">
        <f t="shared" si="22"/>
        <v>22840.379999999983</v>
      </c>
      <c r="J146" s="59">
        <f t="shared" si="22"/>
        <v>1072.2600000000014</v>
      </c>
      <c r="K146" s="60">
        <f t="shared" si="19"/>
        <v>4.6945803878919799E-2</v>
      </c>
      <c r="L146" s="59">
        <f t="shared" si="20"/>
        <v>1072.2600000000014</v>
      </c>
      <c r="M146" s="60">
        <f t="shared" si="21"/>
        <v>4.6945803878919799E-2</v>
      </c>
      <c r="N146" s="61">
        <v>66068309</v>
      </c>
      <c r="O146" s="61">
        <f t="shared" si="17"/>
        <v>0</v>
      </c>
      <c r="P146" s="71" t="e">
        <f>IF(J124="",0,+(+(LOOKUP(9.99999999999999E+307,E124:E154)-E123))/(+(LOOKUP(9.99999999999999E+307,D124:D154)-D123)))</f>
        <v>#DIV/0!</v>
      </c>
      <c r="Q146" s="71" t="e">
        <f>IF(L124="",0,+(+(LOOKUP(9.99999999999999E+307,F124:F154)-F123))/(+(LOOKUP(9.99999999999999E+307,D124:D154)-D123)))</f>
        <v>#DIV/0!</v>
      </c>
      <c r="R146" s="20">
        <f t="shared" si="16"/>
        <v>1</v>
      </c>
      <c r="S146" s="20">
        <f t="shared" si="18"/>
        <v>0</v>
      </c>
      <c r="T146" s="65"/>
    </row>
    <row r="147" spans="1:20" ht="15.75" thickBot="1" x14ac:dyDescent="0.3">
      <c r="A147" s="54">
        <v>44341</v>
      </c>
      <c r="D147" s="56">
        <v>0.14199999999999999</v>
      </c>
      <c r="E147" s="57">
        <v>354.14299999999997</v>
      </c>
      <c r="F147" s="58">
        <v>14.481</v>
      </c>
      <c r="G147" s="59"/>
      <c r="H147" s="59">
        <v>4140</v>
      </c>
      <c r="I147" s="59">
        <f t="shared" si="22"/>
        <v>24161.039999999819</v>
      </c>
      <c r="J147" s="59">
        <f t="shared" si="22"/>
        <v>914.9400000000004</v>
      </c>
      <c r="K147" s="60">
        <f t="shared" si="19"/>
        <v>3.7868403015764524E-2</v>
      </c>
      <c r="L147" s="59">
        <f t="shared" si="20"/>
        <v>914.9400000000004</v>
      </c>
      <c r="M147" s="60">
        <f t="shared" si="21"/>
        <v>3.7868403015764524E-2</v>
      </c>
      <c r="N147" s="61">
        <v>66068309</v>
      </c>
      <c r="O147" s="61">
        <f t="shared" si="17"/>
        <v>0</v>
      </c>
      <c r="P147" s="72" t="s">
        <v>48</v>
      </c>
      <c r="Q147" s="73" t="s">
        <v>49</v>
      </c>
      <c r="R147" s="20">
        <f t="shared" si="16"/>
        <v>1</v>
      </c>
      <c r="S147" s="20">
        <f t="shared" si="18"/>
        <v>0</v>
      </c>
      <c r="T147" s="65"/>
    </row>
    <row r="148" spans="1:20" ht="15.75" thickBot="1" x14ac:dyDescent="0.3">
      <c r="A148" s="54">
        <v>44342</v>
      </c>
      <c r="D148" s="56">
        <v>0.14199999999999999</v>
      </c>
      <c r="E148" s="57">
        <v>360.358</v>
      </c>
      <c r="F148" s="58">
        <v>14.698</v>
      </c>
      <c r="G148" s="59"/>
      <c r="H148" s="59">
        <v>4140</v>
      </c>
      <c r="I148" s="59">
        <f t="shared" si="22"/>
        <v>25730.100000000133</v>
      </c>
      <c r="J148" s="59">
        <f t="shared" si="22"/>
        <v>898.38000000000216</v>
      </c>
      <c r="K148" s="60">
        <f t="shared" si="19"/>
        <v>3.4915526950925084E-2</v>
      </c>
      <c r="L148" s="59">
        <f t="shared" si="20"/>
        <v>898.38000000000216</v>
      </c>
      <c r="M148" s="60">
        <f t="shared" si="21"/>
        <v>3.4915526950925084E-2</v>
      </c>
      <c r="N148" s="61">
        <v>66068309</v>
      </c>
      <c r="O148" s="61">
        <f t="shared" si="17"/>
        <v>0</v>
      </c>
      <c r="P148" s="74">
        <f>IF(N123="",0,+(LOOKUP(9.99999999999999E+307,N123:N154)-N123))</f>
        <v>0</v>
      </c>
      <c r="Q148" s="75">
        <f>IF(P148="",0,+P148/SUM(R124:R154))</f>
        <v>0</v>
      </c>
      <c r="R148" s="20">
        <f t="shared" si="16"/>
        <v>1</v>
      </c>
      <c r="S148" s="20">
        <f t="shared" si="18"/>
        <v>0</v>
      </c>
      <c r="T148" s="65"/>
    </row>
    <row r="149" spans="1:20" ht="15.75" thickBot="1" x14ac:dyDescent="0.3">
      <c r="A149" s="54">
        <v>44343</v>
      </c>
      <c r="D149" s="56">
        <v>0.14199999999999999</v>
      </c>
      <c r="E149" s="57">
        <v>366.03699999999998</v>
      </c>
      <c r="F149" s="58">
        <v>14.864000000000001</v>
      </c>
      <c r="G149" s="59"/>
      <c r="H149" s="59">
        <v>4140</v>
      </c>
      <c r="I149" s="59">
        <f t="shared" si="22"/>
        <v>23511.059999999892</v>
      </c>
      <c r="J149" s="59">
        <f t="shared" si="22"/>
        <v>687.24000000000149</v>
      </c>
      <c r="K149" s="60">
        <f t="shared" si="19"/>
        <v>2.9230498327170475E-2</v>
      </c>
      <c r="L149" s="59">
        <f t="shared" si="20"/>
        <v>687.24000000000149</v>
      </c>
      <c r="M149" s="60">
        <f t="shared" si="21"/>
        <v>2.9230498327170475E-2</v>
      </c>
      <c r="N149" s="61">
        <v>66068309</v>
      </c>
      <c r="O149" s="61">
        <f t="shared" si="17"/>
        <v>0</v>
      </c>
      <c r="P149" s="76" t="s">
        <v>50</v>
      </c>
      <c r="Q149" s="77" t="s">
        <v>58</v>
      </c>
      <c r="R149" s="20">
        <f t="shared" si="16"/>
        <v>1</v>
      </c>
      <c r="S149" s="20">
        <f t="shared" si="18"/>
        <v>0</v>
      </c>
    </row>
    <row r="150" spans="1:20" ht="15.75" thickBot="1" x14ac:dyDescent="0.3">
      <c r="A150" s="54">
        <v>44344</v>
      </c>
      <c r="D150" s="56">
        <v>0.14199999999999999</v>
      </c>
      <c r="E150" s="57">
        <v>372.40300000000002</v>
      </c>
      <c r="F150" s="58">
        <v>15.093</v>
      </c>
      <c r="G150" s="59"/>
      <c r="H150" s="59">
        <v>4140</v>
      </c>
      <c r="I150" s="59">
        <f t="shared" si="22"/>
        <v>26355.240000000176</v>
      </c>
      <c r="J150" s="59">
        <f t="shared" si="22"/>
        <v>948.05999999999676</v>
      </c>
      <c r="K150" s="60">
        <f t="shared" si="19"/>
        <v>3.5972353125981411E-2</v>
      </c>
      <c r="L150" s="59">
        <f t="shared" si="20"/>
        <v>948.05999999999676</v>
      </c>
      <c r="M150" s="60">
        <f t="shared" si="21"/>
        <v>3.5972353125981411E-2</v>
      </c>
      <c r="N150" s="61">
        <v>66068309</v>
      </c>
      <c r="O150" s="61">
        <f t="shared" si="17"/>
        <v>0</v>
      </c>
      <c r="P150" s="78">
        <f>IF(D123="",0,+(LOOKUP(9.99999999999999E+307,D123:D154)-D123))*4140</f>
        <v>0</v>
      </c>
      <c r="Q150" s="79">
        <f>IF(P150="",0,+P150/SUM(R124:R154))</f>
        <v>0</v>
      </c>
      <c r="R150" s="20">
        <f t="shared" si="16"/>
        <v>1</v>
      </c>
      <c r="S150" s="20">
        <f t="shared" si="18"/>
        <v>0</v>
      </c>
    </row>
    <row r="151" spans="1:20" ht="15.75" thickBot="1" x14ac:dyDescent="0.3">
      <c r="A151" s="54">
        <v>44345</v>
      </c>
      <c r="D151" s="56">
        <v>0.14199999999999999</v>
      </c>
      <c r="E151" s="57">
        <v>378.22199999999998</v>
      </c>
      <c r="F151" s="58">
        <v>15.298999999999999</v>
      </c>
      <c r="G151" s="59"/>
      <c r="H151" s="59">
        <v>4140</v>
      </c>
      <c r="I151" s="59">
        <f t="shared" si="22"/>
        <v>24090.659999999836</v>
      </c>
      <c r="J151" s="59">
        <f t="shared" si="22"/>
        <v>852.83999999999799</v>
      </c>
      <c r="K151" s="60">
        <f t="shared" si="19"/>
        <v>3.5401271696167885E-2</v>
      </c>
      <c r="L151" s="59">
        <f t="shared" si="20"/>
        <v>852.83999999999799</v>
      </c>
      <c r="M151" s="60">
        <f t="shared" si="21"/>
        <v>3.5401271696167885E-2</v>
      </c>
      <c r="N151" s="61">
        <v>66068309</v>
      </c>
      <c r="O151" s="61">
        <f t="shared" si="17"/>
        <v>0</v>
      </c>
      <c r="P151" s="80" t="s">
        <v>52</v>
      </c>
      <c r="Q151" s="81" t="s">
        <v>59</v>
      </c>
      <c r="R151" s="20">
        <f t="shared" si="16"/>
        <v>1</v>
      </c>
      <c r="S151" s="20">
        <f t="shared" si="18"/>
        <v>0</v>
      </c>
    </row>
    <row r="152" spans="1:20" ht="15.75" thickBot="1" x14ac:dyDescent="0.3">
      <c r="A152" s="54">
        <v>44346</v>
      </c>
      <c r="D152" s="56">
        <v>0.14199999999999999</v>
      </c>
      <c r="E152" s="57">
        <v>384.52300000000002</v>
      </c>
      <c r="F152" s="58">
        <v>15.457000000000001</v>
      </c>
      <c r="G152" s="59"/>
      <c r="H152" s="59">
        <v>4140</v>
      </c>
      <c r="I152" s="59">
        <f t="shared" si="22"/>
        <v>26086.140000000185</v>
      </c>
      <c r="J152" s="59">
        <f t="shared" si="22"/>
        <v>654.12000000000512</v>
      </c>
      <c r="K152" s="60">
        <f t="shared" si="19"/>
        <v>2.5075384859546121E-2</v>
      </c>
      <c r="L152" s="59">
        <f t="shared" si="20"/>
        <v>654.12000000000512</v>
      </c>
      <c r="M152" s="60">
        <f t="shared" si="21"/>
        <v>2.5075384859546121E-2</v>
      </c>
      <c r="N152" s="61">
        <v>66068309</v>
      </c>
      <c r="O152" s="61">
        <f t="shared" si="17"/>
        <v>0</v>
      </c>
      <c r="P152" s="82">
        <f>P150*Q155</f>
        <v>0</v>
      </c>
      <c r="Q152" s="83" t="e">
        <f>IF(Q34="",0,(SUM('[1]Günlük Tüketim'!H124:H154)*1.62)/SUM(O124:O154))</f>
        <v>#DIV/0!</v>
      </c>
      <c r="R152" s="20">
        <f t="shared" si="16"/>
        <v>1</v>
      </c>
      <c r="S152" s="20">
        <f t="shared" si="18"/>
        <v>0</v>
      </c>
    </row>
    <row r="153" spans="1:20" ht="15.75" thickBot="1" x14ac:dyDescent="0.3">
      <c r="A153" s="54">
        <v>44347</v>
      </c>
      <c r="D153" s="56">
        <v>0.14199999999999999</v>
      </c>
      <c r="E153" s="57">
        <v>390.52699999999999</v>
      </c>
      <c r="F153" s="58">
        <v>15.669</v>
      </c>
      <c r="G153" s="59"/>
      <c r="H153" s="59">
        <v>4140</v>
      </c>
      <c r="I153" s="59">
        <f t="shared" si="22"/>
        <v>24856.559999999845</v>
      </c>
      <c r="J153" s="59">
        <f t="shared" si="22"/>
        <v>877.67999999999893</v>
      </c>
      <c r="K153" s="60">
        <f t="shared" si="19"/>
        <v>3.53097934710195E-2</v>
      </c>
      <c r="L153" s="59">
        <f t="shared" si="20"/>
        <v>877.67999999999893</v>
      </c>
      <c r="M153" s="60">
        <f t="shared" si="21"/>
        <v>3.53097934710195E-2</v>
      </c>
      <c r="N153" s="61">
        <v>66068309</v>
      </c>
      <c r="O153" s="61">
        <f t="shared" si="17"/>
        <v>0</v>
      </c>
      <c r="P153" s="85" t="s">
        <v>54</v>
      </c>
      <c r="Q153" s="86" t="s">
        <v>55</v>
      </c>
      <c r="R153" s="20">
        <f t="shared" si="16"/>
        <v>1</v>
      </c>
      <c r="S153" s="20">
        <f t="shared" si="18"/>
        <v>0</v>
      </c>
    </row>
    <row r="154" spans="1:20" ht="15.75" thickBot="1" x14ac:dyDescent="0.3">
      <c r="A154" s="54">
        <v>44348</v>
      </c>
      <c r="D154" s="89">
        <v>0.14199999999999999</v>
      </c>
      <c r="E154" s="89">
        <v>396.01299999999998</v>
      </c>
      <c r="F154" s="89">
        <v>15.853</v>
      </c>
      <c r="G154" s="90"/>
      <c r="H154" s="59">
        <v>4140</v>
      </c>
      <c r="I154" s="59">
        <f t="shared" si="22"/>
        <v>22712.039999999957</v>
      </c>
      <c r="J154" s="59">
        <f t="shared" si="22"/>
        <v>761.75999999999704</v>
      </c>
      <c r="K154" s="60">
        <f t="shared" si="19"/>
        <v>3.3539919795843899E-2</v>
      </c>
      <c r="L154" s="59">
        <f t="shared" si="20"/>
        <v>761.75999999999704</v>
      </c>
      <c r="M154" s="60">
        <f t="shared" si="21"/>
        <v>3.3539919795843899E-2</v>
      </c>
      <c r="N154" s="92">
        <v>66068309</v>
      </c>
      <c r="O154" s="93">
        <f t="shared" si="17"/>
        <v>0</v>
      </c>
      <c r="P154" s="94">
        <f>(P152+Q150*SUM(S124:S154)*Q155)</f>
        <v>0</v>
      </c>
      <c r="Q154" s="95">
        <f>Q150*31</f>
        <v>0</v>
      </c>
      <c r="R154" s="20">
        <f t="shared" si="16"/>
        <v>1</v>
      </c>
      <c r="S154" s="20">
        <f t="shared" si="18"/>
        <v>0</v>
      </c>
    </row>
    <row r="155" spans="1:20" ht="15.75" thickBot="1" x14ac:dyDescent="0.3">
      <c r="A155" s="54">
        <v>44349</v>
      </c>
      <c r="D155" s="56">
        <v>0.14199999999999999</v>
      </c>
      <c r="E155" s="57">
        <v>401.6</v>
      </c>
      <c r="F155" s="58">
        <v>15.961</v>
      </c>
      <c r="G155" s="59"/>
      <c r="H155" s="59">
        <v>4140</v>
      </c>
      <c r="I155" s="59">
        <f t="shared" si="22"/>
        <v>23130.180000000189</v>
      </c>
      <c r="J155" s="59">
        <f t="shared" si="22"/>
        <v>447.12000000000222</v>
      </c>
      <c r="K155" s="60">
        <f t="shared" si="19"/>
        <v>1.9330588867012645E-2</v>
      </c>
      <c r="L155" s="59">
        <f t="shared" si="20"/>
        <v>447.12000000000222</v>
      </c>
      <c r="M155" s="60">
        <f t="shared" si="21"/>
        <v>1.9330588867012645E-2</v>
      </c>
      <c r="N155" s="61">
        <v>66068309</v>
      </c>
      <c r="O155" s="61">
        <f t="shared" si="17"/>
        <v>0</v>
      </c>
      <c r="P155" s="96" t="s">
        <v>56</v>
      </c>
      <c r="Q155" s="97">
        <v>0.56999999999999995</v>
      </c>
      <c r="R155" s="20">
        <f t="shared" si="16"/>
        <v>1</v>
      </c>
      <c r="S155" s="20">
        <f t="shared" si="18"/>
        <v>0</v>
      </c>
    </row>
    <row r="156" spans="1:20" ht="15.75" thickBot="1" x14ac:dyDescent="0.3">
      <c r="A156" s="54">
        <v>44350</v>
      </c>
      <c r="D156" s="56">
        <v>0.14199999999999999</v>
      </c>
      <c r="E156" s="57">
        <v>407.226</v>
      </c>
      <c r="F156" s="58">
        <v>16.100999999999999</v>
      </c>
      <c r="G156" s="59"/>
      <c r="H156" s="59">
        <v>4140</v>
      </c>
      <c r="I156" s="59">
        <f t="shared" si="22"/>
        <v>23291.639999999901</v>
      </c>
      <c r="J156" s="59">
        <f t="shared" si="22"/>
        <v>579.59999999999502</v>
      </c>
      <c r="K156" s="60">
        <f t="shared" si="19"/>
        <v>2.4884464984002735E-2</v>
      </c>
      <c r="L156" s="59">
        <f t="shared" si="20"/>
        <v>579.59999999999502</v>
      </c>
      <c r="M156" s="60">
        <f t="shared" si="21"/>
        <v>2.4884464984002735E-2</v>
      </c>
      <c r="N156" s="61">
        <v>66068309</v>
      </c>
      <c r="O156" s="61">
        <f t="shared" si="17"/>
        <v>0</v>
      </c>
      <c r="P156" s="62"/>
      <c r="Q156" s="104"/>
      <c r="R156" s="20">
        <f t="shared" si="16"/>
        <v>1</v>
      </c>
      <c r="S156" s="20">
        <f t="shared" si="18"/>
        <v>0</v>
      </c>
    </row>
    <row r="157" spans="1:20" ht="15.75" thickBot="1" x14ac:dyDescent="0.3">
      <c r="A157" s="54">
        <v>44351</v>
      </c>
      <c r="D157" s="56">
        <v>0.14199999999999999</v>
      </c>
      <c r="E157" s="57">
        <v>413.31400000000002</v>
      </c>
      <c r="F157" s="58">
        <v>16.259</v>
      </c>
      <c r="G157" s="59"/>
      <c r="H157" s="59">
        <v>4140</v>
      </c>
      <c r="I157" s="59">
        <f t="shared" si="22"/>
        <v>25204.320000000091</v>
      </c>
      <c r="J157" s="59">
        <f t="shared" si="22"/>
        <v>654.12000000000512</v>
      </c>
      <c r="K157" s="60">
        <f t="shared" si="19"/>
        <v>2.5952693823916011E-2</v>
      </c>
      <c r="L157" s="59">
        <f t="shared" si="20"/>
        <v>654.12000000000512</v>
      </c>
      <c r="M157" s="60">
        <f t="shared" si="21"/>
        <v>2.5952693823916011E-2</v>
      </c>
      <c r="N157" s="61">
        <v>66068309</v>
      </c>
      <c r="O157" s="61">
        <f t="shared" si="17"/>
        <v>0</v>
      </c>
      <c r="P157" s="100"/>
      <c r="Q157" s="101"/>
      <c r="R157" s="20">
        <f t="shared" si="16"/>
        <v>1</v>
      </c>
      <c r="S157" s="20">
        <f t="shared" si="18"/>
        <v>0</v>
      </c>
      <c r="T157" s="65"/>
    </row>
    <row r="158" spans="1:20" ht="15.75" thickBot="1" x14ac:dyDescent="0.3">
      <c r="A158" s="54">
        <v>44352</v>
      </c>
      <c r="D158" s="56">
        <v>0.14199999999999999</v>
      </c>
      <c r="E158" s="57">
        <v>418.71</v>
      </c>
      <c r="F158" s="58">
        <v>16.393999999999998</v>
      </c>
      <c r="G158" s="59"/>
      <c r="H158" s="59">
        <v>4140</v>
      </c>
      <c r="I158" s="59">
        <f t="shared" si="22"/>
        <v>22339.439999999828</v>
      </c>
      <c r="J158" s="59">
        <f t="shared" si="22"/>
        <v>558.89999999999179</v>
      </c>
      <c r="K158" s="60">
        <f t="shared" si="19"/>
        <v>2.5018532246108054E-2</v>
      </c>
      <c r="L158" s="59">
        <f t="shared" si="20"/>
        <v>558.89999999999179</v>
      </c>
      <c r="M158" s="60">
        <f t="shared" si="21"/>
        <v>2.5018532246108054E-2</v>
      </c>
      <c r="N158" s="61">
        <v>66068309</v>
      </c>
      <c r="O158" s="61">
        <f t="shared" si="17"/>
        <v>0</v>
      </c>
      <c r="P158" s="102"/>
      <c r="Q158" s="103"/>
      <c r="R158" s="20">
        <f t="shared" si="16"/>
        <v>1</v>
      </c>
      <c r="S158" s="20">
        <f t="shared" si="18"/>
        <v>0</v>
      </c>
      <c r="T158" s="65"/>
    </row>
    <row r="159" spans="1:20" ht="15.75" thickBot="1" x14ac:dyDescent="0.3">
      <c r="A159" s="54">
        <v>44353</v>
      </c>
      <c r="D159" s="56">
        <v>0.14199999999999999</v>
      </c>
      <c r="E159" s="57">
        <v>424.43299999999999</v>
      </c>
      <c r="F159" s="58">
        <v>16.506</v>
      </c>
      <c r="G159" s="59"/>
      <c r="H159" s="59">
        <v>4140</v>
      </c>
      <c r="I159" s="59">
        <f t="shared" si="22"/>
        <v>23693.220000000056</v>
      </c>
      <c r="J159" s="59">
        <f t="shared" si="22"/>
        <v>463.68000000000779</v>
      </c>
      <c r="K159" s="60">
        <f t="shared" si="19"/>
        <v>1.9570155512843197E-2</v>
      </c>
      <c r="L159" s="59">
        <f t="shared" si="20"/>
        <v>463.68000000000779</v>
      </c>
      <c r="M159" s="60">
        <f t="shared" si="21"/>
        <v>1.9570155512843197E-2</v>
      </c>
      <c r="N159" s="61">
        <v>66068309</v>
      </c>
      <c r="O159" s="61">
        <f t="shared" si="17"/>
        <v>0</v>
      </c>
      <c r="P159" s="102"/>
      <c r="Q159" s="101"/>
      <c r="R159" s="20">
        <f t="shared" si="16"/>
        <v>1</v>
      </c>
      <c r="S159" s="20">
        <f t="shared" si="18"/>
        <v>0</v>
      </c>
    </row>
    <row r="160" spans="1:20" ht="15.75" thickBot="1" x14ac:dyDescent="0.3">
      <c r="A160" s="54">
        <v>44354</v>
      </c>
      <c r="D160" s="56">
        <v>0.14199999999999999</v>
      </c>
      <c r="E160" s="57">
        <v>430.46100000000001</v>
      </c>
      <c r="F160" s="58">
        <v>16.686</v>
      </c>
      <c r="G160" s="59"/>
      <c r="H160" s="59">
        <v>4140</v>
      </c>
      <c r="I160" s="59">
        <f t="shared" ref="I160:I218" si="23">IF(D160="","",+(E160-E159)*4140)</f>
        <v>24955.920000000082</v>
      </c>
      <c r="J160" s="59">
        <f t="shared" ref="J160:J218" si="24">IF(E160="","",+(F160-F159)*4140)</f>
        <v>745.19999999999879</v>
      </c>
      <c r="K160" s="60">
        <f t="shared" si="19"/>
        <v>2.9860650298606357E-2</v>
      </c>
      <c r="L160" s="59">
        <f t="shared" si="20"/>
        <v>745.19999999999879</v>
      </c>
      <c r="M160" s="60">
        <f t="shared" si="21"/>
        <v>2.9860650298606357E-2</v>
      </c>
      <c r="N160" s="61">
        <v>66068309</v>
      </c>
      <c r="O160" s="61">
        <f t="shared" si="17"/>
        <v>0</v>
      </c>
      <c r="P160" s="62"/>
      <c r="Q160" s="63"/>
      <c r="R160" s="20">
        <f t="shared" si="16"/>
        <v>1</v>
      </c>
      <c r="S160" s="20">
        <f t="shared" si="18"/>
        <v>0</v>
      </c>
    </row>
    <row r="161" spans="1:20" ht="15.75" thickBot="1" x14ac:dyDescent="0.3">
      <c r="A161" s="54">
        <v>44355</v>
      </c>
      <c r="D161" s="56">
        <v>0.14199999999999999</v>
      </c>
      <c r="E161" s="57">
        <v>437.37299999999999</v>
      </c>
      <c r="F161" s="58">
        <v>16.876999999999999</v>
      </c>
      <c r="G161" s="59"/>
      <c r="H161" s="59">
        <v>4140</v>
      </c>
      <c r="I161" s="59">
        <f t="shared" si="23"/>
        <v>28615.679999999909</v>
      </c>
      <c r="J161" s="59">
        <f t="shared" si="24"/>
        <v>790.73999999999569</v>
      </c>
      <c r="K161" s="60">
        <f t="shared" si="19"/>
        <v>2.7633101851851787E-2</v>
      </c>
      <c r="L161" s="59">
        <f t="shared" si="20"/>
        <v>790.73999999999569</v>
      </c>
      <c r="M161" s="60">
        <f t="shared" si="21"/>
        <v>2.7633101851851787E-2</v>
      </c>
      <c r="N161" s="61">
        <v>66068309</v>
      </c>
      <c r="O161" s="61">
        <f t="shared" si="17"/>
        <v>0</v>
      </c>
      <c r="P161" s="62"/>
      <c r="Q161" s="64"/>
      <c r="R161" s="20">
        <f t="shared" ref="R161:R224" si="25">IF(N161="",0,1)</f>
        <v>1</v>
      </c>
      <c r="S161" s="20">
        <f t="shared" si="18"/>
        <v>0</v>
      </c>
    </row>
    <row r="162" spans="1:20" ht="15.75" thickBot="1" x14ac:dyDescent="0.3">
      <c r="A162" s="54">
        <v>44356</v>
      </c>
      <c r="D162" s="56">
        <v>0.14199999999999999</v>
      </c>
      <c r="E162" s="57">
        <v>444.34300000000002</v>
      </c>
      <c r="F162" s="58">
        <v>17.027999999999999</v>
      </c>
      <c r="G162" s="59"/>
      <c r="H162" s="59">
        <v>4140</v>
      </c>
      <c r="I162" s="59">
        <f t="shared" si="23"/>
        <v>28855.800000000112</v>
      </c>
      <c r="J162" s="59">
        <f t="shared" si="24"/>
        <v>625.13999999999919</v>
      </c>
      <c r="K162" s="60">
        <f t="shared" si="19"/>
        <v>2.1664275466283963E-2</v>
      </c>
      <c r="L162" s="59">
        <f t="shared" si="20"/>
        <v>625.13999999999919</v>
      </c>
      <c r="M162" s="60">
        <f t="shared" si="21"/>
        <v>2.1664275466283963E-2</v>
      </c>
      <c r="N162" s="61">
        <v>66068309</v>
      </c>
      <c r="O162" s="61">
        <f t="shared" si="17"/>
        <v>0</v>
      </c>
      <c r="P162" s="62"/>
      <c r="Q162" s="64"/>
      <c r="R162" s="20">
        <f t="shared" si="25"/>
        <v>1</v>
      </c>
      <c r="S162" s="20">
        <f t="shared" si="18"/>
        <v>0</v>
      </c>
      <c r="T162" s="65"/>
    </row>
    <row r="163" spans="1:20" ht="15.75" thickBot="1" x14ac:dyDescent="0.3">
      <c r="A163" s="54">
        <v>44357</v>
      </c>
      <c r="D163" s="56">
        <v>0.14199999999999999</v>
      </c>
      <c r="E163" s="57">
        <v>451.52300000000002</v>
      </c>
      <c r="F163" s="58">
        <v>17.213999999999999</v>
      </c>
      <c r="G163" s="59"/>
      <c r="H163" s="59">
        <v>4140</v>
      </c>
      <c r="I163" s="59">
        <f t="shared" si="23"/>
        <v>29725.20000000003</v>
      </c>
      <c r="J163" s="59">
        <f t="shared" si="24"/>
        <v>770.03999999999974</v>
      </c>
      <c r="K163" s="60">
        <f t="shared" si="19"/>
        <v>2.59052924791086E-2</v>
      </c>
      <c r="L163" s="59">
        <f t="shared" si="20"/>
        <v>770.03999999999974</v>
      </c>
      <c r="M163" s="60">
        <f t="shared" si="21"/>
        <v>2.59052924791086E-2</v>
      </c>
      <c r="N163" s="61">
        <v>66068309</v>
      </c>
      <c r="O163" s="61">
        <f t="shared" si="17"/>
        <v>0</v>
      </c>
      <c r="P163" s="62"/>
      <c r="Q163" s="64"/>
      <c r="R163" s="20">
        <f t="shared" si="25"/>
        <v>1</v>
      </c>
      <c r="S163" s="20">
        <f t="shared" si="18"/>
        <v>0</v>
      </c>
      <c r="T163" s="65"/>
    </row>
    <row r="164" spans="1:20" ht="15.75" thickBot="1" x14ac:dyDescent="0.3">
      <c r="A164" s="54">
        <v>44358</v>
      </c>
      <c r="D164" s="56">
        <v>0.14199999999999999</v>
      </c>
      <c r="E164" s="57">
        <v>457.99400000000003</v>
      </c>
      <c r="F164" s="58">
        <v>17.364000000000001</v>
      </c>
      <c r="G164" s="59"/>
      <c r="H164" s="59">
        <v>4140</v>
      </c>
      <c r="I164" s="59">
        <f t="shared" si="23"/>
        <v>26789.940000000017</v>
      </c>
      <c r="J164" s="59">
        <f t="shared" si="24"/>
        <v>621.00000000000887</v>
      </c>
      <c r="K164" s="60">
        <f t="shared" si="19"/>
        <v>2.3180343069077739E-2</v>
      </c>
      <c r="L164" s="59">
        <f t="shared" si="20"/>
        <v>621.00000000000887</v>
      </c>
      <c r="M164" s="60">
        <f t="shared" si="21"/>
        <v>2.3180343069077739E-2</v>
      </c>
      <c r="N164" s="61">
        <v>66068309</v>
      </c>
      <c r="O164" s="61">
        <f t="shared" si="17"/>
        <v>0</v>
      </c>
      <c r="P164" s="62"/>
      <c r="Q164" s="63"/>
      <c r="R164" s="20">
        <f t="shared" si="25"/>
        <v>1</v>
      </c>
      <c r="S164" s="20">
        <f t="shared" si="18"/>
        <v>0</v>
      </c>
    </row>
    <row r="165" spans="1:20" ht="15.75" thickBot="1" x14ac:dyDescent="0.3">
      <c r="A165" s="54">
        <v>44359</v>
      </c>
      <c r="D165" s="56">
        <v>0.14199999999999999</v>
      </c>
      <c r="E165" s="57">
        <v>464.56900000000002</v>
      </c>
      <c r="F165" s="58">
        <v>17.532</v>
      </c>
      <c r="G165" s="59"/>
      <c r="H165" s="59">
        <v>4140</v>
      </c>
      <c r="I165" s="59">
        <f t="shared" si="23"/>
        <v>27220.499999999953</v>
      </c>
      <c r="J165" s="59">
        <f t="shared" si="24"/>
        <v>695.51999999999691</v>
      </c>
      <c r="K165" s="60">
        <f t="shared" si="19"/>
        <v>2.555133079847902E-2</v>
      </c>
      <c r="L165" s="59">
        <f t="shared" si="20"/>
        <v>695.51999999999691</v>
      </c>
      <c r="M165" s="60">
        <f t="shared" si="21"/>
        <v>2.555133079847902E-2</v>
      </c>
      <c r="N165" s="61">
        <v>66068309</v>
      </c>
      <c r="O165" s="61">
        <f t="shared" si="17"/>
        <v>0</v>
      </c>
      <c r="P165" s="62"/>
      <c r="Q165" s="63"/>
      <c r="R165" s="20">
        <f t="shared" si="25"/>
        <v>1</v>
      </c>
      <c r="S165" s="20">
        <f t="shared" si="18"/>
        <v>0</v>
      </c>
    </row>
    <row r="166" spans="1:20" ht="15.75" thickBot="1" x14ac:dyDescent="0.3">
      <c r="A166" s="54">
        <v>44360</v>
      </c>
      <c r="D166" s="56">
        <v>0.14199999999999999</v>
      </c>
      <c r="E166" s="57">
        <v>471.69799999999998</v>
      </c>
      <c r="F166" s="58">
        <v>17.760000000000002</v>
      </c>
      <c r="G166" s="59"/>
      <c r="H166" s="59">
        <v>4140</v>
      </c>
      <c r="I166" s="59">
        <f t="shared" si="23"/>
        <v>29514.059999999845</v>
      </c>
      <c r="J166" s="59">
        <f t="shared" si="24"/>
        <v>943.92000000000633</v>
      </c>
      <c r="K166" s="60">
        <f t="shared" si="19"/>
        <v>3.1982045167625574E-2</v>
      </c>
      <c r="L166" s="59">
        <f t="shared" si="20"/>
        <v>943.92000000000633</v>
      </c>
      <c r="M166" s="60">
        <f t="shared" si="21"/>
        <v>3.1982045167625574E-2</v>
      </c>
      <c r="N166" s="61">
        <v>66068309</v>
      </c>
      <c r="O166" s="61">
        <f t="shared" si="17"/>
        <v>0</v>
      </c>
      <c r="P166" s="62"/>
      <c r="Q166" s="64"/>
      <c r="R166" s="20">
        <f t="shared" si="25"/>
        <v>1</v>
      </c>
      <c r="S166" s="20">
        <f t="shared" si="18"/>
        <v>0</v>
      </c>
    </row>
    <row r="167" spans="1:20" ht="15.75" thickBot="1" x14ac:dyDescent="0.3">
      <c r="A167" s="54">
        <v>44361</v>
      </c>
      <c r="D167" s="56">
        <v>0.14199999999999999</v>
      </c>
      <c r="E167" s="57">
        <v>477.51900000000001</v>
      </c>
      <c r="F167" s="58">
        <v>17.888000000000002</v>
      </c>
      <c r="G167" s="59"/>
      <c r="H167" s="59">
        <v>4140</v>
      </c>
      <c r="I167" s="59">
        <f t="shared" si="23"/>
        <v>24098.940000000108</v>
      </c>
      <c r="J167" s="59">
        <f t="shared" si="24"/>
        <v>529.92000000000053</v>
      </c>
      <c r="K167" s="60">
        <f t="shared" si="19"/>
        <v>2.1989348909122068E-2</v>
      </c>
      <c r="L167" s="59">
        <f t="shared" si="20"/>
        <v>529.92000000000053</v>
      </c>
      <c r="M167" s="60">
        <f t="shared" si="21"/>
        <v>2.1989348909122068E-2</v>
      </c>
      <c r="N167" s="61">
        <v>66068309</v>
      </c>
      <c r="O167" s="61">
        <f t="shared" si="17"/>
        <v>0</v>
      </c>
      <c r="P167" s="62"/>
      <c r="Q167" s="64"/>
      <c r="R167" s="20">
        <f t="shared" si="25"/>
        <v>1</v>
      </c>
      <c r="S167" s="20">
        <f t="shared" si="18"/>
        <v>0</v>
      </c>
      <c r="T167" s="65"/>
    </row>
    <row r="168" spans="1:20" ht="15.75" thickBot="1" x14ac:dyDescent="0.3">
      <c r="A168" s="54">
        <v>44362</v>
      </c>
      <c r="D168" s="56">
        <v>0.14199999999999999</v>
      </c>
      <c r="E168" s="57">
        <v>483.72199999999998</v>
      </c>
      <c r="F168" s="58">
        <v>17.988</v>
      </c>
      <c r="G168" s="59"/>
      <c r="H168" s="59">
        <v>4140</v>
      </c>
      <c r="I168" s="59">
        <f t="shared" si="23"/>
        <v>25680.419999999896</v>
      </c>
      <c r="J168" s="59">
        <f t="shared" si="24"/>
        <v>413.99999999999119</v>
      </c>
      <c r="K168" s="60">
        <f t="shared" si="19"/>
        <v>1.6121231662098705E-2</v>
      </c>
      <c r="L168" s="59">
        <f t="shared" si="20"/>
        <v>413.99999999999119</v>
      </c>
      <c r="M168" s="60">
        <f t="shared" si="21"/>
        <v>1.6121231662098705E-2</v>
      </c>
      <c r="N168" s="61">
        <v>66068309</v>
      </c>
      <c r="O168" s="61">
        <f t="shared" si="17"/>
        <v>0</v>
      </c>
      <c r="P168" s="62"/>
      <c r="Q168" s="63"/>
      <c r="R168" s="20">
        <f t="shared" si="25"/>
        <v>1</v>
      </c>
      <c r="S168" s="20">
        <f t="shared" si="18"/>
        <v>0</v>
      </c>
      <c r="T168" s="65"/>
    </row>
    <row r="169" spans="1:20" ht="15.75" thickBot="1" x14ac:dyDescent="0.3">
      <c r="A169" s="54">
        <v>44363</v>
      </c>
      <c r="D169" s="56">
        <v>0.14199999999999999</v>
      </c>
      <c r="E169" s="57">
        <v>489.74599999999998</v>
      </c>
      <c r="F169" s="58">
        <v>18.103999999999999</v>
      </c>
      <c r="G169" s="59"/>
      <c r="H169" s="59">
        <v>4140</v>
      </c>
      <c r="I169" s="59">
        <f t="shared" si="23"/>
        <v>24939.360000000004</v>
      </c>
      <c r="J169" s="59">
        <f t="shared" si="24"/>
        <v>480.23999999999859</v>
      </c>
      <c r="K169" s="60">
        <f t="shared" si="19"/>
        <v>1.9256308100929556E-2</v>
      </c>
      <c r="L169" s="59">
        <f t="shared" si="20"/>
        <v>480.23999999999859</v>
      </c>
      <c r="M169" s="60">
        <f t="shared" si="21"/>
        <v>1.9256308100929556E-2</v>
      </c>
      <c r="N169" s="61">
        <v>66068309</v>
      </c>
      <c r="O169" s="61">
        <f t="shared" si="17"/>
        <v>0</v>
      </c>
      <c r="P169" s="62"/>
      <c r="Q169" s="63"/>
      <c r="R169" s="20">
        <f t="shared" si="25"/>
        <v>1</v>
      </c>
      <c r="S169" s="20">
        <f t="shared" si="18"/>
        <v>0</v>
      </c>
    </row>
    <row r="170" spans="1:20" ht="15.75" thickBot="1" x14ac:dyDescent="0.3">
      <c r="A170" s="54">
        <v>44364</v>
      </c>
      <c r="D170" s="56">
        <v>0.14199999999999999</v>
      </c>
      <c r="E170" s="57">
        <v>496.43</v>
      </c>
      <c r="F170" s="58">
        <v>18.248000000000001</v>
      </c>
      <c r="G170" s="59"/>
      <c r="H170" s="59">
        <v>4140</v>
      </c>
      <c r="I170" s="59">
        <f t="shared" si="23"/>
        <v>27671.760000000108</v>
      </c>
      <c r="J170" s="59">
        <f t="shared" si="24"/>
        <v>596.16000000000793</v>
      </c>
      <c r="K170" s="60">
        <f t="shared" si="19"/>
        <v>2.154398563734311E-2</v>
      </c>
      <c r="L170" s="59">
        <f t="shared" si="20"/>
        <v>596.16000000000793</v>
      </c>
      <c r="M170" s="60">
        <f t="shared" si="21"/>
        <v>2.154398563734311E-2</v>
      </c>
      <c r="N170" s="61">
        <v>66068309</v>
      </c>
      <c r="O170" s="61">
        <f>IF(N170="","",N170-N169)</f>
        <v>0</v>
      </c>
      <c r="P170" s="62"/>
      <c r="Q170" s="63"/>
      <c r="R170" s="20">
        <f t="shared" si="25"/>
        <v>1</v>
      </c>
      <c r="S170" s="20">
        <f t="shared" si="18"/>
        <v>0</v>
      </c>
    </row>
    <row r="171" spans="1:20" ht="15.75" thickBot="1" x14ac:dyDescent="0.3">
      <c r="A171" s="54">
        <v>44365</v>
      </c>
      <c r="D171" s="56">
        <v>0.14199999999999999</v>
      </c>
      <c r="E171" s="57">
        <v>503.71</v>
      </c>
      <c r="F171" s="58">
        <v>18.428999999999998</v>
      </c>
      <c r="G171" s="59"/>
      <c r="H171" s="59">
        <v>4140</v>
      </c>
      <c r="I171" s="59">
        <f t="shared" si="23"/>
        <v>30139.199999999888</v>
      </c>
      <c r="J171" s="59">
        <f t="shared" si="24"/>
        <v>749.33999999998923</v>
      </c>
      <c r="K171" s="60">
        <f t="shared" si="19"/>
        <v>2.4862637362637097E-2</v>
      </c>
      <c r="L171" s="59">
        <f t="shared" si="20"/>
        <v>749.33999999998923</v>
      </c>
      <c r="M171" s="60">
        <f t="shared" si="21"/>
        <v>2.4862637362637097E-2</v>
      </c>
      <c r="N171" s="61">
        <v>66068309</v>
      </c>
      <c r="O171" s="61">
        <f t="shared" si="17"/>
        <v>0</v>
      </c>
      <c r="P171" s="62"/>
      <c r="Q171" s="104"/>
      <c r="R171" s="20">
        <f t="shared" si="25"/>
        <v>1</v>
      </c>
      <c r="S171" s="20">
        <f t="shared" si="18"/>
        <v>0</v>
      </c>
    </row>
    <row r="172" spans="1:20" ht="15.75" thickBot="1" x14ac:dyDescent="0.3">
      <c r="A172" s="54">
        <v>44366</v>
      </c>
      <c r="D172" s="56">
        <v>0.14199999999999999</v>
      </c>
      <c r="E172" s="57">
        <v>511.08300000000003</v>
      </c>
      <c r="F172" s="58">
        <v>18.687000000000001</v>
      </c>
      <c r="G172" s="59"/>
      <c r="H172" s="59">
        <v>4140</v>
      </c>
      <c r="I172" s="59">
        <f t="shared" si="23"/>
        <v>30524.220000000198</v>
      </c>
      <c r="J172" s="59">
        <f t="shared" si="24"/>
        <v>1068.120000000011</v>
      </c>
      <c r="K172" s="60">
        <f t="shared" si="19"/>
        <v>3.4992540349925536E-2</v>
      </c>
      <c r="L172" s="59">
        <f t="shared" si="20"/>
        <v>1068.120000000011</v>
      </c>
      <c r="M172" s="60">
        <f t="shared" si="21"/>
        <v>3.4992540349925536E-2</v>
      </c>
      <c r="N172" s="61">
        <v>66068309</v>
      </c>
      <c r="O172" s="61">
        <f t="shared" si="17"/>
        <v>0</v>
      </c>
      <c r="P172" s="202" t="s">
        <v>63</v>
      </c>
      <c r="Q172" s="203"/>
      <c r="R172" s="20">
        <f t="shared" si="25"/>
        <v>1</v>
      </c>
      <c r="S172" s="20">
        <f t="shared" si="18"/>
        <v>0</v>
      </c>
      <c r="T172" s="65"/>
    </row>
    <row r="173" spans="1:20" ht="15.75" thickBot="1" x14ac:dyDescent="0.3">
      <c r="A173" s="54">
        <v>44367</v>
      </c>
      <c r="D173" s="56">
        <v>0.14199999999999999</v>
      </c>
      <c r="E173" s="57">
        <v>518.23500000000001</v>
      </c>
      <c r="F173" s="58">
        <v>18.954999999999998</v>
      </c>
      <c r="G173" s="59"/>
      <c r="H173" s="59">
        <v>4140</v>
      </c>
      <c r="I173" s="59">
        <f t="shared" si="23"/>
        <v>29609.279999999944</v>
      </c>
      <c r="J173" s="59">
        <f t="shared" si="24"/>
        <v>1109.5199999999882</v>
      </c>
      <c r="K173" s="60">
        <f t="shared" si="19"/>
        <v>3.7472035794183116E-2</v>
      </c>
      <c r="L173" s="59">
        <f t="shared" si="20"/>
        <v>1109.5199999999882</v>
      </c>
      <c r="M173" s="60">
        <f t="shared" si="21"/>
        <v>3.7472035794183116E-2</v>
      </c>
      <c r="N173" s="61">
        <v>66068309</v>
      </c>
      <c r="O173" s="61">
        <f t="shared" si="17"/>
        <v>0</v>
      </c>
      <c r="P173" s="204"/>
      <c r="Q173" s="205"/>
      <c r="R173" s="20">
        <f t="shared" si="25"/>
        <v>1</v>
      </c>
      <c r="S173" s="20">
        <f t="shared" si="18"/>
        <v>0</v>
      </c>
      <c r="T173" s="65"/>
    </row>
    <row r="174" spans="1:20" ht="15.75" thickBot="1" x14ac:dyDescent="0.3">
      <c r="A174" s="54">
        <v>44368</v>
      </c>
      <c r="D174" s="56">
        <v>0.14199999999999999</v>
      </c>
      <c r="E174" s="57">
        <v>525.51800000000003</v>
      </c>
      <c r="F174" s="58">
        <v>19.170000000000002</v>
      </c>
      <c r="G174" s="59"/>
      <c r="H174" s="59">
        <v>4140</v>
      </c>
      <c r="I174" s="59">
        <f t="shared" si="23"/>
        <v>30151.620000000064</v>
      </c>
      <c r="J174" s="59">
        <f t="shared" si="24"/>
        <v>890.10000000001412</v>
      </c>
      <c r="K174" s="60">
        <f t="shared" si="19"/>
        <v>2.9520801867362757E-2</v>
      </c>
      <c r="L174" s="59">
        <f t="shared" si="20"/>
        <v>890.10000000001412</v>
      </c>
      <c r="M174" s="60">
        <f t="shared" si="21"/>
        <v>2.9520801867362757E-2</v>
      </c>
      <c r="N174" s="61">
        <v>66068309</v>
      </c>
      <c r="O174" s="61">
        <f t="shared" si="17"/>
        <v>0</v>
      </c>
      <c r="P174" s="69" t="s">
        <v>46</v>
      </c>
      <c r="Q174" s="69" t="s">
        <v>47</v>
      </c>
      <c r="R174" s="20">
        <f t="shared" si="25"/>
        <v>1</v>
      </c>
      <c r="S174" s="20">
        <f t="shared" si="18"/>
        <v>0</v>
      </c>
    </row>
    <row r="175" spans="1:20" ht="15.75" thickBot="1" x14ac:dyDescent="0.3">
      <c r="A175" s="54">
        <v>44369</v>
      </c>
      <c r="D175" s="56">
        <v>0.14199999999999999</v>
      </c>
      <c r="E175" s="57">
        <v>532.41399999999999</v>
      </c>
      <c r="F175" s="58">
        <v>19.331</v>
      </c>
      <c r="G175" s="59"/>
      <c r="H175" s="59">
        <v>4140</v>
      </c>
      <c r="I175" s="59">
        <f t="shared" si="23"/>
        <v>28549.439999999828</v>
      </c>
      <c r="J175" s="59">
        <f t="shared" si="24"/>
        <v>666.53999999999098</v>
      </c>
      <c r="K175" s="60">
        <f t="shared" si="19"/>
        <v>2.334686774941978E-2</v>
      </c>
      <c r="L175" s="59">
        <f t="shared" si="20"/>
        <v>666.53999999999098</v>
      </c>
      <c r="M175" s="60">
        <f t="shared" si="21"/>
        <v>2.334686774941978E-2</v>
      </c>
      <c r="N175" s="61">
        <v>66068309</v>
      </c>
      <c r="O175" s="61">
        <f t="shared" si="17"/>
        <v>0</v>
      </c>
      <c r="P175" s="70">
        <f>IF(J155="",0,+SUM(J155:J184)/SUM(I155:I184))</f>
        <v>3.0969101787351475E-2</v>
      </c>
      <c r="Q175" s="70">
        <f>IF(L155="",0,+SUM(L155:L184)/SUM(I155:I184))</f>
        <v>3.0969101787351475E-2</v>
      </c>
      <c r="R175" s="20">
        <f t="shared" si="25"/>
        <v>1</v>
      </c>
      <c r="S175" s="20">
        <f t="shared" si="18"/>
        <v>0</v>
      </c>
    </row>
    <row r="176" spans="1:20" ht="15.75" thickBot="1" x14ac:dyDescent="0.3">
      <c r="A176" s="54">
        <v>44370</v>
      </c>
      <c r="D176" s="56">
        <v>0.14199999999999999</v>
      </c>
      <c r="E176" s="57">
        <v>540.71799999999996</v>
      </c>
      <c r="F176" s="58">
        <v>19.658000000000001</v>
      </c>
      <c r="G176" s="59"/>
      <c r="H176" s="59">
        <v>4140</v>
      </c>
      <c r="I176" s="59">
        <f t="shared" si="23"/>
        <v>34378.559999999889</v>
      </c>
      <c r="J176" s="59">
        <f t="shared" si="24"/>
        <v>1353.7800000000072</v>
      </c>
      <c r="K176" s="60">
        <f t="shared" si="19"/>
        <v>3.9378612716763343E-2</v>
      </c>
      <c r="L176" s="59">
        <f t="shared" si="20"/>
        <v>1353.7800000000072</v>
      </c>
      <c r="M176" s="60">
        <f t="shared" si="21"/>
        <v>3.9378612716763343E-2</v>
      </c>
      <c r="N176" s="61">
        <v>66068309</v>
      </c>
      <c r="O176" s="61">
        <f t="shared" si="17"/>
        <v>0</v>
      </c>
      <c r="P176" s="71" t="e">
        <f>IF(J155="",0,+(+(LOOKUP(9.99999999999999E+307,E155:E184)-E154))/(+(LOOKUP(9.99999999999999E+307,D155:D184)-D154)))</f>
        <v>#DIV/0!</v>
      </c>
      <c r="Q176" s="71" t="e">
        <f>IF(L155="",0,+(+(LOOKUP(9.99999999999999E+307,F155:F184)-F154))/(+(LOOKUP(9.99999999999999E+307,D155:D184)-D154)))</f>
        <v>#DIV/0!</v>
      </c>
      <c r="R176" s="20">
        <f t="shared" si="25"/>
        <v>1</v>
      </c>
      <c r="S176" s="20">
        <f t="shared" si="18"/>
        <v>0</v>
      </c>
      <c r="T176" s="65"/>
    </row>
    <row r="177" spans="1:20" ht="15.75" thickBot="1" x14ac:dyDescent="0.3">
      <c r="A177" s="54">
        <v>44371</v>
      </c>
      <c r="D177" s="56">
        <v>0.14199999999999999</v>
      </c>
      <c r="E177" s="57">
        <v>548.72299999999996</v>
      </c>
      <c r="F177" s="58">
        <v>19.989999999999998</v>
      </c>
      <c r="G177" s="59"/>
      <c r="H177" s="59">
        <v>4140</v>
      </c>
      <c r="I177" s="59">
        <f t="shared" si="23"/>
        <v>33140.699999999983</v>
      </c>
      <c r="J177" s="59">
        <f t="shared" si="24"/>
        <v>1374.4799999999884</v>
      </c>
      <c r="K177" s="60">
        <f t="shared" si="19"/>
        <v>4.1474078700811663E-2</v>
      </c>
      <c r="L177" s="59">
        <f t="shared" si="20"/>
        <v>1374.4799999999884</v>
      </c>
      <c r="M177" s="60">
        <f t="shared" si="21"/>
        <v>4.1474078700811663E-2</v>
      </c>
      <c r="N177" s="61">
        <v>66068309</v>
      </c>
      <c r="O177" s="61">
        <f t="shared" si="17"/>
        <v>0</v>
      </c>
      <c r="P177" s="72" t="s">
        <v>48</v>
      </c>
      <c r="Q177" s="73" t="s">
        <v>49</v>
      </c>
      <c r="R177" s="20">
        <f t="shared" si="25"/>
        <v>1</v>
      </c>
      <c r="S177" s="20">
        <f t="shared" si="18"/>
        <v>0</v>
      </c>
      <c r="T177" s="65"/>
    </row>
    <row r="178" spans="1:20" ht="15.75" thickBot="1" x14ac:dyDescent="0.3">
      <c r="A178" s="54">
        <v>44372</v>
      </c>
      <c r="D178" s="56">
        <v>0.14199999999999999</v>
      </c>
      <c r="E178" s="57">
        <v>556.97199999999998</v>
      </c>
      <c r="F178" s="58">
        <v>20.370999999999999</v>
      </c>
      <c r="G178" s="59"/>
      <c r="H178" s="59">
        <v>4140</v>
      </c>
      <c r="I178" s="59">
        <f t="shared" si="23"/>
        <v>34150.860000000095</v>
      </c>
      <c r="J178" s="59">
        <f t="shared" si="24"/>
        <v>1577.3400000000011</v>
      </c>
      <c r="K178" s="60">
        <f t="shared" si="19"/>
        <v>4.6187416656564333E-2</v>
      </c>
      <c r="L178" s="59">
        <f t="shared" si="20"/>
        <v>1577.3400000000011</v>
      </c>
      <c r="M178" s="60">
        <f t="shared" si="21"/>
        <v>4.6187416656564333E-2</v>
      </c>
      <c r="N178" s="61">
        <v>66068309</v>
      </c>
      <c r="O178" s="61">
        <f t="shared" si="17"/>
        <v>0</v>
      </c>
      <c r="P178" s="74">
        <f>IF(D155="",0,+(LOOKUP(9.99999999999999E+307,N154:N184)-N154))</f>
        <v>0</v>
      </c>
      <c r="Q178" s="75">
        <f>IF(P178="",0,+P178/SUM(R155:R184))</f>
        <v>0</v>
      </c>
      <c r="R178" s="20">
        <f t="shared" si="25"/>
        <v>1</v>
      </c>
      <c r="S178" s="20">
        <f t="shared" si="18"/>
        <v>0</v>
      </c>
      <c r="T178" s="65"/>
    </row>
    <row r="179" spans="1:20" ht="15.75" thickBot="1" x14ac:dyDescent="0.3">
      <c r="A179" s="54">
        <v>44373</v>
      </c>
      <c r="D179" s="56">
        <v>0.14199999999999999</v>
      </c>
      <c r="E179" s="57">
        <v>565.03700000000003</v>
      </c>
      <c r="F179" s="58">
        <v>20.728000000000002</v>
      </c>
      <c r="G179" s="59"/>
      <c r="H179" s="59">
        <v>4140</v>
      </c>
      <c r="I179" s="59">
        <f t="shared" si="23"/>
        <v>33389.100000000224</v>
      </c>
      <c r="J179" s="59">
        <f t="shared" si="24"/>
        <v>1477.9800000000118</v>
      </c>
      <c r="K179" s="60">
        <f t="shared" si="19"/>
        <v>4.4265344079355298E-2</v>
      </c>
      <c r="L179" s="59">
        <f t="shared" si="20"/>
        <v>1477.9800000000118</v>
      </c>
      <c r="M179" s="60">
        <f t="shared" si="21"/>
        <v>4.4265344079355298E-2</v>
      </c>
      <c r="N179" s="61">
        <v>66068309</v>
      </c>
      <c r="O179" s="61">
        <f t="shared" si="17"/>
        <v>0</v>
      </c>
      <c r="P179" s="76" t="s">
        <v>50</v>
      </c>
      <c r="Q179" s="77" t="s">
        <v>58</v>
      </c>
      <c r="R179" s="20">
        <f t="shared" si="25"/>
        <v>1</v>
      </c>
      <c r="S179" s="20">
        <f t="shared" si="18"/>
        <v>0</v>
      </c>
      <c r="T179" s="65"/>
    </row>
    <row r="180" spans="1:20" ht="15.75" thickBot="1" x14ac:dyDescent="0.3">
      <c r="A180" s="54">
        <v>44374</v>
      </c>
      <c r="D180" s="56">
        <v>0.14199999999999999</v>
      </c>
      <c r="E180" s="57">
        <v>573.14</v>
      </c>
      <c r="F180" s="58">
        <v>21.113</v>
      </c>
      <c r="G180" s="59"/>
      <c r="H180" s="59">
        <v>4140</v>
      </c>
      <c r="I180" s="59">
        <f t="shared" si="23"/>
        <v>33546.419999999802</v>
      </c>
      <c r="J180" s="59">
        <f t="shared" si="24"/>
        <v>1593.8999999999917</v>
      </c>
      <c r="K180" s="60">
        <f t="shared" si="19"/>
        <v>4.7513266691348914E-2</v>
      </c>
      <c r="L180" s="59">
        <f t="shared" si="20"/>
        <v>1593.8999999999917</v>
      </c>
      <c r="M180" s="60">
        <f t="shared" si="21"/>
        <v>4.7513266691348914E-2</v>
      </c>
      <c r="N180" s="61">
        <v>66068309</v>
      </c>
      <c r="O180" s="61">
        <f t="shared" si="17"/>
        <v>0</v>
      </c>
      <c r="P180" s="78">
        <f>IF(D154="",0,+(LOOKUP(9.99999999999999E+307,D154:D184)-D154))*4140</f>
        <v>0</v>
      </c>
      <c r="Q180" s="79">
        <f>IF(P180="",0,+P180/SUM(R155:R184))</f>
        <v>0</v>
      </c>
      <c r="R180" s="20">
        <f t="shared" si="25"/>
        <v>1</v>
      </c>
      <c r="S180" s="20">
        <f t="shared" si="18"/>
        <v>0</v>
      </c>
    </row>
    <row r="181" spans="1:20" ht="15.75" thickBot="1" x14ac:dyDescent="0.3">
      <c r="A181" s="54">
        <v>44375</v>
      </c>
      <c r="D181" s="56">
        <v>0.14199999999999999</v>
      </c>
      <c r="E181" s="57">
        <v>581.4</v>
      </c>
      <c r="F181" s="58">
        <v>21.446999999999999</v>
      </c>
      <c r="G181" s="59"/>
      <c r="H181" s="59">
        <v>4140</v>
      </c>
      <c r="I181" s="59">
        <f t="shared" si="23"/>
        <v>34196.399999999965</v>
      </c>
      <c r="J181" s="59">
        <f t="shared" si="24"/>
        <v>1382.7599999999984</v>
      </c>
      <c r="K181" s="60">
        <f t="shared" si="19"/>
        <v>4.0435835351089584E-2</v>
      </c>
      <c r="L181" s="59">
        <f t="shared" si="20"/>
        <v>1382.7599999999984</v>
      </c>
      <c r="M181" s="60">
        <f t="shared" si="21"/>
        <v>4.0435835351089584E-2</v>
      </c>
      <c r="N181" s="61">
        <v>66068309</v>
      </c>
      <c r="O181" s="61">
        <f t="shared" si="17"/>
        <v>0</v>
      </c>
      <c r="P181" s="80" t="s">
        <v>52</v>
      </c>
      <c r="Q181" s="81" t="s">
        <v>59</v>
      </c>
      <c r="R181" s="20">
        <f t="shared" si="25"/>
        <v>1</v>
      </c>
      <c r="S181" s="20">
        <f t="shared" si="18"/>
        <v>0</v>
      </c>
    </row>
    <row r="182" spans="1:20" ht="15.75" thickBot="1" x14ac:dyDescent="0.3">
      <c r="A182" s="54">
        <v>44376</v>
      </c>
      <c r="D182" s="56">
        <v>0.14199999999999999</v>
      </c>
      <c r="E182" s="57">
        <v>590.779</v>
      </c>
      <c r="F182" s="58">
        <v>21.803000000000001</v>
      </c>
      <c r="G182" s="59"/>
      <c r="H182" s="59">
        <v>4140</v>
      </c>
      <c r="I182" s="59">
        <f t="shared" si="23"/>
        <v>38829.060000000078</v>
      </c>
      <c r="J182" s="59">
        <f t="shared" si="24"/>
        <v>1473.8400000000067</v>
      </c>
      <c r="K182" s="60">
        <f t="shared" si="19"/>
        <v>3.7957138287664026E-2</v>
      </c>
      <c r="L182" s="59">
        <f t="shared" si="20"/>
        <v>1473.8400000000067</v>
      </c>
      <c r="M182" s="60">
        <f t="shared" si="21"/>
        <v>3.7957138287664026E-2</v>
      </c>
      <c r="N182" s="61">
        <v>66068309</v>
      </c>
      <c r="O182" s="61">
        <f t="shared" si="17"/>
        <v>0</v>
      </c>
      <c r="P182" s="82">
        <f>P180*Q185</f>
        <v>0</v>
      </c>
      <c r="Q182" s="83" t="e">
        <f>IF(Q34="",0,(SUM('[1]Günlük Tüketim'!H155:H184)*1.62)/SUM(O155:O184))</f>
        <v>#DIV/0!</v>
      </c>
      <c r="R182" s="20">
        <f t="shared" si="25"/>
        <v>1</v>
      </c>
      <c r="S182" s="20">
        <f t="shared" si="18"/>
        <v>0</v>
      </c>
    </row>
    <row r="183" spans="1:20" ht="15.75" thickBot="1" x14ac:dyDescent="0.3">
      <c r="A183" s="54">
        <v>44377</v>
      </c>
      <c r="D183" s="56">
        <v>0.14199999999999999</v>
      </c>
      <c r="E183" s="57">
        <v>599.01</v>
      </c>
      <c r="F183" s="58">
        <v>22.135000000000002</v>
      </c>
      <c r="G183" s="59"/>
      <c r="H183" s="59">
        <v>4140</v>
      </c>
      <c r="I183" s="59">
        <f t="shared" si="23"/>
        <v>34076.339999999975</v>
      </c>
      <c r="J183" s="59">
        <f t="shared" si="24"/>
        <v>1374.480000000003</v>
      </c>
      <c r="K183" s="60">
        <f t="shared" si="19"/>
        <v>4.0335317701372976E-2</v>
      </c>
      <c r="L183" s="59">
        <f t="shared" si="20"/>
        <v>1374.480000000003</v>
      </c>
      <c r="M183" s="60">
        <f t="shared" si="21"/>
        <v>4.0335317701372976E-2</v>
      </c>
      <c r="N183" s="61">
        <v>66068309</v>
      </c>
      <c r="O183" s="61">
        <f t="shared" si="17"/>
        <v>0</v>
      </c>
      <c r="P183" s="85" t="s">
        <v>54</v>
      </c>
      <c r="Q183" s="86" t="s">
        <v>55</v>
      </c>
      <c r="R183" s="20">
        <f t="shared" si="25"/>
        <v>1</v>
      </c>
      <c r="S183" s="20">
        <f t="shared" si="18"/>
        <v>0</v>
      </c>
    </row>
    <row r="184" spans="1:20" ht="15.75" thickBot="1" x14ac:dyDescent="0.3">
      <c r="A184" s="54">
        <v>44378</v>
      </c>
      <c r="D184" s="56">
        <v>0.14199999999999999</v>
      </c>
      <c r="E184" s="57">
        <v>607.61099999999999</v>
      </c>
      <c r="F184" s="58">
        <v>22.405999999999999</v>
      </c>
      <c r="G184" s="90"/>
      <c r="H184" s="59">
        <v>4140</v>
      </c>
      <c r="I184" s="59">
        <f t="shared" si="23"/>
        <v>35608.14</v>
      </c>
      <c r="J184" s="59">
        <f t="shared" si="24"/>
        <v>1121.9399999999887</v>
      </c>
      <c r="K184" s="60">
        <f t="shared" si="19"/>
        <v>3.1507964190210125E-2</v>
      </c>
      <c r="L184" s="59">
        <f t="shared" si="20"/>
        <v>1121.9399999999887</v>
      </c>
      <c r="M184" s="60">
        <f t="shared" si="21"/>
        <v>3.1507964190210125E-2</v>
      </c>
      <c r="N184" s="92">
        <v>66068309</v>
      </c>
      <c r="O184" s="93">
        <f>IF(N184="","",N184-N183)</f>
        <v>0</v>
      </c>
      <c r="P184" s="94">
        <f>(P182+Q180*SUM(S155:S184)*Q185)</f>
        <v>0</v>
      </c>
      <c r="Q184" s="95">
        <f>Q180*30</f>
        <v>0</v>
      </c>
      <c r="R184" s="20">
        <f t="shared" si="25"/>
        <v>1</v>
      </c>
      <c r="S184" s="20">
        <f t="shared" si="18"/>
        <v>0</v>
      </c>
    </row>
    <row r="185" spans="1:20" ht="15.75" thickBot="1" x14ac:dyDescent="0.3">
      <c r="A185" s="54">
        <v>44379</v>
      </c>
      <c r="D185" s="56">
        <v>0.14199999999999999</v>
      </c>
      <c r="E185" s="57">
        <v>616.39800000000002</v>
      </c>
      <c r="F185" s="58">
        <v>22.785</v>
      </c>
      <c r="G185" s="59"/>
      <c r="H185" s="59">
        <v>4140</v>
      </c>
      <c r="I185" s="59">
        <f t="shared" si="23"/>
        <v>36378.180000000146</v>
      </c>
      <c r="J185" s="59">
        <f t="shared" si="24"/>
        <v>1569.0600000000056</v>
      </c>
      <c r="K185" s="60">
        <f t="shared" si="19"/>
        <v>4.3131899396836218E-2</v>
      </c>
      <c r="L185" s="59">
        <f t="shared" si="20"/>
        <v>1569.0600000000056</v>
      </c>
      <c r="M185" s="60">
        <f t="shared" si="21"/>
        <v>4.3131899396836218E-2</v>
      </c>
      <c r="N185" s="61">
        <v>66068309</v>
      </c>
      <c r="O185" s="61">
        <f t="shared" si="17"/>
        <v>0</v>
      </c>
      <c r="P185" s="111" t="s">
        <v>56</v>
      </c>
      <c r="Q185" s="112">
        <v>0.56999999999999995</v>
      </c>
      <c r="R185" s="20">
        <f t="shared" si="25"/>
        <v>1</v>
      </c>
      <c r="S185" s="20">
        <f t="shared" si="18"/>
        <v>0</v>
      </c>
    </row>
    <row r="186" spans="1:20" ht="15.75" thickBot="1" x14ac:dyDescent="0.3">
      <c r="A186" s="54">
        <v>44380</v>
      </c>
      <c r="D186" s="56">
        <v>0.14199999999999999</v>
      </c>
      <c r="E186" s="57">
        <v>624.93200000000002</v>
      </c>
      <c r="F186" s="58">
        <v>23.138000000000002</v>
      </c>
      <c r="G186" s="59"/>
      <c r="H186" s="59">
        <v>4140</v>
      </c>
      <c r="I186" s="59">
        <f t="shared" si="23"/>
        <v>35330.759999999966</v>
      </c>
      <c r="J186" s="59">
        <f t="shared" si="24"/>
        <v>1461.4200000000064</v>
      </c>
      <c r="K186" s="60">
        <f t="shared" si="19"/>
        <v>4.1363955940942339E-2</v>
      </c>
      <c r="L186" s="59">
        <f t="shared" si="20"/>
        <v>1461.4200000000064</v>
      </c>
      <c r="M186" s="60">
        <f t="shared" si="21"/>
        <v>4.1363955940942339E-2</v>
      </c>
      <c r="N186" s="61">
        <v>66068309</v>
      </c>
      <c r="O186" s="61">
        <f t="shared" si="17"/>
        <v>0</v>
      </c>
      <c r="P186" s="113"/>
      <c r="Q186" s="114"/>
      <c r="R186" s="20">
        <f t="shared" si="25"/>
        <v>1</v>
      </c>
      <c r="S186" s="20">
        <f t="shared" si="18"/>
        <v>0</v>
      </c>
    </row>
    <row r="187" spans="1:20" ht="15.75" thickBot="1" x14ac:dyDescent="0.3">
      <c r="A187" s="54">
        <v>44381</v>
      </c>
      <c r="D187" s="56">
        <v>0.14199999999999999</v>
      </c>
      <c r="E187" s="57">
        <v>632.51300000000003</v>
      </c>
      <c r="F187" s="58">
        <v>23.402000000000001</v>
      </c>
      <c r="G187" s="59"/>
      <c r="H187" s="59">
        <v>4140</v>
      </c>
      <c r="I187" s="59">
        <f t="shared" si="23"/>
        <v>31385.340000000073</v>
      </c>
      <c r="J187" s="59">
        <f t="shared" si="24"/>
        <v>1092.9599999999973</v>
      </c>
      <c r="K187" s="60">
        <f t="shared" si="19"/>
        <v>3.482390185991277E-2</v>
      </c>
      <c r="L187" s="59">
        <f t="shared" si="20"/>
        <v>1092.9599999999973</v>
      </c>
      <c r="M187" s="60">
        <f t="shared" si="21"/>
        <v>3.482390185991277E-2</v>
      </c>
      <c r="N187" s="61">
        <v>66068309</v>
      </c>
      <c r="O187" s="61">
        <f t="shared" si="17"/>
        <v>0</v>
      </c>
      <c r="P187" s="115"/>
      <c r="Q187" s="116"/>
      <c r="R187" s="20">
        <f t="shared" si="25"/>
        <v>1</v>
      </c>
      <c r="S187" s="20">
        <f t="shared" si="18"/>
        <v>0</v>
      </c>
      <c r="T187" s="65"/>
    </row>
    <row r="188" spans="1:20" ht="15.75" thickBot="1" x14ac:dyDescent="0.3">
      <c r="A188" s="54">
        <v>44382</v>
      </c>
      <c r="D188" s="56">
        <v>0.14199999999999999</v>
      </c>
      <c r="E188" s="57">
        <v>640.61099999999999</v>
      </c>
      <c r="F188" s="58">
        <v>23.684999999999999</v>
      </c>
      <c r="G188" s="59"/>
      <c r="H188" s="59">
        <v>4140</v>
      </c>
      <c r="I188" s="59">
        <f t="shared" si="23"/>
        <v>33525.719999999819</v>
      </c>
      <c r="J188" s="59">
        <f t="shared" si="24"/>
        <v>1171.6199999999906</v>
      </c>
      <c r="K188" s="60">
        <f t="shared" si="19"/>
        <v>3.4946900469251571E-2</v>
      </c>
      <c r="L188" s="59">
        <f t="shared" si="20"/>
        <v>1171.6199999999906</v>
      </c>
      <c r="M188" s="60">
        <f t="shared" si="21"/>
        <v>3.4946900469251571E-2</v>
      </c>
      <c r="N188" s="61">
        <v>66068309</v>
      </c>
      <c r="O188" s="61">
        <f t="shared" si="17"/>
        <v>0</v>
      </c>
      <c r="P188" s="115"/>
      <c r="Q188" s="116"/>
      <c r="R188" s="20">
        <f t="shared" si="25"/>
        <v>1</v>
      </c>
      <c r="S188" s="20">
        <f t="shared" si="18"/>
        <v>0</v>
      </c>
      <c r="T188" s="65"/>
    </row>
    <row r="189" spans="1:20" ht="15.75" thickBot="1" x14ac:dyDescent="0.3">
      <c r="A189" s="54">
        <v>44383</v>
      </c>
      <c r="D189" s="56">
        <v>0.14199999999999999</v>
      </c>
      <c r="E189" s="57">
        <v>648.19000000000005</v>
      </c>
      <c r="F189" s="58">
        <v>23.98</v>
      </c>
      <c r="G189" s="59"/>
      <c r="H189" s="59">
        <v>4140</v>
      </c>
      <c r="I189" s="59">
        <f t="shared" si="23"/>
        <v>31377.060000000267</v>
      </c>
      <c r="J189" s="59">
        <f t="shared" si="24"/>
        <v>1221.300000000007</v>
      </c>
      <c r="K189" s="60">
        <f t="shared" si="19"/>
        <v>3.8923340810133156E-2</v>
      </c>
      <c r="L189" s="59">
        <f t="shared" si="20"/>
        <v>1221.300000000007</v>
      </c>
      <c r="M189" s="60">
        <f t="shared" si="21"/>
        <v>3.8923340810133156E-2</v>
      </c>
      <c r="N189" s="61">
        <v>66068309</v>
      </c>
      <c r="O189" s="61">
        <f t="shared" si="17"/>
        <v>0</v>
      </c>
      <c r="P189" s="115"/>
      <c r="Q189" s="116"/>
      <c r="R189" s="20">
        <f t="shared" si="25"/>
        <v>1</v>
      </c>
      <c r="S189" s="20">
        <f t="shared" si="18"/>
        <v>0</v>
      </c>
    </row>
    <row r="190" spans="1:20" ht="15.75" thickBot="1" x14ac:dyDescent="0.3">
      <c r="A190" s="54">
        <v>44384</v>
      </c>
      <c r="D190" s="56">
        <v>0.14199999999999999</v>
      </c>
      <c r="E190" s="57">
        <v>656.75800000000004</v>
      </c>
      <c r="F190" s="58">
        <v>24.395</v>
      </c>
      <c r="G190" s="59"/>
      <c r="H190" s="59">
        <v>4140</v>
      </c>
      <c r="I190" s="59">
        <f t="shared" si="23"/>
        <v>35471.519999999931</v>
      </c>
      <c r="J190" s="59">
        <f t="shared" si="24"/>
        <v>1718.0999999999965</v>
      </c>
      <c r="K190" s="60">
        <f t="shared" si="19"/>
        <v>4.8436041083099901E-2</v>
      </c>
      <c r="L190" s="59">
        <f t="shared" si="20"/>
        <v>1718.0999999999965</v>
      </c>
      <c r="M190" s="60">
        <f t="shared" si="21"/>
        <v>4.8436041083099901E-2</v>
      </c>
      <c r="N190" s="61">
        <v>66068309</v>
      </c>
      <c r="O190" s="61">
        <f t="shared" si="17"/>
        <v>0</v>
      </c>
      <c r="P190" s="100"/>
      <c r="Q190" s="101"/>
      <c r="R190" s="20">
        <f t="shared" si="25"/>
        <v>1</v>
      </c>
      <c r="S190" s="20">
        <f t="shared" si="18"/>
        <v>0</v>
      </c>
    </row>
    <row r="191" spans="1:20" ht="15.75" thickBot="1" x14ac:dyDescent="0.3">
      <c r="A191" s="54">
        <v>44385</v>
      </c>
      <c r="D191" s="56">
        <v>0.14199999999999999</v>
      </c>
      <c r="E191" s="57">
        <v>665.13</v>
      </c>
      <c r="F191" s="58">
        <v>24.728000000000002</v>
      </c>
      <c r="G191" s="59"/>
      <c r="H191" s="59">
        <v>4140</v>
      </c>
      <c r="I191" s="59">
        <f t="shared" si="23"/>
        <v>34660.07999999982</v>
      </c>
      <c r="J191" s="59">
        <f t="shared" si="24"/>
        <v>1378.6200000000081</v>
      </c>
      <c r="K191" s="60">
        <f t="shared" si="19"/>
        <v>3.9775441949355429E-2</v>
      </c>
      <c r="L191" s="59">
        <f t="shared" si="20"/>
        <v>1378.6200000000081</v>
      </c>
      <c r="M191" s="60">
        <f t="shared" si="21"/>
        <v>3.9775441949355429E-2</v>
      </c>
      <c r="N191" s="61">
        <v>66068309</v>
      </c>
      <c r="O191" s="61">
        <f t="shared" si="17"/>
        <v>0</v>
      </c>
      <c r="P191" s="102"/>
      <c r="Q191" s="103"/>
      <c r="R191" s="20">
        <f t="shared" si="25"/>
        <v>1</v>
      </c>
      <c r="S191" s="20">
        <f t="shared" si="18"/>
        <v>0</v>
      </c>
    </row>
    <row r="192" spans="1:20" ht="15.75" thickBot="1" x14ac:dyDescent="0.3">
      <c r="A192" s="54">
        <v>44386</v>
      </c>
      <c r="D192" s="56">
        <v>0.14199999999999999</v>
      </c>
      <c r="E192" s="57">
        <v>673.84400000000005</v>
      </c>
      <c r="F192" s="58">
        <v>25.103000000000002</v>
      </c>
      <c r="G192" s="59"/>
      <c r="H192" s="59">
        <v>4140</v>
      </c>
      <c r="I192" s="59">
        <f t="shared" si="23"/>
        <v>36075.960000000232</v>
      </c>
      <c r="J192" s="59">
        <f t="shared" si="24"/>
        <v>1552.5</v>
      </c>
      <c r="K192" s="60">
        <f t="shared" si="19"/>
        <v>4.3034197842551941E-2</v>
      </c>
      <c r="L192" s="59">
        <f t="shared" si="20"/>
        <v>1552.5</v>
      </c>
      <c r="M192" s="60">
        <f t="shared" si="21"/>
        <v>4.3034197842551941E-2</v>
      </c>
      <c r="N192" s="61">
        <v>66068309</v>
      </c>
      <c r="O192" s="61">
        <f t="shared" si="17"/>
        <v>0</v>
      </c>
      <c r="P192" s="102"/>
      <c r="Q192" s="101"/>
      <c r="R192" s="20">
        <f t="shared" si="25"/>
        <v>1</v>
      </c>
      <c r="S192" s="20">
        <f t="shared" si="18"/>
        <v>0</v>
      </c>
      <c r="T192" s="65"/>
    </row>
    <row r="193" spans="1:20" ht="15.75" thickBot="1" x14ac:dyDescent="0.3">
      <c r="A193" s="54">
        <v>44387</v>
      </c>
      <c r="D193" s="56">
        <v>0.14199999999999999</v>
      </c>
      <c r="E193" s="57">
        <v>682.65200000000004</v>
      </c>
      <c r="F193" s="58">
        <v>25.42</v>
      </c>
      <c r="G193" s="59"/>
      <c r="H193" s="59">
        <v>4140</v>
      </c>
      <c r="I193" s="59">
        <f t="shared" si="23"/>
        <v>36465.119999999966</v>
      </c>
      <c r="J193" s="59">
        <f t="shared" si="24"/>
        <v>1312.3800000000008</v>
      </c>
      <c r="K193" s="60">
        <f t="shared" si="19"/>
        <v>3.5990009082652187E-2</v>
      </c>
      <c r="L193" s="59">
        <f t="shared" si="20"/>
        <v>1312.3800000000008</v>
      </c>
      <c r="M193" s="60">
        <f t="shared" si="21"/>
        <v>3.5990009082652187E-2</v>
      </c>
      <c r="N193" s="61">
        <v>66068309</v>
      </c>
      <c r="O193" s="61">
        <f t="shared" si="17"/>
        <v>0</v>
      </c>
      <c r="P193" s="115"/>
      <c r="Q193" s="117"/>
      <c r="R193" s="20">
        <f t="shared" si="25"/>
        <v>1</v>
      </c>
      <c r="S193" s="20">
        <f t="shared" si="18"/>
        <v>0</v>
      </c>
      <c r="T193" s="65"/>
    </row>
    <row r="194" spans="1:20" ht="15.75" thickBot="1" x14ac:dyDescent="0.3">
      <c r="A194" s="54">
        <v>44388</v>
      </c>
      <c r="D194" s="56">
        <v>0.14199999999999999</v>
      </c>
      <c r="E194" s="57">
        <v>691.53899999999999</v>
      </c>
      <c r="F194" s="58">
        <v>25.803000000000001</v>
      </c>
      <c r="G194" s="59"/>
      <c r="H194" s="59">
        <v>4140</v>
      </c>
      <c r="I194" s="59">
        <f t="shared" si="23"/>
        <v>36792.179999999767</v>
      </c>
      <c r="J194" s="59">
        <f t="shared" si="24"/>
        <v>1585.6199999999963</v>
      </c>
      <c r="K194" s="60">
        <f t="shared" si="19"/>
        <v>4.3096658039833632E-2</v>
      </c>
      <c r="L194" s="59">
        <f t="shared" si="20"/>
        <v>1585.6199999999963</v>
      </c>
      <c r="M194" s="60">
        <f t="shared" si="21"/>
        <v>4.3096658039833632E-2</v>
      </c>
      <c r="N194" s="61">
        <v>66068309</v>
      </c>
      <c r="O194" s="61">
        <f t="shared" si="17"/>
        <v>0</v>
      </c>
      <c r="P194" s="115"/>
      <c r="Q194" s="118"/>
      <c r="R194" s="20">
        <f t="shared" si="25"/>
        <v>1</v>
      </c>
      <c r="S194" s="20">
        <f t="shared" si="18"/>
        <v>0</v>
      </c>
    </row>
    <row r="195" spans="1:20" ht="15.75" thickBot="1" x14ac:dyDescent="0.3">
      <c r="A195" s="54">
        <v>44389</v>
      </c>
      <c r="D195" s="56">
        <v>0.14199999999999999</v>
      </c>
      <c r="E195" s="57">
        <v>700.66899999999998</v>
      </c>
      <c r="F195" s="58">
        <v>26.106000000000002</v>
      </c>
      <c r="G195" s="59"/>
      <c r="H195" s="59">
        <v>4140</v>
      </c>
      <c r="I195" s="59">
        <f t="shared" si="23"/>
        <v>37798.199999999983</v>
      </c>
      <c r="J195" s="59">
        <f t="shared" si="24"/>
        <v>1254.4200000000035</v>
      </c>
      <c r="K195" s="60">
        <f t="shared" si="19"/>
        <v>3.3187294633077874E-2</v>
      </c>
      <c r="L195" s="59">
        <f t="shared" si="20"/>
        <v>1254.4200000000035</v>
      </c>
      <c r="M195" s="60">
        <f t="shared" si="21"/>
        <v>3.3187294633077874E-2</v>
      </c>
      <c r="N195" s="61">
        <v>66068309</v>
      </c>
      <c r="O195" s="61">
        <f t="shared" si="17"/>
        <v>0</v>
      </c>
      <c r="P195" s="115"/>
      <c r="Q195" s="118"/>
      <c r="R195" s="20">
        <f t="shared" si="25"/>
        <v>1</v>
      </c>
      <c r="S195" s="20">
        <f t="shared" si="18"/>
        <v>0</v>
      </c>
    </row>
    <row r="196" spans="1:20" ht="15.75" thickBot="1" x14ac:dyDescent="0.3">
      <c r="A196" s="54">
        <v>44390</v>
      </c>
      <c r="D196" s="56">
        <v>0.14199999999999999</v>
      </c>
      <c r="E196" s="57">
        <v>709.35699999999997</v>
      </c>
      <c r="F196" s="58">
        <v>26.52</v>
      </c>
      <c r="G196" s="59"/>
      <c r="H196" s="59">
        <v>4140</v>
      </c>
      <c r="I196" s="59">
        <f t="shared" si="23"/>
        <v>35968.319999999949</v>
      </c>
      <c r="J196" s="59">
        <f t="shared" si="24"/>
        <v>1713.9599999999914</v>
      </c>
      <c r="K196" s="60">
        <f t="shared" si="19"/>
        <v>4.7651933701657288E-2</v>
      </c>
      <c r="L196" s="59">
        <f t="shared" si="20"/>
        <v>1713.9599999999914</v>
      </c>
      <c r="M196" s="60">
        <f t="shared" si="21"/>
        <v>4.7651933701657288E-2</v>
      </c>
      <c r="N196" s="61">
        <v>66068309</v>
      </c>
      <c r="O196" s="61">
        <f t="shared" si="17"/>
        <v>0</v>
      </c>
      <c r="P196" s="115"/>
      <c r="Q196" s="117"/>
      <c r="R196" s="20">
        <f t="shared" si="25"/>
        <v>1</v>
      </c>
      <c r="S196" s="20">
        <f t="shared" si="18"/>
        <v>0</v>
      </c>
    </row>
    <row r="197" spans="1:20" ht="15.75" thickBot="1" x14ac:dyDescent="0.3">
      <c r="A197" s="54">
        <v>44391</v>
      </c>
      <c r="D197" s="56">
        <v>0.14199999999999999</v>
      </c>
      <c r="E197" s="57">
        <v>718.65700000000004</v>
      </c>
      <c r="F197" s="58">
        <v>26.850999999999999</v>
      </c>
      <c r="G197" s="59"/>
      <c r="H197" s="59">
        <v>4140</v>
      </c>
      <c r="I197" s="59">
        <f t="shared" si="23"/>
        <v>38502.000000000284</v>
      </c>
      <c r="J197" s="59">
        <f t="shared" si="24"/>
        <v>1370.3399999999981</v>
      </c>
      <c r="K197" s="60">
        <f t="shared" si="19"/>
        <v>3.5591397849462053E-2</v>
      </c>
      <c r="L197" s="59">
        <f t="shared" si="20"/>
        <v>1370.3399999999981</v>
      </c>
      <c r="M197" s="60">
        <f t="shared" si="21"/>
        <v>3.5591397849462053E-2</v>
      </c>
      <c r="N197" s="61">
        <v>66068309</v>
      </c>
      <c r="O197" s="61">
        <f t="shared" si="17"/>
        <v>0</v>
      </c>
      <c r="P197" s="115"/>
      <c r="Q197" s="117"/>
      <c r="R197" s="20">
        <f t="shared" si="25"/>
        <v>1</v>
      </c>
      <c r="S197" s="20">
        <f t="shared" si="18"/>
        <v>0</v>
      </c>
      <c r="T197" s="65"/>
    </row>
    <row r="198" spans="1:20" ht="15.75" thickBot="1" x14ac:dyDescent="0.3">
      <c r="A198" s="54">
        <v>44392</v>
      </c>
      <c r="D198" s="56">
        <v>0.14199999999999999</v>
      </c>
      <c r="E198" s="57">
        <v>727.93399999999997</v>
      </c>
      <c r="F198" s="58">
        <v>27.225000000000001</v>
      </c>
      <c r="G198" s="59"/>
      <c r="H198" s="59">
        <v>4140</v>
      </c>
      <c r="I198" s="59">
        <f t="shared" si="23"/>
        <v>38406.779999999708</v>
      </c>
      <c r="J198" s="59">
        <f t="shared" si="24"/>
        <v>1548.3600000000097</v>
      </c>
      <c r="K198" s="60">
        <f t="shared" si="19"/>
        <v>4.031475692573086E-2</v>
      </c>
      <c r="L198" s="59">
        <f t="shared" si="20"/>
        <v>1548.3600000000097</v>
      </c>
      <c r="M198" s="60">
        <f t="shared" si="21"/>
        <v>4.031475692573086E-2</v>
      </c>
      <c r="N198" s="61">
        <v>66068309</v>
      </c>
      <c r="O198" s="61">
        <f t="shared" ref="O198:O261" si="26">IF(N198="","",N198-N197)</f>
        <v>0</v>
      </c>
      <c r="P198" s="115"/>
      <c r="Q198" s="118"/>
      <c r="R198" s="20">
        <f t="shared" si="25"/>
        <v>1</v>
      </c>
      <c r="S198" s="20">
        <f t="shared" si="18"/>
        <v>0</v>
      </c>
      <c r="T198" s="65"/>
    </row>
    <row r="199" spans="1:20" ht="15.75" thickBot="1" x14ac:dyDescent="0.3">
      <c r="A199" s="54">
        <v>44393</v>
      </c>
      <c r="D199" s="56">
        <v>0.14199999999999999</v>
      </c>
      <c r="E199" s="57">
        <v>737.03499999999997</v>
      </c>
      <c r="F199" s="58">
        <v>27.556999999999999</v>
      </c>
      <c r="G199" s="59"/>
      <c r="H199" s="59">
        <v>4140</v>
      </c>
      <c r="I199" s="59">
        <f t="shared" si="23"/>
        <v>37678.14</v>
      </c>
      <c r="J199" s="59">
        <f t="shared" si="24"/>
        <v>1374.4799999999884</v>
      </c>
      <c r="K199" s="60">
        <f t="shared" si="19"/>
        <v>3.6479507746401185E-2</v>
      </c>
      <c r="L199" s="59">
        <f t="shared" si="20"/>
        <v>1374.4799999999884</v>
      </c>
      <c r="M199" s="60">
        <f t="shared" si="21"/>
        <v>3.6479507746401185E-2</v>
      </c>
      <c r="N199" s="61">
        <v>66068309</v>
      </c>
      <c r="O199" s="61">
        <f t="shared" si="26"/>
        <v>0</v>
      </c>
      <c r="P199" s="115"/>
      <c r="Q199" s="118"/>
      <c r="R199" s="20">
        <f t="shared" si="25"/>
        <v>1</v>
      </c>
      <c r="S199" s="20">
        <f t="shared" si="18"/>
        <v>0</v>
      </c>
    </row>
    <row r="200" spans="1:20" ht="15.75" thickBot="1" x14ac:dyDescent="0.3">
      <c r="A200" s="54">
        <v>44394</v>
      </c>
      <c r="D200" s="56">
        <v>0.14199999999999999</v>
      </c>
      <c r="E200" s="57">
        <v>747.29499999999996</v>
      </c>
      <c r="F200" s="58">
        <v>27.866</v>
      </c>
      <c r="G200" s="59"/>
      <c r="H200" s="59">
        <v>4140</v>
      </c>
      <c r="I200" s="59">
        <f t="shared" si="23"/>
        <v>42476.399999999965</v>
      </c>
      <c r="J200" s="59">
        <f t="shared" si="24"/>
        <v>1279.2600000000043</v>
      </c>
      <c r="K200" s="60">
        <f t="shared" si="19"/>
        <v>3.0116959064327611E-2</v>
      </c>
      <c r="L200" s="59">
        <f t="shared" si="20"/>
        <v>1279.2600000000043</v>
      </c>
      <c r="M200" s="60">
        <f t="shared" si="21"/>
        <v>3.0116959064327611E-2</v>
      </c>
      <c r="N200" s="61">
        <v>66068309</v>
      </c>
      <c r="O200" s="61">
        <f t="shared" si="26"/>
        <v>0</v>
      </c>
      <c r="P200" s="115"/>
      <c r="Q200" s="118"/>
      <c r="R200" s="20">
        <f t="shared" si="25"/>
        <v>1</v>
      </c>
      <c r="S200" s="20">
        <f t="shared" ref="S200:S263" si="27">IF(N200="",1,0)</f>
        <v>0</v>
      </c>
    </row>
    <row r="201" spans="1:20" ht="15.75" thickBot="1" x14ac:dyDescent="0.3">
      <c r="A201" s="54">
        <v>44395</v>
      </c>
      <c r="D201" s="56">
        <v>0.14199999999999999</v>
      </c>
      <c r="E201" s="57">
        <v>757.49099999999999</v>
      </c>
      <c r="F201" s="58">
        <v>28.25</v>
      </c>
      <c r="G201" s="59"/>
      <c r="H201" s="59">
        <v>4140</v>
      </c>
      <c r="I201" s="59">
        <f t="shared" si="23"/>
        <v>42211.440000000111</v>
      </c>
      <c r="J201" s="59">
        <f t="shared" si="24"/>
        <v>1589.7600000000014</v>
      </c>
      <c r="K201" s="60">
        <f t="shared" si="19"/>
        <v>3.7661828167908917E-2</v>
      </c>
      <c r="L201" s="59">
        <f t="shared" si="20"/>
        <v>1589.7600000000014</v>
      </c>
      <c r="M201" s="60">
        <f t="shared" si="21"/>
        <v>3.7661828167908917E-2</v>
      </c>
      <c r="N201" s="61">
        <v>66068309</v>
      </c>
      <c r="O201" s="61">
        <f t="shared" si="26"/>
        <v>0</v>
      </c>
      <c r="P201" s="115"/>
      <c r="Q201" s="116"/>
      <c r="R201" s="20">
        <f t="shared" si="25"/>
        <v>1</v>
      </c>
      <c r="S201" s="20">
        <f t="shared" si="27"/>
        <v>0</v>
      </c>
    </row>
    <row r="202" spans="1:20" ht="15.75" thickBot="1" x14ac:dyDescent="0.3">
      <c r="A202" s="54">
        <v>44396</v>
      </c>
      <c r="D202" s="56">
        <v>0.14199999999999999</v>
      </c>
      <c r="E202" s="57">
        <v>767.48199999999997</v>
      </c>
      <c r="F202" s="58">
        <v>28.606999999999999</v>
      </c>
      <c r="G202" s="59"/>
      <c r="H202" s="59">
        <v>4140</v>
      </c>
      <c r="I202" s="59">
        <f t="shared" si="23"/>
        <v>41362.73999999994</v>
      </c>
      <c r="J202" s="59">
        <f t="shared" si="24"/>
        <v>1477.9799999999973</v>
      </c>
      <c r="K202" s="60">
        <f t="shared" si="19"/>
        <v>3.5732158943048729E-2</v>
      </c>
      <c r="L202" s="59">
        <f t="shared" si="20"/>
        <v>1477.9799999999973</v>
      </c>
      <c r="M202" s="60">
        <f t="shared" si="21"/>
        <v>3.5732158943048729E-2</v>
      </c>
      <c r="N202" s="61">
        <v>66068309</v>
      </c>
      <c r="O202" s="61">
        <f t="shared" si="26"/>
        <v>0</v>
      </c>
      <c r="P202" s="119"/>
      <c r="Q202" s="120"/>
      <c r="R202" s="20">
        <f t="shared" si="25"/>
        <v>1</v>
      </c>
      <c r="S202" s="20">
        <f t="shared" si="27"/>
        <v>0</v>
      </c>
      <c r="T202" s="65"/>
    </row>
    <row r="203" spans="1:20" ht="15.75" thickBot="1" x14ac:dyDescent="0.3">
      <c r="A203" s="54">
        <v>44397</v>
      </c>
      <c r="D203" s="56">
        <v>0.14199999999999999</v>
      </c>
      <c r="E203" s="57">
        <v>775.82799999999997</v>
      </c>
      <c r="F203" s="58">
        <v>28.984999999999999</v>
      </c>
      <c r="G203" s="59"/>
      <c r="H203" s="59">
        <v>4140</v>
      </c>
      <c r="I203" s="59">
        <f t="shared" si="23"/>
        <v>34552.440000000017</v>
      </c>
      <c r="J203" s="59">
        <f t="shared" si="24"/>
        <v>1564.9200000000005</v>
      </c>
      <c r="K203" s="60">
        <f t="shared" si="19"/>
        <v>4.5291157440690143E-2</v>
      </c>
      <c r="L203" s="59">
        <f t="shared" si="20"/>
        <v>1564.9200000000005</v>
      </c>
      <c r="M203" s="60">
        <f t="shared" si="21"/>
        <v>4.5291157440690143E-2</v>
      </c>
      <c r="N203" s="61">
        <v>66068309</v>
      </c>
      <c r="O203" s="61">
        <f t="shared" si="26"/>
        <v>0</v>
      </c>
      <c r="P203" s="206" t="s">
        <v>64</v>
      </c>
      <c r="Q203" s="207"/>
      <c r="R203" s="20">
        <f t="shared" si="25"/>
        <v>1</v>
      </c>
      <c r="S203" s="20">
        <f t="shared" si="27"/>
        <v>0</v>
      </c>
      <c r="T203" s="65"/>
    </row>
    <row r="204" spans="1:20" ht="15.75" thickBot="1" x14ac:dyDescent="0.3">
      <c r="A204" s="54">
        <v>44398</v>
      </c>
      <c r="D204" s="56">
        <v>0.14199999999999999</v>
      </c>
      <c r="E204" s="57">
        <v>785.21400000000006</v>
      </c>
      <c r="F204" s="58">
        <v>29.338999999999999</v>
      </c>
      <c r="G204" s="59"/>
      <c r="H204" s="59">
        <v>4140</v>
      </c>
      <c r="I204" s="59">
        <f t="shared" si="23"/>
        <v>38858.040000000336</v>
      </c>
      <c r="J204" s="59">
        <f t="shared" si="24"/>
        <v>1465.5599999999968</v>
      </c>
      <c r="K204" s="60">
        <f t="shared" si="19"/>
        <v>3.7715746857020685E-2</v>
      </c>
      <c r="L204" s="59">
        <f t="shared" si="20"/>
        <v>1465.5599999999968</v>
      </c>
      <c r="M204" s="60">
        <f t="shared" si="21"/>
        <v>3.7715746857020685E-2</v>
      </c>
      <c r="N204" s="61">
        <v>66068309</v>
      </c>
      <c r="O204" s="61">
        <f t="shared" si="26"/>
        <v>0</v>
      </c>
      <c r="P204" s="204"/>
      <c r="Q204" s="205"/>
      <c r="R204" s="20">
        <f t="shared" si="25"/>
        <v>1</v>
      </c>
      <c r="S204" s="20">
        <f t="shared" si="27"/>
        <v>0</v>
      </c>
    </row>
    <row r="205" spans="1:20" ht="15.75" thickBot="1" x14ac:dyDescent="0.3">
      <c r="A205" s="54">
        <v>44399</v>
      </c>
      <c r="D205" s="56">
        <v>0.14199999999999999</v>
      </c>
      <c r="E205" s="57">
        <v>792.41899999999998</v>
      </c>
      <c r="F205" s="58">
        <v>29.486999999999998</v>
      </c>
      <c r="G205" s="59"/>
      <c r="H205" s="59">
        <v>4140</v>
      </c>
      <c r="I205" s="59">
        <f t="shared" si="23"/>
        <v>29828.699999999699</v>
      </c>
      <c r="J205" s="59">
        <f t="shared" si="24"/>
        <v>612.71999999999866</v>
      </c>
      <c r="K205" s="60">
        <f t="shared" ref="K205:K268" si="28">IF(J205="","",+(J205/I205))</f>
        <v>2.0541290770298568E-2</v>
      </c>
      <c r="L205" s="59">
        <f t="shared" ref="L205:L223" si="29">IF(F205="","",+(F205-F204)*4140)</f>
        <v>612.71999999999866</v>
      </c>
      <c r="M205" s="60">
        <f t="shared" ref="M205:M268" si="30">IF(L205="","",(L205/I205))</f>
        <v>2.0541290770298568E-2</v>
      </c>
      <c r="N205" s="61">
        <v>66068309</v>
      </c>
      <c r="O205" s="61">
        <f t="shared" si="26"/>
        <v>0</v>
      </c>
      <c r="P205" s="69" t="s">
        <v>46</v>
      </c>
      <c r="Q205" s="69" t="s">
        <v>47</v>
      </c>
      <c r="R205" s="20">
        <f t="shared" si="25"/>
        <v>1</v>
      </c>
      <c r="S205" s="20">
        <f t="shared" si="27"/>
        <v>0</v>
      </c>
    </row>
    <row r="206" spans="1:20" ht="15.75" thickBot="1" x14ac:dyDescent="0.3">
      <c r="A206" s="54">
        <v>44400</v>
      </c>
      <c r="D206" s="56">
        <v>0.14199999999999999</v>
      </c>
      <c r="E206" s="57">
        <v>799.60400000000004</v>
      </c>
      <c r="F206" s="58">
        <v>29.641999999999999</v>
      </c>
      <c r="G206" s="59"/>
      <c r="H206" s="59">
        <v>4140</v>
      </c>
      <c r="I206" s="59">
        <f t="shared" si="23"/>
        <v>29745.900000000245</v>
      </c>
      <c r="J206" s="59">
        <f t="shared" si="24"/>
        <v>641.70000000000471</v>
      </c>
      <c r="K206" s="60">
        <f t="shared" si="28"/>
        <v>2.1572720946416126E-2</v>
      </c>
      <c r="L206" s="59">
        <f t="shared" si="29"/>
        <v>641.70000000000471</v>
      </c>
      <c r="M206" s="60">
        <f t="shared" si="30"/>
        <v>2.1572720946416126E-2</v>
      </c>
      <c r="N206" s="61">
        <v>66068309</v>
      </c>
      <c r="O206" s="61">
        <f t="shared" si="26"/>
        <v>0</v>
      </c>
      <c r="P206" s="70">
        <f>IF(J185="",0,+SUM(J185:J215)/SUM(I185:I215))</f>
        <v>3.7288675881343429E-2</v>
      </c>
      <c r="Q206" s="70">
        <f>IF(L185="",0,+SUM(L185:L215)/SUM(I185:I215))</f>
        <v>3.7288675881343429E-2</v>
      </c>
      <c r="R206" s="20">
        <f t="shared" si="25"/>
        <v>1</v>
      </c>
      <c r="S206" s="20">
        <f t="shared" si="27"/>
        <v>0</v>
      </c>
      <c r="T206" s="65"/>
    </row>
    <row r="207" spans="1:20" ht="15.75" thickBot="1" x14ac:dyDescent="0.3">
      <c r="A207" s="54">
        <v>44401</v>
      </c>
      <c r="D207" s="56">
        <v>0.14199999999999999</v>
      </c>
      <c r="E207" s="57">
        <v>807.03499999999997</v>
      </c>
      <c r="F207" s="58">
        <v>29.873000000000001</v>
      </c>
      <c r="G207" s="59"/>
      <c r="H207" s="59">
        <v>4140</v>
      </c>
      <c r="I207" s="59">
        <f t="shared" si="23"/>
        <v>30764.339999999695</v>
      </c>
      <c r="J207" s="59">
        <f t="shared" si="24"/>
        <v>956.34000000000685</v>
      </c>
      <c r="K207" s="60">
        <f t="shared" si="28"/>
        <v>3.1085991118288782E-2</v>
      </c>
      <c r="L207" s="59">
        <f t="shared" si="29"/>
        <v>956.34000000000685</v>
      </c>
      <c r="M207" s="60">
        <f t="shared" si="30"/>
        <v>3.1085991118288782E-2</v>
      </c>
      <c r="N207" s="61">
        <v>66068309</v>
      </c>
      <c r="O207" s="61">
        <f t="shared" si="26"/>
        <v>0</v>
      </c>
      <c r="P207" s="71" t="e">
        <f>IF(J185="",0,+(+(LOOKUP(9.99999999999999E+307,E185:E215)-E184))/(+(LOOKUP(9.99999999999999E+307,D185:D215)-D184)))</f>
        <v>#DIV/0!</v>
      </c>
      <c r="Q207" s="71" t="e">
        <f>IF(L185="",0,+(+(LOOKUP(9.99999999999999E+307,F185:F215)-F184))/(+(LOOKUP(9.99999999999999E+307,D185:D215)-D184)))</f>
        <v>#DIV/0!</v>
      </c>
      <c r="R207" s="20">
        <f t="shared" si="25"/>
        <v>1</v>
      </c>
      <c r="S207" s="20">
        <f t="shared" si="27"/>
        <v>0</v>
      </c>
      <c r="T207" s="65"/>
    </row>
    <row r="208" spans="1:20" ht="15.75" thickBot="1" x14ac:dyDescent="0.3">
      <c r="A208" s="54">
        <v>44402</v>
      </c>
      <c r="D208" s="56">
        <v>0.14199999999999999</v>
      </c>
      <c r="E208" s="57">
        <v>814.85199999999998</v>
      </c>
      <c r="F208" s="58">
        <v>30.132999999999999</v>
      </c>
      <c r="G208" s="59"/>
      <c r="H208" s="59">
        <v>4140</v>
      </c>
      <c r="I208" s="59">
        <f t="shared" si="23"/>
        <v>32362.38000000003</v>
      </c>
      <c r="J208" s="59">
        <f t="shared" si="24"/>
        <v>1076.3999999999917</v>
      </c>
      <c r="K208" s="60">
        <f t="shared" si="28"/>
        <v>3.3260841755148748E-2</v>
      </c>
      <c r="L208" s="59">
        <f t="shared" si="29"/>
        <v>1076.3999999999917</v>
      </c>
      <c r="M208" s="60">
        <f t="shared" si="30"/>
        <v>3.3260841755148748E-2</v>
      </c>
      <c r="N208" s="61">
        <v>66068309</v>
      </c>
      <c r="O208" s="61">
        <f t="shared" si="26"/>
        <v>0</v>
      </c>
      <c r="P208" s="72" t="s">
        <v>48</v>
      </c>
      <c r="Q208" s="73" t="s">
        <v>49</v>
      </c>
      <c r="R208" s="20">
        <f t="shared" si="25"/>
        <v>1</v>
      </c>
      <c r="S208" s="20">
        <f t="shared" si="27"/>
        <v>0</v>
      </c>
      <c r="T208" s="65"/>
    </row>
    <row r="209" spans="1:20" ht="15.75" thickBot="1" x14ac:dyDescent="0.3">
      <c r="A209" s="54">
        <v>44403</v>
      </c>
      <c r="D209" s="56">
        <v>0.14199999999999999</v>
      </c>
      <c r="E209" s="57">
        <v>823.87199999999996</v>
      </c>
      <c r="F209" s="58">
        <v>30.48</v>
      </c>
      <c r="G209" s="59"/>
      <c r="H209" s="59">
        <v>4140</v>
      </c>
      <c r="I209" s="59">
        <f t="shared" si="23"/>
        <v>37342.799999999923</v>
      </c>
      <c r="J209" s="59">
        <f t="shared" si="24"/>
        <v>1436.5800000000054</v>
      </c>
      <c r="K209" s="60">
        <f t="shared" si="28"/>
        <v>3.8470066518847233E-2</v>
      </c>
      <c r="L209" s="59">
        <f t="shared" si="29"/>
        <v>1436.5800000000054</v>
      </c>
      <c r="M209" s="60">
        <f t="shared" si="30"/>
        <v>3.8470066518847233E-2</v>
      </c>
      <c r="N209" s="61">
        <v>66068309</v>
      </c>
      <c r="O209" s="61">
        <f t="shared" si="26"/>
        <v>0</v>
      </c>
      <c r="P209" s="74">
        <f>IF(N184="",0,+(LOOKUP(9.99999999999999E+307,N184:N215)-N184))</f>
        <v>0</v>
      </c>
      <c r="Q209" s="75">
        <f>IF(P209="",0,+P209/SUM(R185:R215))</f>
        <v>0</v>
      </c>
      <c r="R209" s="20">
        <f t="shared" si="25"/>
        <v>1</v>
      </c>
      <c r="S209" s="20">
        <f t="shared" si="27"/>
        <v>0</v>
      </c>
      <c r="T209" s="65"/>
    </row>
    <row r="210" spans="1:20" ht="15.75" thickBot="1" x14ac:dyDescent="0.3">
      <c r="A210" s="54">
        <v>44404</v>
      </c>
      <c r="D210" s="56">
        <v>0.14199999999999999</v>
      </c>
      <c r="E210" s="57">
        <v>833.34299999999996</v>
      </c>
      <c r="F210" s="58">
        <v>30.923999999999999</v>
      </c>
      <c r="G210" s="59"/>
      <c r="H210" s="59">
        <v>4140</v>
      </c>
      <c r="I210" s="59">
        <f t="shared" si="23"/>
        <v>39209.940000000017</v>
      </c>
      <c r="J210" s="59">
        <f t="shared" si="24"/>
        <v>1838.1599999999962</v>
      </c>
      <c r="K210" s="60">
        <f t="shared" si="28"/>
        <v>4.6879949318973595E-2</v>
      </c>
      <c r="L210" s="59">
        <f t="shared" si="29"/>
        <v>1838.1599999999962</v>
      </c>
      <c r="M210" s="60">
        <f t="shared" si="30"/>
        <v>4.6879949318973595E-2</v>
      </c>
      <c r="N210" s="61">
        <v>66068309</v>
      </c>
      <c r="O210" s="61">
        <f t="shared" si="26"/>
        <v>0</v>
      </c>
      <c r="P210" s="76" t="s">
        <v>50</v>
      </c>
      <c r="Q210" s="77" t="s">
        <v>58</v>
      </c>
      <c r="R210" s="20">
        <f t="shared" si="25"/>
        <v>1</v>
      </c>
      <c r="S210" s="20">
        <f t="shared" si="27"/>
        <v>0</v>
      </c>
    </row>
    <row r="211" spans="1:20" ht="15.75" thickBot="1" x14ac:dyDescent="0.3">
      <c r="A211" s="54">
        <v>44405</v>
      </c>
      <c r="D211" s="56">
        <v>0.14199999999999999</v>
      </c>
      <c r="E211" s="57">
        <v>843.02200000000005</v>
      </c>
      <c r="F211" s="58">
        <v>31.347999999999999</v>
      </c>
      <c r="G211" s="59"/>
      <c r="H211" s="59">
        <v>4140</v>
      </c>
      <c r="I211" s="59">
        <f t="shared" si="23"/>
        <v>40071.060000000361</v>
      </c>
      <c r="J211" s="59">
        <f t="shared" si="24"/>
        <v>1755.3599999999979</v>
      </c>
      <c r="K211" s="60">
        <f t="shared" si="28"/>
        <v>4.38061783242066E-2</v>
      </c>
      <c r="L211" s="59">
        <f t="shared" si="29"/>
        <v>1755.3599999999979</v>
      </c>
      <c r="M211" s="60">
        <f t="shared" si="30"/>
        <v>4.38061783242066E-2</v>
      </c>
      <c r="N211" s="61">
        <v>66068309</v>
      </c>
      <c r="O211" s="61">
        <f t="shared" si="26"/>
        <v>0</v>
      </c>
      <c r="P211" s="78">
        <f>IF(D184="",0,+(LOOKUP(9.99999999999999E+307,D184:D215)-D184))*4140</f>
        <v>0</v>
      </c>
      <c r="Q211" s="79">
        <f>IF(P211="",0,+P211/SUM(R185:R215))</f>
        <v>0</v>
      </c>
      <c r="R211" s="20">
        <f t="shared" si="25"/>
        <v>1</v>
      </c>
      <c r="S211" s="20">
        <f t="shared" si="27"/>
        <v>0</v>
      </c>
    </row>
    <row r="212" spans="1:20" ht="15.75" thickBot="1" x14ac:dyDescent="0.3">
      <c r="A212" s="54">
        <v>44406</v>
      </c>
      <c r="D212" s="56">
        <v>0.14199999999999999</v>
      </c>
      <c r="E212" s="57">
        <v>851.529</v>
      </c>
      <c r="F212" s="58">
        <v>31.658000000000001</v>
      </c>
      <c r="G212" s="59"/>
      <c r="H212" s="59">
        <v>4140</v>
      </c>
      <c r="I212" s="59">
        <f t="shared" si="23"/>
        <v>35218.979999999785</v>
      </c>
      <c r="J212" s="59">
        <f t="shared" si="24"/>
        <v>1283.4000000000094</v>
      </c>
      <c r="K212" s="60">
        <f t="shared" si="28"/>
        <v>3.6440578347243936E-2</v>
      </c>
      <c r="L212" s="59">
        <f t="shared" si="29"/>
        <v>1283.4000000000094</v>
      </c>
      <c r="M212" s="60">
        <f t="shared" si="30"/>
        <v>3.6440578347243936E-2</v>
      </c>
      <c r="N212" s="61">
        <v>66068309</v>
      </c>
      <c r="O212" s="61">
        <f t="shared" si="26"/>
        <v>0</v>
      </c>
      <c r="P212" s="80" t="s">
        <v>52</v>
      </c>
      <c r="Q212" s="81" t="s">
        <v>59</v>
      </c>
      <c r="R212" s="20">
        <f t="shared" si="25"/>
        <v>1</v>
      </c>
      <c r="S212" s="20">
        <f t="shared" si="27"/>
        <v>0</v>
      </c>
    </row>
    <row r="213" spans="1:20" ht="15.75" thickBot="1" x14ac:dyDescent="0.3">
      <c r="A213" s="54">
        <v>44407</v>
      </c>
      <c r="D213" s="56">
        <v>0.14199999999999999</v>
      </c>
      <c r="E213" s="57">
        <v>859.96600000000001</v>
      </c>
      <c r="F213" s="58">
        <v>31.852</v>
      </c>
      <c r="G213" s="59"/>
      <c r="H213" s="59">
        <v>4140</v>
      </c>
      <c r="I213" s="59">
        <f t="shared" si="23"/>
        <v>34929.180000000051</v>
      </c>
      <c r="J213" s="59">
        <f t="shared" si="24"/>
        <v>803.1599999999961</v>
      </c>
      <c r="K213" s="60">
        <f t="shared" si="28"/>
        <v>2.2993955197344883E-2</v>
      </c>
      <c r="L213" s="59">
        <f t="shared" si="29"/>
        <v>803.1599999999961</v>
      </c>
      <c r="M213" s="60">
        <f t="shared" si="30"/>
        <v>2.2993955197344883E-2</v>
      </c>
      <c r="N213" s="61">
        <v>66068309</v>
      </c>
      <c r="O213" s="61">
        <f t="shared" si="26"/>
        <v>0</v>
      </c>
      <c r="P213" s="82">
        <f>P211*Q216</f>
        <v>0</v>
      </c>
      <c r="Q213" s="83" t="e">
        <f>IF(Q34="",0,(SUM('[1]Günlük Tüketim'!H185:H215)*1.62)/SUM(O185:O215))</f>
        <v>#DIV/0!</v>
      </c>
      <c r="R213" s="20">
        <f t="shared" si="25"/>
        <v>1</v>
      </c>
      <c r="S213" s="20">
        <f t="shared" si="27"/>
        <v>0</v>
      </c>
    </row>
    <row r="214" spans="1:20" ht="15.75" thickBot="1" x14ac:dyDescent="0.3">
      <c r="A214" s="54">
        <v>44408</v>
      </c>
      <c r="D214" s="56">
        <v>0.14199999999999999</v>
      </c>
      <c r="E214" s="57">
        <v>869.17100000000005</v>
      </c>
      <c r="F214" s="58">
        <v>32.226999999999997</v>
      </c>
      <c r="G214" s="59"/>
      <c r="H214" s="59">
        <v>4140</v>
      </c>
      <c r="I214" s="59">
        <f t="shared" si="23"/>
        <v>38108.700000000172</v>
      </c>
      <c r="J214" s="59">
        <f t="shared" si="24"/>
        <v>1552.4999999999852</v>
      </c>
      <c r="K214" s="60">
        <f t="shared" si="28"/>
        <v>4.0738728951656138E-2</v>
      </c>
      <c r="L214" s="59">
        <f t="shared" si="29"/>
        <v>1552.4999999999852</v>
      </c>
      <c r="M214" s="60">
        <f t="shared" si="30"/>
        <v>4.0738728951656138E-2</v>
      </c>
      <c r="N214" s="61">
        <v>66068309</v>
      </c>
      <c r="O214" s="61">
        <f t="shared" si="26"/>
        <v>0</v>
      </c>
      <c r="P214" s="85" t="s">
        <v>54</v>
      </c>
      <c r="Q214" s="86" t="s">
        <v>55</v>
      </c>
      <c r="R214" s="20">
        <f t="shared" si="25"/>
        <v>1</v>
      </c>
      <c r="S214" s="20">
        <f t="shared" si="27"/>
        <v>0</v>
      </c>
    </row>
    <row r="215" spans="1:20" ht="15.75" thickBot="1" x14ac:dyDescent="0.3">
      <c r="A215" s="54">
        <v>44409</v>
      </c>
      <c r="D215" s="56">
        <v>0.14199999999999999</v>
      </c>
      <c r="E215" s="57">
        <v>877.39800000000002</v>
      </c>
      <c r="F215" s="58">
        <v>32.466000000000001</v>
      </c>
      <c r="G215" s="90"/>
      <c r="H215" s="59">
        <v>4140</v>
      </c>
      <c r="I215" s="59">
        <f t="shared" si="23"/>
        <v>34059.779999999897</v>
      </c>
      <c r="J215" s="59">
        <f t="shared" si="24"/>
        <v>989.46000000001789</v>
      </c>
      <c r="K215" s="60">
        <f t="shared" si="28"/>
        <v>2.9050686763097733E-2</v>
      </c>
      <c r="L215" s="59">
        <f t="shared" si="29"/>
        <v>989.46000000001789</v>
      </c>
      <c r="M215" s="60">
        <f t="shared" si="30"/>
        <v>2.9050686763097733E-2</v>
      </c>
      <c r="N215" s="92">
        <v>66068309</v>
      </c>
      <c r="O215" s="93">
        <f t="shared" si="26"/>
        <v>0</v>
      </c>
      <c r="P215" s="94">
        <f>(P213+Q211*SUM(S185:S215)*Q216)</f>
        <v>0</v>
      </c>
      <c r="Q215" s="95">
        <f>Q211*31</f>
        <v>0</v>
      </c>
      <c r="R215" s="20">
        <f t="shared" si="25"/>
        <v>1</v>
      </c>
      <c r="S215" s="20">
        <f t="shared" si="27"/>
        <v>0</v>
      </c>
    </row>
    <row r="216" spans="1:20" ht="15.75" thickBot="1" x14ac:dyDescent="0.3">
      <c r="A216" s="54">
        <v>44410</v>
      </c>
      <c r="D216" s="56">
        <v>0.14199999999999999</v>
      </c>
      <c r="E216" s="57">
        <v>885.32399999999996</v>
      </c>
      <c r="F216" s="58">
        <v>32.713999999999999</v>
      </c>
      <c r="G216" s="59"/>
      <c r="H216" s="59">
        <v>4140</v>
      </c>
      <c r="I216" s="59">
        <f t="shared" si="23"/>
        <v>32813.639999999716</v>
      </c>
      <c r="J216" s="59">
        <f t="shared" si="24"/>
        <v>1026.7199999999898</v>
      </c>
      <c r="K216" s="60">
        <f t="shared" si="28"/>
        <v>3.12894272016149E-2</v>
      </c>
      <c r="L216" s="59">
        <f t="shared" si="29"/>
        <v>1026.7199999999898</v>
      </c>
      <c r="M216" s="60">
        <f t="shared" si="30"/>
        <v>3.12894272016149E-2</v>
      </c>
      <c r="N216" s="61">
        <v>66068309</v>
      </c>
      <c r="O216" s="61">
        <f t="shared" si="26"/>
        <v>0</v>
      </c>
      <c r="P216" s="111" t="s">
        <v>56</v>
      </c>
      <c r="Q216" s="112">
        <v>0.56999999999999995</v>
      </c>
      <c r="R216" s="20">
        <f t="shared" si="25"/>
        <v>1</v>
      </c>
      <c r="S216" s="20">
        <f t="shared" si="27"/>
        <v>0</v>
      </c>
    </row>
    <row r="217" spans="1:20" ht="15.75" thickBot="1" x14ac:dyDescent="0.3">
      <c r="A217" s="54">
        <v>44411</v>
      </c>
      <c r="D217" s="56">
        <v>0.14199999999999999</v>
      </c>
      <c r="E217" s="57">
        <v>894.71400000000006</v>
      </c>
      <c r="F217" s="58">
        <v>33.078000000000003</v>
      </c>
      <c r="G217" s="59"/>
      <c r="H217" s="59">
        <v>4140</v>
      </c>
      <c r="I217" s="59">
        <f t="shared" si="23"/>
        <v>38874.600000000413</v>
      </c>
      <c r="J217" s="59">
        <f t="shared" si="24"/>
        <v>1506.9600000000178</v>
      </c>
      <c r="K217" s="60">
        <f t="shared" si="28"/>
        <v>3.8764643237486733E-2</v>
      </c>
      <c r="L217" s="59">
        <f>IF(F217="","",+(F217-F216)*4140)</f>
        <v>1506.9600000000178</v>
      </c>
      <c r="M217" s="60">
        <f t="shared" si="30"/>
        <v>3.8764643237486733E-2</v>
      </c>
      <c r="N217" s="61">
        <v>66068309</v>
      </c>
      <c r="O217" s="61">
        <f t="shared" si="26"/>
        <v>0</v>
      </c>
      <c r="P217" s="113"/>
      <c r="Q217" s="114"/>
      <c r="R217" s="20">
        <f t="shared" si="25"/>
        <v>1</v>
      </c>
      <c r="S217" s="20">
        <f t="shared" si="27"/>
        <v>0</v>
      </c>
    </row>
    <row r="218" spans="1:20" ht="15.75" thickBot="1" x14ac:dyDescent="0.3">
      <c r="A218" s="54">
        <v>44412</v>
      </c>
      <c r="D218" s="56">
        <v>0.14199999999999999</v>
      </c>
      <c r="E218" s="57">
        <v>905.39400000000001</v>
      </c>
      <c r="F218" s="58">
        <v>33.444000000000003</v>
      </c>
      <c r="G218" s="59"/>
      <c r="H218" s="59">
        <v>4140</v>
      </c>
      <c r="I218" s="59">
        <f t="shared" si="23"/>
        <v>44215.199999999793</v>
      </c>
      <c r="J218" s="59">
        <f t="shared" si="24"/>
        <v>1515.2399999999986</v>
      </c>
      <c r="K218" s="60">
        <f t="shared" si="28"/>
        <v>3.4269662921348441E-2</v>
      </c>
      <c r="L218" s="59">
        <f>IF(F218="","",+(F218-F217)*4140)</f>
        <v>1515.2399999999986</v>
      </c>
      <c r="M218" s="60">
        <f t="shared" si="30"/>
        <v>3.4269662921348441E-2</v>
      </c>
      <c r="N218" s="61">
        <v>66068309</v>
      </c>
      <c r="O218" s="61">
        <f t="shared" si="26"/>
        <v>0</v>
      </c>
      <c r="P218" s="115"/>
      <c r="Q218" s="116"/>
      <c r="R218" s="20">
        <f t="shared" si="25"/>
        <v>1</v>
      </c>
      <c r="S218" s="20">
        <f t="shared" si="27"/>
        <v>0</v>
      </c>
      <c r="T218" s="65"/>
    </row>
    <row r="219" spans="1:20" ht="15.75" thickBot="1" x14ac:dyDescent="0.3">
      <c r="A219" s="54">
        <v>44413</v>
      </c>
      <c r="D219" s="56"/>
      <c r="E219" s="57"/>
      <c r="F219" s="58"/>
      <c r="G219" s="59"/>
      <c r="H219" s="59">
        <v>4140</v>
      </c>
      <c r="I219" s="59" t="str">
        <f t="shared" ref="I217:J259" si="31">IF(D219="","",+(D219-D218)*4140)</f>
        <v/>
      </c>
      <c r="J219" s="59" t="str">
        <f>IF(E219="","",+(E219-E218)*4140)</f>
        <v/>
      </c>
      <c r="K219" s="60" t="str">
        <f t="shared" si="28"/>
        <v/>
      </c>
      <c r="L219" s="59" t="str">
        <f>IF(F219="","",+(F219-F218)*4140)</f>
        <v/>
      </c>
      <c r="M219" s="60" t="str">
        <f t="shared" si="30"/>
        <v/>
      </c>
      <c r="N219" s="61">
        <v>66068309</v>
      </c>
      <c r="O219" s="61">
        <f t="shared" si="26"/>
        <v>0</v>
      </c>
      <c r="P219" s="115"/>
      <c r="Q219" s="116"/>
      <c r="R219" s="20">
        <f t="shared" si="25"/>
        <v>1</v>
      </c>
      <c r="S219" s="20">
        <f t="shared" si="27"/>
        <v>0</v>
      </c>
      <c r="T219" s="65"/>
    </row>
    <row r="220" spans="1:20" ht="15.75" thickBot="1" x14ac:dyDescent="0.3">
      <c r="A220" s="54">
        <v>44414</v>
      </c>
      <c r="D220" s="56"/>
      <c r="E220" s="57"/>
      <c r="F220" s="58"/>
      <c r="G220" s="59"/>
      <c r="H220" s="59">
        <v>4140</v>
      </c>
      <c r="I220" s="59" t="str">
        <f t="shared" si="31"/>
        <v/>
      </c>
      <c r="J220" s="59" t="str">
        <f t="shared" si="31"/>
        <v/>
      </c>
      <c r="K220" s="60" t="str">
        <f t="shared" si="28"/>
        <v/>
      </c>
      <c r="L220" s="59" t="str">
        <f t="shared" si="29"/>
        <v/>
      </c>
      <c r="M220" s="60" t="str">
        <f t="shared" si="30"/>
        <v/>
      </c>
      <c r="N220" s="61">
        <v>66068309</v>
      </c>
      <c r="O220" s="61">
        <f t="shared" si="26"/>
        <v>0</v>
      </c>
      <c r="P220" s="115"/>
      <c r="Q220" s="116"/>
      <c r="R220" s="20">
        <f t="shared" si="25"/>
        <v>1</v>
      </c>
      <c r="S220" s="20">
        <f t="shared" si="27"/>
        <v>0</v>
      </c>
    </row>
    <row r="221" spans="1:20" ht="15.75" thickBot="1" x14ac:dyDescent="0.3">
      <c r="A221" s="54">
        <v>44415</v>
      </c>
      <c r="D221" s="56"/>
      <c r="E221" s="57"/>
      <c r="F221" s="58"/>
      <c r="G221" s="59"/>
      <c r="H221" s="59">
        <v>4140</v>
      </c>
      <c r="I221" s="59" t="str">
        <f t="shared" si="31"/>
        <v/>
      </c>
      <c r="J221" s="59" t="str">
        <f t="shared" si="31"/>
        <v/>
      </c>
      <c r="K221" s="60" t="str">
        <f t="shared" si="28"/>
        <v/>
      </c>
      <c r="L221" s="59" t="str">
        <f t="shared" si="29"/>
        <v/>
      </c>
      <c r="M221" s="60" t="str">
        <f t="shared" si="30"/>
        <v/>
      </c>
      <c r="N221" s="61">
        <v>66068309</v>
      </c>
      <c r="O221" s="61">
        <f t="shared" si="26"/>
        <v>0</v>
      </c>
      <c r="P221" s="100"/>
      <c r="Q221" s="101"/>
      <c r="R221" s="20">
        <f t="shared" si="25"/>
        <v>1</v>
      </c>
      <c r="S221" s="20">
        <f t="shared" si="27"/>
        <v>0</v>
      </c>
    </row>
    <row r="222" spans="1:20" ht="15.75" thickBot="1" x14ac:dyDescent="0.3">
      <c r="A222" s="54">
        <v>44416</v>
      </c>
      <c r="D222" s="56"/>
      <c r="E222" s="57"/>
      <c r="F222" s="58"/>
      <c r="G222" s="59"/>
      <c r="H222" s="59">
        <v>4140</v>
      </c>
      <c r="I222" s="59" t="str">
        <f>IF(D222="","",+(D222-D221)*4140)</f>
        <v/>
      </c>
      <c r="J222" s="59" t="str">
        <f t="shared" si="31"/>
        <v/>
      </c>
      <c r="K222" s="60" t="str">
        <f t="shared" si="28"/>
        <v/>
      </c>
      <c r="L222" s="59" t="str">
        <f t="shared" si="29"/>
        <v/>
      </c>
      <c r="M222" s="60" t="str">
        <f t="shared" si="30"/>
        <v/>
      </c>
      <c r="N222" s="61">
        <v>66068309</v>
      </c>
      <c r="O222" s="61">
        <f t="shared" si="26"/>
        <v>0</v>
      </c>
      <c r="P222" s="102"/>
      <c r="Q222" s="103"/>
      <c r="R222" s="20">
        <f t="shared" si="25"/>
        <v>1</v>
      </c>
      <c r="S222" s="20">
        <f t="shared" si="27"/>
        <v>0</v>
      </c>
    </row>
    <row r="223" spans="1:20" ht="15.75" thickBot="1" x14ac:dyDescent="0.3">
      <c r="A223" s="54">
        <v>44417</v>
      </c>
      <c r="D223" s="56"/>
      <c r="E223" s="57"/>
      <c r="F223" s="58"/>
      <c r="G223" s="59"/>
      <c r="H223" s="59">
        <v>4140</v>
      </c>
      <c r="I223" s="59" t="str">
        <f t="shared" si="31"/>
        <v/>
      </c>
      <c r="J223" s="59" t="str">
        <f t="shared" si="31"/>
        <v/>
      </c>
      <c r="K223" s="60" t="str">
        <f t="shared" si="28"/>
        <v/>
      </c>
      <c r="L223" s="59" t="str">
        <f t="shared" si="29"/>
        <v/>
      </c>
      <c r="M223" s="60" t="str">
        <f t="shared" si="30"/>
        <v/>
      </c>
      <c r="N223" s="61">
        <v>66068309</v>
      </c>
      <c r="O223" s="61">
        <f t="shared" si="26"/>
        <v>0</v>
      </c>
      <c r="P223" s="102"/>
      <c r="Q223" s="101"/>
      <c r="R223" s="20">
        <f t="shared" si="25"/>
        <v>1</v>
      </c>
      <c r="S223" s="20">
        <f t="shared" si="27"/>
        <v>0</v>
      </c>
      <c r="T223" s="65"/>
    </row>
    <row r="224" spans="1:20" ht="15.75" thickBot="1" x14ac:dyDescent="0.3">
      <c r="A224" s="54">
        <v>44418</v>
      </c>
      <c r="D224" s="56"/>
      <c r="E224" s="57"/>
      <c r="F224" s="58"/>
      <c r="G224" s="59"/>
      <c r="H224" s="59">
        <v>4140</v>
      </c>
      <c r="I224" s="59" t="str">
        <f t="shared" si="31"/>
        <v/>
      </c>
      <c r="J224" s="59" t="str">
        <f t="shared" si="31"/>
        <v/>
      </c>
      <c r="K224" s="60" t="str">
        <f t="shared" si="28"/>
        <v/>
      </c>
      <c r="L224" s="59" t="str">
        <f t="shared" ref="L224:L260" si="32">IF(F224="","",+(F224-F223)*4140)</f>
        <v/>
      </c>
      <c r="M224" s="60" t="str">
        <f t="shared" si="30"/>
        <v/>
      </c>
      <c r="N224" s="61">
        <v>66068309</v>
      </c>
      <c r="O224" s="61">
        <f t="shared" si="26"/>
        <v>0</v>
      </c>
      <c r="P224" s="115"/>
      <c r="Q224" s="117"/>
      <c r="R224" s="20">
        <f t="shared" si="25"/>
        <v>1</v>
      </c>
      <c r="S224" s="20">
        <f t="shared" si="27"/>
        <v>0</v>
      </c>
      <c r="T224" s="65"/>
    </row>
    <row r="225" spans="1:20" ht="15.75" thickBot="1" x14ac:dyDescent="0.3">
      <c r="A225" s="54">
        <v>44419</v>
      </c>
      <c r="D225" s="56"/>
      <c r="E225" s="57"/>
      <c r="F225" s="58"/>
      <c r="G225" s="59"/>
      <c r="H225" s="59">
        <v>4140</v>
      </c>
      <c r="I225" s="59" t="str">
        <f t="shared" si="31"/>
        <v/>
      </c>
      <c r="J225" s="59" t="str">
        <f t="shared" si="31"/>
        <v/>
      </c>
      <c r="K225" s="60" t="str">
        <f t="shared" si="28"/>
        <v/>
      </c>
      <c r="L225" s="59" t="str">
        <f t="shared" si="32"/>
        <v/>
      </c>
      <c r="M225" s="60" t="str">
        <f t="shared" si="30"/>
        <v/>
      </c>
      <c r="N225" s="61">
        <v>66068309</v>
      </c>
      <c r="O225" s="61">
        <f t="shared" si="26"/>
        <v>0</v>
      </c>
      <c r="P225" s="115"/>
      <c r="Q225" s="118"/>
      <c r="R225" s="20">
        <f t="shared" ref="R225:R249" si="33">IF(N225="",0,1)</f>
        <v>1</v>
      </c>
      <c r="S225" s="20">
        <f t="shared" si="27"/>
        <v>0</v>
      </c>
    </row>
    <row r="226" spans="1:20" ht="15.75" thickBot="1" x14ac:dyDescent="0.3">
      <c r="A226" s="54">
        <v>44420</v>
      </c>
      <c r="D226" s="56"/>
      <c r="E226" s="57"/>
      <c r="F226" s="58"/>
      <c r="G226" s="59"/>
      <c r="H226" s="59">
        <v>4140</v>
      </c>
      <c r="I226" s="59" t="str">
        <f t="shared" si="31"/>
        <v/>
      </c>
      <c r="J226" s="59" t="str">
        <f t="shared" si="31"/>
        <v/>
      </c>
      <c r="K226" s="60" t="str">
        <f t="shared" si="28"/>
        <v/>
      </c>
      <c r="L226" s="59" t="str">
        <f t="shared" si="32"/>
        <v/>
      </c>
      <c r="M226" s="60" t="str">
        <f t="shared" si="30"/>
        <v/>
      </c>
      <c r="N226" s="61">
        <v>66068309</v>
      </c>
      <c r="O226" s="61">
        <f t="shared" si="26"/>
        <v>0</v>
      </c>
      <c r="P226" s="115"/>
      <c r="Q226" s="118"/>
      <c r="R226" s="20">
        <f t="shared" si="33"/>
        <v>1</v>
      </c>
      <c r="S226" s="20">
        <f t="shared" si="27"/>
        <v>0</v>
      </c>
    </row>
    <row r="227" spans="1:20" ht="15.75" thickBot="1" x14ac:dyDescent="0.3">
      <c r="A227" s="54">
        <v>44421</v>
      </c>
      <c r="D227" s="56"/>
      <c r="E227" s="57"/>
      <c r="F227" s="58"/>
      <c r="G227" s="59"/>
      <c r="H227" s="59">
        <v>4140</v>
      </c>
      <c r="I227" s="59" t="str">
        <f t="shared" si="31"/>
        <v/>
      </c>
      <c r="J227" s="59" t="str">
        <f t="shared" si="31"/>
        <v/>
      </c>
      <c r="K227" s="60" t="str">
        <f t="shared" si="28"/>
        <v/>
      </c>
      <c r="L227" s="59" t="str">
        <f t="shared" si="32"/>
        <v/>
      </c>
      <c r="M227" s="60" t="str">
        <f t="shared" si="30"/>
        <v/>
      </c>
      <c r="N227" s="61">
        <v>66068309</v>
      </c>
      <c r="O227" s="61">
        <f t="shared" si="26"/>
        <v>0</v>
      </c>
      <c r="P227" s="115"/>
      <c r="Q227" s="117"/>
      <c r="R227" s="20">
        <f t="shared" si="33"/>
        <v>1</v>
      </c>
      <c r="S227" s="20">
        <f t="shared" si="27"/>
        <v>0</v>
      </c>
    </row>
    <row r="228" spans="1:20" ht="15.75" thickBot="1" x14ac:dyDescent="0.3">
      <c r="A228" s="54">
        <v>44422</v>
      </c>
      <c r="D228" s="56"/>
      <c r="E228" s="57"/>
      <c r="F228" s="58"/>
      <c r="G228" s="59"/>
      <c r="H228" s="59">
        <v>4140</v>
      </c>
      <c r="I228" s="59" t="str">
        <f>IF(D228="","",+(D228-D227)*4140)</f>
        <v/>
      </c>
      <c r="J228" s="59" t="str">
        <f t="shared" si="31"/>
        <v/>
      </c>
      <c r="K228" s="60" t="str">
        <f t="shared" si="28"/>
        <v/>
      </c>
      <c r="L228" s="59" t="str">
        <f t="shared" si="32"/>
        <v/>
      </c>
      <c r="M228" s="60" t="str">
        <f t="shared" si="30"/>
        <v/>
      </c>
      <c r="N228" s="61">
        <v>66068309</v>
      </c>
      <c r="O228" s="61">
        <f t="shared" si="26"/>
        <v>0</v>
      </c>
      <c r="P228" s="115"/>
      <c r="Q228" s="117"/>
      <c r="R228" s="20">
        <f t="shared" si="33"/>
        <v>1</v>
      </c>
      <c r="S228" s="20">
        <f t="shared" si="27"/>
        <v>0</v>
      </c>
      <c r="T228" s="65"/>
    </row>
    <row r="229" spans="1:20" ht="15.75" thickBot="1" x14ac:dyDescent="0.3">
      <c r="A229" s="54">
        <v>44423</v>
      </c>
      <c r="D229" s="56"/>
      <c r="E229" s="57"/>
      <c r="F229" s="58"/>
      <c r="G229" s="59"/>
      <c r="H229" s="59">
        <v>4140</v>
      </c>
      <c r="I229" s="59" t="str">
        <f t="shared" si="31"/>
        <v/>
      </c>
      <c r="J229" s="59" t="str">
        <f>IF(E229="","",+(E229-E228)*4140)</f>
        <v/>
      </c>
      <c r="K229" s="60" t="str">
        <f t="shared" si="28"/>
        <v/>
      </c>
      <c r="L229" s="59" t="str">
        <f t="shared" si="32"/>
        <v/>
      </c>
      <c r="M229" s="60" t="str">
        <f t="shared" si="30"/>
        <v/>
      </c>
      <c r="N229" s="61">
        <v>66068309</v>
      </c>
      <c r="O229" s="61">
        <f t="shared" si="26"/>
        <v>0</v>
      </c>
      <c r="P229" s="115"/>
      <c r="Q229" s="118"/>
      <c r="R229" s="20">
        <f t="shared" si="33"/>
        <v>1</v>
      </c>
      <c r="S229" s="20">
        <f t="shared" si="27"/>
        <v>0</v>
      </c>
      <c r="T229" s="65"/>
    </row>
    <row r="230" spans="1:20" ht="15.75" thickBot="1" x14ac:dyDescent="0.3">
      <c r="A230" s="54">
        <v>44424</v>
      </c>
      <c r="D230" s="56"/>
      <c r="E230" s="57"/>
      <c r="F230" s="58"/>
      <c r="G230" s="59"/>
      <c r="H230" s="59">
        <v>4140</v>
      </c>
      <c r="I230" s="59" t="str">
        <f t="shared" si="31"/>
        <v/>
      </c>
      <c r="J230" s="59" t="str">
        <f>IF(E230="","",+(E230-E229)*4140)</f>
        <v/>
      </c>
      <c r="K230" s="60" t="str">
        <f t="shared" si="28"/>
        <v/>
      </c>
      <c r="L230" s="59" t="str">
        <f t="shared" si="32"/>
        <v/>
      </c>
      <c r="M230" s="60" t="str">
        <f t="shared" si="30"/>
        <v/>
      </c>
      <c r="N230" s="61">
        <v>66068309</v>
      </c>
      <c r="O230" s="61">
        <f t="shared" si="26"/>
        <v>0</v>
      </c>
      <c r="P230" s="115"/>
      <c r="Q230" s="118"/>
      <c r="R230" s="20">
        <f t="shared" si="33"/>
        <v>1</v>
      </c>
      <c r="S230" s="20">
        <f t="shared" si="27"/>
        <v>0</v>
      </c>
    </row>
    <row r="231" spans="1:20" ht="15.75" thickBot="1" x14ac:dyDescent="0.3">
      <c r="A231" s="54">
        <v>44425</v>
      </c>
      <c r="D231" s="56"/>
      <c r="E231" s="57"/>
      <c r="F231" s="58"/>
      <c r="G231" s="59"/>
      <c r="H231" s="59">
        <v>4140</v>
      </c>
      <c r="I231" s="59" t="str">
        <f t="shared" si="31"/>
        <v/>
      </c>
      <c r="J231" s="59" t="str">
        <f t="shared" si="31"/>
        <v/>
      </c>
      <c r="K231" s="60" t="str">
        <f t="shared" si="28"/>
        <v/>
      </c>
      <c r="L231" s="59" t="str">
        <f t="shared" si="32"/>
        <v/>
      </c>
      <c r="M231" s="60" t="str">
        <f t="shared" si="30"/>
        <v/>
      </c>
      <c r="N231" s="61">
        <v>66068309</v>
      </c>
      <c r="O231" s="61">
        <f t="shared" si="26"/>
        <v>0</v>
      </c>
      <c r="P231" s="115"/>
      <c r="Q231" s="118"/>
      <c r="R231" s="20">
        <f t="shared" si="33"/>
        <v>1</v>
      </c>
      <c r="S231" s="20">
        <f t="shared" si="27"/>
        <v>0</v>
      </c>
    </row>
    <row r="232" spans="1:20" ht="15.75" thickBot="1" x14ac:dyDescent="0.3">
      <c r="A232" s="54">
        <v>44426</v>
      </c>
      <c r="D232" s="56"/>
      <c r="E232" s="57"/>
      <c r="F232" s="58"/>
      <c r="G232" s="59"/>
      <c r="H232" s="59">
        <v>4140</v>
      </c>
      <c r="I232" s="59" t="str">
        <f t="shared" si="31"/>
        <v/>
      </c>
      <c r="J232" s="59" t="str">
        <f t="shared" si="31"/>
        <v/>
      </c>
      <c r="K232" s="60" t="str">
        <f t="shared" si="28"/>
        <v/>
      </c>
      <c r="L232" s="59" t="str">
        <f t="shared" si="32"/>
        <v/>
      </c>
      <c r="M232" s="60" t="str">
        <f t="shared" si="30"/>
        <v/>
      </c>
      <c r="N232" s="61">
        <v>66068309</v>
      </c>
      <c r="O232" s="61">
        <f t="shared" si="26"/>
        <v>0</v>
      </c>
      <c r="P232" s="115"/>
      <c r="Q232" s="116"/>
      <c r="R232" s="20">
        <f t="shared" si="33"/>
        <v>1</v>
      </c>
      <c r="S232" s="20">
        <f t="shared" si="27"/>
        <v>0</v>
      </c>
    </row>
    <row r="233" spans="1:20" ht="15.75" thickBot="1" x14ac:dyDescent="0.3">
      <c r="A233" s="54">
        <v>44427</v>
      </c>
      <c r="D233" s="56"/>
      <c r="E233" s="57"/>
      <c r="F233" s="58"/>
      <c r="G233" s="59"/>
      <c r="H233" s="59">
        <v>4140</v>
      </c>
      <c r="I233" s="59" t="str">
        <f t="shared" si="31"/>
        <v/>
      </c>
      <c r="J233" s="59" t="str">
        <f t="shared" si="31"/>
        <v/>
      </c>
      <c r="K233" s="60" t="str">
        <f t="shared" si="28"/>
        <v/>
      </c>
      <c r="L233" s="59" t="str">
        <f t="shared" si="32"/>
        <v/>
      </c>
      <c r="M233" s="60" t="str">
        <f t="shared" si="30"/>
        <v/>
      </c>
      <c r="N233" s="61">
        <v>66068309</v>
      </c>
      <c r="O233" s="61">
        <f t="shared" si="26"/>
        <v>0</v>
      </c>
      <c r="P233" s="119"/>
      <c r="Q233" s="120"/>
      <c r="R233" s="20">
        <f t="shared" si="33"/>
        <v>1</v>
      </c>
      <c r="S233" s="20">
        <f t="shared" si="27"/>
        <v>0</v>
      </c>
      <c r="T233" s="65"/>
    </row>
    <row r="234" spans="1:20" ht="15.75" thickBot="1" x14ac:dyDescent="0.3">
      <c r="A234" s="54">
        <v>44428</v>
      </c>
      <c r="D234" s="56"/>
      <c r="E234" s="57"/>
      <c r="F234" s="58"/>
      <c r="G234" s="59"/>
      <c r="H234" s="59">
        <v>4140</v>
      </c>
      <c r="I234" s="59" t="str">
        <f t="shared" si="31"/>
        <v/>
      </c>
      <c r="J234" s="59" t="str">
        <f t="shared" si="31"/>
        <v/>
      </c>
      <c r="K234" s="60" t="str">
        <f t="shared" si="28"/>
        <v/>
      </c>
      <c r="L234" s="59" t="str">
        <f t="shared" si="32"/>
        <v/>
      </c>
      <c r="M234" s="60" t="str">
        <f t="shared" si="30"/>
        <v/>
      </c>
      <c r="N234" s="61">
        <v>66068309</v>
      </c>
      <c r="O234" s="61">
        <f t="shared" si="26"/>
        <v>0</v>
      </c>
      <c r="P234" s="206" t="s">
        <v>65</v>
      </c>
      <c r="Q234" s="207"/>
      <c r="R234" s="20">
        <f t="shared" si="33"/>
        <v>1</v>
      </c>
      <c r="S234" s="20">
        <f t="shared" si="27"/>
        <v>0</v>
      </c>
      <c r="T234" s="65"/>
    </row>
    <row r="235" spans="1:20" ht="15.75" thickBot="1" x14ac:dyDescent="0.3">
      <c r="A235" s="54">
        <v>44429</v>
      </c>
      <c r="D235" s="56"/>
      <c r="E235" s="57"/>
      <c r="F235" s="58"/>
      <c r="G235" s="59"/>
      <c r="H235" s="59">
        <v>4140</v>
      </c>
      <c r="I235" s="59" t="str">
        <f t="shared" si="31"/>
        <v/>
      </c>
      <c r="J235" s="59" t="str">
        <f t="shared" si="31"/>
        <v/>
      </c>
      <c r="K235" s="60" t="str">
        <f t="shared" si="28"/>
        <v/>
      </c>
      <c r="L235" s="59" t="str">
        <f>IF(F235="","",+(F235-F234)*4140)</f>
        <v/>
      </c>
      <c r="M235" s="60" t="str">
        <f t="shared" si="30"/>
        <v/>
      </c>
      <c r="N235" s="61">
        <v>66068309</v>
      </c>
      <c r="O235" s="61">
        <f t="shared" si="26"/>
        <v>0</v>
      </c>
      <c r="P235" s="204"/>
      <c r="Q235" s="205"/>
      <c r="R235" s="20">
        <f t="shared" si="33"/>
        <v>1</v>
      </c>
      <c r="S235" s="20">
        <f t="shared" si="27"/>
        <v>0</v>
      </c>
    </row>
    <row r="236" spans="1:20" ht="15.75" thickBot="1" x14ac:dyDescent="0.3">
      <c r="A236" s="54">
        <v>44430</v>
      </c>
      <c r="D236" s="56"/>
      <c r="E236" s="57"/>
      <c r="F236" s="58"/>
      <c r="G236" s="59"/>
      <c r="H236" s="59">
        <v>4140</v>
      </c>
      <c r="I236" s="59" t="str">
        <f t="shared" si="31"/>
        <v/>
      </c>
      <c r="J236" s="59" t="str">
        <f t="shared" si="31"/>
        <v/>
      </c>
      <c r="K236" s="60" t="str">
        <f t="shared" si="28"/>
        <v/>
      </c>
      <c r="L236" s="59" t="str">
        <f t="shared" si="32"/>
        <v/>
      </c>
      <c r="M236" s="60" t="str">
        <f t="shared" si="30"/>
        <v/>
      </c>
      <c r="N236" s="61">
        <v>66068309</v>
      </c>
      <c r="O236" s="61">
        <f t="shared" si="26"/>
        <v>0</v>
      </c>
      <c r="P236" s="69" t="s">
        <v>46</v>
      </c>
      <c r="Q236" s="69" t="s">
        <v>47</v>
      </c>
      <c r="R236" s="20">
        <f t="shared" si="33"/>
        <v>1</v>
      </c>
      <c r="S236" s="20">
        <f t="shared" si="27"/>
        <v>0</v>
      </c>
    </row>
    <row r="237" spans="1:20" ht="15.75" thickBot="1" x14ac:dyDescent="0.3">
      <c r="A237" s="54">
        <v>44431</v>
      </c>
      <c r="D237" s="56"/>
      <c r="E237" s="57"/>
      <c r="F237" s="58"/>
      <c r="G237" s="59"/>
      <c r="H237" s="59">
        <v>4140</v>
      </c>
      <c r="I237" s="59" t="str">
        <f t="shared" si="31"/>
        <v/>
      </c>
      <c r="J237" s="59" t="str">
        <f t="shared" si="31"/>
        <v/>
      </c>
      <c r="K237" s="60" t="str">
        <f t="shared" si="28"/>
        <v/>
      </c>
      <c r="L237" s="59" t="str">
        <f t="shared" si="32"/>
        <v/>
      </c>
      <c r="M237" s="60" t="str">
        <f t="shared" si="30"/>
        <v/>
      </c>
      <c r="N237" s="61">
        <v>66068309</v>
      </c>
      <c r="O237" s="61">
        <f t="shared" si="26"/>
        <v>0</v>
      </c>
      <c r="P237" s="70">
        <f>IF(J216="",0,+SUM(J216:J246)/SUM(I216:I246))</f>
        <v>3.4933561937419706E-2</v>
      </c>
      <c r="Q237" s="70">
        <f>IF(L216="",0,+SUM(L216:L246)/SUM(I216:I246))</f>
        <v>3.4933561937419706E-2</v>
      </c>
      <c r="R237" s="20">
        <f t="shared" si="33"/>
        <v>1</v>
      </c>
      <c r="S237" s="20">
        <f t="shared" si="27"/>
        <v>0</v>
      </c>
      <c r="T237" s="65"/>
    </row>
    <row r="238" spans="1:20" ht="15.75" thickBot="1" x14ac:dyDescent="0.3">
      <c r="A238" s="54">
        <v>44432</v>
      </c>
      <c r="D238" s="56"/>
      <c r="E238" s="57"/>
      <c r="F238" s="58"/>
      <c r="G238" s="59"/>
      <c r="H238" s="59">
        <v>4140</v>
      </c>
      <c r="I238" s="59" t="str">
        <f t="shared" si="31"/>
        <v/>
      </c>
      <c r="J238" s="59" t="str">
        <f t="shared" si="31"/>
        <v/>
      </c>
      <c r="K238" s="60" t="str">
        <f t="shared" si="28"/>
        <v/>
      </c>
      <c r="L238" s="59" t="str">
        <f t="shared" si="32"/>
        <v/>
      </c>
      <c r="M238" s="60" t="str">
        <f t="shared" si="30"/>
        <v/>
      </c>
      <c r="N238" s="61">
        <v>66068309</v>
      </c>
      <c r="O238" s="61">
        <f t="shared" si="26"/>
        <v>0</v>
      </c>
      <c r="P238" s="71" t="e">
        <f>IF(J216="",0,+(+(LOOKUP(9.99999999999999E+307,E216:E246)-E215))/(+(LOOKUP(9.99999999999999E+307,D216:D246)-D215)))</f>
        <v>#DIV/0!</v>
      </c>
      <c r="Q238" s="71" t="e">
        <f>IF(L216="",0,+(+(LOOKUP(9.99999999999999E+307,F216:F246)-F215))/(+(LOOKUP(9.99999999999999E+307,D216:D246)-D215)))</f>
        <v>#DIV/0!</v>
      </c>
      <c r="R238" s="20">
        <f t="shared" si="33"/>
        <v>1</v>
      </c>
      <c r="S238" s="20">
        <f t="shared" si="27"/>
        <v>0</v>
      </c>
      <c r="T238" s="65"/>
    </row>
    <row r="239" spans="1:20" ht="15.75" thickBot="1" x14ac:dyDescent="0.3">
      <c r="A239" s="54">
        <v>44433</v>
      </c>
      <c r="D239" s="56"/>
      <c r="E239" s="57"/>
      <c r="F239" s="58"/>
      <c r="G239" s="59"/>
      <c r="H239" s="59">
        <v>4140</v>
      </c>
      <c r="I239" s="59" t="str">
        <f t="shared" si="31"/>
        <v/>
      </c>
      <c r="J239" s="59" t="str">
        <f t="shared" si="31"/>
        <v/>
      </c>
      <c r="K239" s="60" t="str">
        <f t="shared" si="28"/>
        <v/>
      </c>
      <c r="L239" s="59" t="str">
        <f t="shared" si="32"/>
        <v/>
      </c>
      <c r="M239" s="60" t="str">
        <f t="shared" si="30"/>
        <v/>
      </c>
      <c r="N239" s="61">
        <v>66068309</v>
      </c>
      <c r="O239" s="61">
        <f t="shared" si="26"/>
        <v>0</v>
      </c>
      <c r="P239" s="72" t="s">
        <v>48</v>
      </c>
      <c r="Q239" s="73" t="s">
        <v>49</v>
      </c>
      <c r="R239" s="20">
        <f t="shared" si="33"/>
        <v>1</v>
      </c>
      <c r="S239" s="20">
        <f t="shared" si="27"/>
        <v>0</v>
      </c>
      <c r="T239" s="65"/>
    </row>
    <row r="240" spans="1:20" ht="15.75" thickBot="1" x14ac:dyDescent="0.3">
      <c r="A240" s="54">
        <v>44434</v>
      </c>
      <c r="D240" s="56"/>
      <c r="E240" s="57"/>
      <c r="F240" s="58"/>
      <c r="G240" s="59"/>
      <c r="H240" s="59">
        <v>4140</v>
      </c>
      <c r="I240" s="59" t="str">
        <f t="shared" si="31"/>
        <v/>
      </c>
      <c r="J240" s="59" t="str">
        <f t="shared" si="31"/>
        <v/>
      </c>
      <c r="K240" s="60" t="str">
        <f t="shared" si="28"/>
        <v/>
      </c>
      <c r="L240" s="59" t="str">
        <f t="shared" si="32"/>
        <v/>
      </c>
      <c r="M240" s="60" t="str">
        <f t="shared" si="30"/>
        <v/>
      </c>
      <c r="N240" s="61">
        <v>66068309</v>
      </c>
      <c r="O240" s="61">
        <f t="shared" si="26"/>
        <v>0</v>
      </c>
      <c r="P240" s="74">
        <f>IF(N215="",0,+(LOOKUP(9.99999999999999E+307,N215:N246)-N215))</f>
        <v>0</v>
      </c>
      <c r="Q240" s="74">
        <f>IF(P240="",0,+P240/SUM(R216:R246))</f>
        <v>0</v>
      </c>
      <c r="R240" s="20">
        <f t="shared" si="33"/>
        <v>1</v>
      </c>
      <c r="S240" s="20">
        <f t="shared" si="27"/>
        <v>0</v>
      </c>
      <c r="T240" s="65"/>
    </row>
    <row r="241" spans="1:20" ht="15.75" thickBot="1" x14ac:dyDescent="0.3">
      <c r="A241" s="54">
        <v>44435</v>
      </c>
      <c r="D241" s="56"/>
      <c r="E241" s="57"/>
      <c r="F241" s="58"/>
      <c r="G241" s="59"/>
      <c r="H241" s="59">
        <v>4140</v>
      </c>
      <c r="I241" s="59" t="str">
        <f t="shared" si="31"/>
        <v/>
      </c>
      <c r="J241" s="59" t="str">
        <f t="shared" si="31"/>
        <v/>
      </c>
      <c r="K241" s="60" t="str">
        <f t="shared" si="28"/>
        <v/>
      </c>
      <c r="L241" s="59" t="str">
        <f t="shared" si="32"/>
        <v/>
      </c>
      <c r="M241" s="60" t="str">
        <f t="shared" si="30"/>
        <v/>
      </c>
      <c r="N241" s="61">
        <v>66068309</v>
      </c>
      <c r="O241" s="61">
        <f t="shared" si="26"/>
        <v>0</v>
      </c>
      <c r="P241" s="76" t="s">
        <v>50</v>
      </c>
      <c r="Q241" s="77" t="s">
        <v>58</v>
      </c>
      <c r="R241" s="20">
        <f t="shared" si="33"/>
        <v>1</v>
      </c>
      <c r="S241" s="20">
        <f t="shared" si="27"/>
        <v>0</v>
      </c>
    </row>
    <row r="242" spans="1:20" ht="15.75" thickBot="1" x14ac:dyDescent="0.3">
      <c r="A242" s="54">
        <v>44436</v>
      </c>
      <c r="D242" s="56"/>
      <c r="E242" s="57"/>
      <c r="F242" s="58"/>
      <c r="G242" s="59"/>
      <c r="H242" s="59">
        <v>4140</v>
      </c>
      <c r="I242" s="59" t="str">
        <f t="shared" si="31"/>
        <v/>
      </c>
      <c r="J242" s="59" t="str">
        <f t="shared" si="31"/>
        <v/>
      </c>
      <c r="K242" s="60" t="str">
        <f t="shared" si="28"/>
        <v/>
      </c>
      <c r="L242" s="59" t="str">
        <f t="shared" si="32"/>
        <v/>
      </c>
      <c r="M242" s="60" t="str">
        <f t="shared" si="30"/>
        <v/>
      </c>
      <c r="N242" s="61">
        <v>66068309</v>
      </c>
      <c r="O242" s="61">
        <f t="shared" si="26"/>
        <v>0</v>
      </c>
      <c r="P242" s="78">
        <f>IF(D215="",0,+(LOOKUP(9.99999999999999E+307,D215:D246)-D215))*4140</f>
        <v>0</v>
      </c>
      <c r="Q242" s="79">
        <f>IF(P242="",0,+P242/SUM(R216:R246))</f>
        <v>0</v>
      </c>
      <c r="R242" s="20">
        <f t="shared" si="33"/>
        <v>1</v>
      </c>
      <c r="S242" s="20">
        <f t="shared" si="27"/>
        <v>0</v>
      </c>
    </row>
    <row r="243" spans="1:20" ht="15.75" thickBot="1" x14ac:dyDescent="0.3">
      <c r="A243" s="54">
        <v>44437</v>
      </c>
      <c r="D243" s="56"/>
      <c r="E243" s="57"/>
      <c r="F243" s="58"/>
      <c r="G243" s="59"/>
      <c r="H243" s="59">
        <v>4140</v>
      </c>
      <c r="I243" s="59" t="str">
        <f t="shared" si="31"/>
        <v/>
      </c>
      <c r="J243" s="59" t="str">
        <f t="shared" si="31"/>
        <v/>
      </c>
      <c r="K243" s="60" t="str">
        <f t="shared" si="28"/>
        <v/>
      </c>
      <c r="L243" s="59" t="str">
        <f t="shared" si="32"/>
        <v/>
      </c>
      <c r="M243" s="60" t="str">
        <f t="shared" si="30"/>
        <v/>
      </c>
      <c r="N243" s="61">
        <v>66068309</v>
      </c>
      <c r="O243" s="61">
        <f t="shared" si="26"/>
        <v>0</v>
      </c>
      <c r="P243" s="80" t="s">
        <v>52</v>
      </c>
      <c r="Q243" s="81" t="s">
        <v>59</v>
      </c>
      <c r="R243" s="20">
        <f t="shared" si="33"/>
        <v>1</v>
      </c>
      <c r="S243" s="20">
        <f t="shared" si="27"/>
        <v>0</v>
      </c>
    </row>
    <row r="244" spans="1:20" ht="15.75" thickBot="1" x14ac:dyDescent="0.3">
      <c r="A244" s="54">
        <v>44438</v>
      </c>
      <c r="D244" s="56"/>
      <c r="E244" s="57"/>
      <c r="F244" s="58"/>
      <c r="G244" s="59"/>
      <c r="H244" s="59">
        <v>4140</v>
      </c>
      <c r="I244" s="59" t="str">
        <f t="shared" si="31"/>
        <v/>
      </c>
      <c r="J244" s="59" t="str">
        <f t="shared" si="31"/>
        <v/>
      </c>
      <c r="K244" s="60" t="str">
        <f t="shared" si="28"/>
        <v/>
      </c>
      <c r="L244" s="59" t="str">
        <f t="shared" si="32"/>
        <v/>
      </c>
      <c r="M244" s="60" t="str">
        <f t="shared" si="30"/>
        <v/>
      </c>
      <c r="N244" s="61">
        <v>66068309</v>
      </c>
      <c r="O244" s="61">
        <f t="shared" si="26"/>
        <v>0</v>
      </c>
      <c r="P244" s="82">
        <f>P242*Q247</f>
        <v>0</v>
      </c>
      <c r="Q244" s="83" t="e">
        <f>IF(Q34="",0,(SUM('[1]Günlük Tüketim'!H216:H246)*1.62)/SUM(O216:O246))</f>
        <v>#DIV/0!</v>
      </c>
      <c r="R244" s="20">
        <f t="shared" si="33"/>
        <v>1</v>
      </c>
      <c r="S244" s="20">
        <f t="shared" si="27"/>
        <v>0</v>
      </c>
    </row>
    <row r="245" spans="1:20" ht="15.75" thickBot="1" x14ac:dyDescent="0.3">
      <c r="A245" s="54">
        <v>44439</v>
      </c>
      <c r="D245" s="56"/>
      <c r="E245" s="57"/>
      <c r="F245" s="58"/>
      <c r="G245" s="59"/>
      <c r="H245" s="59">
        <v>4140</v>
      </c>
      <c r="I245" s="59" t="str">
        <f t="shared" si="31"/>
        <v/>
      </c>
      <c r="J245" s="59" t="str">
        <f t="shared" si="31"/>
        <v/>
      </c>
      <c r="K245" s="60" t="str">
        <f t="shared" si="28"/>
        <v/>
      </c>
      <c r="L245" s="59" t="str">
        <f t="shared" si="32"/>
        <v/>
      </c>
      <c r="M245" s="60" t="str">
        <f t="shared" si="30"/>
        <v/>
      </c>
      <c r="N245" s="61">
        <v>66068309</v>
      </c>
      <c r="O245" s="61">
        <f t="shared" si="26"/>
        <v>0</v>
      </c>
      <c r="P245" s="85" t="s">
        <v>54</v>
      </c>
      <c r="Q245" s="86" t="s">
        <v>55</v>
      </c>
      <c r="R245" s="20">
        <f t="shared" si="33"/>
        <v>1</v>
      </c>
      <c r="S245" s="20">
        <f t="shared" si="27"/>
        <v>0</v>
      </c>
    </row>
    <row r="246" spans="1:20" ht="15.75" thickBot="1" x14ac:dyDescent="0.3">
      <c r="A246" s="54">
        <v>44440</v>
      </c>
      <c r="D246" s="89"/>
      <c r="E246" s="89"/>
      <c r="F246" s="89"/>
      <c r="G246" s="90"/>
      <c r="H246" s="59">
        <v>4140</v>
      </c>
      <c r="I246" s="90" t="str">
        <f t="shared" si="31"/>
        <v/>
      </c>
      <c r="J246" s="90" t="str">
        <f t="shared" si="31"/>
        <v/>
      </c>
      <c r="K246" s="60" t="str">
        <f t="shared" si="28"/>
        <v/>
      </c>
      <c r="L246" s="90" t="str">
        <f t="shared" si="32"/>
        <v/>
      </c>
      <c r="M246" s="60" t="str">
        <f t="shared" si="30"/>
        <v/>
      </c>
      <c r="N246" s="92">
        <v>66068309</v>
      </c>
      <c r="O246" s="93">
        <f t="shared" si="26"/>
        <v>0</v>
      </c>
      <c r="P246" s="94">
        <f>(P244+Q242*SUM(S216:S246)*Q247)</f>
        <v>0</v>
      </c>
      <c r="Q246" s="95">
        <f>Q242*31</f>
        <v>0</v>
      </c>
      <c r="R246" s="20">
        <f t="shared" si="33"/>
        <v>1</v>
      </c>
      <c r="S246" s="20">
        <f t="shared" si="27"/>
        <v>0</v>
      </c>
    </row>
    <row r="247" spans="1:20" ht="12.75" customHeight="1" thickBot="1" x14ac:dyDescent="0.3">
      <c r="A247" s="54">
        <v>44441</v>
      </c>
      <c r="D247" s="56"/>
      <c r="E247" s="57"/>
      <c r="F247" s="58"/>
      <c r="G247" s="59"/>
      <c r="H247" s="59">
        <v>4140</v>
      </c>
      <c r="I247" s="59" t="str">
        <f>IF(D247="","",+(D247-D246)*4140)</f>
        <v/>
      </c>
      <c r="J247" s="59" t="str">
        <f>IF(E247="","",+(E247-E246)*4140)</f>
        <v/>
      </c>
      <c r="K247" s="60" t="str">
        <f t="shared" si="28"/>
        <v/>
      </c>
      <c r="L247" s="59" t="str">
        <f t="shared" si="32"/>
        <v/>
      </c>
      <c r="M247" s="60" t="str">
        <f t="shared" si="30"/>
        <v/>
      </c>
      <c r="N247" s="61">
        <v>66068309</v>
      </c>
      <c r="O247" s="61">
        <f t="shared" si="26"/>
        <v>0</v>
      </c>
      <c r="P247" s="96" t="s">
        <v>56</v>
      </c>
      <c r="Q247" s="97">
        <v>0.56999999999999995</v>
      </c>
      <c r="R247" s="20">
        <f t="shared" si="33"/>
        <v>1</v>
      </c>
      <c r="S247" s="20">
        <f t="shared" si="27"/>
        <v>0</v>
      </c>
    </row>
    <row r="248" spans="1:20" ht="12.75" customHeight="1" thickBot="1" x14ac:dyDescent="0.3">
      <c r="A248" s="54">
        <v>44442</v>
      </c>
      <c r="D248" s="56"/>
      <c r="E248" s="57"/>
      <c r="F248" s="58"/>
      <c r="G248" s="59"/>
      <c r="H248" s="59">
        <v>4140</v>
      </c>
      <c r="I248" s="59" t="str">
        <f t="shared" si="31"/>
        <v/>
      </c>
      <c r="J248" s="59" t="str">
        <f t="shared" si="31"/>
        <v/>
      </c>
      <c r="K248" s="60" t="str">
        <f t="shared" si="28"/>
        <v/>
      </c>
      <c r="L248" s="59" t="str">
        <f t="shared" si="32"/>
        <v/>
      </c>
      <c r="M248" s="60" t="str">
        <f t="shared" si="30"/>
        <v/>
      </c>
      <c r="N248" s="61">
        <v>66068309</v>
      </c>
      <c r="O248" s="61">
        <f t="shared" si="26"/>
        <v>0</v>
      </c>
      <c r="P248" s="62"/>
      <c r="Q248" s="104"/>
      <c r="R248" s="20">
        <f t="shared" si="33"/>
        <v>1</v>
      </c>
      <c r="S248" s="20">
        <f t="shared" si="27"/>
        <v>0</v>
      </c>
    </row>
    <row r="249" spans="1:20" ht="12.75" customHeight="1" thickBot="1" x14ac:dyDescent="0.3">
      <c r="A249" s="54">
        <v>44443</v>
      </c>
      <c r="D249" s="56"/>
      <c r="E249" s="57"/>
      <c r="F249" s="58"/>
      <c r="G249" s="59"/>
      <c r="H249" s="59">
        <v>4140</v>
      </c>
      <c r="I249" s="59" t="str">
        <f t="shared" si="31"/>
        <v/>
      </c>
      <c r="J249" s="59" t="str">
        <f t="shared" si="31"/>
        <v/>
      </c>
      <c r="K249" s="60" t="str">
        <f t="shared" si="28"/>
        <v/>
      </c>
      <c r="L249" s="59" t="str">
        <f t="shared" si="32"/>
        <v/>
      </c>
      <c r="M249" s="60" t="str">
        <f t="shared" si="30"/>
        <v/>
      </c>
      <c r="N249" s="61">
        <v>66068309</v>
      </c>
      <c r="O249" s="61">
        <f t="shared" si="26"/>
        <v>0</v>
      </c>
      <c r="P249" s="62"/>
      <c r="Q249" s="104"/>
      <c r="R249" s="20">
        <f t="shared" si="33"/>
        <v>1</v>
      </c>
      <c r="S249" s="20">
        <f t="shared" si="27"/>
        <v>0</v>
      </c>
      <c r="T249" s="65"/>
    </row>
    <row r="250" spans="1:20" ht="12.75" customHeight="1" thickBot="1" x14ac:dyDescent="0.3">
      <c r="A250" s="54">
        <v>44444</v>
      </c>
      <c r="D250" s="56"/>
      <c r="E250" s="57"/>
      <c r="F250" s="58"/>
      <c r="G250" s="59"/>
      <c r="H250" s="59">
        <v>4140</v>
      </c>
      <c r="I250" s="59" t="str">
        <f t="shared" si="31"/>
        <v/>
      </c>
      <c r="J250" s="59" t="str">
        <f t="shared" si="31"/>
        <v/>
      </c>
      <c r="K250" s="60" t="str">
        <f t="shared" si="28"/>
        <v/>
      </c>
      <c r="L250" s="59" t="str">
        <f t="shared" si="32"/>
        <v/>
      </c>
      <c r="M250" s="60" t="str">
        <f t="shared" si="30"/>
        <v/>
      </c>
      <c r="N250" s="61">
        <v>66068309</v>
      </c>
      <c r="O250" s="61">
        <f t="shared" si="26"/>
        <v>0</v>
      </c>
      <c r="P250" s="62"/>
      <c r="Q250" s="104"/>
      <c r="R250" s="20">
        <f>IF(N250="",0,1)</f>
        <v>1</v>
      </c>
      <c r="S250" s="20">
        <f t="shared" si="27"/>
        <v>0</v>
      </c>
      <c r="T250" s="65"/>
    </row>
    <row r="251" spans="1:20" ht="12.75" customHeight="1" thickBot="1" x14ac:dyDescent="0.3">
      <c r="A251" s="54">
        <v>44445</v>
      </c>
      <c r="D251" s="56"/>
      <c r="E251" s="57"/>
      <c r="F251" s="58"/>
      <c r="G251" s="59"/>
      <c r="H251" s="59">
        <v>4140</v>
      </c>
      <c r="I251" s="59" t="str">
        <f t="shared" si="31"/>
        <v/>
      </c>
      <c r="J251" s="59" t="str">
        <f t="shared" si="31"/>
        <v/>
      </c>
      <c r="K251" s="60" t="str">
        <f t="shared" si="28"/>
        <v/>
      </c>
      <c r="L251" s="59" t="str">
        <f t="shared" si="32"/>
        <v/>
      </c>
      <c r="M251" s="60" t="str">
        <f t="shared" si="30"/>
        <v/>
      </c>
      <c r="N251" s="61">
        <v>66068309</v>
      </c>
      <c r="O251" s="61">
        <f t="shared" si="26"/>
        <v>0</v>
      </c>
      <c r="P251" s="121"/>
      <c r="Q251" s="122"/>
      <c r="R251" s="20">
        <f>IF(N251="",0,1)</f>
        <v>1</v>
      </c>
      <c r="S251" s="20">
        <f t="shared" si="27"/>
        <v>0</v>
      </c>
    </row>
    <row r="252" spans="1:20" ht="12.75" customHeight="1" thickBot="1" x14ac:dyDescent="0.3">
      <c r="A252" s="54">
        <v>44446</v>
      </c>
      <c r="D252" s="56"/>
      <c r="E252" s="57"/>
      <c r="F252" s="58"/>
      <c r="G252" s="59"/>
      <c r="H252" s="59">
        <v>4140</v>
      </c>
      <c r="I252" s="59" t="str">
        <f t="shared" si="31"/>
        <v/>
      </c>
      <c r="J252" s="59" t="str">
        <f t="shared" si="31"/>
        <v/>
      </c>
      <c r="K252" s="60" t="str">
        <f t="shared" si="28"/>
        <v/>
      </c>
      <c r="L252" s="59" t="str">
        <f t="shared" si="32"/>
        <v/>
      </c>
      <c r="M252" s="60" t="str">
        <f t="shared" si="30"/>
        <v/>
      </c>
      <c r="N252" s="61">
        <v>66068309</v>
      </c>
      <c r="O252" s="61">
        <f t="shared" si="26"/>
        <v>0</v>
      </c>
      <c r="P252" s="123"/>
      <c r="Q252" s="124"/>
      <c r="R252" s="20">
        <f>IF(N252="",0,1)</f>
        <v>1</v>
      </c>
      <c r="S252" s="20">
        <f t="shared" si="27"/>
        <v>0</v>
      </c>
    </row>
    <row r="253" spans="1:20" ht="12.75" customHeight="1" thickBot="1" x14ac:dyDescent="0.3">
      <c r="A253" s="54">
        <v>44447</v>
      </c>
      <c r="D253" s="56"/>
      <c r="E253" s="57"/>
      <c r="F253" s="58"/>
      <c r="G253" s="59"/>
      <c r="H253" s="59">
        <v>4140</v>
      </c>
      <c r="I253" s="59" t="str">
        <f t="shared" si="31"/>
        <v/>
      </c>
      <c r="J253" s="59" t="str">
        <f t="shared" si="31"/>
        <v/>
      </c>
      <c r="K253" s="60" t="str">
        <f t="shared" si="28"/>
        <v/>
      </c>
      <c r="L253" s="59" t="str">
        <f t="shared" si="32"/>
        <v/>
      </c>
      <c r="M253" s="60" t="str">
        <f t="shared" si="30"/>
        <v/>
      </c>
      <c r="N253" s="61">
        <v>66068309</v>
      </c>
      <c r="O253" s="61">
        <f t="shared" si="26"/>
        <v>0</v>
      </c>
      <c r="P253" s="125"/>
      <c r="Q253" s="126"/>
      <c r="R253" s="20">
        <f t="shared" ref="R253:R316" si="34">IF(N253="",0,1)</f>
        <v>1</v>
      </c>
      <c r="S253" s="20">
        <f t="shared" si="27"/>
        <v>0</v>
      </c>
    </row>
    <row r="254" spans="1:20" ht="12.75" customHeight="1" thickBot="1" x14ac:dyDescent="0.3">
      <c r="A254" s="54">
        <v>44448</v>
      </c>
      <c r="D254" s="56"/>
      <c r="E254" s="57"/>
      <c r="F254" s="58"/>
      <c r="G254" s="59"/>
      <c r="H254" s="59">
        <v>4140</v>
      </c>
      <c r="I254" s="59" t="str">
        <f t="shared" si="31"/>
        <v/>
      </c>
      <c r="J254" s="59" t="str">
        <f t="shared" si="31"/>
        <v/>
      </c>
      <c r="K254" s="60" t="str">
        <f t="shared" si="28"/>
        <v/>
      </c>
      <c r="L254" s="59" t="str">
        <f t="shared" si="32"/>
        <v/>
      </c>
      <c r="M254" s="60" t="str">
        <f t="shared" si="30"/>
        <v/>
      </c>
      <c r="N254" s="61">
        <v>66068309</v>
      </c>
      <c r="O254" s="61">
        <f t="shared" si="26"/>
        <v>0</v>
      </c>
      <c r="P254" s="62"/>
      <c r="Q254" s="64"/>
      <c r="R254" s="20">
        <f t="shared" si="34"/>
        <v>1</v>
      </c>
      <c r="S254" s="20">
        <f t="shared" si="27"/>
        <v>0</v>
      </c>
      <c r="T254" s="65"/>
    </row>
    <row r="255" spans="1:20" ht="12.75" customHeight="1" thickBot="1" x14ac:dyDescent="0.3">
      <c r="A255" s="54">
        <v>44449</v>
      </c>
      <c r="D255" s="56"/>
      <c r="E255" s="57"/>
      <c r="F255" s="58"/>
      <c r="G255" s="59"/>
      <c r="H255" s="59">
        <v>4140</v>
      </c>
      <c r="I255" s="59" t="str">
        <f t="shared" si="31"/>
        <v/>
      </c>
      <c r="J255" s="59" t="str">
        <f t="shared" si="31"/>
        <v/>
      </c>
      <c r="K255" s="60" t="str">
        <f t="shared" si="28"/>
        <v/>
      </c>
      <c r="L255" s="59" t="str">
        <f t="shared" si="32"/>
        <v/>
      </c>
      <c r="M255" s="60" t="str">
        <f t="shared" si="30"/>
        <v/>
      </c>
      <c r="N255" s="61">
        <v>66068309</v>
      </c>
      <c r="O255" s="61">
        <f t="shared" si="26"/>
        <v>0</v>
      </c>
      <c r="P255" s="62"/>
      <c r="Q255" s="64"/>
      <c r="R255" s="20">
        <f t="shared" si="34"/>
        <v>1</v>
      </c>
      <c r="S255" s="20">
        <f t="shared" si="27"/>
        <v>0</v>
      </c>
      <c r="T255" s="65"/>
    </row>
    <row r="256" spans="1:20" ht="12.75" customHeight="1" thickBot="1" x14ac:dyDescent="0.3">
      <c r="A256" s="54">
        <v>44450</v>
      </c>
      <c r="D256" s="56"/>
      <c r="E256" s="57"/>
      <c r="F256" s="58"/>
      <c r="G256" s="59"/>
      <c r="H256" s="59">
        <v>4140</v>
      </c>
      <c r="I256" s="59" t="str">
        <f t="shared" si="31"/>
        <v/>
      </c>
      <c r="J256" s="59" t="str">
        <f t="shared" si="31"/>
        <v/>
      </c>
      <c r="K256" s="60" t="str">
        <f t="shared" si="28"/>
        <v/>
      </c>
      <c r="L256" s="59" t="str">
        <f t="shared" si="32"/>
        <v/>
      </c>
      <c r="M256" s="60" t="str">
        <f t="shared" si="30"/>
        <v/>
      </c>
      <c r="N256" s="61">
        <v>66068309</v>
      </c>
      <c r="O256" s="61">
        <f t="shared" si="26"/>
        <v>0</v>
      </c>
      <c r="P256" s="62"/>
      <c r="Q256" s="63"/>
      <c r="R256" s="20">
        <f t="shared" si="34"/>
        <v>1</v>
      </c>
      <c r="S256" s="20">
        <f t="shared" si="27"/>
        <v>0</v>
      </c>
    </row>
    <row r="257" spans="1:20" ht="12.75" customHeight="1" thickBot="1" x14ac:dyDescent="0.3">
      <c r="A257" s="54">
        <v>44451</v>
      </c>
      <c r="D257" s="56"/>
      <c r="E257" s="57"/>
      <c r="F257" s="58"/>
      <c r="G257" s="59"/>
      <c r="H257" s="59">
        <v>4140</v>
      </c>
      <c r="I257" s="59" t="str">
        <f t="shared" si="31"/>
        <v/>
      </c>
      <c r="J257" s="59" t="str">
        <f t="shared" si="31"/>
        <v/>
      </c>
      <c r="K257" s="60" t="str">
        <f t="shared" si="28"/>
        <v/>
      </c>
      <c r="L257" s="59" t="str">
        <f>IF(F257="","",+(F257-F256)*4140)</f>
        <v/>
      </c>
      <c r="M257" s="60" t="str">
        <f t="shared" si="30"/>
        <v/>
      </c>
      <c r="N257" s="61">
        <v>66068309</v>
      </c>
      <c r="O257" s="61">
        <f t="shared" si="26"/>
        <v>0</v>
      </c>
      <c r="P257" s="62"/>
      <c r="Q257" s="63"/>
      <c r="R257" s="20">
        <f t="shared" si="34"/>
        <v>1</v>
      </c>
      <c r="S257" s="20">
        <f t="shared" si="27"/>
        <v>0</v>
      </c>
    </row>
    <row r="258" spans="1:20" ht="12.75" customHeight="1" thickBot="1" x14ac:dyDescent="0.3">
      <c r="A258" s="54">
        <v>44452</v>
      </c>
      <c r="D258" s="56"/>
      <c r="E258" s="57"/>
      <c r="F258" s="58"/>
      <c r="G258" s="59"/>
      <c r="H258" s="59">
        <v>4140</v>
      </c>
      <c r="I258" s="59" t="str">
        <f t="shared" si="31"/>
        <v/>
      </c>
      <c r="J258" s="59" t="str">
        <f t="shared" si="31"/>
        <v/>
      </c>
      <c r="K258" s="60" t="str">
        <f t="shared" si="28"/>
        <v/>
      </c>
      <c r="L258" s="59" t="str">
        <f t="shared" si="32"/>
        <v/>
      </c>
      <c r="M258" s="60" t="str">
        <f t="shared" si="30"/>
        <v/>
      </c>
      <c r="N258" s="61">
        <v>66068309</v>
      </c>
      <c r="O258" s="61">
        <f t="shared" si="26"/>
        <v>0</v>
      </c>
      <c r="P258" s="62"/>
      <c r="Q258" s="64"/>
      <c r="R258" s="20">
        <f t="shared" si="34"/>
        <v>1</v>
      </c>
      <c r="S258" s="20">
        <f t="shared" si="27"/>
        <v>0</v>
      </c>
    </row>
    <row r="259" spans="1:20" ht="12.75" customHeight="1" thickBot="1" x14ac:dyDescent="0.3">
      <c r="A259" s="54">
        <v>44453</v>
      </c>
      <c r="D259" s="56"/>
      <c r="E259" s="57"/>
      <c r="F259" s="58"/>
      <c r="G259" s="59"/>
      <c r="H259" s="59">
        <v>4140</v>
      </c>
      <c r="I259" s="59" t="str">
        <f t="shared" si="31"/>
        <v/>
      </c>
      <c r="J259" s="59" t="str">
        <f t="shared" si="31"/>
        <v/>
      </c>
      <c r="K259" s="60" t="str">
        <f t="shared" si="28"/>
        <v/>
      </c>
      <c r="L259" s="59" t="str">
        <f t="shared" si="32"/>
        <v/>
      </c>
      <c r="M259" s="60" t="str">
        <f t="shared" si="30"/>
        <v/>
      </c>
      <c r="N259" s="61">
        <v>66068309</v>
      </c>
      <c r="O259" s="61">
        <f t="shared" si="26"/>
        <v>0</v>
      </c>
      <c r="P259" s="62"/>
      <c r="Q259" s="64"/>
      <c r="R259" s="20">
        <f t="shared" si="34"/>
        <v>1</v>
      </c>
      <c r="S259" s="20">
        <f t="shared" si="27"/>
        <v>0</v>
      </c>
      <c r="T259" s="65"/>
    </row>
    <row r="260" spans="1:20" ht="12.75" customHeight="1" thickBot="1" x14ac:dyDescent="0.3">
      <c r="A260" s="54">
        <v>44454</v>
      </c>
      <c r="D260" s="56"/>
      <c r="E260" s="57"/>
      <c r="F260" s="58"/>
      <c r="G260" s="59"/>
      <c r="H260" s="59">
        <v>4140</v>
      </c>
      <c r="I260" s="59" t="str">
        <f>IF(D260="","",+(D260-D259)*4140)</f>
        <v/>
      </c>
      <c r="J260" s="59" t="str">
        <f t="shared" ref="J260:J323" si="35">IF(E260="","",+(E260-E259)*4140)</f>
        <v/>
      </c>
      <c r="K260" s="60" t="str">
        <f t="shared" si="28"/>
        <v/>
      </c>
      <c r="L260" s="59" t="str">
        <f t="shared" si="32"/>
        <v/>
      </c>
      <c r="M260" s="60" t="str">
        <f t="shared" si="30"/>
        <v/>
      </c>
      <c r="N260" s="61">
        <v>66068309</v>
      </c>
      <c r="O260" s="61">
        <f t="shared" si="26"/>
        <v>0</v>
      </c>
      <c r="P260" s="62"/>
      <c r="Q260" s="63"/>
      <c r="R260" s="20">
        <f t="shared" si="34"/>
        <v>1</v>
      </c>
      <c r="S260" s="20">
        <f t="shared" si="27"/>
        <v>0</v>
      </c>
      <c r="T260" s="65"/>
    </row>
    <row r="261" spans="1:20" ht="12.75" customHeight="1" thickBot="1" x14ac:dyDescent="0.3">
      <c r="A261" s="54">
        <v>44455</v>
      </c>
      <c r="D261" s="56"/>
      <c r="E261" s="57"/>
      <c r="F261" s="58"/>
      <c r="G261" s="59"/>
      <c r="H261" s="59">
        <v>4140</v>
      </c>
      <c r="I261" s="59" t="str">
        <f t="shared" ref="I261:J324" si="36">IF(D261="","",+(D261-D260)*4140)</f>
        <v/>
      </c>
      <c r="J261" s="59" t="str">
        <f t="shared" si="35"/>
        <v/>
      </c>
      <c r="K261" s="60" t="str">
        <f t="shared" si="28"/>
        <v/>
      </c>
      <c r="L261" s="59" t="str">
        <f t="shared" ref="L261:L324" si="37">IF(F261="","",+(F261-F260)*4140)</f>
        <v/>
      </c>
      <c r="M261" s="60" t="str">
        <f t="shared" si="30"/>
        <v/>
      </c>
      <c r="N261" s="61">
        <v>66068309</v>
      </c>
      <c r="O261" s="61">
        <f t="shared" si="26"/>
        <v>0</v>
      </c>
      <c r="P261" s="62"/>
      <c r="Q261" s="63"/>
      <c r="R261" s="20">
        <f t="shared" si="34"/>
        <v>1</v>
      </c>
      <c r="S261" s="20">
        <f t="shared" si="27"/>
        <v>0</v>
      </c>
    </row>
    <row r="262" spans="1:20" ht="12.75" customHeight="1" thickBot="1" x14ac:dyDescent="0.3">
      <c r="A262" s="54">
        <v>44456</v>
      </c>
      <c r="D262" s="56"/>
      <c r="E262" s="57"/>
      <c r="F262" s="58"/>
      <c r="G262" s="59"/>
      <c r="H262" s="59">
        <v>4140</v>
      </c>
      <c r="I262" s="59" t="str">
        <f t="shared" si="36"/>
        <v/>
      </c>
      <c r="J262" s="59" t="str">
        <f t="shared" si="35"/>
        <v/>
      </c>
      <c r="K262" s="60" t="str">
        <f t="shared" si="28"/>
        <v/>
      </c>
      <c r="L262" s="59" t="str">
        <f t="shared" si="37"/>
        <v/>
      </c>
      <c r="M262" s="60" t="str">
        <f t="shared" si="30"/>
        <v/>
      </c>
      <c r="N262" s="61">
        <v>66068309</v>
      </c>
      <c r="O262" s="61">
        <f t="shared" ref="O262:O314" si="38">IF(N262="","",N262-N261)</f>
        <v>0</v>
      </c>
      <c r="P262" s="62"/>
      <c r="Q262" s="63"/>
      <c r="R262" s="20">
        <f t="shared" si="34"/>
        <v>1</v>
      </c>
      <c r="S262" s="20">
        <f t="shared" si="27"/>
        <v>0</v>
      </c>
    </row>
    <row r="263" spans="1:20" ht="12.75" customHeight="1" thickBot="1" x14ac:dyDescent="0.3">
      <c r="A263" s="54">
        <v>44457</v>
      </c>
      <c r="D263" s="56"/>
      <c r="E263" s="57"/>
      <c r="F263" s="58"/>
      <c r="G263" s="59"/>
      <c r="H263" s="59">
        <v>4140</v>
      </c>
      <c r="I263" s="59" t="str">
        <f t="shared" si="36"/>
        <v/>
      </c>
      <c r="J263" s="59" t="str">
        <f t="shared" si="35"/>
        <v/>
      </c>
      <c r="K263" s="60" t="str">
        <f t="shared" si="28"/>
        <v/>
      </c>
      <c r="L263" s="59" t="str">
        <f t="shared" si="37"/>
        <v/>
      </c>
      <c r="M263" s="60" t="str">
        <f t="shared" si="30"/>
        <v/>
      </c>
      <c r="N263" s="61">
        <v>66068309</v>
      </c>
      <c r="O263" s="61">
        <f t="shared" si="38"/>
        <v>0</v>
      </c>
      <c r="P263" s="62"/>
      <c r="Q263" s="104"/>
      <c r="R263" s="20">
        <f t="shared" si="34"/>
        <v>1</v>
      </c>
      <c r="S263" s="20">
        <f t="shared" si="27"/>
        <v>0</v>
      </c>
    </row>
    <row r="264" spans="1:20" ht="12.75" customHeight="1" thickBot="1" x14ac:dyDescent="0.3">
      <c r="A264" s="54">
        <v>44458</v>
      </c>
      <c r="D264" s="56"/>
      <c r="E264" s="57"/>
      <c r="F264" s="58"/>
      <c r="G264" s="59"/>
      <c r="H264" s="59">
        <v>4140</v>
      </c>
      <c r="I264" s="59" t="str">
        <f t="shared" si="36"/>
        <v/>
      </c>
      <c r="J264" s="59" t="str">
        <f t="shared" si="35"/>
        <v/>
      </c>
      <c r="K264" s="60" t="str">
        <f t="shared" si="28"/>
        <v/>
      </c>
      <c r="L264" s="59" t="str">
        <f t="shared" si="37"/>
        <v/>
      </c>
      <c r="M264" s="60" t="str">
        <f t="shared" si="30"/>
        <v/>
      </c>
      <c r="N264" s="61">
        <v>66068309</v>
      </c>
      <c r="O264" s="61">
        <f t="shared" si="38"/>
        <v>0</v>
      </c>
      <c r="P264" s="202" t="s">
        <v>66</v>
      </c>
      <c r="Q264" s="203"/>
      <c r="R264" s="20">
        <f t="shared" si="34"/>
        <v>1</v>
      </c>
      <c r="S264" s="20">
        <f t="shared" ref="S264:S327" si="39">IF(N264="",1,0)</f>
        <v>0</v>
      </c>
      <c r="T264" s="65"/>
    </row>
    <row r="265" spans="1:20" ht="12.75" customHeight="1" thickBot="1" x14ac:dyDescent="0.3">
      <c r="A265" s="54">
        <v>44459</v>
      </c>
      <c r="D265" s="56"/>
      <c r="E265" s="57"/>
      <c r="F265" s="58"/>
      <c r="G265" s="59"/>
      <c r="H265" s="59">
        <v>4140</v>
      </c>
      <c r="I265" s="59" t="str">
        <f t="shared" si="36"/>
        <v/>
      </c>
      <c r="J265" s="59" t="str">
        <f t="shared" si="35"/>
        <v/>
      </c>
      <c r="K265" s="60" t="str">
        <f t="shared" si="28"/>
        <v/>
      </c>
      <c r="L265" s="59" t="str">
        <f t="shared" si="37"/>
        <v/>
      </c>
      <c r="M265" s="60" t="str">
        <f t="shared" si="30"/>
        <v/>
      </c>
      <c r="N265" s="61">
        <v>66068309</v>
      </c>
      <c r="O265" s="61">
        <f t="shared" si="38"/>
        <v>0</v>
      </c>
      <c r="P265" s="204"/>
      <c r="Q265" s="205"/>
      <c r="R265" s="20">
        <f t="shared" si="34"/>
        <v>1</v>
      </c>
      <c r="S265" s="20">
        <f t="shared" si="39"/>
        <v>0</v>
      </c>
      <c r="T265" s="65"/>
    </row>
    <row r="266" spans="1:20" ht="12.75" customHeight="1" thickBot="1" x14ac:dyDescent="0.3">
      <c r="A266" s="54">
        <v>44460</v>
      </c>
      <c r="D266" s="56"/>
      <c r="E266" s="57"/>
      <c r="F266" s="58"/>
      <c r="G266" s="59"/>
      <c r="H266" s="59">
        <v>4140</v>
      </c>
      <c r="I266" s="59" t="str">
        <f t="shared" si="36"/>
        <v/>
      </c>
      <c r="J266" s="59" t="str">
        <f t="shared" si="35"/>
        <v/>
      </c>
      <c r="K266" s="60" t="str">
        <f t="shared" si="28"/>
        <v/>
      </c>
      <c r="L266" s="59" t="str">
        <f t="shared" si="37"/>
        <v/>
      </c>
      <c r="M266" s="60" t="str">
        <f t="shared" si="30"/>
        <v/>
      </c>
      <c r="N266" s="61">
        <v>66068309</v>
      </c>
      <c r="O266" s="61">
        <f t="shared" si="38"/>
        <v>0</v>
      </c>
      <c r="P266" s="69" t="s">
        <v>46</v>
      </c>
      <c r="Q266" s="69" t="s">
        <v>47</v>
      </c>
      <c r="R266" s="20">
        <f t="shared" si="34"/>
        <v>1</v>
      </c>
      <c r="S266" s="20">
        <f t="shared" si="39"/>
        <v>0</v>
      </c>
    </row>
    <row r="267" spans="1:20" ht="12.75" customHeight="1" thickBot="1" x14ac:dyDescent="0.3">
      <c r="A267" s="54">
        <v>44461</v>
      </c>
      <c r="D267" s="56"/>
      <c r="E267" s="57"/>
      <c r="F267" s="58"/>
      <c r="G267" s="59"/>
      <c r="H267" s="59">
        <v>4140</v>
      </c>
      <c r="I267" s="59" t="str">
        <f t="shared" si="36"/>
        <v/>
      </c>
      <c r="J267" s="59" t="str">
        <f t="shared" si="35"/>
        <v/>
      </c>
      <c r="K267" s="60" t="str">
        <f t="shared" si="28"/>
        <v/>
      </c>
      <c r="L267" s="59" t="str">
        <f t="shared" si="37"/>
        <v/>
      </c>
      <c r="M267" s="60" t="str">
        <f t="shared" si="30"/>
        <v/>
      </c>
      <c r="N267" s="61">
        <v>66068309</v>
      </c>
      <c r="O267" s="61">
        <f t="shared" si="38"/>
        <v>0</v>
      </c>
      <c r="P267" s="70">
        <f>IF(J247="",0,+SUM(J247:J276)/SUM(I247:I276))</f>
        <v>0</v>
      </c>
      <c r="Q267" s="70">
        <f>IF(L247="",0,+SUM(L247:L276)/SUM(I247:I276))</f>
        <v>0</v>
      </c>
      <c r="R267" s="20">
        <f t="shared" si="34"/>
        <v>1</v>
      </c>
      <c r="S267" s="20">
        <f t="shared" si="39"/>
        <v>0</v>
      </c>
    </row>
    <row r="268" spans="1:20" ht="12.75" customHeight="1" thickBot="1" x14ac:dyDescent="0.3">
      <c r="A268" s="54">
        <v>44462</v>
      </c>
      <c r="D268" s="56"/>
      <c r="E268" s="57"/>
      <c r="F268" s="58"/>
      <c r="G268" s="59"/>
      <c r="H268" s="59">
        <v>4140</v>
      </c>
      <c r="I268" s="59" t="str">
        <f t="shared" si="36"/>
        <v/>
      </c>
      <c r="J268" s="59" t="str">
        <f t="shared" si="35"/>
        <v/>
      </c>
      <c r="K268" s="60" t="str">
        <f t="shared" si="28"/>
        <v/>
      </c>
      <c r="L268" s="59" t="str">
        <f t="shared" si="37"/>
        <v/>
      </c>
      <c r="M268" s="60" t="str">
        <f t="shared" si="30"/>
        <v/>
      </c>
      <c r="N268" s="61">
        <v>66068309</v>
      </c>
      <c r="O268" s="61">
        <f t="shared" si="38"/>
        <v>0</v>
      </c>
      <c r="P268" s="71">
        <f>IF(J247="",0,+(+(LOOKUP(9.99999999999999E+307,E247:E276)-E246))/(+(LOOKUP(9.99999999999999E+307,D247:D276)-D246)))</f>
        <v>0</v>
      </c>
      <c r="Q268" s="71">
        <f>IF(L247="",0,+(+(LOOKUP(9.99999999999999E+307,F247:F276)-F246))/(+(LOOKUP(9.99999999999999E+307,D247:D276)-D246)))</f>
        <v>0</v>
      </c>
      <c r="R268" s="20">
        <f t="shared" si="34"/>
        <v>1</v>
      </c>
      <c r="S268" s="20">
        <f t="shared" si="39"/>
        <v>0</v>
      </c>
      <c r="T268" s="65"/>
    </row>
    <row r="269" spans="1:20" ht="12.75" customHeight="1" thickBot="1" x14ac:dyDescent="0.3">
      <c r="A269" s="54">
        <v>44463</v>
      </c>
      <c r="D269" s="56"/>
      <c r="E269" s="57"/>
      <c r="F269" s="58"/>
      <c r="G269" s="59"/>
      <c r="H269" s="59">
        <v>4140</v>
      </c>
      <c r="I269" s="59" t="str">
        <f t="shared" si="36"/>
        <v/>
      </c>
      <c r="J269" s="59" t="str">
        <f t="shared" si="35"/>
        <v/>
      </c>
      <c r="K269" s="60" t="str">
        <f t="shared" ref="K269:K332" si="40">IF(J269="","",+(J269/I269))</f>
        <v/>
      </c>
      <c r="L269" s="59" t="str">
        <f t="shared" si="37"/>
        <v/>
      </c>
      <c r="M269" s="60" t="str">
        <f t="shared" ref="M269:M332" si="41">IF(L269="","",(L269/I269))</f>
        <v/>
      </c>
      <c r="N269" s="61">
        <v>66068309</v>
      </c>
      <c r="O269" s="61">
        <f t="shared" si="38"/>
        <v>0</v>
      </c>
      <c r="P269" s="72" t="s">
        <v>48</v>
      </c>
      <c r="Q269" s="73" t="s">
        <v>49</v>
      </c>
      <c r="R269" s="20">
        <f t="shared" si="34"/>
        <v>1</v>
      </c>
      <c r="S269" s="20">
        <f t="shared" si="39"/>
        <v>0</v>
      </c>
      <c r="T269" s="65"/>
    </row>
    <row r="270" spans="1:20" ht="12.75" customHeight="1" thickBot="1" x14ac:dyDescent="0.3">
      <c r="A270" s="54">
        <v>44464</v>
      </c>
      <c r="D270" s="56"/>
      <c r="E270" s="57"/>
      <c r="F270" s="58"/>
      <c r="G270" s="59"/>
      <c r="H270" s="59">
        <v>4140</v>
      </c>
      <c r="I270" s="59" t="str">
        <f t="shared" si="36"/>
        <v/>
      </c>
      <c r="J270" s="59" t="str">
        <f t="shared" si="35"/>
        <v/>
      </c>
      <c r="K270" s="60" t="str">
        <f t="shared" si="40"/>
        <v/>
      </c>
      <c r="L270" s="59" t="str">
        <f t="shared" si="37"/>
        <v/>
      </c>
      <c r="M270" s="60" t="str">
        <f t="shared" si="41"/>
        <v/>
      </c>
      <c r="N270" s="61">
        <v>66068309</v>
      </c>
      <c r="O270" s="61">
        <f t="shared" si="38"/>
        <v>0</v>
      </c>
      <c r="P270" s="74">
        <f>IF(N246="",0,+(LOOKUP(9.99999999999999E+307,N246:N276)-N246))</f>
        <v>0</v>
      </c>
      <c r="Q270" s="75">
        <f>IF(P270="",0,+P270/SUM(R247:R276))</f>
        <v>0</v>
      </c>
      <c r="R270" s="20">
        <f t="shared" si="34"/>
        <v>1</v>
      </c>
      <c r="S270" s="20">
        <f t="shared" si="39"/>
        <v>0</v>
      </c>
      <c r="T270" s="65"/>
    </row>
    <row r="271" spans="1:20" ht="12.75" customHeight="1" thickBot="1" x14ac:dyDescent="0.3">
      <c r="A271" s="54">
        <v>44465</v>
      </c>
      <c r="D271" s="56"/>
      <c r="E271" s="57"/>
      <c r="F271" s="58"/>
      <c r="G271" s="59"/>
      <c r="H271" s="59">
        <v>4140</v>
      </c>
      <c r="I271" s="59" t="str">
        <f t="shared" si="36"/>
        <v/>
      </c>
      <c r="J271" s="59" t="str">
        <f t="shared" si="35"/>
        <v/>
      </c>
      <c r="K271" s="60" t="str">
        <f t="shared" si="40"/>
        <v/>
      </c>
      <c r="L271" s="59" t="str">
        <f t="shared" si="37"/>
        <v/>
      </c>
      <c r="M271" s="60" t="str">
        <f t="shared" si="41"/>
        <v/>
      </c>
      <c r="N271" s="61">
        <v>66068309</v>
      </c>
      <c r="O271" s="61">
        <f t="shared" si="38"/>
        <v>0</v>
      </c>
      <c r="P271" s="76" t="s">
        <v>50</v>
      </c>
      <c r="Q271" s="77" t="s">
        <v>58</v>
      </c>
      <c r="R271" s="20">
        <f t="shared" si="34"/>
        <v>1</v>
      </c>
      <c r="S271" s="20">
        <f t="shared" si="39"/>
        <v>0</v>
      </c>
      <c r="T271" s="65"/>
    </row>
    <row r="272" spans="1:20" ht="12.75" customHeight="1" thickBot="1" x14ac:dyDescent="0.3">
      <c r="A272" s="54">
        <v>44466</v>
      </c>
      <c r="D272" s="56"/>
      <c r="E272" s="57"/>
      <c r="F272" s="58"/>
      <c r="G272" s="59"/>
      <c r="H272" s="59">
        <v>4140</v>
      </c>
      <c r="I272" s="59" t="str">
        <f t="shared" si="36"/>
        <v/>
      </c>
      <c r="J272" s="59" t="str">
        <f t="shared" si="35"/>
        <v/>
      </c>
      <c r="K272" s="60" t="str">
        <f t="shared" si="40"/>
        <v/>
      </c>
      <c r="L272" s="59" t="str">
        <f t="shared" si="37"/>
        <v/>
      </c>
      <c r="M272" s="60" t="str">
        <f t="shared" si="41"/>
        <v/>
      </c>
      <c r="N272" s="61">
        <v>66068309</v>
      </c>
      <c r="O272" s="61">
        <f t="shared" si="38"/>
        <v>0</v>
      </c>
      <c r="P272" s="78">
        <f>IF(D246="",0,+(LOOKUP(9.99999999999999E+307,D246:D276)-D246))*4140</f>
        <v>0</v>
      </c>
      <c r="Q272" s="79">
        <f>IF(P272="",0,+P272/SUM(R247:R276))</f>
        <v>0</v>
      </c>
      <c r="R272" s="20">
        <f t="shared" si="34"/>
        <v>1</v>
      </c>
      <c r="S272" s="20">
        <f t="shared" si="39"/>
        <v>0</v>
      </c>
    </row>
    <row r="273" spans="1:20" ht="12.75" customHeight="1" thickBot="1" x14ac:dyDescent="0.3">
      <c r="A273" s="54">
        <v>44467</v>
      </c>
      <c r="D273" s="56"/>
      <c r="E273" s="57"/>
      <c r="F273" s="58"/>
      <c r="G273" s="59"/>
      <c r="H273" s="59">
        <v>4140</v>
      </c>
      <c r="I273" s="59" t="str">
        <f t="shared" si="36"/>
        <v/>
      </c>
      <c r="J273" s="59" t="str">
        <f t="shared" si="35"/>
        <v/>
      </c>
      <c r="K273" s="60" t="str">
        <f t="shared" si="40"/>
        <v/>
      </c>
      <c r="L273" s="59" t="str">
        <f t="shared" si="37"/>
        <v/>
      </c>
      <c r="M273" s="60" t="str">
        <f t="shared" si="41"/>
        <v/>
      </c>
      <c r="N273" s="61">
        <v>66068309</v>
      </c>
      <c r="O273" s="61">
        <f t="shared" si="38"/>
        <v>0</v>
      </c>
      <c r="P273" s="80" t="s">
        <v>52</v>
      </c>
      <c r="Q273" s="81" t="s">
        <v>59</v>
      </c>
      <c r="R273" s="20">
        <f t="shared" si="34"/>
        <v>1</v>
      </c>
      <c r="S273" s="20">
        <f t="shared" si="39"/>
        <v>0</v>
      </c>
    </row>
    <row r="274" spans="1:20" ht="12.75" customHeight="1" thickBot="1" x14ac:dyDescent="0.3">
      <c r="A274" s="54">
        <v>44468</v>
      </c>
      <c r="D274" s="56"/>
      <c r="E274" s="57"/>
      <c r="F274" s="58"/>
      <c r="G274" s="59"/>
      <c r="H274" s="59">
        <v>4140</v>
      </c>
      <c r="I274" s="59" t="str">
        <f t="shared" si="36"/>
        <v/>
      </c>
      <c r="J274" s="59" t="str">
        <f t="shared" si="35"/>
        <v/>
      </c>
      <c r="K274" s="60" t="str">
        <f t="shared" si="40"/>
        <v/>
      </c>
      <c r="L274" s="59" t="str">
        <f t="shared" si="37"/>
        <v/>
      </c>
      <c r="M274" s="60" t="str">
        <f t="shared" si="41"/>
        <v/>
      </c>
      <c r="N274" s="61">
        <v>66068309</v>
      </c>
      <c r="O274" s="61">
        <f t="shared" si="38"/>
        <v>0</v>
      </c>
      <c r="P274" s="82">
        <f>P272*Q277</f>
        <v>0</v>
      </c>
      <c r="Q274" s="83" t="e">
        <f>IF(Q34="",0,(SUM('[1]Günlük Tüketim'!H247:H276)*1.62)/SUM(O247:O276))</f>
        <v>#DIV/0!</v>
      </c>
      <c r="R274" s="20">
        <f t="shared" si="34"/>
        <v>1</v>
      </c>
      <c r="S274" s="20">
        <f t="shared" si="39"/>
        <v>0</v>
      </c>
    </row>
    <row r="275" spans="1:20" ht="12.75" customHeight="1" thickBot="1" x14ac:dyDescent="0.3">
      <c r="A275" s="54">
        <v>44469</v>
      </c>
      <c r="D275" s="56"/>
      <c r="E275" s="57"/>
      <c r="F275" s="58"/>
      <c r="G275" s="59"/>
      <c r="H275" s="59">
        <v>4140</v>
      </c>
      <c r="I275" s="59" t="str">
        <f>IF(D275="","",+(D275-D274)*4140)</f>
        <v/>
      </c>
      <c r="J275" s="59" t="str">
        <f t="shared" si="35"/>
        <v/>
      </c>
      <c r="K275" s="60" t="str">
        <f t="shared" si="40"/>
        <v/>
      </c>
      <c r="L275" s="59" t="str">
        <f t="shared" si="37"/>
        <v/>
      </c>
      <c r="M275" s="60" t="str">
        <f t="shared" si="41"/>
        <v/>
      </c>
      <c r="N275" s="61">
        <v>66068309</v>
      </c>
      <c r="O275" s="61">
        <f t="shared" si="38"/>
        <v>0</v>
      </c>
      <c r="P275" s="85" t="s">
        <v>54</v>
      </c>
      <c r="Q275" s="86" t="s">
        <v>55</v>
      </c>
      <c r="R275" s="20">
        <f t="shared" si="34"/>
        <v>1</v>
      </c>
      <c r="S275" s="20">
        <f t="shared" si="39"/>
        <v>0</v>
      </c>
    </row>
    <row r="276" spans="1:20" ht="12.75" customHeight="1" thickBot="1" x14ac:dyDescent="0.3">
      <c r="A276" s="54">
        <v>44470</v>
      </c>
      <c r="D276" s="89"/>
      <c r="E276" s="89"/>
      <c r="F276" s="89"/>
      <c r="G276" s="90"/>
      <c r="H276" s="59">
        <v>4140</v>
      </c>
      <c r="I276" s="90" t="str">
        <f t="shared" si="36"/>
        <v/>
      </c>
      <c r="J276" s="90" t="str">
        <f t="shared" si="35"/>
        <v/>
      </c>
      <c r="K276" s="60" t="str">
        <f t="shared" si="40"/>
        <v/>
      </c>
      <c r="L276" s="90" t="str">
        <f t="shared" si="37"/>
        <v/>
      </c>
      <c r="M276" s="60" t="str">
        <f t="shared" si="41"/>
        <v/>
      </c>
      <c r="N276" s="92">
        <v>66068309</v>
      </c>
      <c r="O276" s="93">
        <f t="shared" si="38"/>
        <v>0</v>
      </c>
      <c r="P276" s="127">
        <f>(P274+Q272*SUM(S247:S276)*Q277)</f>
        <v>0</v>
      </c>
      <c r="Q276" s="95">
        <f>Q272*30</f>
        <v>0</v>
      </c>
      <c r="R276" s="20">
        <f t="shared" si="34"/>
        <v>1</v>
      </c>
      <c r="S276" s="20">
        <f t="shared" si="39"/>
        <v>0</v>
      </c>
    </row>
    <row r="277" spans="1:20" ht="15.75" thickBot="1" x14ac:dyDescent="0.3">
      <c r="A277" s="54">
        <v>44471</v>
      </c>
      <c r="D277" s="56"/>
      <c r="E277" s="57"/>
      <c r="F277" s="58"/>
      <c r="G277" s="59"/>
      <c r="H277" s="59">
        <v>4140</v>
      </c>
      <c r="I277" s="59" t="str">
        <f t="shared" si="36"/>
        <v/>
      </c>
      <c r="J277" s="59" t="str">
        <f t="shared" si="35"/>
        <v/>
      </c>
      <c r="K277" s="60" t="str">
        <f t="shared" si="40"/>
        <v/>
      </c>
      <c r="L277" s="59" t="str">
        <f t="shared" si="37"/>
        <v/>
      </c>
      <c r="M277" s="60" t="str">
        <f t="shared" si="41"/>
        <v/>
      </c>
      <c r="N277" s="61">
        <v>66068309</v>
      </c>
      <c r="O277" s="61">
        <f t="shared" si="38"/>
        <v>0</v>
      </c>
      <c r="P277" s="96" t="s">
        <v>56</v>
      </c>
      <c r="Q277" s="97">
        <v>0.56999999999999995</v>
      </c>
      <c r="R277" s="20">
        <f t="shared" si="34"/>
        <v>1</v>
      </c>
      <c r="S277" s="20">
        <f t="shared" si="39"/>
        <v>0</v>
      </c>
    </row>
    <row r="278" spans="1:20" ht="15.75" thickBot="1" x14ac:dyDescent="0.3">
      <c r="A278" s="54">
        <v>44472</v>
      </c>
      <c r="D278" s="56"/>
      <c r="E278" s="57"/>
      <c r="F278" s="58"/>
      <c r="G278" s="59"/>
      <c r="H278" s="59">
        <v>4140</v>
      </c>
      <c r="I278" s="59" t="str">
        <f t="shared" si="36"/>
        <v/>
      </c>
      <c r="J278" s="59" t="str">
        <f t="shared" si="35"/>
        <v/>
      </c>
      <c r="K278" s="60" t="str">
        <f t="shared" si="40"/>
        <v/>
      </c>
      <c r="L278" s="59" t="str">
        <f t="shared" si="37"/>
        <v/>
      </c>
      <c r="M278" s="60" t="str">
        <f t="shared" si="41"/>
        <v/>
      </c>
      <c r="N278" s="61">
        <v>66068309</v>
      </c>
      <c r="O278" s="61">
        <f t="shared" si="38"/>
        <v>0</v>
      </c>
      <c r="P278" s="62"/>
      <c r="Q278" s="104"/>
      <c r="R278" s="20">
        <f t="shared" si="34"/>
        <v>1</v>
      </c>
      <c r="S278" s="20">
        <f t="shared" si="39"/>
        <v>0</v>
      </c>
    </row>
    <row r="279" spans="1:20" ht="15.75" thickBot="1" x14ac:dyDescent="0.3">
      <c r="A279" s="54">
        <v>44473</v>
      </c>
      <c r="D279" s="56"/>
      <c r="E279" s="57"/>
      <c r="F279" s="58"/>
      <c r="G279" s="59"/>
      <c r="H279" s="59">
        <v>4140</v>
      </c>
      <c r="I279" s="59" t="str">
        <f t="shared" si="36"/>
        <v/>
      </c>
      <c r="J279" s="59" t="str">
        <f t="shared" si="35"/>
        <v/>
      </c>
      <c r="K279" s="60" t="str">
        <f t="shared" si="40"/>
        <v/>
      </c>
      <c r="L279" s="59" t="str">
        <f t="shared" si="37"/>
        <v/>
      </c>
      <c r="M279" s="60" t="str">
        <f t="shared" si="41"/>
        <v/>
      </c>
      <c r="N279" s="61">
        <v>66068309</v>
      </c>
      <c r="O279" s="61">
        <f t="shared" si="38"/>
        <v>0</v>
      </c>
      <c r="P279" s="100"/>
      <c r="Q279" s="101"/>
      <c r="R279" s="20">
        <f t="shared" si="34"/>
        <v>1</v>
      </c>
      <c r="S279" s="20">
        <f t="shared" si="39"/>
        <v>0</v>
      </c>
      <c r="T279" s="65"/>
    </row>
    <row r="280" spans="1:20" ht="15.75" thickBot="1" x14ac:dyDescent="0.3">
      <c r="A280" s="54">
        <v>44474</v>
      </c>
      <c r="D280" s="56"/>
      <c r="E280" s="57"/>
      <c r="F280" s="58"/>
      <c r="G280" s="59"/>
      <c r="H280" s="59">
        <v>4140</v>
      </c>
      <c r="I280" s="59" t="str">
        <f t="shared" si="36"/>
        <v/>
      </c>
      <c r="J280" s="59" t="str">
        <f t="shared" si="35"/>
        <v/>
      </c>
      <c r="K280" s="60" t="str">
        <f t="shared" si="40"/>
        <v/>
      </c>
      <c r="L280" s="59" t="str">
        <f t="shared" si="37"/>
        <v/>
      </c>
      <c r="M280" s="60" t="str">
        <f t="shared" si="41"/>
        <v/>
      </c>
      <c r="N280" s="61">
        <v>66068309</v>
      </c>
      <c r="O280" s="61">
        <f t="shared" si="38"/>
        <v>0</v>
      </c>
      <c r="P280" s="102"/>
      <c r="Q280" s="103"/>
      <c r="R280" s="20">
        <f t="shared" si="34"/>
        <v>1</v>
      </c>
      <c r="S280" s="20">
        <f t="shared" si="39"/>
        <v>0</v>
      </c>
      <c r="T280" s="65"/>
    </row>
    <row r="281" spans="1:20" ht="15.75" thickBot="1" x14ac:dyDescent="0.3">
      <c r="A281" s="54">
        <v>44475</v>
      </c>
      <c r="D281" s="56"/>
      <c r="E281" s="57"/>
      <c r="F281" s="58"/>
      <c r="G281" s="59"/>
      <c r="H281" s="59">
        <v>4140</v>
      </c>
      <c r="I281" s="59" t="str">
        <f t="shared" si="36"/>
        <v/>
      </c>
      <c r="J281" s="59" t="str">
        <f t="shared" si="35"/>
        <v/>
      </c>
      <c r="K281" s="60" t="str">
        <f t="shared" si="40"/>
        <v/>
      </c>
      <c r="L281" s="59" t="str">
        <f t="shared" si="37"/>
        <v/>
      </c>
      <c r="M281" s="60" t="str">
        <f t="shared" si="41"/>
        <v/>
      </c>
      <c r="N281" s="61">
        <v>66068309</v>
      </c>
      <c r="O281" s="61">
        <f t="shared" si="38"/>
        <v>0</v>
      </c>
      <c r="P281" s="102"/>
      <c r="Q281" s="101"/>
      <c r="R281" s="20">
        <f t="shared" si="34"/>
        <v>1</v>
      </c>
      <c r="S281" s="20">
        <f t="shared" si="39"/>
        <v>0</v>
      </c>
    </row>
    <row r="282" spans="1:20" ht="15.75" thickBot="1" x14ac:dyDescent="0.3">
      <c r="A282" s="54">
        <v>44476</v>
      </c>
      <c r="D282" s="56"/>
      <c r="E282" s="57"/>
      <c r="F282" s="58"/>
      <c r="G282" s="59"/>
      <c r="H282" s="59">
        <v>4140</v>
      </c>
      <c r="I282" s="59" t="str">
        <f t="shared" si="36"/>
        <v/>
      </c>
      <c r="J282" s="59" t="str">
        <f t="shared" si="35"/>
        <v/>
      </c>
      <c r="K282" s="60" t="str">
        <f t="shared" si="40"/>
        <v/>
      </c>
      <c r="L282" s="59" t="str">
        <f t="shared" si="37"/>
        <v/>
      </c>
      <c r="M282" s="60" t="str">
        <f t="shared" si="41"/>
        <v/>
      </c>
      <c r="N282" s="61">
        <v>66068309</v>
      </c>
      <c r="O282" s="61">
        <f t="shared" si="38"/>
        <v>0</v>
      </c>
      <c r="P282" s="62"/>
      <c r="Q282" s="63"/>
      <c r="R282" s="20">
        <f t="shared" si="34"/>
        <v>1</v>
      </c>
      <c r="S282" s="20">
        <f t="shared" si="39"/>
        <v>0</v>
      </c>
    </row>
    <row r="283" spans="1:20" ht="15.75" thickBot="1" x14ac:dyDescent="0.3">
      <c r="A283" s="54">
        <v>44477</v>
      </c>
      <c r="D283" s="56"/>
      <c r="E283" s="57"/>
      <c r="F283" s="58"/>
      <c r="G283" s="59"/>
      <c r="H283" s="59">
        <v>4140</v>
      </c>
      <c r="I283" s="59" t="str">
        <f t="shared" si="36"/>
        <v/>
      </c>
      <c r="J283" s="59" t="str">
        <f t="shared" si="35"/>
        <v/>
      </c>
      <c r="K283" s="60" t="str">
        <f t="shared" si="40"/>
        <v/>
      </c>
      <c r="L283" s="59" t="str">
        <f t="shared" si="37"/>
        <v/>
      </c>
      <c r="M283" s="60" t="str">
        <f t="shared" si="41"/>
        <v/>
      </c>
      <c r="N283" s="61">
        <v>66068309</v>
      </c>
      <c r="O283" s="61">
        <f t="shared" si="38"/>
        <v>0</v>
      </c>
      <c r="P283" s="62"/>
      <c r="Q283" s="64"/>
      <c r="R283" s="20">
        <f t="shared" si="34"/>
        <v>1</v>
      </c>
      <c r="S283" s="20">
        <f t="shared" si="39"/>
        <v>0</v>
      </c>
    </row>
    <row r="284" spans="1:20" ht="15.75" thickBot="1" x14ac:dyDescent="0.3">
      <c r="A284" s="54">
        <v>44478</v>
      </c>
      <c r="D284" s="56"/>
      <c r="E284" s="57"/>
      <c r="F284" s="58"/>
      <c r="G284" s="59"/>
      <c r="H284" s="59">
        <v>4140</v>
      </c>
      <c r="I284" s="59" t="str">
        <f t="shared" si="36"/>
        <v/>
      </c>
      <c r="J284" s="59" t="str">
        <f t="shared" si="35"/>
        <v/>
      </c>
      <c r="K284" s="60" t="str">
        <f t="shared" si="40"/>
        <v/>
      </c>
      <c r="L284" s="59" t="str">
        <f t="shared" si="37"/>
        <v/>
      </c>
      <c r="M284" s="60" t="str">
        <f t="shared" si="41"/>
        <v/>
      </c>
      <c r="N284" s="61">
        <v>66068309</v>
      </c>
      <c r="O284" s="61">
        <f t="shared" si="38"/>
        <v>0</v>
      </c>
      <c r="P284" s="62"/>
      <c r="Q284" s="64"/>
      <c r="R284" s="20">
        <f t="shared" si="34"/>
        <v>1</v>
      </c>
      <c r="S284" s="20">
        <f t="shared" si="39"/>
        <v>0</v>
      </c>
      <c r="T284" s="65"/>
    </row>
    <row r="285" spans="1:20" ht="15.75" thickBot="1" x14ac:dyDescent="0.3">
      <c r="A285" s="54">
        <v>44479</v>
      </c>
      <c r="D285" s="56"/>
      <c r="E285" s="57"/>
      <c r="F285" s="58"/>
      <c r="G285" s="59"/>
      <c r="H285" s="59">
        <v>4140</v>
      </c>
      <c r="I285" s="59" t="str">
        <f t="shared" si="36"/>
        <v/>
      </c>
      <c r="J285" s="59" t="str">
        <f t="shared" si="35"/>
        <v/>
      </c>
      <c r="K285" s="60" t="str">
        <f t="shared" si="40"/>
        <v/>
      </c>
      <c r="L285" s="59" t="str">
        <f t="shared" si="37"/>
        <v/>
      </c>
      <c r="M285" s="60" t="str">
        <f t="shared" si="41"/>
        <v/>
      </c>
      <c r="N285" s="61">
        <v>66068309</v>
      </c>
      <c r="O285" s="61">
        <f t="shared" si="38"/>
        <v>0</v>
      </c>
      <c r="P285" s="62"/>
      <c r="Q285" s="64"/>
      <c r="R285" s="20">
        <f t="shared" si="34"/>
        <v>1</v>
      </c>
      <c r="S285" s="20">
        <f t="shared" si="39"/>
        <v>0</v>
      </c>
      <c r="T285" s="65"/>
    </row>
    <row r="286" spans="1:20" ht="15.75" thickBot="1" x14ac:dyDescent="0.3">
      <c r="A286" s="54">
        <v>44480</v>
      </c>
      <c r="D286" s="56"/>
      <c r="E286" s="57"/>
      <c r="F286" s="58"/>
      <c r="G286" s="59"/>
      <c r="H286" s="59">
        <v>4140</v>
      </c>
      <c r="I286" s="59" t="str">
        <f t="shared" si="36"/>
        <v/>
      </c>
      <c r="J286" s="59" t="str">
        <f t="shared" si="35"/>
        <v/>
      </c>
      <c r="K286" s="60" t="str">
        <f t="shared" si="40"/>
        <v/>
      </c>
      <c r="L286" s="59" t="str">
        <f t="shared" si="37"/>
        <v/>
      </c>
      <c r="M286" s="60" t="str">
        <f t="shared" si="41"/>
        <v/>
      </c>
      <c r="N286" s="61">
        <v>66068309</v>
      </c>
      <c r="O286" s="61">
        <f t="shared" si="38"/>
        <v>0</v>
      </c>
      <c r="P286" s="62"/>
      <c r="Q286" s="63"/>
      <c r="R286" s="20">
        <f t="shared" si="34"/>
        <v>1</v>
      </c>
      <c r="S286" s="20">
        <f t="shared" si="39"/>
        <v>0</v>
      </c>
    </row>
    <row r="287" spans="1:20" ht="15.75" thickBot="1" x14ac:dyDescent="0.3">
      <c r="A287" s="54">
        <v>44481</v>
      </c>
      <c r="D287" s="56"/>
      <c r="E287" s="57"/>
      <c r="F287" s="58"/>
      <c r="G287" s="59"/>
      <c r="H287" s="59">
        <v>4140</v>
      </c>
      <c r="I287" s="59" t="str">
        <f t="shared" si="36"/>
        <v/>
      </c>
      <c r="J287" s="59" t="str">
        <f t="shared" si="35"/>
        <v/>
      </c>
      <c r="K287" s="60" t="str">
        <f t="shared" si="40"/>
        <v/>
      </c>
      <c r="L287" s="59" t="str">
        <f t="shared" si="37"/>
        <v/>
      </c>
      <c r="M287" s="60" t="str">
        <f t="shared" si="41"/>
        <v/>
      </c>
      <c r="N287" s="61">
        <v>66068309</v>
      </c>
      <c r="O287" s="61">
        <f t="shared" si="38"/>
        <v>0</v>
      </c>
      <c r="P287" s="62"/>
      <c r="Q287" s="63"/>
      <c r="R287" s="20">
        <f t="shared" si="34"/>
        <v>1</v>
      </c>
      <c r="S287" s="20">
        <f t="shared" si="39"/>
        <v>0</v>
      </c>
    </row>
    <row r="288" spans="1:20" ht="15.75" thickBot="1" x14ac:dyDescent="0.3">
      <c r="A288" s="54">
        <v>44482</v>
      </c>
      <c r="D288" s="56"/>
      <c r="E288" s="57"/>
      <c r="F288" s="58"/>
      <c r="G288" s="59"/>
      <c r="H288" s="59">
        <v>4140</v>
      </c>
      <c r="I288" s="59" t="str">
        <f t="shared" si="36"/>
        <v/>
      </c>
      <c r="J288" s="59" t="str">
        <f t="shared" si="35"/>
        <v/>
      </c>
      <c r="K288" s="60" t="str">
        <f t="shared" si="40"/>
        <v/>
      </c>
      <c r="L288" s="59" t="str">
        <f t="shared" si="37"/>
        <v/>
      </c>
      <c r="M288" s="60" t="str">
        <f t="shared" si="41"/>
        <v/>
      </c>
      <c r="N288" s="61">
        <v>66068309</v>
      </c>
      <c r="O288" s="61">
        <f t="shared" si="38"/>
        <v>0</v>
      </c>
      <c r="P288" s="62"/>
      <c r="Q288" s="64"/>
      <c r="R288" s="20">
        <f t="shared" si="34"/>
        <v>1</v>
      </c>
      <c r="S288" s="20">
        <f t="shared" si="39"/>
        <v>0</v>
      </c>
    </row>
    <row r="289" spans="1:20" ht="15.75" thickBot="1" x14ac:dyDescent="0.3">
      <c r="A289" s="54">
        <v>44483</v>
      </c>
      <c r="D289" s="56"/>
      <c r="E289" s="57"/>
      <c r="F289" s="58"/>
      <c r="G289" s="59"/>
      <c r="H289" s="59">
        <v>4140</v>
      </c>
      <c r="I289" s="59" t="str">
        <f t="shared" si="36"/>
        <v/>
      </c>
      <c r="J289" s="59" t="str">
        <f t="shared" si="35"/>
        <v/>
      </c>
      <c r="K289" s="60" t="str">
        <f t="shared" si="40"/>
        <v/>
      </c>
      <c r="L289" s="59" t="str">
        <f t="shared" si="37"/>
        <v/>
      </c>
      <c r="M289" s="60" t="str">
        <f t="shared" si="41"/>
        <v/>
      </c>
      <c r="N289" s="61">
        <v>66068309</v>
      </c>
      <c r="O289" s="61">
        <f t="shared" si="38"/>
        <v>0</v>
      </c>
      <c r="P289" s="62"/>
      <c r="Q289" s="64"/>
      <c r="R289" s="20">
        <f t="shared" si="34"/>
        <v>1</v>
      </c>
      <c r="S289" s="20">
        <f t="shared" si="39"/>
        <v>0</v>
      </c>
      <c r="T289" s="65"/>
    </row>
    <row r="290" spans="1:20" ht="15.75" thickBot="1" x14ac:dyDescent="0.3">
      <c r="A290" s="54">
        <v>44484</v>
      </c>
      <c r="D290" s="56"/>
      <c r="E290" s="57"/>
      <c r="F290" s="58"/>
      <c r="G290" s="59"/>
      <c r="H290" s="59">
        <v>4140</v>
      </c>
      <c r="I290" s="59" t="str">
        <f t="shared" si="36"/>
        <v/>
      </c>
      <c r="J290" s="59" t="str">
        <f t="shared" si="35"/>
        <v/>
      </c>
      <c r="K290" s="60" t="str">
        <f t="shared" si="40"/>
        <v/>
      </c>
      <c r="L290" s="59" t="str">
        <f t="shared" si="37"/>
        <v/>
      </c>
      <c r="M290" s="60" t="str">
        <f t="shared" si="41"/>
        <v/>
      </c>
      <c r="N290" s="61">
        <v>66068309</v>
      </c>
      <c r="O290" s="61">
        <f t="shared" si="38"/>
        <v>0</v>
      </c>
      <c r="P290" s="62"/>
      <c r="Q290" s="63"/>
      <c r="R290" s="20">
        <f t="shared" si="34"/>
        <v>1</v>
      </c>
      <c r="S290" s="20">
        <f t="shared" si="39"/>
        <v>0</v>
      </c>
      <c r="T290" s="65"/>
    </row>
    <row r="291" spans="1:20" ht="15.75" thickBot="1" x14ac:dyDescent="0.3">
      <c r="A291" s="54">
        <v>44485</v>
      </c>
      <c r="D291" s="56"/>
      <c r="E291" s="57"/>
      <c r="F291" s="58"/>
      <c r="G291" s="59"/>
      <c r="H291" s="59">
        <v>4140</v>
      </c>
      <c r="I291" s="59" t="str">
        <f t="shared" si="36"/>
        <v/>
      </c>
      <c r="J291" s="59" t="str">
        <f t="shared" si="35"/>
        <v/>
      </c>
      <c r="K291" s="60" t="str">
        <f t="shared" si="40"/>
        <v/>
      </c>
      <c r="L291" s="59" t="str">
        <f t="shared" si="37"/>
        <v/>
      </c>
      <c r="M291" s="60" t="str">
        <f t="shared" si="41"/>
        <v/>
      </c>
      <c r="N291" s="61">
        <v>66068309</v>
      </c>
      <c r="O291" s="61">
        <f t="shared" si="38"/>
        <v>0</v>
      </c>
      <c r="P291" s="62"/>
      <c r="Q291" s="63"/>
      <c r="R291" s="20">
        <f t="shared" si="34"/>
        <v>1</v>
      </c>
      <c r="S291" s="20">
        <f t="shared" si="39"/>
        <v>0</v>
      </c>
    </row>
    <row r="292" spans="1:20" ht="15.75" thickBot="1" x14ac:dyDescent="0.3">
      <c r="A292" s="54">
        <v>44486</v>
      </c>
      <c r="D292" s="56"/>
      <c r="E292" s="57"/>
      <c r="F292" s="58"/>
      <c r="G292" s="59"/>
      <c r="H292" s="59">
        <v>4140</v>
      </c>
      <c r="I292" s="59" t="str">
        <f t="shared" si="36"/>
        <v/>
      </c>
      <c r="J292" s="59" t="str">
        <f t="shared" si="35"/>
        <v/>
      </c>
      <c r="K292" s="60" t="str">
        <f t="shared" si="40"/>
        <v/>
      </c>
      <c r="L292" s="59" t="str">
        <f t="shared" si="37"/>
        <v/>
      </c>
      <c r="M292" s="60" t="str">
        <f t="shared" si="41"/>
        <v/>
      </c>
      <c r="N292" s="61">
        <v>66068309</v>
      </c>
      <c r="O292" s="61">
        <f t="shared" si="38"/>
        <v>0</v>
      </c>
      <c r="P292" s="62"/>
      <c r="Q292" s="63"/>
      <c r="R292" s="20">
        <f t="shared" si="34"/>
        <v>1</v>
      </c>
      <c r="S292" s="20">
        <f t="shared" si="39"/>
        <v>0</v>
      </c>
    </row>
    <row r="293" spans="1:20" ht="15.75" thickBot="1" x14ac:dyDescent="0.3">
      <c r="A293" s="54">
        <v>44487</v>
      </c>
      <c r="D293" s="56"/>
      <c r="E293" s="57"/>
      <c r="F293" s="58"/>
      <c r="G293" s="59"/>
      <c r="H293" s="59">
        <v>4140</v>
      </c>
      <c r="I293" s="59" t="str">
        <f t="shared" si="36"/>
        <v/>
      </c>
      <c r="J293" s="59" t="str">
        <f t="shared" si="35"/>
        <v/>
      </c>
      <c r="K293" s="60" t="str">
        <f t="shared" si="40"/>
        <v/>
      </c>
      <c r="L293" s="59" t="str">
        <f t="shared" si="37"/>
        <v/>
      </c>
      <c r="M293" s="60" t="str">
        <f t="shared" si="41"/>
        <v/>
      </c>
      <c r="N293" s="61">
        <v>66068309</v>
      </c>
      <c r="O293" s="61">
        <f>IF(N293="","",N293-N292)</f>
        <v>0</v>
      </c>
      <c r="P293" s="62"/>
      <c r="Q293" s="104"/>
      <c r="R293" s="20">
        <f t="shared" si="34"/>
        <v>1</v>
      </c>
      <c r="S293" s="20">
        <f t="shared" si="39"/>
        <v>0</v>
      </c>
    </row>
    <row r="294" spans="1:20" ht="15.75" thickBot="1" x14ac:dyDescent="0.3">
      <c r="A294" s="54">
        <v>44488</v>
      </c>
      <c r="D294" s="56"/>
      <c r="E294" s="57"/>
      <c r="F294" s="58"/>
      <c r="G294" s="59"/>
      <c r="H294" s="59">
        <v>4140</v>
      </c>
      <c r="I294" s="59" t="str">
        <f t="shared" si="36"/>
        <v/>
      </c>
      <c r="J294" s="59" t="str">
        <f t="shared" si="35"/>
        <v/>
      </c>
      <c r="K294" s="60" t="str">
        <f t="shared" si="40"/>
        <v/>
      </c>
      <c r="L294" s="59" t="str">
        <f t="shared" si="37"/>
        <v/>
      </c>
      <c r="M294" s="60" t="str">
        <f t="shared" si="41"/>
        <v/>
      </c>
      <c r="N294" s="61">
        <v>66068309</v>
      </c>
      <c r="O294" s="61">
        <f>IF(N294="","",N294-N293)</f>
        <v>0</v>
      </c>
      <c r="P294" s="62"/>
      <c r="Q294" s="104"/>
      <c r="R294" s="20">
        <f t="shared" si="34"/>
        <v>1</v>
      </c>
      <c r="S294" s="20">
        <f t="shared" si="39"/>
        <v>0</v>
      </c>
      <c r="T294" s="65"/>
    </row>
    <row r="295" spans="1:20" ht="15.75" thickBot="1" x14ac:dyDescent="0.3">
      <c r="A295" s="54">
        <v>44489</v>
      </c>
      <c r="D295" s="56"/>
      <c r="E295" s="57"/>
      <c r="F295" s="58"/>
      <c r="G295" s="59"/>
      <c r="H295" s="59">
        <v>4140</v>
      </c>
      <c r="I295" s="59" t="str">
        <f t="shared" si="36"/>
        <v/>
      </c>
      <c r="J295" s="59" t="str">
        <f t="shared" si="35"/>
        <v/>
      </c>
      <c r="K295" s="60" t="str">
        <f t="shared" si="40"/>
        <v/>
      </c>
      <c r="L295" s="59" t="str">
        <f t="shared" si="37"/>
        <v/>
      </c>
      <c r="M295" s="60" t="str">
        <f t="shared" si="41"/>
        <v/>
      </c>
      <c r="N295" s="61">
        <v>66068309</v>
      </c>
      <c r="O295" s="61">
        <f t="shared" si="38"/>
        <v>0</v>
      </c>
      <c r="P295" s="202" t="s">
        <v>67</v>
      </c>
      <c r="Q295" s="203"/>
      <c r="R295" s="20">
        <f t="shared" si="34"/>
        <v>1</v>
      </c>
      <c r="S295" s="20">
        <f t="shared" si="39"/>
        <v>0</v>
      </c>
      <c r="T295" s="65"/>
    </row>
    <row r="296" spans="1:20" ht="15.75" thickBot="1" x14ac:dyDescent="0.3">
      <c r="A296" s="54">
        <v>44490</v>
      </c>
      <c r="D296" s="56"/>
      <c r="E296" s="57"/>
      <c r="F296" s="58"/>
      <c r="G296" s="59"/>
      <c r="H296" s="59">
        <v>4140</v>
      </c>
      <c r="I296" s="59" t="str">
        <f t="shared" si="36"/>
        <v/>
      </c>
      <c r="J296" s="59" t="str">
        <f t="shared" si="35"/>
        <v/>
      </c>
      <c r="K296" s="60" t="str">
        <f t="shared" si="40"/>
        <v/>
      </c>
      <c r="L296" s="59" t="str">
        <f t="shared" si="37"/>
        <v/>
      </c>
      <c r="M296" s="60" t="str">
        <f t="shared" si="41"/>
        <v/>
      </c>
      <c r="N296" s="61">
        <v>66068309</v>
      </c>
      <c r="O296" s="61">
        <f t="shared" si="38"/>
        <v>0</v>
      </c>
      <c r="P296" s="204"/>
      <c r="Q296" s="205"/>
      <c r="R296" s="20">
        <f t="shared" si="34"/>
        <v>1</v>
      </c>
      <c r="S296" s="20">
        <f t="shared" si="39"/>
        <v>0</v>
      </c>
    </row>
    <row r="297" spans="1:20" ht="15.75" thickBot="1" x14ac:dyDescent="0.3">
      <c r="A297" s="54">
        <v>44491</v>
      </c>
      <c r="D297" s="56"/>
      <c r="E297" s="57"/>
      <c r="F297" s="58"/>
      <c r="G297" s="59"/>
      <c r="H297" s="59">
        <v>4140</v>
      </c>
      <c r="I297" s="59" t="str">
        <f t="shared" si="36"/>
        <v/>
      </c>
      <c r="J297" s="59" t="str">
        <f t="shared" si="35"/>
        <v/>
      </c>
      <c r="K297" s="60" t="str">
        <f t="shared" si="40"/>
        <v/>
      </c>
      <c r="L297" s="59" t="str">
        <f t="shared" si="37"/>
        <v/>
      </c>
      <c r="M297" s="60" t="str">
        <f t="shared" si="41"/>
        <v/>
      </c>
      <c r="N297" s="61">
        <v>66068309</v>
      </c>
      <c r="O297" s="61">
        <f t="shared" si="38"/>
        <v>0</v>
      </c>
      <c r="P297" s="69" t="s">
        <v>46</v>
      </c>
      <c r="Q297" s="69" t="s">
        <v>47</v>
      </c>
      <c r="R297" s="20">
        <f t="shared" si="34"/>
        <v>1</v>
      </c>
      <c r="S297" s="20">
        <f t="shared" si="39"/>
        <v>0</v>
      </c>
    </row>
    <row r="298" spans="1:20" ht="15.75" thickBot="1" x14ac:dyDescent="0.3">
      <c r="A298" s="54">
        <v>44492</v>
      </c>
      <c r="D298" s="56"/>
      <c r="E298" s="57"/>
      <c r="F298" s="58"/>
      <c r="G298" s="59"/>
      <c r="H298" s="59">
        <v>4140</v>
      </c>
      <c r="I298" s="59" t="str">
        <f t="shared" si="36"/>
        <v/>
      </c>
      <c r="J298" s="59" t="str">
        <f t="shared" si="35"/>
        <v/>
      </c>
      <c r="K298" s="60" t="str">
        <f t="shared" si="40"/>
        <v/>
      </c>
      <c r="L298" s="59" t="str">
        <f t="shared" si="37"/>
        <v/>
      </c>
      <c r="M298" s="60" t="str">
        <f t="shared" si="41"/>
        <v/>
      </c>
      <c r="N298" s="61">
        <v>66068309</v>
      </c>
      <c r="O298" s="61">
        <f t="shared" si="38"/>
        <v>0</v>
      </c>
      <c r="P298" s="70">
        <f>IF(J277="",0,+SUM(J277:J307)/SUM(I277:I307))</f>
        <v>0</v>
      </c>
      <c r="Q298" s="70">
        <f>IF(L277="",0,+SUM(L277:L307)/SUM(I277:I307))</f>
        <v>0</v>
      </c>
      <c r="R298" s="20">
        <f t="shared" si="34"/>
        <v>1</v>
      </c>
      <c r="S298" s="20">
        <f t="shared" si="39"/>
        <v>0</v>
      </c>
      <c r="T298" s="65"/>
    </row>
    <row r="299" spans="1:20" ht="15.75" thickBot="1" x14ac:dyDescent="0.3">
      <c r="A299" s="54">
        <v>44493</v>
      </c>
      <c r="D299" s="56"/>
      <c r="E299" s="57"/>
      <c r="F299" s="58"/>
      <c r="G299" s="59"/>
      <c r="H299" s="59">
        <v>4140</v>
      </c>
      <c r="I299" s="59" t="str">
        <f t="shared" si="36"/>
        <v/>
      </c>
      <c r="J299" s="59" t="str">
        <f t="shared" si="35"/>
        <v/>
      </c>
      <c r="K299" s="60" t="str">
        <f t="shared" si="40"/>
        <v/>
      </c>
      <c r="L299" s="59" t="str">
        <f t="shared" si="37"/>
        <v/>
      </c>
      <c r="M299" s="60" t="str">
        <f t="shared" si="41"/>
        <v/>
      </c>
      <c r="N299" s="61">
        <v>66068309</v>
      </c>
      <c r="O299" s="61">
        <f t="shared" si="38"/>
        <v>0</v>
      </c>
      <c r="P299" s="71">
        <f>IF(J277="",0,+(+(LOOKUP(9.99999999999999E+307,E277:E307)-E276))/(+(LOOKUP(9.99999999999999E+307,D277:D307)-D276)))</f>
        <v>0</v>
      </c>
      <c r="Q299" s="71">
        <f>IF(L277="",0,+(+(LOOKUP(9.99999999999999E+307,F277:F307)-F276))/(+(LOOKUP(9.99999999999999E+307,D277:D307)-D276)))</f>
        <v>0</v>
      </c>
      <c r="R299" s="20">
        <f t="shared" si="34"/>
        <v>1</v>
      </c>
      <c r="S299" s="20">
        <f t="shared" si="39"/>
        <v>0</v>
      </c>
      <c r="T299" s="65"/>
    </row>
    <row r="300" spans="1:20" ht="15.75" thickBot="1" x14ac:dyDescent="0.3">
      <c r="A300" s="54">
        <v>44494</v>
      </c>
      <c r="D300" s="56"/>
      <c r="E300" s="57"/>
      <c r="F300" s="58"/>
      <c r="G300" s="59"/>
      <c r="H300" s="59">
        <v>4140</v>
      </c>
      <c r="I300" s="59" t="str">
        <f t="shared" si="36"/>
        <v/>
      </c>
      <c r="J300" s="59" t="str">
        <f t="shared" si="35"/>
        <v/>
      </c>
      <c r="K300" s="60" t="str">
        <f t="shared" si="40"/>
        <v/>
      </c>
      <c r="L300" s="59" t="str">
        <f t="shared" si="37"/>
        <v/>
      </c>
      <c r="M300" s="60" t="str">
        <f t="shared" si="41"/>
        <v/>
      </c>
      <c r="N300" s="61">
        <v>66068309</v>
      </c>
      <c r="O300" s="61">
        <f t="shared" si="38"/>
        <v>0</v>
      </c>
      <c r="P300" s="72" t="s">
        <v>48</v>
      </c>
      <c r="Q300" s="73" t="s">
        <v>49</v>
      </c>
      <c r="R300" s="20">
        <f t="shared" si="34"/>
        <v>1</v>
      </c>
      <c r="S300" s="20">
        <f t="shared" si="39"/>
        <v>0</v>
      </c>
      <c r="T300" s="65"/>
    </row>
    <row r="301" spans="1:20" ht="15.75" thickBot="1" x14ac:dyDescent="0.3">
      <c r="A301" s="54">
        <v>44495</v>
      </c>
      <c r="D301" s="56"/>
      <c r="E301" s="57"/>
      <c r="F301" s="58"/>
      <c r="G301" s="59"/>
      <c r="H301" s="59">
        <v>4140</v>
      </c>
      <c r="I301" s="59" t="str">
        <f t="shared" si="36"/>
        <v/>
      </c>
      <c r="J301" s="59" t="str">
        <f t="shared" si="35"/>
        <v/>
      </c>
      <c r="K301" s="60" t="str">
        <f t="shared" si="40"/>
        <v/>
      </c>
      <c r="L301" s="59" t="str">
        <f t="shared" si="37"/>
        <v/>
      </c>
      <c r="M301" s="60" t="str">
        <f t="shared" si="41"/>
        <v/>
      </c>
      <c r="N301" s="61">
        <v>66068309</v>
      </c>
      <c r="O301" s="61">
        <f t="shared" si="38"/>
        <v>0</v>
      </c>
      <c r="P301" s="74">
        <f>IF(N276="",0,+(LOOKUP(9.99999999999999E+307,N276:N307)-N276))</f>
        <v>0</v>
      </c>
      <c r="Q301" s="75">
        <f>IF(P301="",0,+P301/SUM(R277:R307))</f>
        <v>0</v>
      </c>
      <c r="R301" s="20">
        <f t="shared" si="34"/>
        <v>1</v>
      </c>
      <c r="S301" s="20">
        <f t="shared" si="39"/>
        <v>0</v>
      </c>
      <c r="T301" s="65"/>
    </row>
    <row r="302" spans="1:20" ht="15.75" thickBot="1" x14ac:dyDescent="0.3">
      <c r="A302" s="54">
        <v>44496</v>
      </c>
      <c r="D302" s="56"/>
      <c r="E302" s="57"/>
      <c r="F302" s="58"/>
      <c r="G302" s="59"/>
      <c r="H302" s="59">
        <v>4140</v>
      </c>
      <c r="I302" s="59" t="str">
        <f t="shared" si="36"/>
        <v/>
      </c>
      <c r="J302" s="59" t="str">
        <f t="shared" si="35"/>
        <v/>
      </c>
      <c r="K302" s="60" t="str">
        <f t="shared" si="40"/>
        <v/>
      </c>
      <c r="L302" s="59" t="str">
        <f t="shared" si="37"/>
        <v/>
      </c>
      <c r="M302" s="60" t="str">
        <f t="shared" si="41"/>
        <v/>
      </c>
      <c r="N302" s="61">
        <v>66068309</v>
      </c>
      <c r="O302" s="61">
        <f t="shared" si="38"/>
        <v>0</v>
      </c>
      <c r="P302" s="76" t="s">
        <v>50</v>
      </c>
      <c r="Q302" s="77" t="s">
        <v>58</v>
      </c>
      <c r="R302" s="20">
        <f t="shared" si="34"/>
        <v>1</v>
      </c>
      <c r="S302" s="20">
        <f t="shared" si="39"/>
        <v>0</v>
      </c>
    </row>
    <row r="303" spans="1:20" ht="15.75" thickBot="1" x14ac:dyDescent="0.3">
      <c r="A303" s="54">
        <v>44497</v>
      </c>
      <c r="D303" s="56"/>
      <c r="E303" s="57"/>
      <c r="F303" s="58"/>
      <c r="G303" s="59"/>
      <c r="H303" s="59">
        <v>4140</v>
      </c>
      <c r="I303" s="59" t="str">
        <f t="shared" si="36"/>
        <v/>
      </c>
      <c r="J303" s="59" t="str">
        <f t="shared" si="35"/>
        <v/>
      </c>
      <c r="K303" s="60" t="str">
        <f t="shared" si="40"/>
        <v/>
      </c>
      <c r="L303" s="59" t="str">
        <f t="shared" si="37"/>
        <v/>
      </c>
      <c r="M303" s="60" t="str">
        <f t="shared" si="41"/>
        <v/>
      </c>
      <c r="N303" s="61">
        <v>66068309</v>
      </c>
      <c r="O303" s="61">
        <f t="shared" si="38"/>
        <v>0</v>
      </c>
      <c r="P303" s="78">
        <f>IF(D276="",0,+(LOOKUP(9.99999999999999E+307,D276:D307)-D276))*4140</f>
        <v>0</v>
      </c>
      <c r="Q303" s="79">
        <f>IF(P303="",0,+P303/SUM(R277:R307))</f>
        <v>0</v>
      </c>
      <c r="R303" s="20">
        <f t="shared" si="34"/>
        <v>1</v>
      </c>
      <c r="S303" s="20">
        <f t="shared" si="39"/>
        <v>0</v>
      </c>
    </row>
    <row r="304" spans="1:20" ht="15.75" thickBot="1" x14ac:dyDescent="0.3">
      <c r="A304" s="54">
        <v>44498</v>
      </c>
      <c r="D304" s="56"/>
      <c r="E304" s="57"/>
      <c r="F304" s="58"/>
      <c r="G304" s="59"/>
      <c r="H304" s="59">
        <v>4140</v>
      </c>
      <c r="I304" s="59" t="str">
        <f t="shared" si="36"/>
        <v/>
      </c>
      <c r="J304" s="59" t="str">
        <f t="shared" si="35"/>
        <v/>
      </c>
      <c r="K304" s="60" t="str">
        <f t="shared" si="40"/>
        <v/>
      </c>
      <c r="L304" s="59" t="str">
        <f t="shared" si="37"/>
        <v/>
      </c>
      <c r="M304" s="60" t="str">
        <f t="shared" si="41"/>
        <v/>
      </c>
      <c r="N304" s="61">
        <v>66068309</v>
      </c>
      <c r="O304" s="61">
        <f t="shared" si="38"/>
        <v>0</v>
      </c>
      <c r="P304" s="80" t="s">
        <v>52</v>
      </c>
      <c r="Q304" s="81" t="s">
        <v>59</v>
      </c>
      <c r="R304" s="20">
        <f t="shared" si="34"/>
        <v>1</v>
      </c>
      <c r="S304" s="20">
        <f t="shared" si="39"/>
        <v>0</v>
      </c>
    </row>
    <row r="305" spans="1:20" ht="15.75" thickBot="1" x14ac:dyDescent="0.3">
      <c r="A305" s="54">
        <v>44499</v>
      </c>
      <c r="D305" s="56"/>
      <c r="E305" s="57"/>
      <c r="F305" s="58"/>
      <c r="G305" s="59"/>
      <c r="H305" s="59">
        <v>4140</v>
      </c>
      <c r="I305" s="59" t="str">
        <f t="shared" si="36"/>
        <v/>
      </c>
      <c r="J305" s="59" t="str">
        <f t="shared" si="35"/>
        <v/>
      </c>
      <c r="K305" s="60" t="str">
        <f t="shared" si="40"/>
        <v/>
      </c>
      <c r="L305" s="59" t="str">
        <f t="shared" si="37"/>
        <v/>
      </c>
      <c r="M305" s="60" t="str">
        <f t="shared" si="41"/>
        <v/>
      </c>
      <c r="N305" s="61">
        <v>66068309</v>
      </c>
      <c r="O305" s="61">
        <f t="shared" si="38"/>
        <v>0</v>
      </c>
      <c r="P305" s="82">
        <f>P303*Q308</f>
        <v>0</v>
      </c>
      <c r="Q305" s="83" t="e">
        <f>IF(Q34="",0,(SUM('[1]Günlük Tüketim'!H277:H307)*1.62)/SUM(O277:O307))</f>
        <v>#DIV/0!</v>
      </c>
      <c r="R305" s="20">
        <f t="shared" si="34"/>
        <v>1</v>
      </c>
      <c r="S305" s="20">
        <f t="shared" si="39"/>
        <v>0</v>
      </c>
    </row>
    <row r="306" spans="1:20" ht="15.75" thickBot="1" x14ac:dyDescent="0.3">
      <c r="A306" s="54">
        <v>44500</v>
      </c>
      <c r="D306" s="56"/>
      <c r="E306" s="57"/>
      <c r="F306" s="58"/>
      <c r="G306" s="59"/>
      <c r="H306" s="59">
        <v>4140</v>
      </c>
      <c r="I306" s="59" t="str">
        <f t="shared" si="36"/>
        <v/>
      </c>
      <c r="J306" s="59" t="str">
        <f t="shared" si="35"/>
        <v/>
      </c>
      <c r="K306" s="60" t="str">
        <f t="shared" si="40"/>
        <v/>
      </c>
      <c r="L306" s="59" t="str">
        <f t="shared" si="37"/>
        <v/>
      </c>
      <c r="M306" s="60" t="str">
        <f t="shared" si="41"/>
        <v/>
      </c>
      <c r="N306" s="61">
        <v>66068309</v>
      </c>
      <c r="O306" s="61">
        <f t="shared" si="38"/>
        <v>0</v>
      </c>
      <c r="P306" s="85" t="s">
        <v>54</v>
      </c>
      <c r="Q306" s="86" t="s">
        <v>55</v>
      </c>
      <c r="R306" s="20">
        <f t="shared" si="34"/>
        <v>1</v>
      </c>
      <c r="S306" s="20">
        <f t="shared" si="39"/>
        <v>0</v>
      </c>
    </row>
    <row r="307" spans="1:20" ht="15.75" thickBot="1" x14ac:dyDescent="0.3">
      <c r="A307" s="54">
        <v>44501</v>
      </c>
      <c r="D307" s="89"/>
      <c r="E307" s="89"/>
      <c r="F307" s="89"/>
      <c r="G307" s="90"/>
      <c r="H307" s="59">
        <v>4140</v>
      </c>
      <c r="I307" s="90" t="str">
        <f t="shared" si="36"/>
        <v/>
      </c>
      <c r="J307" s="90" t="str">
        <f t="shared" si="35"/>
        <v/>
      </c>
      <c r="K307" s="60" t="str">
        <f t="shared" si="40"/>
        <v/>
      </c>
      <c r="L307" s="90" t="str">
        <f t="shared" si="37"/>
        <v/>
      </c>
      <c r="M307" s="60" t="str">
        <f t="shared" si="41"/>
        <v/>
      </c>
      <c r="N307" s="92">
        <v>66068309</v>
      </c>
      <c r="O307" s="93">
        <f t="shared" si="38"/>
        <v>0</v>
      </c>
      <c r="P307" s="128">
        <f>(P305+Q303*SUM(S277:S307)*Q308)</f>
        <v>0</v>
      </c>
      <c r="Q307" s="129">
        <f>Q303*31</f>
        <v>0</v>
      </c>
      <c r="R307" s="20">
        <f t="shared" si="34"/>
        <v>1</v>
      </c>
      <c r="S307" s="20">
        <f t="shared" si="39"/>
        <v>0</v>
      </c>
    </row>
    <row r="308" spans="1:20" ht="15.75" thickBot="1" x14ac:dyDescent="0.3">
      <c r="A308" s="54">
        <v>44502</v>
      </c>
      <c r="D308" s="56"/>
      <c r="E308" s="57"/>
      <c r="F308" s="58"/>
      <c r="G308" s="59"/>
      <c r="H308" s="59">
        <v>4140</v>
      </c>
      <c r="I308" s="59" t="str">
        <f t="shared" si="36"/>
        <v/>
      </c>
      <c r="J308" s="59" t="str">
        <f t="shared" si="35"/>
        <v/>
      </c>
      <c r="K308" s="60" t="str">
        <f t="shared" si="40"/>
        <v/>
      </c>
      <c r="L308" s="59" t="str">
        <f t="shared" si="37"/>
        <v/>
      </c>
      <c r="M308" s="60" t="str">
        <f t="shared" si="41"/>
        <v/>
      </c>
      <c r="N308" s="61">
        <v>66068309</v>
      </c>
      <c r="O308" s="61">
        <f t="shared" si="38"/>
        <v>0</v>
      </c>
      <c r="P308" s="111" t="s">
        <v>56</v>
      </c>
      <c r="Q308" s="112">
        <v>0.56999999999999995</v>
      </c>
      <c r="R308" s="20">
        <f t="shared" si="34"/>
        <v>1</v>
      </c>
      <c r="S308" s="20">
        <f t="shared" si="39"/>
        <v>0</v>
      </c>
    </row>
    <row r="309" spans="1:20" ht="15.75" thickBot="1" x14ac:dyDescent="0.3">
      <c r="A309" s="54">
        <v>44503</v>
      </c>
      <c r="D309" s="56"/>
      <c r="E309" s="57"/>
      <c r="F309" s="58"/>
      <c r="G309" s="59"/>
      <c r="H309" s="59">
        <v>4140</v>
      </c>
      <c r="I309" s="59" t="str">
        <f t="shared" si="36"/>
        <v/>
      </c>
      <c r="J309" s="59" t="str">
        <f t="shared" si="35"/>
        <v/>
      </c>
      <c r="K309" s="60" t="str">
        <f t="shared" si="40"/>
        <v/>
      </c>
      <c r="L309" s="59" t="str">
        <f t="shared" si="37"/>
        <v/>
      </c>
      <c r="M309" s="60" t="str">
        <f t="shared" si="41"/>
        <v/>
      </c>
      <c r="N309" s="61">
        <v>66068309</v>
      </c>
      <c r="O309" s="61">
        <f t="shared" si="38"/>
        <v>0</v>
      </c>
      <c r="P309" s="130"/>
      <c r="Q309" s="130"/>
      <c r="R309" s="20">
        <f t="shared" si="34"/>
        <v>1</v>
      </c>
      <c r="S309" s="20">
        <f t="shared" si="39"/>
        <v>0</v>
      </c>
    </row>
    <row r="310" spans="1:20" ht="15.75" thickBot="1" x14ac:dyDescent="0.3">
      <c r="A310" s="54">
        <v>44504</v>
      </c>
      <c r="D310" s="56"/>
      <c r="E310" s="57"/>
      <c r="F310" s="58"/>
      <c r="G310" s="59"/>
      <c r="H310" s="59">
        <v>4140</v>
      </c>
      <c r="I310" s="59" t="str">
        <f t="shared" si="36"/>
        <v/>
      </c>
      <c r="J310" s="59" t="str">
        <f>IF(E310="","",+(E310-E309)*4140)</f>
        <v/>
      </c>
      <c r="K310" s="60" t="str">
        <f t="shared" si="40"/>
        <v/>
      </c>
      <c r="L310" s="59" t="str">
        <f t="shared" si="37"/>
        <v/>
      </c>
      <c r="M310" s="60" t="str">
        <f t="shared" si="41"/>
        <v/>
      </c>
      <c r="N310" s="61">
        <v>66068309</v>
      </c>
      <c r="O310" s="61">
        <f t="shared" si="38"/>
        <v>0</v>
      </c>
      <c r="P310" s="100"/>
      <c r="Q310" s="101"/>
      <c r="R310" s="20">
        <f>IF(N310="",0,1)</f>
        <v>1</v>
      </c>
      <c r="S310" s="20">
        <f t="shared" si="39"/>
        <v>0</v>
      </c>
      <c r="T310" s="65"/>
    </row>
    <row r="311" spans="1:20" ht="15.75" thickBot="1" x14ac:dyDescent="0.3">
      <c r="A311" s="54">
        <v>44505</v>
      </c>
      <c r="D311" s="56"/>
      <c r="E311" s="57"/>
      <c r="F311" s="58"/>
      <c r="G311" s="59"/>
      <c r="H311" s="59">
        <v>4140</v>
      </c>
      <c r="I311" s="59" t="str">
        <f t="shared" si="36"/>
        <v/>
      </c>
      <c r="J311" s="59" t="str">
        <f t="shared" si="35"/>
        <v/>
      </c>
      <c r="K311" s="60" t="str">
        <f t="shared" si="40"/>
        <v/>
      </c>
      <c r="L311" s="59" t="str">
        <f t="shared" si="37"/>
        <v/>
      </c>
      <c r="M311" s="60" t="str">
        <f t="shared" si="41"/>
        <v/>
      </c>
      <c r="N311" s="61">
        <v>66068309</v>
      </c>
      <c r="O311" s="61">
        <f t="shared" si="38"/>
        <v>0</v>
      </c>
      <c r="P311" s="102"/>
      <c r="Q311" s="103"/>
      <c r="R311" s="20">
        <f>IF(N311="",0,1)</f>
        <v>1</v>
      </c>
      <c r="S311" s="20">
        <f>IF(N312="",1,0)</f>
        <v>0</v>
      </c>
      <c r="T311" s="65"/>
    </row>
    <row r="312" spans="1:20" ht="15.75" thickBot="1" x14ac:dyDescent="0.3">
      <c r="A312" s="54">
        <v>44506</v>
      </c>
      <c r="D312" s="56"/>
      <c r="E312" s="57"/>
      <c r="F312" s="58"/>
      <c r="G312" s="59"/>
      <c r="H312" s="59">
        <v>4140</v>
      </c>
      <c r="I312" s="59" t="str">
        <f t="shared" si="36"/>
        <v/>
      </c>
      <c r="J312" s="59" t="str">
        <f t="shared" si="35"/>
        <v/>
      </c>
      <c r="K312" s="60" t="str">
        <f t="shared" si="40"/>
        <v/>
      </c>
      <c r="L312" s="59" t="str">
        <f t="shared" si="37"/>
        <v/>
      </c>
      <c r="M312" s="60" t="str">
        <f t="shared" si="41"/>
        <v/>
      </c>
      <c r="N312" s="61">
        <v>66068309</v>
      </c>
      <c r="O312" s="61">
        <f t="shared" si="38"/>
        <v>0</v>
      </c>
      <c r="P312" s="102"/>
      <c r="Q312" s="101"/>
      <c r="R312" s="20">
        <f>IF(N312="",0,1)</f>
        <v>1</v>
      </c>
      <c r="S312" s="20">
        <f>IF(N313="",1,0)</f>
        <v>0</v>
      </c>
    </row>
    <row r="313" spans="1:20" ht="15.75" thickBot="1" x14ac:dyDescent="0.3">
      <c r="A313" s="54">
        <v>44507</v>
      </c>
      <c r="D313" s="56"/>
      <c r="E313" s="57"/>
      <c r="F313" s="58"/>
      <c r="G313" s="59"/>
      <c r="H313" s="59">
        <v>4140</v>
      </c>
      <c r="I313" s="59" t="str">
        <f>IF(D313="","",+(D313-D312)*4140)</f>
        <v/>
      </c>
      <c r="J313" s="59" t="str">
        <f t="shared" si="35"/>
        <v/>
      </c>
      <c r="K313" s="60" t="str">
        <f t="shared" si="40"/>
        <v/>
      </c>
      <c r="L313" s="59" t="str">
        <f t="shared" si="37"/>
        <v/>
      </c>
      <c r="M313" s="60" t="str">
        <f t="shared" si="41"/>
        <v/>
      </c>
      <c r="N313" s="61">
        <v>66068309</v>
      </c>
      <c r="O313" s="61">
        <f t="shared" si="38"/>
        <v>0</v>
      </c>
      <c r="P313" s="62"/>
      <c r="Q313" s="64"/>
      <c r="R313" s="20">
        <f t="shared" si="34"/>
        <v>1</v>
      </c>
      <c r="S313" s="20">
        <f t="shared" si="39"/>
        <v>0</v>
      </c>
    </row>
    <row r="314" spans="1:20" ht="15.75" thickBot="1" x14ac:dyDescent="0.3">
      <c r="A314" s="54">
        <v>44508</v>
      </c>
      <c r="D314" s="56"/>
      <c r="E314" s="57"/>
      <c r="F314" s="58"/>
      <c r="G314" s="59"/>
      <c r="H314" s="59">
        <v>4140</v>
      </c>
      <c r="I314" s="59" t="str">
        <f t="shared" si="36"/>
        <v/>
      </c>
      <c r="J314" s="59" t="str">
        <f t="shared" si="35"/>
        <v/>
      </c>
      <c r="K314" s="60" t="str">
        <f t="shared" si="40"/>
        <v/>
      </c>
      <c r="L314" s="59" t="str">
        <f t="shared" si="37"/>
        <v/>
      </c>
      <c r="M314" s="60" t="str">
        <f t="shared" si="41"/>
        <v/>
      </c>
      <c r="N314" s="61">
        <v>66068309</v>
      </c>
      <c r="O314" s="61">
        <f t="shared" si="38"/>
        <v>0</v>
      </c>
      <c r="P314" s="62"/>
      <c r="Q314" s="64"/>
      <c r="R314" s="20">
        <f t="shared" si="34"/>
        <v>1</v>
      </c>
      <c r="S314" s="20">
        <f t="shared" si="39"/>
        <v>0</v>
      </c>
    </row>
    <row r="315" spans="1:20" ht="15.75" thickBot="1" x14ac:dyDescent="0.3">
      <c r="A315" s="54">
        <v>44509</v>
      </c>
      <c r="D315" s="56"/>
      <c r="E315" s="57"/>
      <c r="F315" s="58"/>
      <c r="G315" s="59"/>
      <c r="H315" s="59">
        <v>4140</v>
      </c>
      <c r="I315" s="59" t="str">
        <f t="shared" si="36"/>
        <v/>
      </c>
      <c r="J315" s="59" t="str">
        <f t="shared" si="35"/>
        <v/>
      </c>
      <c r="K315" s="60" t="str">
        <f t="shared" si="40"/>
        <v/>
      </c>
      <c r="L315" s="59" t="str">
        <f t="shared" si="37"/>
        <v/>
      </c>
      <c r="M315" s="60" t="str">
        <f t="shared" si="41"/>
        <v/>
      </c>
      <c r="N315" s="61">
        <v>66068309</v>
      </c>
      <c r="O315" s="61">
        <f>IF(N315="","",N315-N314)</f>
        <v>0</v>
      </c>
      <c r="P315" s="62"/>
      <c r="Q315" s="64"/>
      <c r="R315" s="20">
        <f t="shared" si="34"/>
        <v>1</v>
      </c>
      <c r="S315" s="20">
        <f t="shared" si="39"/>
        <v>0</v>
      </c>
      <c r="T315" s="65"/>
    </row>
    <row r="316" spans="1:20" ht="15.75" thickBot="1" x14ac:dyDescent="0.3">
      <c r="A316" s="54">
        <v>44510</v>
      </c>
      <c r="D316" s="56"/>
      <c r="E316" s="57"/>
      <c r="F316" s="58"/>
      <c r="G316" s="59"/>
      <c r="H316" s="59">
        <v>4140</v>
      </c>
      <c r="I316" s="59" t="str">
        <f t="shared" si="36"/>
        <v/>
      </c>
      <c r="J316" s="59" t="str">
        <f t="shared" si="35"/>
        <v/>
      </c>
      <c r="K316" s="60" t="str">
        <f t="shared" si="40"/>
        <v/>
      </c>
      <c r="L316" s="59" t="str">
        <f t="shared" si="37"/>
        <v/>
      </c>
      <c r="M316" s="60" t="str">
        <f t="shared" si="41"/>
        <v/>
      </c>
      <c r="N316" s="61">
        <v>66068309</v>
      </c>
      <c r="O316" s="61">
        <f t="shared" ref="O316:O368" si="42">IF(N316="","",N316-N315)</f>
        <v>0</v>
      </c>
      <c r="P316" s="62"/>
      <c r="Q316" s="63"/>
      <c r="R316" s="20">
        <f t="shared" si="34"/>
        <v>1</v>
      </c>
      <c r="S316" s="20">
        <f t="shared" si="39"/>
        <v>0</v>
      </c>
      <c r="T316" s="65"/>
    </row>
    <row r="317" spans="1:20" ht="15.75" thickBot="1" x14ac:dyDescent="0.3">
      <c r="A317" s="54">
        <v>44511</v>
      </c>
      <c r="D317" s="56"/>
      <c r="E317" s="57"/>
      <c r="F317" s="58"/>
      <c r="G317" s="59"/>
      <c r="H317" s="59">
        <v>4140</v>
      </c>
      <c r="I317" s="59" t="str">
        <f t="shared" si="36"/>
        <v/>
      </c>
      <c r="J317" s="59" t="str">
        <f t="shared" si="35"/>
        <v/>
      </c>
      <c r="K317" s="60" t="str">
        <f t="shared" si="40"/>
        <v/>
      </c>
      <c r="L317" s="59" t="str">
        <f t="shared" si="37"/>
        <v/>
      </c>
      <c r="M317" s="60" t="str">
        <f t="shared" si="41"/>
        <v/>
      </c>
      <c r="N317" s="61">
        <v>66068309</v>
      </c>
      <c r="O317" s="61">
        <f t="shared" si="42"/>
        <v>0</v>
      </c>
      <c r="P317" s="62"/>
      <c r="Q317" s="63"/>
      <c r="R317" s="20">
        <f t="shared" ref="R317:R368" si="43">IF(N317="",0,1)</f>
        <v>1</v>
      </c>
      <c r="S317" s="20">
        <f t="shared" si="39"/>
        <v>0</v>
      </c>
    </row>
    <row r="318" spans="1:20" ht="15.75" thickBot="1" x14ac:dyDescent="0.3">
      <c r="A318" s="54">
        <v>44512</v>
      </c>
      <c r="D318" s="56"/>
      <c r="E318" s="57"/>
      <c r="F318" s="58"/>
      <c r="G318" s="59"/>
      <c r="H318" s="59">
        <v>4140</v>
      </c>
      <c r="I318" s="59" t="str">
        <f t="shared" si="36"/>
        <v/>
      </c>
      <c r="J318" s="59" t="str">
        <f t="shared" si="35"/>
        <v/>
      </c>
      <c r="K318" s="60" t="str">
        <f t="shared" si="40"/>
        <v/>
      </c>
      <c r="L318" s="59" t="str">
        <f t="shared" si="37"/>
        <v/>
      </c>
      <c r="M318" s="60" t="str">
        <f t="shared" si="41"/>
        <v/>
      </c>
      <c r="N318" s="61">
        <v>66068309</v>
      </c>
      <c r="O318" s="61">
        <f t="shared" si="42"/>
        <v>0</v>
      </c>
      <c r="P318" s="62"/>
      <c r="Q318" s="64"/>
      <c r="R318" s="20">
        <f t="shared" si="43"/>
        <v>1</v>
      </c>
      <c r="S318" s="20">
        <f t="shared" si="39"/>
        <v>0</v>
      </c>
    </row>
    <row r="319" spans="1:20" ht="15.75" thickBot="1" x14ac:dyDescent="0.3">
      <c r="A319" s="54">
        <v>44513</v>
      </c>
      <c r="D319" s="56"/>
      <c r="E319" s="57"/>
      <c r="F319" s="58"/>
      <c r="G319" s="59"/>
      <c r="H319" s="59">
        <v>4140</v>
      </c>
      <c r="I319" s="59" t="str">
        <f t="shared" si="36"/>
        <v/>
      </c>
      <c r="J319" s="59" t="str">
        <f t="shared" si="35"/>
        <v/>
      </c>
      <c r="K319" s="60" t="str">
        <f t="shared" si="40"/>
        <v/>
      </c>
      <c r="L319" s="59" t="str">
        <f t="shared" si="37"/>
        <v/>
      </c>
      <c r="M319" s="60" t="str">
        <f t="shared" si="41"/>
        <v/>
      </c>
      <c r="N319" s="61">
        <v>66068309</v>
      </c>
      <c r="O319" s="61">
        <f>IF(N319="","",N319-N318)</f>
        <v>0</v>
      </c>
      <c r="P319" s="62"/>
      <c r="Q319" s="64"/>
      <c r="R319" s="20">
        <f t="shared" si="43"/>
        <v>1</v>
      </c>
      <c r="S319" s="20">
        <f t="shared" si="39"/>
        <v>0</v>
      </c>
    </row>
    <row r="320" spans="1:20" ht="15.75" thickBot="1" x14ac:dyDescent="0.3">
      <c r="A320" s="54">
        <v>44514</v>
      </c>
      <c r="D320" s="56"/>
      <c r="E320" s="57"/>
      <c r="F320" s="58"/>
      <c r="G320" s="59"/>
      <c r="H320" s="59">
        <v>4140</v>
      </c>
      <c r="I320" s="59" t="str">
        <f t="shared" si="36"/>
        <v/>
      </c>
      <c r="J320" s="59" t="str">
        <f t="shared" si="35"/>
        <v/>
      </c>
      <c r="K320" s="60" t="str">
        <f t="shared" si="40"/>
        <v/>
      </c>
      <c r="L320" s="59" t="str">
        <f t="shared" si="37"/>
        <v/>
      </c>
      <c r="M320" s="60" t="str">
        <f t="shared" si="41"/>
        <v/>
      </c>
      <c r="N320" s="61">
        <v>66068309</v>
      </c>
      <c r="O320" s="61">
        <f t="shared" si="42"/>
        <v>0</v>
      </c>
      <c r="P320" s="62"/>
      <c r="Q320" s="63"/>
      <c r="R320" s="20">
        <f t="shared" si="43"/>
        <v>1</v>
      </c>
      <c r="S320" s="20">
        <f t="shared" si="39"/>
        <v>0</v>
      </c>
      <c r="T320" s="65"/>
    </row>
    <row r="321" spans="1:20" ht="15.75" thickBot="1" x14ac:dyDescent="0.3">
      <c r="A321" s="54">
        <v>44515</v>
      </c>
      <c r="D321" s="56"/>
      <c r="E321" s="57"/>
      <c r="F321" s="58"/>
      <c r="G321" s="59"/>
      <c r="H321" s="59">
        <v>4140</v>
      </c>
      <c r="I321" s="59" t="str">
        <f t="shared" si="36"/>
        <v/>
      </c>
      <c r="J321" s="59" t="str">
        <f t="shared" si="35"/>
        <v/>
      </c>
      <c r="K321" s="60" t="str">
        <f t="shared" si="40"/>
        <v/>
      </c>
      <c r="L321" s="59" t="str">
        <f t="shared" si="37"/>
        <v/>
      </c>
      <c r="M321" s="60" t="str">
        <f t="shared" si="41"/>
        <v/>
      </c>
      <c r="N321" s="61">
        <v>66068309</v>
      </c>
      <c r="O321" s="61">
        <f t="shared" si="42"/>
        <v>0</v>
      </c>
      <c r="P321" s="62"/>
      <c r="Q321" s="131"/>
      <c r="R321" s="20">
        <f t="shared" si="43"/>
        <v>1</v>
      </c>
      <c r="S321" s="20">
        <f t="shared" si="39"/>
        <v>0</v>
      </c>
      <c r="T321" s="65"/>
    </row>
    <row r="322" spans="1:20" ht="15.75" thickBot="1" x14ac:dyDescent="0.3">
      <c r="A322" s="54">
        <v>44516</v>
      </c>
      <c r="D322" s="56"/>
      <c r="E322" s="57"/>
      <c r="F322" s="58"/>
      <c r="G322" s="59"/>
      <c r="H322" s="59">
        <v>4140</v>
      </c>
      <c r="I322" s="59" t="str">
        <f t="shared" si="36"/>
        <v/>
      </c>
      <c r="J322" s="59" t="str">
        <f t="shared" si="35"/>
        <v/>
      </c>
      <c r="K322" s="60" t="str">
        <f t="shared" si="40"/>
        <v/>
      </c>
      <c r="L322" s="59" t="str">
        <f t="shared" si="37"/>
        <v/>
      </c>
      <c r="M322" s="60" t="str">
        <f t="shared" si="41"/>
        <v/>
      </c>
      <c r="N322" s="61">
        <v>66068309</v>
      </c>
      <c r="O322" s="61">
        <f t="shared" si="42"/>
        <v>0</v>
      </c>
      <c r="P322" s="62"/>
      <c r="Q322" s="63"/>
      <c r="R322" s="20">
        <f t="shared" si="43"/>
        <v>1</v>
      </c>
      <c r="S322" s="20">
        <f t="shared" si="39"/>
        <v>0</v>
      </c>
    </row>
    <row r="323" spans="1:20" ht="15.75" thickBot="1" x14ac:dyDescent="0.3">
      <c r="A323" s="54">
        <v>44517</v>
      </c>
      <c r="D323" s="56"/>
      <c r="E323" s="57"/>
      <c r="F323" s="58"/>
      <c r="G323" s="59"/>
      <c r="H323" s="59">
        <v>4140</v>
      </c>
      <c r="I323" s="59" t="str">
        <f t="shared" si="36"/>
        <v/>
      </c>
      <c r="J323" s="59" t="str">
        <f t="shared" si="35"/>
        <v/>
      </c>
      <c r="K323" s="60" t="str">
        <f t="shared" si="40"/>
        <v/>
      </c>
      <c r="L323" s="59" t="str">
        <f t="shared" si="37"/>
        <v/>
      </c>
      <c r="M323" s="60" t="str">
        <f t="shared" si="41"/>
        <v/>
      </c>
      <c r="N323" s="61">
        <v>66068309</v>
      </c>
      <c r="O323" s="61">
        <f t="shared" si="42"/>
        <v>0</v>
      </c>
      <c r="P323" s="62"/>
      <c r="Q323" s="104"/>
      <c r="R323" s="20">
        <f t="shared" si="43"/>
        <v>1</v>
      </c>
      <c r="S323" s="20">
        <f t="shared" si="39"/>
        <v>0</v>
      </c>
    </row>
    <row r="324" spans="1:20" ht="15.75" thickBot="1" x14ac:dyDescent="0.3">
      <c r="A324" s="54">
        <v>44518</v>
      </c>
      <c r="D324" s="56"/>
      <c r="E324" s="57"/>
      <c r="F324" s="58"/>
      <c r="G324" s="59"/>
      <c r="H324" s="59">
        <v>4140</v>
      </c>
      <c r="I324" s="59" t="str">
        <f t="shared" si="36"/>
        <v/>
      </c>
      <c r="J324" s="59" t="str">
        <f t="shared" si="36"/>
        <v/>
      </c>
      <c r="K324" s="60" t="str">
        <f t="shared" si="40"/>
        <v/>
      </c>
      <c r="L324" s="59" t="str">
        <f t="shared" si="37"/>
        <v/>
      </c>
      <c r="M324" s="60" t="str">
        <f t="shared" si="41"/>
        <v/>
      </c>
      <c r="N324" s="61">
        <v>66068309</v>
      </c>
      <c r="O324" s="61">
        <f t="shared" si="42"/>
        <v>0</v>
      </c>
      <c r="P324" s="62"/>
      <c r="Q324" s="104"/>
      <c r="R324" s="20">
        <f t="shared" si="43"/>
        <v>1</v>
      </c>
      <c r="S324" s="20">
        <f t="shared" si="39"/>
        <v>0</v>
      </c>
    </row>
    <row r="325" spans="1:20" ht="15.75" thickBot="1" x14ac:dyDescent="0.3">
      <c r="A325" s="54">
        <v>44519</v>
      </c>
      <c r="D325" s="56"/>
      <c r="E325" s="57"/>
      <c r="F325" s="58"/>
      <c r="G325" s="59"/>
      <c r="H325" s="59">
        <v>4140</v>
      </c>
      <c r="I325" s="59" t="str">
        <f t="shared" ref="I325:J368" si="44">IF(D325="","",+(D325-D324)*4140)</f>
        <v/>
      </c>
      <c r="J325" s="59" t="str">
        <f t="shared" si="44"/>
        <v/>
      </c>
      <c r="K325" s="60" t="str">
        <f t="shared" si="40"/>
        <v/>
      </c>
      <c r="L325" s="59" t="str">
        <f t="shared" ref="L325:L368" si="45">IF(F325="","",+(F325-F324)*4140)</f>
        <v/>
      </c>
      <c r="M325" s="60" t="str">
        <f t="shared" si="41"/>
        <v/>
      </c>
      <c r="N325" s="61">
        <v>66068309</v>
      </c>
      <c r="O325" s="61">
        <f t="shared" si="42"/>
        <v>0</v>
      </c>
      <c r="P325" s="202" t="s">
        <v>68</v>
      </c>
      <c r="Q325" s="203"/>
      <c r="R325" s="20">
        <f t="shared" si="43"/>
        <v>1</v>
      </c>
      <c r="S325" s="20">
        <f t="shared" si="39"/>
        <v>0</v>
      </c>
      <c r="T325" s="65"/>
    </row>
    <row r="326" spans="1:20" ht="15.75" thickBot="1" x14ac:dyDescent="0.3">
      <c r="A326" s="54">
        <v>44520</v>
      </c>
      <c r="D326" s="56"/>
      <c r="E326" s="57"/>
      <c r="F326" s="58"/>
      <c r="G326" s="59"/>
      <c r="H326" s="59">
        <v>4140</v>
      </c>
      <c r="I326" s="59" t="str">
        <f t="shared" si="44"/>
        <v/>
      </c>
      <c r="J326" s="59" t="str">
        <f t="shared" si="44"/>
        <v/>
      </c>
      <c r="K326" s="60" t="str">
        <f t="shared" si="40"/>
        <v/>
      </c>
      <c r="L326" s="59" t="str">
        <f t="shared" si="45"/>
        <v/>
      </c>
      <c r="M326" s="60" t="str">
        <f t="shared" si="41"/>
        <v/>
      </c>
      <c r="N326" s="61">
        <v>66068309</v>
      </c>
      <c r="O326" s="61">
        <f t="shared" si="42"/>
        <v>0</v>
      </c>
      <c r="P326" s="204"/>
      <c r="Q326" s="205"/>
      <c r="R326" s="20">
        <f t="shared" si="43"/>
        <v>1</v>
      </c>
      <c r="S326" s="20">
        <f t="shared" si="39"/>
        <v>0</v>
      </c>
      <c r="T326" s="65"/>
    </row>
    <row r="327" spans="1:20" ht="15.75" thickBot="1" x14ac:dyDescent="0.3">
      <c r="A327" s="54">
        <v>44521</v>
      </c>
      <c r="D327" s="56"/>
      <c r="E327" s="57"/>
      <c r="F327" s="58"/>
      <c r="G327" s="59"/>
      <c r="H327" s="59">
        <v>4140</v>
      </c>
      <c r="I327" s="59" t="str">
        <f t="shared" si="44"/>
        <v/>
      </c>
      <c r="J327" s="59" t="str">
        <f t="shared" si="44"/>
        <v/>
      </c>
      <c r="K327" s="60" t="str">
        <f t="shared" si="40"/>
        <v/>
      </c>
      <c r="L327" s="59" t="str">
        <f t="shared" si="45"/>
        <v/>
      </c>
      <c r="M327" s="60" t="str">
        <f t="shared" si="41"/>
        <v/>
      </c>
      <c r="N327" s="61">
        <v>66068309</v>
      </c>
      <c r="O327" s="61">
        <f t="shared" si="42"/>
        <v>0</v>
      </c>
      <c r="P327" s="69" t="s">
        <v>46</v>
      </c>
      <c r="Q327" s="69" t="s">
        <v>47</v>
      </c>
      <c r="R327" s="20">
        <f t="shared" si="43"/>
        <v>1</v>
      </c>
      <c r="S327" s="20">
        <f t="shared" si="39"/>
        <v>0</v>
      </c>
    </row>
    <row r="328" spans="1:20" ht="15.75" thickBot="1" x14ac:dyDescent="0.3">
      <c r="A328" s="54">
        <v>44522</v>
      </c>
      <c r="D328" s="56"/>
      <c r="E328" s="57"/>
      <c r="F328" s="58"/>
      <c r="G328" s="59"/>
      <c r="H328" s="59">
        <v>4140</v>
      </c>
      <c r="I328" s="59" t="str">
        <f t="shared" si="44"/>
        <v/>
      </c>
      <c r="J328" s="59" t="str">
        <f t="shared" si="44"/>
        <v/>
      </c>
      <c r="K328" s="60" t="str">
        <f t="shared" si="40"/>
        <v/>
      </c>
      <c r="L328" s="59" t="str">
        <f t="shared" si="45"/>
        <v/>
      </c>
      <c r="M328" s="60" t="str">
        <f t="shared" si="41"/>
        <v/>
      </c>
      <c r="N328" s="61">
        <v>66068309</v>
      </c>
      <c r="O328" s="61">
        <f>IF(N328="","",N328-N327)</f>
        <v>0</v>
      </c>
      <c r="P328" s="70">
        <f>IF(J308="",0,+SUM(J308:J337)/SUM(I308:I337))</f>
        <v>0</v>
      </c>
      <c r="Q328" s="70">
        <f>IF(L308="",0,+SUM(L308:L337)/SUM(I308:I337))</f>
        <v>0</v>
      </c>
      <c r="R328" s="20">
        <f t="shared" si="43"/>
        <v>1</v>
      </c>
      <c r="S328" s="20">
        <f t="shared" ref="S328:S368" si="46">IF(N328="",1,0)</f>
        <v>0</v>
      </c>
    </row>
    <row r="329" spans="1:20" ht="15.75" thickBot="1" x14ac:dyDescent="0.3">
      <c r="A329" s="54">
        <v>44523</v>
      </c>
      <c r="D329" s="56"/>
      <c r="E329" s="57"/>
      <c r="F329" s="58"/>
      <c r="G329" s="59"/>
      <c r="H329" s="59">
        <v>4140</v>
      </c>
      <c r="I329" s="59" t="str">
        <f t="shared" si="44"/>
        <v/>
      </c>
      <c r="J329" s="59" t="str">
        <f t="shared" si="44"/>
        <v/>
      </c>
      <c r="K329" s="60" t="str">
        <f t="shared" si="40"/>
        <v/>
      </c>
      <c r="L329" s="59" t="str">
        <f t="shared" si="45"/>
        <v/>
      </c>
      <c r="M329" s="60" t="str">
        <f t="shared" si="41"/>
        <v/>
      </c>
      <c r="N329" s="61">
        <v>66068309</v>
      </c>
      <c r="O329" s="61">
        <f t="shared" si="42"/>
        <v>0</v>
      </c>
      <c r="P329" s="71">
        <f>IF(J308="",0,+(+(LOOKUP(9.99999999999999E+307,E308:E337)-E307))/(+(LOOKUP(9.99999999999999E+307,D308:D337)-D307)))</f>
        <v>0</v>
      </c>
      <c r="Q329" s="71">
        <f>IF(L308="",0,+(+(LOOKUP(9.99999999999999E+307,F308:F337)-F307))/(+(LOOKUP(9.99999999999999E+307,D308:D337)-D307)))</f>
        <v>0</v>
      </c>
      <c r="R329" s="20">
        <f t="shared" si="43"/>
        <v>1</v>
      </c>
      <c r="S329" s="20">
        <f t="shared" si="46"/>
        <v>0</v>
      </c>
      <c r="T329" s="65"/>
    </row>
    <row r="330" spans="1:20" ht="15.75" thickBot="1" x14ac:dyDescent="0.3">
      <c r="A330" s="54">
        <v>44524</v>
      </c>
      <c r="D330" s="56"/>
      <c r="E330" s="57"/>
      <c r="F330" s="58"/>
      <c r="G330" s="59"/>
      <c r="H330" s="59">
        <v>4140</v>
      </c>
      <c r="I330" s="59" t="str">
        <f t="shared" si="44"/>
        <v/>
      </c>
      <c r="J330" s="59" t="str">
        <f t="shared" si="44"/>
        <v/>
      </c>
      <c r="K330" s="60" t="str">
        <f t="shared" si="40"/>
        <v/>
      </c>
      <c r="L330" s="59" t="str">
        <f t="shared" si="45"/>
        <v/>
      </c>
      <c r="M330" s="60" t="str">
        <f t="shared" si="41"/>
        <v/>
      </c>
      <c r="N330" s="61">
        <v>66068309</v>
      </c>
      <c r="O330" s="61">
        <f t="shared" si="42"/>
        <v>0</v>
      </c>
      <c r="P330" s="72" t="s">
        <v>48</v>
      </c>
      <c r="Q330" s="73" t="s">
        <v>49</v>
      </c>
      <c r="R330" s="20">
        <f t="shared" si="43"/>
        <v>1</v>
      </c>
      <c r="S330" s="20">
        <f t="shared" si="46"/>
        <v>0</v>
      </c>
      <c r="T330" s="65"/>
    </row>
    <row r="331" spans="1:20" ht="15.75" thickBot="1" x14ac:dyDescent="0.3">
      <c r="A331" s="54">
        <v>44525</v>
      </c>
      <c r="D331" s="56"/>
      <c r="E331" s="57"/>
      <c r="F331" s="58"/>
      <c r="G331" s="59"/>
      <c r="H331" s="59">
        <v>4140</v>
      </c>
      <c r="I331" s="59" t="str">
        <f t="shared" si="44"/>
        <v/>
      </c>
      <c r="J331" s="59" t="str">
        <f t="shared" si="44"/>
        <v/>
      </c>
      <c r="K331" s="60" t="str">
        <f t="shared" si="40"/>
        <v/>
      </c>
      <c r="L331" s="59" t="str">
        <f t="shared" si="45"/>
        <v/>
      </c>
      <c r="M331" s="60" t="str">
        <f t="shared" si="41"/>
        <v/>
      </c>
      <c r="N331" s="61">
        <v>66068309</v>
      </c>
      <c r="O331" s="61">
        <f t="shared" si="42"/>
        <v>0</v>
      </c>
      <c r="P331" s="74">
        <f>IF(N307="",0,+(LOOKUP(9.99999999999999E+307,N307:N337)-N307))</f>
        <v>0</v>
      </c>
      <c r="Q331" s="75">
        <f>IF(P331="",0,+P331/SUM(R308:R337))</f>
        <v>0</v>
      </c>
      <c r="R331" s="20">
        <f t="shared" si="43"/>
        <v>1</v>
      </c>
      <c r="S331" s="20">
        <f t="shared" si="46"/>
        <v>0</v>
      </c>
      <c r="T331" s="65"/>
    </row>
    <row r="332" spans="1:20" ht="15.75" thickBot="1" x14ac:dyDescent="0.3">
      <c r="A332" s="54">
        <v>44526</v>
      </c>
      <c r="D332" s="56"/>
      <c r="E332" s="57"/>
      <c r="F332" s="58"/>
      <c r="G332" s="59"/>
      <c r="H332" s="59">
        <v>4140</v>
      </c>
      <c r="I332" s="59" t="str">
        <f t="shared" si="44"/>
        <v/>
      </c>
      <c r="J332" s="59" t="str">
        <f t="shared" si="44"/>
        <v/>
      </c>
      <c r="K332" s="60" t="str">
        <f t="shared" si="40"/>
        <v/>
      </c>
      <c r="L332" s="59" t="str">
        <f t="shared" si="45"/>
        <v/>
      </c>
      <c r="M332" s="60" t="str">
        <f t="shared" si="41"/>
        <v/>
      </c>
      <c r="N332" s="61">
        <v>66068309</v>
      </c>
      <c r="O332" s="61">
        <f t="shared" si="42"/>
        <v>0</v>
      </c>
      <c r="P332" s="76" t="s">
        <v>50</v>
      </c>
      <c r="Q332" s="77" t="s">
        <v>58</v>
      </c>
      <c r="R332" s="20">
        <f t="shared" si="43"/>
        <v>1</v>
      </c>
      <c r="S332" s="20">
        <f t="shared" si="46"/>
        <v>0</v>
      </c>
      <c r="T332" s="65"/>
    </row>
    <row r="333" spans="1:20" ht="15.75" thickBot="1" x14ac:dyDescent="0.3">
      <c r="A333" s="54">
        <v>44527</v>
      </c>
      <c r="D333" s="56"/>
      <c r="E333" s="57"/>
      <c r="F333" s="58"/>
      <c r="G333" s="59"/>
      <c r="H333" s="59">
        <v>4140</v>
      </c>
      <c r="I333" s="59" t="str">
        <f t="shared" si="44"/>
        <v/>
      </c>
      <c r="J333" s="59" t="str">
        <f t="shared" si="44"/>
        <v/>
      </c>
      <c r="K333" s="60" t="str">
        <f t="shared" ref="K333:K337" si="47">IF(J333="","",+(J333/I333))</f>
        <v/>
      </c>
      <c r="L333" s="59" t="str">
        <f t="shared" si="45"/>
        <v/>
      </c>
      <c r="M333" s="60" t="str">
        <f t="shared" ref="M333:M362" si="48">IF(L333="","",(L333/I333))</f>
        <v/>
      </c>
      <c r="N333" s="61">
        <v>66068309</v>
      </c>
      <c r="O333" s="61">
        <f t="shared" si="42"/>
        <v>0</v>
      </c>
      <c r="P333" s="78">
        <f>IF(D307="",0,+(LOOKUP(9.99999999999999E+307,D307:D337)-D307))*4140</f>
        <v>0</v>
      </c>
      <c r="Q333" s="79">
        <f>IF(P333="",0,+P333/SUM(R308:R337))</f>
        <v>0</v>
      </c>
      <c r="R333" s="20">
        <f t="shared" si="43"/>
        <v>1</v>
      </c>
      <c r="S333" s="20">
        <f t="shared" si="46"/>
        <v>0</v>
      </c>
    </row>
    <row r="334" spans="1:20" ht="15.75" thickBot="1" x14ac:dyDescent="0.3">
      <c r="A334" s="54">
        <v>44528</v>
      </c>
      <c r="D334" s="56"/>
      <c r="E334" s="57"/>
      <c r="F334" s="58"/>
      <c r="G334" s="59"/>
      <c r="H334" s="59">
        <v>4140</v>
      </c>
      <c r="I334" s="59" t="str">
        <f t="shared" si="44"/>
        <v/>
      </c>
      <c r="J334" s="59" t="str">
        <f t="shared" si="44"/>
        <v/>
      </c>
      <c r="K334" s="60" t="str">
        <f t="shared" si="47"/>
        <v/>
      </c>
      <c r="L334" s="59" t="str">
        <f t="shared" si="45"/>
        <v/>
      </c>
      <c r="M334" s="60" t="str">
        <f t="shared" si="48"/>
        <v/>
      </c>
      <c r="N334" s="61">
        <v>66068309</v>
      </c>
      <c r="O334" s="61">
        <f t="shared" si="42"/>
        <v>0</v>
      </c>
      <c r="P334" s="80" t="s">
        <v>52</v>
      </c>
      <c r="Q334" s="81" t="s">
        <v>59</v>
      </c>
      <c r="R334" s="20">
        <f t="shared" si="43"/>
        <v>1</v>
      </c>
      <c r="S334" s="20">
        <f t="shared" si="46"/>
        <v>0</v>
      </c>
    </row>
    <row r="335" spans="1:20" ht="15.75" thickBot="1" x14ac:dyDescent="0.3">
      <c r="A335" s="54">
        <v>44529</v>
      </c>
      <c r="D335" s="56"/>
      <c r="E335" s="57"/>
      <c r="F335" s="58"/>
      <c r="G335" s="59"/>
      <c r="H335" s="59">
        <v>4140</v>
      </c>
      <c r="I335" s="59" t="str">
        <f t="shared" si="44"/>
        <v/>
      </c>
      <c r="J335" s="59" t="str">
        <f t="shared" si="44"/>
        <v/>
      </c>
      <c r="K335" s="60" t="str">
        <f t="shared" si="47"/>
        <v/>
      </c>
      <c r="L335" s="59" t="str">
        <f t="shared" si="45"/>
        <v/>
      </c>
      <c r="M335" s="60" t="str">
        <f t="shared" si="48"/>
        <v/>
      </c>
      <c r="N335" s="61">
        <v>66068309</v>
      </c>
      <c r="O335" s="61">
        <f t="shared" si="42"/>
        <v>0</v>
      </c>
      <c r="P335" s="132">
        <f>P333*Q338</f>
        <v>0</v>
      </c>
      <c r="Q335" s="133" t="e">
        <f>IF(Q34="",0,(SUM('[1]Günlük Tüketim'!H308:H337)*1.62)/SUM(O308:O337))</f>
        <v>#DIV/0!</v>
      </c>
      <c r="R335" s="20">
        <f t="shared" si="43"/>
        <v>1</v>
      </c>
      <c r="S335" s="20">
        <f t="shared" si="46"/>
        <v>0</v>
      </c>
    </row>
    <row r="336" spans="1:20" ht="15.75" thickBot="1" x14ac:dyDescent="0.3">
      <c r="A336" s="54">
        <v>44530</v>
      </c>
      <c r="D336" s="56"/>
      <c r="E336" s="57"/>
      <c r="F336" s="58"/>
      <c r="G336" s="59"/>
      <c r="H336" s="59">
        <v>4140</v>
      </c>
      <c r="I336" s="59" t="str">
        <f t="shared" si="44"/>
        <v/>
      </c>
      <c r="J336" s="59" t="str">
        <f t="shared" si="44"/>
        <v/>
      </c>
      <c r="K336" s="60" t="str">
        <f t="shared" si="47"/>
        <v/>
      </c>
      <c r="L336" s="59" t="str">
        <f t="shared" si="45"/>
        <v/>
      </c>
      <c r="M336" s="60" t="str">
        <f t="shared" si="48"/>
        <v/>
      </c>
      <c r="N336" s="61">
        <v>66068309</v>
      </c>
      <c r="O336" s="61">
        <f t="shared" si="42"/>
        <v>0</v>
      </c>
      <c r="P336" s="134" t="s">
        <v>54</v>
      </c>
      <c r="Q336" s="134" t="s">
        <v>55</v>
      </c>
      <c r="R336" s="20">
        <f t="shared" si="43"/>
        <v>1</v>
      </c>
      <c r="S336" s="20">
        <f t="shared" si="46"/>
        <v>0</v>
      </c>
    </row>
    <row r="337" spans="1:20" ht="15.75" thickBot="1" x14ac:dyDescent="0.3">
      <c r="A337" s="54">
        <v>44531</v>
      </c>
      <c r="D337" s="89"/>
      <c r="E337" s="89"/>
      <c r="F337" s="89"/>
      <c r="G337" s="90"/>
      <c r="H337" s="59">
        <v>4140</v>
      </c>
      <c r="I337" s="90" t="str">
        <f t="shared" si="44"/>
        <v/>
      </c>
      <c r="J337" s="90" t="str">
        <f t="shared" si="44"/>
        <v/>
      </c>
      <c r="K337" s="60" t="str">
        <f t="shared" si="47"/>
        <v/>
      </c>
      <c r="L337" s="90" t="str">
        <f t="shared" si="45"/>
        <v/>
      </c>
      <c r="M337" s="60" t="str">
        <f t="shared" si="48"/>
        <v/>
      </c>
      <c r="N337" s="92">
        <v>66068309</v>
      </c>
      <c r="O337" s="135">
        <f t="shared" si="42"/>
        <v>0</v>
      </c>
      <c r="P337" s="136">
        <f>(P335+Q333*SUM(S308:S337)*Q338)</f>
        <v>0</v>
      </c>
      <c r="Q337" s="137">
        <f>Q333*30</f>
        <v>0</v>
      </c>
      <c r="R337" s="20">
        <f t="shared" si="43"/>
        <v>1</v>
      </c>
      <c r="S337" s="20">
        <f t="shared" si="46"/>
        <v>0</v>
      </c>
    </row>
    <row r="338" spans="1:20" ht="15.75" thickBot="1" x14ac:dyDescent="0.3">
      <c r="A338" s="54">
        <v>44532</v>
      </c>
      <c r="D338" s="56"/>
      <c r="E338" s="57"/>
      <c r="F338" s="58"/>
      <c r="G338" s="59"/>
      <c r="H338" s="59">
        <v>4140</v>
      </c>
      <c r="I338" s="59" t="str">
        <f t="shared" si="44"/>
        <v/>
      </c>
      <c r="J338" s="59" t="str">
        <f t="shared" si="44"/>
        <v/>
      </c>
      <c r="K338" s="60" t="str">
        <f t="shared" ref="K338:K368" si="49">IF(J338="","",+(J338/I338))</f>
        <v/>
      </c>
      <c r="L338" s="59" t="str">
        <f t="shared" si="45"/>
        <v/>
      </c>
      <c r="M338" s="60" t="str">
        <f t="shared" si="48"/>
        <v/>
      </c>
      <c r="N338" s="61">
        <v>66068309</v>
      </c>
      <c r="O338" s="61">
        <f t="shared" si="42"/>
        <v>0</v>
      </c>
      <c r="P338" s="138" t="s">
        <v>56</v>
      </c>
      <c r="Q338" s="139">
        <v>0.56999999999999995</v>
      </c>
      <c r="R338" s="20">
        <f t="shared" si="43"/>
        <v>1</v>
      </c>
      <c r="S338" s="20">
        <f t="shared" si="46"/>
        <v>0</v>
      </c>
    </row>
    <row r="339" spans="1:20" ht="15.75" thickBot="1" x14ac:dyDescent="0.3">
      <c r="A339" s="54">
        <v>44533</v>
      </c>
      <c r="D339" s="56"/>
      <c r="E339" s="57"/>
      <c r="F339" s="58"/>
      <c r="G339" s="59"/>
      <c r="H339" s="59">
        <v>4140</v>
      </c>
      <c r="I339" s="59" t="str">
        <f t="shared" si="44"/>
        <v/>
      </c>
      <c r="J339" s="59" t="str">
        <f t="shared" si="44"/>
        <v/>
      </c>
      <c r="K339" s="60" t="str">
        <f t="shared" si="49"/>
        <v/>
      </c>
      <c r="L339" s="59" t="str">
        <f t="shared" si="45"/>
        <v/>
      </c>
      <c r="M339" s="60" t="str">
        <f t="shared" si="48"/>
        <v/>
      </c>
      <c r="N339" s="61">
        <v>66068309</v>
      </c>
      <c r="O339" s="61">
        <f t="shared" si="42"/>
        <v>0</v>
      </c>
      <c r="P339" s="130"/>
      <c r="Q339" s="130"/>
      <c r="R339" s="20">
        <f t="shared" si="43"/>
        <v>1</v>
      </c>
      <c r="S339" s="20">
        <f t="shared" si="46"/>
        <v>0</v>
      </c>
    </row>
    <row r="340" spans="1:20" ht="15.75" thickBot="1" x14ac:dyDescent="0.3">
      <c r="A340" s="54">
        <v>44534</v>
      </c>
      <c r="D340" s="56"/>
      <c r="E340" s="57"/>
      <c r="F340" s="58"/>
      <c r="G340" s="59"/>
      <c r="H340" s="59">
        <v>4140</v>
      </c>
      <c r="I340" s="59" t="str">
        <f t="shared" si="44"/>
        <v/>
      </c>
      <c r="J340" s="59" t="str">
        <f t="shared" si="44"/>
        <v/>
      </c>
      <c r="K340" s="60" t="str">
        <f t="shared" si="49"/>
        <v/>
      </c>
      <c r="L340" s="59" t="str">
        <f t="shared" si="45"/>
        <v/>
      </c>
      <c r="M340" s="60" t="str">
        <f t="shared" si="48"/>
        <v/>
      </c>
      <c r="N340" s="61">
        <v>66068309</v>
      </c>
      <c r="O340" s="61">
        <f t="shared" si="42"/>
        <v>0</v>
      </c>
      <c r="P340" s="100"/>
      <c r="Q340" s="101"/>
      <c r="R340" s="20">
        <f t="shared" si="43"/>
        <v>1</v>
      </c>
      <c r="S340" s="20">
        <f t="shared" si="46"/>
        <v>0</v>
      </c>
      <c r="T340" s="65"/>
    </row>
    <row r="341" spans="1:20" ht="15.75" thickBot="1" x14ac:dyDescent="0.3">
      <c r="A341" s="54">
        <v>44535</v>
      </c>
      <c r="D341" s="56"/>
      <c r="E341" s="57"/>
      <c r="F341" s="58"/>
      <c r="G341" s="59"/>
      <c r="H341" s="59">
        <v>4140</v>
      </c>
      <c r="I341" s="59" t="str">
        <f t="shared" si="44"/>
        <v/>
      </c>
      <c r="J341" s="59" t="str">
        <f t="shared" si="44"/>
        <v/>
      </c>
      <c r="K341" s="60" t="str">
        <f t="shared" si="49"/>
        <v/>
      </c>
      <c r="L341" s="59" t="str">
        <f t="shared" si="45"/>
        <v/>
      </c>
      <c r="M341" s="60" t="str">
        <f t="shared" si="48"/>
        <v/>
      </c>
      <c r="N341" s="61">
        <v>66068309</v>
      </c>
      <c r="O341" s="61">
        <f t="shared" si="42"/>
        <v>0</v>
      </c>
      <c r="P341" s="102"/>
      <c r="Q341" s="103"/>
      <c r="R341" s="20">
        <f t="shared" si="43"/>
        <v>1</v>
      </c>
      <c r="S341" s="20">
        <f t="shared" si="46"/>
        <v>0</v>
      </c>
      <c r="T341" s="65"/>
    </row>
    <row r="342" spans="1:20" ht="15.75" thickBot="1" x14ac:dyDescent="0.3">
      <c r="A342" s="54">
        <v>44536</v>
      </c>
      <c r="D342" s="56"/>
      <c r="E342" s="57"/>
      <c r="F342" s="58"/>
      <c r="G342" s="59"/>
      <c r="H342" s="59">
        <v>4140</v>
      </c>
      <c r="I342" s="59" t="str">
        <f t="shared" si="44"/>
        <v/>
      </c>
      <c r="J342" s="59" t="str">
        <f t="shared" si="44"/>
        <v/>
      </c>
      <c r="K342" s="60" t="str">
        <f t="shared" si="49"/>
        <v/>
      </c>
      <c r="L342" s="59" t="str">
        <f t="shared" si="45"/>
        <v/>
      </c>
      <c r="M342" s="60" t="str">
        <f t="shared" si="48"/>
        <v/>
      </c>
      <c r="N342" s="61">
        <v>66068309</v>
      </c>
      <c r="O342" s="61">
        <f t="shared" si="42"/>
        <v>0</v>
      </c>
      <c r="P342" s="102"/>
      <c r="Q342" s="101"/>
      <c r="R342" s="20">
        <f t="shared" si="43"/>
        <v>1</v>
      </c>
      <c r="S342" s="20">
        <f t="shared" si="46"/>
        <v>0</v>
      </c>
    </row>
    <row r="343" spans="1:20" ht="15.75" thickBot="1" x14ac:dyDescent="0.3">
      <c r="A343" s="54">
        <v>44537</v>
      </c>
      <c r="D343" s="56"/>
      <c r="E343" s="57"/>
      <c r="F343" s="58"/>
      <c r="G343" s="59"/>
      <c r="H343" s="59">
        <v>4140</v>
      </c>
      <c r="I343" s="59" t="str">
        <f t="shared" si="44"/>
        <v/>
      </c>
      <c r="J343" s="59" t="str">
        <f t="shared" si="44"/>
        <v/>
      </c>
      <c r="K343" s="60" t="str">
        <f t="shared" si="49"/>
        <v/>
      </c>
      <c r="L343" s="59" t="str">
        <f t="shared" si="45"/>
        <v/>
      </c>
      <c r="M343" s="60" t="str">
        <f t="shared" si="48"/>
        <v/>
      </c>
      <c r="N343" s="61">
        <v>66068309</v>
      </c>
      <c r="O343" s="61">
        <f t="shared" si="42"/>
        <v>0</v>
      </c>
      <c r="P343" s="62"/>
      <c r="Q343" s="63"/>
      <c r="R343" s="20">
        <f t="shared" si="43"/>
        <v>1</v>
      </c>
      <c r="S343" s="20">
        <f t="shared" si="46"/>
        <v>0</v>
      </c>
    </row>
    <row r="344" spans="1:20" ht="15.75" thickBot="1" x14ac:dyDescent="0.3">
      <c r="A344" s="54">
        <v>44538</v>
      </c>
      <c r="D344" s="56"/>
      <c r="E344" s="57"/>
      <c r="F344" s="58"/>
      <c r="G344" s="59"/>
      <c r="H344" s="59">
        <v>4140</v>
      </c>
      <c r="I344" s="59" t="str">
        <f t="shared" si="44"/>
        <v/>
      </c>
      <c r="J344" s="59" t="str">
        <f t="shared" si="44"/>
        <v/>
      </c>
      <c r="K344" s="60" t="str">
        <f t="shared" si="49"/>
        <v/>
      </c>
      <c r="L344" s="59" t="str">
        <f t="shared" si="45"/>
        <v/>
      </c>
      <c r="M344" s="60" t="str">
        <f t="shared" si="48"/>
        <v/>
      </c>
      <c r="N344" s="61">
        <v>66068309</v>
      </c>
      <c r="O344" s="61">
        <f>IF(N344="","",N344-N343)</f>
        <v>0</v>
      </c>
      <c r="P344" s="62"/>
      <c r="Q344" s="64"/>
      <c r="R344" s="20">
        <f t="shared" si="43"/>
        <v>1</v>
      </c>
      <c r="S344" s="20">
        <f t="shared" si="46"/>
        <v>0</v>
      </c>
    </row>
    <row r="345" spans="1:20" ht="15.75" thickBot="1" x14ac:dyDescent="0.3">
      <c r="A345" s="54">
        <v>44539</v>
      </c>
      <c r="D345" s="56"/>
      <c r="E345" s="57"/>
      <c r="F345" s="58"/>
      <c r="G345" s="59"/>
      <c r="H345" s="59">
        <v>4140</v>
      </c>
      <c r="I345" s="59" t="str">
        <f t="shared" si="44"/>
        <v/>
      </c>
      <c r="J345" s="59" t="str">
        <f t="shared" si="44"/>
        <v/>
      </c>
      <c r="K345" s="60" t="str">
        <f t="shared" si="49"/>
        <v/>
      </c>
      <c r="L345" s="59" t="str">
        <f t="shared" si="45"/>
        <v/>
      </c>
      <c r="M345" s="60" t="str">
        <f t="shared" si="48"/>
        <v/>
      </c>
      <c r="N345" s="61">
        <v>66068309</v>
      </c>
      <c r="O345" s="61">
        <f t="shared" si="42"/>
        <v>0</v>
      </c>
      <c r="P345" s="62"/>
      <c r="Q345" s="64"/>
      <c r="R345" s="20">
        <f t="shared" si="43"/>
        <v>1</v>
      </c>
      <c r="S345" s="20">
        <f t="shared" si="46"/>
        <v>0</v>
      </c>
      <c r="T345" s="65"/>
    </row>
    <row r="346" spans="1:20" ht="15.75" thickBot="1" x14ac:dyDescent="0.3">
      <c r="A346" s="54">
        <v>44540</v>
      </c>
      <c r="D346" s="56"/>
      <c r="E346" s="57"/>
      <c r="F346" s="58"/>
      <c r="G346" s="59"/>
      <c r="H346" s="59">
        <v>4140</v>
      </c>
      <c r="I346" s="59" t="str">
        <f t="shared" si="44"/>
        <v/>
      </c>
      <c r="J346" s="59" t="str">
        <f t="shared" si="44"/>
        <v/>
      </c>
      <c r="K346" s="60" t="str">
        <f t="shared" si="49"/>
        <v/>
      </c>
      <c r="L346" s="59" t="str">
        <f t="shared" si="45"/>
        <v/>
      </c>
      <c r="M346" s="60" t="str">
        <f t="shared" si="48"/>
        <v/>
      </c>
      <c r="N346" s="61">
        <v>66068309</v>
      </c>
      <c r="O346" s="61">
        <f t="shared" si="42"/>
        <v>0</v>
      </c>
      <c r="P346" s="62"/>
      <c r="Q346" s="64"/>
      <c r="R346" s="20">
        <f t="shared" si="43"/>
        <v>1</v>
      </c>
      <c r="S346" s="20">
        <f t="shared" si="46"/>
        <v>0</v>
      </c>
      <c r="T346" s="65"/>
    </row>
    <row r="347" spans="1:20" ht="15.75" thickBot="1" x14ac:dyDescent="0.3">
      <c r="A347" s="54">
        <v>44541</v>
      </c>
      <c r="D347" s="56"/>
      <c r="E347" s="57"/>
      <c r="F347" s="58"/>
      <c r="G347" s="59"/>
      <c r="H347" s="59">
        <v>4140</v>
      </c>
      <c r="I347" s="59" t="str">
        <f t="shared" si="44"/>
        <v/>
      </c>
      <c r="J347" s="59" t="str">
        <f t="shared" si="44"/>
        <v/>
      </c>
      <c r="K347" s="60" t="str">
        <f t="shared" si="49"/>
        <v/>
      </c>
      <c r="L347" s="59" t="str">
        <f t="shared" si="45"/>
        <v/>
      </c>
      <c r="M347" s="60" t="str">
        <f t="shared" si="48"/>
        <v/>
      </c>
      <c r="N347" s="61">
        <v>66068309</v>
      </c>
      <c r="O347" s="61">
        <f t="shared" si="42"/>
        <v>0</v>
      </c>
      <c r="P347" s="62"/>
      <c r="Q347" s="63"/>
      <c r="R347" s="20">
        <f t="shared" si="43"/>
        <v>1</v>
      </c>
      <c r="S347" s="20">
        <f t="shared" si="46"/>
        <v>0</v>
      </c>
    </row>
    <row r="348" spans="1:20" ht="15.75" thickBot="1" x14ac:dyDescent="0.3">
      <c r="A348" s="54">
        <v>44542</v>
      </c>
      <c r="D348" s="56"/>
      <c r="E348" s="57"/>
      <c r="F348" s="58"/>
      <c r="G348" s="59"/>
      <c r="H348" s="59">
        <v>4140</v>
      </c>
      <c r="I348" s="59" t="str">
        <f t="shared" si="44"/>
        <v/>
      </c>
      <c r="J348" s="59" t="str">
        <f t="shared" si="44"/>
        <v/>
      </c>
      <c r="K348" s="60" t="str">
        <f t="shared" si="49"/>
        <v/>
      </c>
      <c r="L348" s="59" t="str">
        <f t="shared" si="45"/>
        <v/>
      </c>
      <c r="M348" s="60" t="str">
        <f t="shared" si="48"/>
        <v/>
      </c>
      <c r="N348" s="61">
        <v>66068309</v>
      </c>
      <c r="O348" s="61">
        <f t="shared" si="42"/>
        <v>0</v>
      </c>
      <c r="P348" s="62"/>
      <c r="Q348" s="63"/>
      <c r="R348" s="20">
        <f t="shared" si="43"/>
        <v>1</v>
      </c>
      <c r="S348" s="20">
        <f t="shared" si="46"/>
        <v>0</v>
      </c>
    </row>
    <row r="349" spans="1:20" ht="15.75" thickBot="1" x14ac:dyDescent="0.3">
      <c r="A349" s="54">
        <v>44543</v>
      </c>
      <c r="D349" s="56"/>
      <c r="E349" s="57"/>
      <c r="F349" s="58"/>
      <c r="G349" s="59"/>
      <c r="H349" s="59">
        <v>4140</v>
      </c>
      <c r="I349" s="59" t="str">
        <f t="shared" si="44"/>
        <v/>
      </c>
      <c r="J349" s="59" t="str">
        <f t="shared" si="44"/>
        <v/>
      </c>
      <c r="K349" s="60" t="str">
        <f t="shared" si="49"/>
        <v/>
      </c>
      <c r="L349" s="59" t="str">
        <f t="shared" si="45"/>
        <v/>
      </c>
      <c r="M349" s="60" t="str">
        <f t="shared" si="48"/>
        <v/>
      </c>
      <c r="N349" s="61">
        <v>66068309</v>
      </c>
      <c r="O349" s="61">
        <f t="shared" si="42"/>
        <v>0</v>
      </c>
      <c r="P349" s="62"/>
      <c r="Q349" s="64"/>
      <c r="R349" s="20">
        <f t="shared" si="43"/>
        <v>1</v>
      </c>
      <c r="S349" s="20">
        <f t="shared" si="46"/>
        <v>0</v>
      </c>
    </row>
    <row r="350" spans="1:20" ht="15.75" thickBot="1" x14ac:dyDescent="0.3">
      <c r="A350" s="54">
        <v>44544</v>
      </c>
      <c r="D350" s="56"/>
      <c r="E350" s="57"/>
      <c r="F350" s="58"/>
      <c r="G350" s="59"/>
      <c r="H350" s="59">
        <v>4140</v>
      </c>
      <c r="I350" s="59" t="str">
        <f t="shared" si="44"/>
        <v/>
      </c>
      <c r="J350" s="59" t="str">
        <f t="shared" si="44"/>
        <v/>
      </c>
      <c r="K350" s="60" t="str">
        <f t="shared" si="49"/>
        <v/>
      </c>
      <c r="L350" s="59" t="str">
        <f t="shared" si="45"/>
        <v/>
      </c>
      <c r="M350" s="60" t="str">
        <f t="shared" si="48"/>
        <v/>
      </c>
      <c r="N350" s="61">
        <v>66068309</v>
      </c>
      <c r="O350" s="61">
        <f t="shared" si="42"/>
        <v>0</v>
      </c>
      <c r="P350" s="62"/>
      <c r="Q350" s="64"/>
      <c r="R350" s="20">
        <f t="shared" si="43"/>
        <v>1</v>
      </c>
      <c r="S350" s="20">
        <f t="shared" si="46"/>
        <v>0</v>
      </c>
      <c r="T350" s="65"/>
    </row>
    <row r="351" spans="1:20" ht="15.75" thickBot="1" x14ac:dyDescent="0.3">
      <c r="A351" s="54">
        <v>44545</v>
      </c>
      <c r="D351" s="56"/>
      <c r="E351" s="57"/>
      <c r="F351" s="58"/>
      <c r="G351" s="59"/>
      <c r="H351" s="59">
        <v>4140</v>
      </c>
      <c r="I351" s="59" t="str">
        <f t="shared" si="44"/>
        <v/>
      </c>
      <c r="J351" s="59" t="str">
        <f t="shared" si="44"/>
        <v/>
      </c>
      <c r="K351" s="60" t="str">
        <f t="shared" si="49"/>
        <v/>
      </c>
      <c r="L351" s="59" t="str">
        <f t="shared" si="45"/>
        <v/>
      </c>
      <c r="M351" s="60" t="str">
        <f t="shared" si="48"/>
        <v/>
      </c>
      <c r="N351" s="61">
        <v>66068309</v>
      </c>
      <c r="O351" s="61">
        <f t="shared" si="42"/>
        <v>0</v>
      </c>
      <c r="P351" s="62"/>
      <c r="Q351" s="63"/>
      <c r="R351" s="20">
        <f t="shared" si="43"/>
        <v>1</v>
      </c>
      <c r="S351" s="20">
        <f t="shared" si="46"/>
        <v>0</v>
      </c>
      <c r="T351" s="65"/>
    </row>
    <row r="352" spans="1:20" ht="15.75" thickBot="1" x14ac:dyDescent="0.3">
      <c r="A352" s="54">
        <v>44546</v>
      </c>
      <c r="D352" s="56"/>
      <c r="E352" s="57"/>
      <c r="F352" s="58"/>
      <c r="G352" s="59"/>
      <c r="H352" s="59">
        <v>4140</v>
      </c>
      <c r="I352" s="59" t="str">
        <f t="shared" si="44"/>
        <v/>
      </c>
      <c r="J352" s="59" t="str">
        <f t="shared" si="44"/>
        <v/>
      </c>
      <c r="K352" s="60" t="str">
        <f t="shared" si="49"/>
        <v/>
      </c>
      <c r="L352" s="59" t="str">
        <f t="shared" si="45"/>
        <v/>
      </c>
      <c r="M352" s="60" t="str">
        <f t="shared" si="48"/>
        <v/>
      </c>
      <c r="N352" s="61">
        <v>66068309</v>
      </c>
      <c r="O352" s="61">
        <f t="shared" si="42"/>
        <v>0</v>
      </c>
      <c r="P352" s="62"/>
      <c r="Q352" s="63"/>
      <c r="R352" s="20">
        <f t="shared" si="43"/>
        <v>1</v>
      </c>
      <c r="S352" s="20">
        <f t="shared" si="46"/>
        <v>0</v>
      </c>
    </row>
    <row r="353" spans="1:20" ht="15.75" thickBot="1" x14ac:dyDescent="0.3">
      <c r="A353" s="54">
        <v>44547</v>
      </c>
      <c r="D353" s="56"/>
      <c r="E353" s="57"/>
      <c r="F353" s="58"/>
      <c r="G353" s="59"/>
      <c r="H353" s="59">
        <v>4140</v>
      </c>
      <c r="I353" s="59" t="str">
        <f t="shared" si="44"/>
        <v/>
      </c>
      <c r="J353" s="59" t="str">
        <f t="shared" si="44"/>
        <v/>
      </c>
      <c r="K353" s="60" t="str">
        <f t="shared" si="49"/>
        <v/>
      </c>
      <c r="L353" s="59" t="str">
        <f t="shared" si="45"/>
        <v/>
      </c>
      <c r="M353" s="60" t="str">
        <f t="shared" si="48"/>
        <v/>
      </c>
      <c r="N353" s="61">
        <v>66068309</v>
      </c>
      <c r="O353" s="61">
        <f t="shared" si="42"/>
        <v>0</v>
      </c>
      <c r="P353" s="62"/>
      <c r="Q353" s="63"/>
      <c r="R353" s="20">
        <f t="shared" si="43"/>
        <v>1</v>
      </c>
      <c r="S353" s="20">
        <f t="shared" si="46"/>
        <v>0</v>
      </c>
    </row>
    <row r="354" spans="1:20" ht="15.75" thickBot="1" x14ac:dyDescent="0.3">
      <c r="A354" s="54">
        <v>44548</v>
      </c>
      <c r="D354" s="56"/>
      <c r="E354" s="57"/>
      <c r="F354" s="58"/>
      <c r="G354" s="59"/>
      <c r="H354" s="59">
        <v>4140</v>
      </c>
      <c r="I354" s="59" t="str">
        <f t="shared" si="44"/>
        <v/>
      </c>
      <c r="J354" s="59" t="str">
        <f t="shared" si="44"/>
        <v/>
      </c>
      <c r="K354" s="60" t="str">
        <f t="shared" si="49"/>
        <v/>
      </c>
      <c r="L354" s="59" t="str">
        <f t="shared" si="45"/>
        <v/>
      </c>
      <c r="M354" s="60" t="str">
        <f t="shared" si="48"/>
        <v/>
      </c>
      <c r="N354" s="61">
        <v>66068309</v>
      </c>
      <c r="O354" s="61">
        <f t="shared" si="42"/>
        <v>0</v>
      </c>
      <c r="P354" s="62"/>
      <c r="Q354" s="104"/>
      <c r="R354" s="20">
        <f t="shared" si="43"/>
        <v>1</v>
      </c>
      <c r="S354" s="20">
        <f t="shared" si="46"/>
        <v>0</v>
      </c>
    </row>
    <row r="355" spans="1:20" ht="15.75" thickBot="1" x14ac:dyDescent="0.3">
      <c r="A355" s="54">
        <v>44549</v>
      </c>
      <c r="D355" s="56"/>
      <c r="E355" s="57"/>
      <c r="F355" s="58"/>
      <c r="G355" s="59"/>
      <c r="H355" s="59">
        <v>4140</v>
      </c>
      <c r="I355" s="59" t="str">
        <f t="shared" si="44"/>
        <v/>
      </c>
      <c r="J355" s="59" t="str">
        <f>IF(E355="","",+(E355-E354)*4140)</f>
        <v/>
      </c>
      <c r="K355" s="60" t="str">
        <f t="shared" si="49"/>
        <v/>
      </c>
      <c r="L355" s="59" t="str">
        <f t="shared" si="45"/>
        <v/>
      </c>
      <c r="M355" s="60" t="str">
        <f t="shared" si="48"/>
        <v/>
      </c>
      <c r="N355" s="61">
        <v>66068309</v>
      </c>
      <c r="O355" s="61">
        <v>0</v>
      </c>
      <c r="P355" s="62"/>
      <c r="Q355" s="104"/>
      <c r="R355" s="20">
        <f t="shared" si="43"/>
        <v>1</v>
      </c>
      <c r="S355" s="20">
        <f t="shared" si="46"/>
        <v>0</v>
      </c>
      <c r="T355" s="65"/>
    </row>
    <row r="356" spans="1:20" ht="15.75" thickBot="1" x14ac:dyDescent="0.3">
      <c r="A356" s="54">
        <v>44550</v>
      </c>
      <c r="D356" s="56"/>
      <c r="E356" s="57"/>
      <c r="F356" s="58"/>
      <c r="G356" s="59"/>
      <c r="H356" s="59">
        <v>4140</v>
      </c>
      <c r="I356" s="59" t="str">
        <f t="shared" si="44"/>
        <v/>
      </c>
      <c r="J356" s="59" t="str">
        <f>IF(E356="","",+(E356-E355)*4140)</f>
        <v/>
      </c>
      <c r="K356" s="60" t="str">
        <f t="shared" si="49"/>
        <v/>
      </c>
      <c r="L356" s="59" t="str">
        <f t="shared" si="45"/>
        <v/>
      </c>
      <c r="M356" s="60" t="str">
        <f t="shared" si="48"/>
        <v/>
      </c>
      <c r="N356" s="61">
        <v>66068309</v>
      </c>
      <c r="O356" s="61">
        <f t="shared" si="42"/>
        <v>0</v>
      </c>
      <c r="P356" s="202" t="s">
        <v>69</v>
      </c>
      <c r="Q356" s="203"/>
      <c r="R356" s="20">
        <f t="shared" si="43"/>
        <v>1</v>
      </c>
      <c r="S356" s="20">
        <f t="shared" si="46"/>
        <v>0</v>
      </c>
      <c r="T356" s="65"/>
    </row>
    <row r="357" spans="1:20" ht="15.75" thickBot="1" x14ac:dyDescent="0.3">
      <c r="A357" s="54">
        <v>44551</v>
      </c>
      <c r="D357" s="56"/>
      <c r="E357" s="57"/>
      <c r="F357" s="58"/>
      <c r="G357" s="59"/>
      <c r="H357" s="59">
        <v>4140</v>
      </c>
      <c r="I357" s="59" t="str">
        <f t="shared" si="44"/>
        <v/>
      </c>
      <c r="J357" s="59" t="str">
        <f>IF(E357="","",+(E357-E356)*4140)</f>
        <v/>
      </c>
      <c r="K357" s="60" t="str">
        <f t="shared" si="49"/>
        <v/>
      </c>
      <c r="L357" s="59" t="str">
        <f t="shared" si="45"/>
        <v/>
      </c>
      <c r="M357" s="60" t="str">
        <f t="shared" si="48"/>
        <v/>
      </c>
      <c r="N357" s="61">
        <v>66068309</v>
      </c>
      <c r="O357" s="61">
        <f t="shared" si="42"/>
        <v>0</v>
      </c>
      <c r="P357" s="204"/>
      <c r="Q357" s="205"/>
      <c r="R357" s="20">
        <f t="shared" si="43"/>
        <v>1</v>
      </c>
      <c r="S357" s="20">
        <f t="shared" si="46"/>
        <v>0</v>
      </c>
    </row>
    <row r="358" spans="1:20" ht="15.75" thickBot="1" x14ac:dyDescent="0.3">
      <c r="A358" s="54">
        <v>44552</v>
      </c>
      <c r="D358" s="56"/>
      <c r="E358" s="57"/>
      <c r="F358" s="58"/>
      <c r="G358" s="59"/>
      <c r="H358" s="59">
        <v>4140</v>
      </c>
      <c r="I358" s="59" t="str">
        <f t="shared" si="44"/>
        <v/>
      </c>
      <c r="J358" s="59" t="str">
        <f>IF(E358="","",+(E358-E357)*4140)</f>
        <v/>
      </c>
      <c r="K358" s="60" t="str">
        <f t="shared" si="49"/>
        <v/>
      </c>
      <c r="L358" s="59" t="str">
        <f t="shared" si="45"/>
        <v/>
      </c>
      <c r="M358" s="60" t="str">
        <f t="shared" si="48"/>
        <v/>
      </c>
      <c r="N358" s="61">
        <v>66068309</v>
      </c>
      <c r="O358" s="61">
        <f t="shared" si="42"/>
        <v>0</v>
      </c>
      <c r="P358" s="69" t="s">
        <v>46</v>
      </c>
      <c r="Q358" s="69" t="s">
        <v>47</v>
      </c>
      <c r="R358" s="20">
        <f t="shared" si="43"/>
        <v>1</v>
      </c>
      <c r="S358" s="20">
        <f t="shared" si="46"/>
        <v>0</v>
      </c>
    </row>
    <row r="359" spans="1:20" ht="15.75" thickBot="1" x14ac:dyDescent="0.3">
      <c r="A359" s="54">
        <v>44553</v>
      </c>
      <c r="D359" s="56"/>
      <c r="E359" s="57"/>
      <c r="F359" s="58"/>
      <c r="G359" s="59"/>
      <c r="H359" s="59">
        <v>4140</v>
      </c>
      <c r="I359" s="59" t="str">
        <f t="shared" si="44"/>
        <v/>
      </c>
      <c r="J359" s="59" t="str">
        <f t="shared" si="44"/>
        <v/>
      </c>
      <c r="K359" s="60" t="str">
        <f t="shared" si="49"/>
        <v/>
      </c>
      <c r="L359" s="59" t="str">
        <f t="shared" si="45"/>
        <v/>
      </c>
      <c r="M359" s="60" t="str">
        <f t="shared" si="48"/>
        <v/>
      </c>
      <c r="N359" s="61">
        <v>66068309</v>
      </c>
      <c r="O359" s="61">
        <f t="shared" si="42"/>
        <v>0</v>
      </c>
      <c r="P359" s="70">
        <f>IF(J338="",0,+SUM(J338:J368)/SUM(I338:I368))</f>
        <v>0</v>
      </c>
      <c r="Q359" s="70">
        <f>IF(L338="",0,+SUM(L338:L368)/SUM(I338:I368))</f>
        <v>0</v>
      </c>
      <c r="R359" s="20">
        <f t="shared" si="43"/>
        <v>1</v>
      </c>
      <c r="S359" s="20">
        <f t="shared" si="46"/>
        <v>0</v>
      </c>
      <c r="T359" s="65"/>
    </row>
    <row r="360" spans="1:20" ht="15.75" thickBot="1" x14ac:dyDescent="0.3">
      <c r="A360" s="54">
        <v>44554</v>
      </c>
      <c r="D360" s="56"/>
      <c r="E360" s="57"/>
      <c r="F360" s="58"/>
      <c r="G360" s="59"/>
      <c r="H360" s="59">
        <v>4140</v>
      </c>
      <c r="I360" s="59" t="str">
        <f t="shared" si="44"/>
        <v/>
      </c>
      <c r="J360" s="59" t="str">
        <f t="shared" si="44"/>
        <v/>
      </c>
      <c r="K360" s="60" t="str">
        <f t="shared" si="49"/>
        <v/>
      </c>
      <c r="L360" s="59" t="str">
        <f t="shared" si="45"/>
        <v/>
      </c>
      <c r="M360" s="60" t="str">
        <f t="shared" si="48"/>
        <v/>
      </c>
      <c r="N360" s="61">
        <v>66068309</v>
      </c>
      <c r="O360" s="61">
        <f t="shared" si="42"/>
        <v>0</v>
      </c>
      <c r="P360" s="71">
        <f>IF(J338="",0,+(+(LOOKUP(9.99999999999999E+307,E338:E368)-E337))/(+(LOOKUP(9.99999999999999E+307,D338:D368)-D337)))</f>
        <v>0</v>
      </c>
      <c r="Q360" s="71">
        <f>IF(L338="",0,+(+(LOOKUP(9.99999999999999E+307,F338:F368)-F337))/(+(LOOKUP(9.99999999999999E+307,D338:D368)-D337)))</f>
        <v>0</v>
      </c>
      <c r="R360" s="20">
        <f t="shared" si="43"/>
        <v>1</v>
      </c>
      <c r="S360" s="20">
        <f t="shared" si="46"/>
        <v>0</v>
      </c>
      <c r="T360" s="65"/>
    </row>
    <row r="361" spans="1:20" ht="15.75" thickBot="1" x14ac:dyDescent="0.3">
      <c r="A361" s="54">
        <v>44555</v>
      </c>
      <c r="D361" s="56"/>
      <c r="E361" s="57"/>
      <c r="F361" s="58"/>
      <c r="G361" s="59"/>
      <c r="H361" s="59">
        <v>4140</v>
      </c>
      <c r="I361" s="59" t="str">
        <f t="shared" si="44"/>
        <v/>
      </c>
      <c r="J361" s="59" t="str">
        <f t="shared" si="44"/>
        <v/>
      </c>
      <c r="K361" s="60" t="str">
        <f t="shared" si="49"/>
        <v/>
      </c>
      <c r="L361" s="59" t="str">
        <f t="shared" si="45"/>
        <v/>
      </c>
      <c r="M361" s="60" t="str">
        <f t="shared" si="48"/>
        <v/>
      </c>
      <c r="N361" s="61">
        <v>66068309</v>
      </c>
      <c r="O361" s="61">
        <f t="shared" si="42"/>
        <v>0</v>
      </c>
      <c r="P361" s="72" t="s">
        <v>48</v>
      </c>
      <c r="Q361" s="73" t="s">
        <v>49</v>
      </c>
      <c r="R361" s="20">
        <f t="shared" si="43"/>
        <v>1</v>
      </c>
      <c r="S361" s="20">
        <f t="shared" si="46"/>
        <v>0</v>
      </c>
      <c r="T361" s="65"/>
    </row>
    <row r="362" spans="1:20" ht="15.75" thickBot="1" x14ac:dyDescent="0.3">
      <c r="A362" s="54">
        <v>44556</v>
      </c>
      <c r="D362" s="56"/>
      <c r="E362" s="57"/>
      <c r="F362" s="58"/>
      <c r="G362" s="59"/>
      <c r="H362" s="59">
        <v>4140</v>
      </c>
      <c r="I362" s="59" t="str">
        <f t="shared" si="44"/>
        <v/>
      </c>
      <c r="J362" s="59" t="str">
        <f t="shared" si="44"/>
        <v/>
      </c>
      <c r="K362" s="60" t="str">
        <f t="shared" si="49"/>
        <v/>
      </c>
      <c r="L362" s="59" t="str">
        <f t="shared" si="45"/>
        <v/>
      </c>
      <c r="M362" s="60" t="str">
        <f t="shared" si="48"/>
        <v/>
      </c>
      <c r="N362" s="61">
        <v>66068309</v>
      </c>
      <c r="O362" s="61">
        <f t="shared" si="42"/>
        <v>0</v>
      </c>
      <c r="P362" s="74">
        <f>IF(N337="",0,+(LOOKUP(9.99999999999999E+307,N337:N368)-N337))</f>
        <v>0</v>
      </c>
      <c r="Q362" s="75">
        <f>IF(P362="",0,+P362/SUM(R338:R368))</f>
        <v>0</v>
      </c>
      <c r="R362" s="20">
        <f t="shared" si="43"/>
        <v>1</v>
      </c>
      <c r="S362" s="20">
        <f t="shared" si="46"/>
        <v>0</v>
      </c>
      <c r="T362" s="65"/>
    </row>
    <row r="363" spans="1:20" ht="15.75" thickBot="1" x14ac:dyDescent="0.3">
      <c r="A363" s="54">
        <v>44557</v>
      </c>
      <c r="D363" s="56"/>
      <c r="E363" s="57"/>
      <c r="F363" s="58"/>
      <c r="G363" s="59"/>
      <c r="H363" s="59">
        <v>4140</v>
      </c>
      <c r="I363" s="59" t="str">
        <f t="shared" si="44"/>
        <v/>
      </c>
      <c r="J363" s="59" t="str">
        <f t="shared" si="44"/>
        <v/>
      </c>
      <c r="K363" s="60" t="str">
        <f t="shared" si="49"/>
        <v/>
      </c>
      <c r="L363" s="59" t="str">
        <f t="shared" si="45"/>
        <v/>
      </c>
      <c r="M363" s="60" t="str">
        <f t="shared" ref="M363:M368" si="50">IF(L363="","",(L363/I363))</f>
        <v/>
      </c>
      <c r="N363" s="61">
        <v>66068309</v>
      </c>
      <c r="O363" s="61">
        <f t="shared" si="42"/>
        <v>0</v>
      </c>
      <c r="P363" s="76" t="s">
        <v>50</v>
      </c>
      <c r="Q363" s="77" t="s">
        <v>58</v>
      </c>
      <c r="R363" s="20">
        <f t="shared" si="43"/>
        <v>1</v>
      </c>
      <c r="S363" s="20">
        <f t="shared" si="46"/>
        <v>0</v>
      </c>
    </row>
    <row r="364" spans="1:20" ht="15.75" thickBot="1" x14ac:dyDescent="0.3">
      <c r="A364" s="54">
        <v>44558</v>
      </c>
      <c r="D364" s="56"/>
      <c r="E364" s="57"/>
      <c r="F364" s="58"/>
      <c r="G364" s="59"/>
      <c r="H364" s="59">
        <v>4140</v>
      </c>
      <c r="I364" s="59" t="str">
        <f t="shared" si="44"/>
        <v/>
      </c>
      <c r="J364" s="59" t="str">
        <f t="shared" si="44"/>
        <v/>
      </c>
      <c r="K364" s="60" t="str">
        <f t="shared" si="49"/>
        <v/>
      </c>
      <c r="L364" s="59" t="str">
        <f t="shared" si="45"/>
        <v/>
      </c>
      <c r="M364" s="60" t="str">
        <f t="shared" si="50"/>
        <v/>
      </c>
      <c r="N364" s="61">
        <v>66068309</v>
      </c>
      <c r="O364" s="61">
        <f t="shared" si="42"/>
        <v>0</v>
      </c>
      <c r="P364" s="78">
        <f>IF(D337="",0,+(LOOKUP(9.99999999999999E+307,D337:D368)-D337))*4140</f>
        <v>0</v>
      </c>
      <c r="Q364" s="79">
        <f>IF(P364="",0,+P364/SUM(R338:R368))</f>
        <v>0</v>
      </c>
      <c r="R364" s="20">
        <f t="shared" si="43"/>
        <v>1</v>
      </c>
      <c r="S364" s="20">
        <f t="shared" si="46"/>
        <v>0</v>
      </c>
    </row>
    <row r="365" spans="1:20" ht="15.75" thickBot="1" x14ac:dyDescent="0.3">
      <c r="A365" s="54">
        <v>44559</v>
      </c>
      <c r="D365" s="56"/>
      <c r="E365" s="57"/>
      <c r="F365" s="58"/>
      <c r="G365" s="59"/>
      <c r="H365" s="59">
        <v>4140</v>
      </c>
      <c r="I365" s="59" t="str">
        <f t="shared" si="44"/>
        <v/>
      </c>
      <c r="J365" s="59" t="str">
        <f t="shared" si="44"/>
        <v/>
      </c>
      <c r="K365" s="60" t="str">
        <f t="shared" si="49"/>
        <v/>
      </c>
      <c r="L365" s="59" t="str">
        <f t="shared" si="45"/>
        <v/>
      </c>
      <c r="M365" s="60" t="str">
        <f t="shared" si="50"/>
        <v/>
      </c>
      <c r="N365" s="61">
        <v>66068309</v>
      </c>
      <c r="O365" s="61">
        <f t="shared" si="42"/>
        <v>0</v>
      </c>
      <c r="P365" s="80" t="s">
        <v>52</v>
      </c>
      <c r="Q365" s="81" t="s">
        <v>59</v>
      </c>
      <c r="R365" s="20">
        <f t="shared" si="43"/>
        <v>1</v>
      </c>
      <c r="S365" s="20">
        <f t="shared" si="46"/>
        <v>0</v>
      </c>
    </row>
    <row r="366" spans="1:20" ht="15.75" thickBot="1" x14ac:dyDescent="0.3">
      <c r="A366" s="54">
        <v>44560</v>
      </c>
      <c r="D366" s="56"/>
      <c r="E366" s="57"/>
      <c r="F366" s="58"/>
      <c r="G366" s="59"/>
      <c r="H366" s="59">
        <v>4140</v>
      </c>
      <c r="I366" s="59" t="str">
        <f>IF(D366="","",+(D366-D365)*4140)</f>
        <v/>
      </c>
      <c r="J366" s="59" t="str">
        <f t="shared" si="44"/>
        <v/>
      </c>
      <c r="K366" s="60" t="str">
        <f t="shared" si="49"/>
        <v/>
      </c>
      <c r="L366" s="59" t="str">
        <f t="shared" si="45"/>
        <v/>
      </c>
      <c r="M366" s="60" t="str">
        <f t="shared" si="50"/>
        <v/>
      </c>
      <c r="N366" s="61">
        <v>66068309</v>
      </c>
      <c r="O366" s="61">
        <f t="shared" si="42"/>
        <v>0</v>
      </c>
      <c r="P366" s="82">
        <f>P364*Q369</f>
        <v>0</v>
      </c>
      <c r="Q366" s="83" t="e">
        <f>IF(Q34="",0,(SUM('[1]Günlük Tüketim'!H338:H368)*1.62)/SUM(O338:O368))</f>
        <v>#DIV/0!</v>
      </c>
      <c r="R366" s="20">
        <f t="shared" si="43"/>
        <v>1</v>
      </c>
      <c r="S366" s="20">
        <f t="shared" si="46"/>
        <v>0</v>
      </c>
    </row>
    <row r="367" spans="1:20" ht="15.75" thickBot="1" x14ac:dyDescent="0.3">
      <c r="A367" s="54">
        <v>44561</v>
      </c>
      <c r="D367" s="56"/>
      <c r="E367" s="57"/>
      <c r="F367" s="58"/>
      <c r="G367" s="59"/>
      <c r="H367" s="59">
        <v>4140</v>
      </c>
      <c r="I367" s="59" t="str">
        <f t="shared" si="44"/>
        <v/>
      </c>
      <c r="J367" s="59" t="str">
        <f t="shared" si="44"/>
        <v/>
      </c>
      <c r="K367" s="60" t="str">
        <f t="shared" si="49"/>
        <v/>
      </c>
      <c r="L367" s="59" t="str">
        <f t="shared" si="45"/>
        <v/>
      </c>
      <c r="M367" s="60" t="str">
        <f t="shared" si="50"/>
        <v/>
      </c>
      <c r="N367" s="61">
        <v>66068309</v>
      </c>
      <c r="O367" s="61">
        <f t="shared" si="42"/>
        <v>0</v>
      </c>
      <c r="P367" s="85" t="s">
        <v>54</v>
      </c>
      <c r="Q367" s="86" t="s">
        <v>55</v>
      </c>
      <c r="R367" s="20">
        <f t="shared" si="43"/>
        <v>1</v>
      </c>
      <c r="S367" s="20">
        <f t="shared" si="46"/>
        <v>0</v>
      </c>
    </row>
    <row r="368" spans="1:20" ht="15.75" thickBot="1" x14ac:dyDescent="0.3">
      <c r="A368" s="54">
        <v>44562</v>
      </c>
      <c r="D368" s="89"/>
      <c r="E368" s="89"/>
      <c r="F368" s="89"/>
      <c r="G368" s="90"/>
      <c r="H368" s="90"/>
      <c r="I368" s="90" t="str">
        <f t="shared" si="44"/>
        <v/>
      </c>
      <c r="J368" s="90" t="str">
        <f t="shared" si="44"/>
        <v/>
      </c>
      <c r="K368" s="91" t="str">
        <f t="shared" si="49"/>
        <v/>
      </c>
      <c r="L368" s="90" t="str">
        <f t="shared" si="45"/>
        <v/>
      </c>
      <c r="M368" s="91" t="str">
        <f t="shared" si="50"/>
        <v/>
      </c>
      <c r="N368" s="92">
        <v>66068309</v>
      </c>
      <c r="O368" s="93">
        <f t="shared" si="42"/>
        <v>0</v>
      </c>
      <c r="P368" s="94">
        <f>(P366+Q364*SUM(S338:S368)*Q369)</f>
        <v>0</v>
      </c>
      <c r="Q368" s="95">
        <f>Q364*31</f>
        <v>0</v>
      </c>
      <c r="R368" s="20">
        <f t="shared" si="43"/>
        <v>1</v>
      </c>
      <c r="S368" s="20">
        <f t="shared" si="46"/>
        <v>0</v>
      </c>
    </row>
    <row r="369" spans="1:19" ht="18" customHeight="1" thickBot="1" x14ac:dyDescent="0.3">
      <c r="A369" s="140"/>
      <c r="K369" s="142"/>
      <c r="M369" s="60"/>
      <c r="N369" s="143"/>
      <c r="P369" s="96" t="s">
        <v>56</v>
      </c>
      <c r="Q369" s="97">
        <v>0.56999999999999995</v>
      </c>
      <c r="S369" s="20"/>
    </row>
    <row r="370" spans="1:19" ht="13.5" customHeight="1" x14ac:dyDescent="0.4">
      <c r="A370" s="140"/>
      <c r="N370" s="144"/>
      <c r="O370" s="145"/>
      <c r="S370" s="20"/>
    </row>
    <row r="371" spans="1:19" ht="14.25" customHeight="1" x14ac:dyDescent="0.25">
      <c r="A371" s="140"/>
      <c r="F371" s="146" t="s">
        <v>70</v>
      </c>
      <c r="I371" s="147">
        <f>SUM(I3:I368)</f>
        <v>5336948.0399999972</v>
      </c>
      <c r="N371" s="61"/>
      <c r="O371" s="148">
        <f>SUM(O3:O368)</f>
        <v>0</v>
      </c>
      <c r="P371" s="149" t="s">
        <v>71</v>
      </c>
    </row>
    <row r="372" spans="1:19" x14ac:dyDescent="0.25">
      <c r="A372" s="140"/>
    </row>
    <row r="373" spans="1:19" x14ac:dyDescent="0.25">
      <c r="A373" s="140"/>
      <c r="N373" s="150"/>
      <c r="O373" s="146"/>
    </row>
    <row r="374" spans="1:19" x14ac:dyDescent="0.25">
      <c r="A374" s="140"/>
    </row>
    <row r="375" spans="1:19" x14ac:dyDescent="0.25">
      <c r="A375" s="140"/>
    </row>
    <row r="376" spans="1:19" x14ac:dyDescent="0.25">
      <c r="A376" s="140"/>
    </row>
    <row r="377" spans="1:19" x14ac:dyDescent="0.25">
      <c r="A377" s="140"/>
    </row>
    <row r="378" spans="1:19" x14ac:dyDescent="0.25">
      <c r="A378" s="140"/>
    </row>
    <row r="379" spans="1:19" x14ac:dyDescent="0.25">
      <c r="A379" s="140"/>
    </row>
    <row r="380" spans="1:19" x14ac:dyDescent="0.25">
      <c r="A380" s="140"/>
    </row>
    <row r="381" spans="1:19" x14ac:dyDescent="0.25">
      <c r="A381" s="140"/>
    </row>
    <row r="382" spans="1:19" x14ac:dyDescent="0.25">
      <c r="A382" s="140"/>
    </row>
    <row r="383" spans="1:19" x14ac:dyDescent="0.25">
      <c r="A383" s="140"/>
    </row>
    <row r="384" spans="1:19" x14ac:dyDescent="0.25">
      <c r="A384" s="140"/>
    </row>
    <row r="385" spans="1:1" x14ac:dyDescent="0.25">
      <c r="A385" s="140"/>
    </row>
    <row r="386" spans="1:1" x14ac:dyDescent="0.25">
      <c r="A386" s="140"/>
    </row>
    <row r="387" spans="1:1" x14ac:dyDescent="0.25">
      <c r="A387" s="140"/>
    </row>
    <row r="388" spans="1:1" x14ac:dyDescent="0.25">
      <c r="A388" s="140"/>
    </row>
    <row r="389" spans="1:1" x14ac:dyDescent="0.25">
      <c r="A389" s="140"/>
    </row>
    <row r="390" spans="1:1" x14ac:dyDescent="0.25">
      <c r="A390" s="140"/>
    </row>
    <row r="391" spans="1:1" x14ac:dyDescent="0.25">
      <c r="A391" s="140"/>
    </row>
    <row r="392" spans="1:1" x14ac:dyDescent="0.25">
      <c r="A392" s="140"/>
    </row>
    <row r="393" spans="1:1" x14ac:dyDescent="0.25">
      <c r="A393" s="140"/>
    </row>
    <row r="394" spans="1:1" x14ac:dyDescent="0.25">
      <c r="A394" s="140"/>
    </row>
    <row r="395" spans="1:1" x14ac:dyDescent="0.25">
      <c r="A395" s="140"/>
    </row>
    <row r="396" spans="1:1" x14ac:dyDescent="0.25">
      <c r="A396" s="140"/>
    </row>
    <row r="397" spans="1:1" x14ac:dyDescent="0.25">
      <c r="A397" s="140"/>
    </row>
    <row r="398" spans="1:1" x14ac:dyDescent="0.25">
      <c r="A398" s="140"/>
    </row>
    <row r="399" spans="1:1" x14ac:dyDescent="0.25">
      <c r="A399" s="140"/>
    </row>
    <row r="400" spans="1:1" x14ac:dyDescent="0.25">
      <c r="A400" s="140"/>
    </row>
    <row r="401" spans="1:1" x14ac:dyDescent="0.25">
      <c r="A401" s="140"/>
    </row>
    <row r="402" spans="1:1" x14ac:dyDescent="0.25">
      <c r="A402" s="140"/>
    </row>
  </sheetData>
  <mergeCells count="12">
    <mergeCell ref="P356:Q357"/>
    <mergeCell ref="P21:Q22"/>
    <mergeCell ref="P49:Q50"/>
    <mergeCell ref="P81:Q82"/>
    <mergeCell ref="P111:Q112"/>
    <mergeCell ref="P142:Q143"/>
    <mergeCell ref="P172:Q173"/>
    <mergeCell ref="P203:Q204"/>
    <mergeCell ref="P234:Q235"/>
    <mergeCell ref="P264:Q265"/>
    <mergeCell ref="P295:Q296"/>
    <mergeCell ref="P325:Q326"/>
  </mergeCells>
  <conditionalFormatting sqref="P298:Q299 U31:U32 P24:Q25 P84:Q85 P114:Q115 P175:Q176 P145:Q146 P206:Q207 P359:Q360 P237:Q238 P267:Q268 P52:Q53 P328:Q329">
    <cfRule type="cellIs" dxfId="4" priority="3" stopIfTrue="1" operator="greaterThan">
      <formula>0.15</formula>
    </cfRule>
  </conditionalFormatting>
  <conditionalFormatting sqref="K2:K61 K77:K65536">
    <cfRule type="cellIs" dxfId="3" priority="4" stopIfTrue="1" operator="between">
      <formula>0.2</formula>
      <formula>100</formula>
    </cfRule>
  </conditionalFormatting>
  <conditionalFormatting sqref="M2:M61 M77:M65536">
    <cfRule type="cellIs" dxfId="2" priority="5" stopIfTrue="1" operator="between">
      <formula>0.15</formula>
      <formula>100</formula>
    </cfRule>
  </conditionalFormatting>
  <conditionalFormatting sqref="K62:K76">
    <cfRule type="cellIs" dxfId="1" priority="1" stopIfTrue="1" operator="between">
      <formula>0.2</formula>
      <formula>100</formula>
    </cfRule>
  </conditionalFormatting>
  <conditionalFormatting sqref="M62:M76">
    <cfRule type="cellIs" dxfId="0" priority="2" stopIfTrue="1" operator="between">
      <formula>0.15</formula>
      <formula>100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Gas Water</vt:lpstr>
      <vt:lpstr>Electricity </vt:lpstr>
    </vt:vector>
  </TitlesOfParts>
  <Manager/>
  <Company>Four Seasons Hotel Istanbul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Huseyin Avci</dc:creator>
  <cp:keywords/>
  <dc:description/>
  <cp:lastModifiedBy>Ilker Sark</cp:lastModifiedBy>
  <cp:revision/>
  <dcterms:created xsi:type="dcterms:W3CDTF">2021-02-26T04:38:42Z</dcterms:created>
  <dcterms:modified xsi:type="dcterms:W3CDTF">2021-08-05T06:01:09Z</dcterms:modified>
  <cp:category/>
  <cp:contentStatus/>
</cp:coreProperties>
</file>